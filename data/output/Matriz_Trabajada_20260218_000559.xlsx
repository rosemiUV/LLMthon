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<sst xmlns="http://schemas.openxmlformats.org/spreadsheetml/2006/main" count="73383" uniqueCount="2017">
  <si>
    <t>Nº</t>
  </si>
  <si>
    <t>Nombre empresaAlfabeto latino</t>
  </si>
  <si>
    <t>Número de identificación BvD</t>
  </si>
  <si>
    <t>Nombre de la empresa anterior
Latin Alphabet</t>
  </si>
  <si>
    <t>Fecha de incorporación</t>
  </si>
  <si>
    <t>Estado</t>
  </si>
  <si>
    <t>País ISO Código</t>
  </si>
  <si>
    <t>País</t>
  </si>
  <si>
    <t>Región en el país</t>
  </si>
  <si>
    <t>Ciudad
Latin Alphabet</t>
  </si>
  <si>
    <t>Calle, nº, edificio etc, linea 1
Latin Alphabet</t>
  </si>
  <si>
    <t>Sitio web</t>
  </si>
  <si>
    <t>Número de teléfono</t>
  </si>
  <si>
    <t>Nombre del grupo</t>
  </si>
  <si>
    <t>Descripción del Grupo</t>
  </si>
  <si>
    <t>NACE Rev. 2 Código principal (4 digitos)</t>
  </si>
  <si>
    <t>NACE Rev. 2 Código(s) primario</t>
  </si>
  <si>
    <t>Descripción del Comercio en el idioma original</t>
  </si>
  <si>
    <t>Descripción del Comercio (Inglés)</t>
  </si>
  <si>
    <t>Línea de negocio principal</t>
  </si>
  <si>
    <t>Actividad principal</t>
  </si>
  <si>
    <t>Línea de negocio secundaria</t>
  </si>
  <si>
    <t>Actividad secundaria</t>
  </si>
  <si>
    <t>Principales productos y servicios</t>
  </si>
  <si>
    <t>Principales marcas</t>
  </si>
  <si>
    <t>Código de consolidación</t>
  </si>
  <si>
    <t>Fecha de cierre últimas cuentas</t>
  </si>
  <si>
    <t>Último año disponible</t>
  </si>
  <si>
    <t>Ingresos de explotación (turnover)
USD 2024</t>
  </si>
  <si>
    <t>Ingresos de explotación (turnover)
USD 2023</t>
  </si>
  <si>
    <t>Ingresos de explotación (turnover)
USD 2022</t>
  </si>
  <si>
    <t>Ingresos de explotación (turnover)
USD 2021</t>
  </si>
  <si>
    <t>Ingresos de explotación (turnover)
USD 2020</t>
  </si>
  <si>
    <t>Venta
USD 2024</t>
  </si>
  <si>
    <t>Venta
USD 2023</t>
  </si>
  <si>
    <t>Venta
USD 2022</t>
  </si>
  <si>
    <t>Venta
USD 2021</t>
  </si>
  <si>
    <t>Venta
USD 2020</t>
  </si>
  <si>
    <t>Costes de los bienes vendidos
USD 2024</t>
  </si>
  <si>
    <t>Costes de los bienes vendidos
USD 2023</t>
  </si>
  <si>
    <t>Costes de los bienes vendidos
USD 2022</t>
  </si>
  <si>
    <t>Costes de los bienes vendidos
USD 2021</t>
  </si>
  <si>
    <t>Costes de los bienes vendidos
USD 2020</t>
  </si>
  <si>
    <t>Beneficio bruto
USD 2024</t>
  </si>
  <si>
    <t>Beneficio bruto
USD 2023</t>
  </si>
  <si>
    <t>Beneficio bruto
USD 2022</t>
  </si>
  <si>
    <t>Beneficio bruto
USD 2021</t>
  </si>
  <si>
    <t>Beneficio bruto
USD 2020</t>
  </si>
  <si>
    <t>Otros gastos de explotación
USD 2024</t>
  </si>
  <si>
    <t>Otros gastos de explotación
USD 2023</t>
  </si>
  <si>
    <t>Otros gastos de explotación
USD 2022</t>
  </si>
  <si>
    <t>Otros gastos de explotación
USD 2021</t>
  </si>
  <si>
    <t>Otros gastos de explotación
USD 2020</t>
  </si>
  <si>
    <t>P/G operacionales [=EBIT]
USD 2024</t>
  </si>
  <si>
    <t>P/G operacionales [=EBIT]
USD 2023</t>
  </si>
  <si>
    <t>P/G operacionales [=EBIT]
USD 2022</t>
  </si>
  <si>
    <t>P/G operacionales [=EBIT]
USD 2021</t>
  </si>
  <si>
    <t>P/G operacionales [=EBIT]
USD 2020</t>
  </si>
  <si>
    <t>P&amp;G Financieras
USD 2024</t>
  </si>
  <si>
    <t>P&amp;G Financieras
USD 2023</t>
  </si>
  <si>
    <t>P&amp;G Financieras
USD 2022</t>
  </si>
  <si>
    <t>P&amp;G Financieras
USD 2021</t>
  </si>
  <si>
    <t>P&amp;G Financieras
USD 2020</t>
  </si>
  <si>
    <t>Ingresos financieros
USD 2024</t>
  </si>
  <si>
    <t>Ingresos financieros
USD 2023</t>
  </si>
  <si>
    <t>Ingresos financieros
USD 2022</t>
  </si>
  <si>
    <t>Ingresos financieros
USD 2021</t>
  </si>
  <si>
    <t>Ingresos financieros
USD 2020</t>
  </si>
  <si>
    <t>Gastos financieros
USD 2024</t>
  </si>
  <si>
    <t>Gastos financieros
USD 2023</t>
  </si>
  <si>
    <t>Gastos financieros
USD 2022</t>
  </si>
  <si>
    <t>Gastos financieros
USD 2021</t>
  </si>
  <si>
    <t>Gastos financieros
USD 2020</t>
  </si>
  <si>
    <t>Result. ordinarios antes impuestos
USD 2024</t>
  </si>
  <si>
    <t>Result. ordinarios antes impuestos
USD 2023</t>
  </si>
  <si>
    <t>Result. ordinarios antes impuestos
USD 2022</t>
  </si>
  <si>
    <t>Result. ordinarios antes impuestos
USD 2021</t>
  </si>
  <si>
    <t>Result. ordinarios antes impuestos
USD 2020</t>
  </si>
  <si>
    <t>Impuestos
USD 2024</t>
  </si>
  <si>
    <t>Impuestos
USD 2023</t>
  </si>
  <si>
    <t>Impuestos
USD 2022</t>
  </si>
  <si>
    <t>Impuestos
USD 2021</t>
  </si>
  <si>
    <t>Impuestos
USD 2020</t>
  </si>
  <si>
    <t>Resultado actividades ordinarias
USD 2024</t>
  </si>
  <si>
    <t>Resultado actividades ordinarias
USD 2023</t>
  </si>
  <si>
    <t>Resultado actividades ordinarias
USD 2022</t>
  </si>
  <si>
    <t>Resultado actividades ordinarias
USD 2021</t>
  </si>
  <si>
    <t>Resultado actividades ordinarias
USD 2020</t>
  </si>
  <si>
    <t>Extr. y otros P&amp;G
USD 2024</t>
  </si>
  <si>
    <t>Extr. y otros P&amp;G
USD 2023</t>
  </si>
  <si>
    <t>Extr. y otros P&amp;G
USD 2022</t>
  </si>
  <si>
    <t>Extr. y otros P&amp;G
USD 2021</t>
  </si>
  <si>
    <t>Extr. y otros P&amp;G
USD 2020</t>
  </si>
  <si>
    <t>Extr. y otros ingresos
USD 2024</t>
  </si>
  <si>
    <t>Extr. y otros ingresos
USD 2023</t>
  </si>
  <si>
    <t>Extr. y otros ingresos
USD 2022</t>
  </si>
  <si>
    <t>Extr. y otros ingresos
USD 2021</t>
  </si>
  <si>
    <t>Extr. y otros ingresos
USD 2020</t>
  </si>
  <si>
    <t>Extr. y otros gastos
USD 2024</t>
  </si>
  <si>
    <t>Extr. y otros gastos
USD 2023</t>
  </si>
  <si>
    <t>Extr. y otros gastos
USD 2022</t>
  </si>
  <si>
    <t>Extr. y otros gastos
USD 2021</t>
  </si>
  <si>
    <t>Extr. y otros gastos
USD 2020</t>
  </si>
  <si>
    <t>P/G por periodo [=ingresos netos]
USD 2024</t>
  </si>
  <si>
    <t>P/G por periodo [=ingresos netos]
USD 2023</t>
  </si>
  <si>
    <t>P/G por periodo [=ingresos netos]
USD 2022</t>
  </si>
  <si>
    <t>P/G por periodo [=ingresos netos]
USD 2021</t>
  </si>
  <si>
    <t>P/G por periodo [=ingresos netos]
USD 2020</t>
  </si>
  <si>
    <t>Ingresos de exportación
USD 2024</t>
  </si>
  <si>
    <t>Ingresos de exportación
USD 2023</t>
  </si>
  <si>
    <t>Ingresos de exportación
USD 2022</t>
  </si>
  <si>
    <t>Ingresos de exportación
USD 2021</t>
  </si>
  <si>
    <t>Ingresos de exportación
USD 2020</t>
  </si>
  <si>
    <t>Coste material
USD 2024</t>
  </si>
  <si>
    <t>Coste material
USD 2023</t>
  </si>
  <si>
    <t>Coste material
USD 2022</t>
  </si>
  <si>
    <t>Coste material
USD 2021</t>
  </si>
  <si>
    <t>Coste material
USD 2020</t>
  </si>
  <si>
    <t>Costes de los empleados
USD 2024</t>
  </si>
  <si>
    <t>Costes de los empleados
USD 2023</t>
  </si>
  <si>
    <t>Costes de los empleados
USD 2022</t>
  </si>
  <si>
    <t>Costes de los empleados
USD 2021</t>
  </si>
  <si>
    <t>Costes de los empleados
USD 2020</t>
  </si>
  <si>
    <t>Depreciación y Amortización
USD 2024</t>
  </si>
  <si>
    <t>Depreciación y Amortización
USD 2023</t>
  </si>
  <si>
    <t>Depreciación y Amortización
USD 2022</t>
  </si>
  <si>
    <t>Depreciación y Amortización
USD 2021</t>
  </si>
  <si>
    <t>Depreciación y Amortización
USD 2020</t>
  </si>
  <si>
    <t>Otros Elementos Operativos
USD 2024</t>
  </si>
  <si>
    <t>Otros Elementos Operativos
USD 2023</t>
  </si>
  <si>
    <t>Otros Elementos Operativos
USD 2022</t>
  </si>
  <si>
    <t>Otros Elementos Operativos
USD 2021</t>
  </si>
  <si>
    <t>Otros Elementos Operativos
USD 2020</t>
  </si>
  <si>
    <t>Intereses pagados
USD 2024</t>
  </si>
  <si>
    <t>Intereses pagados
USD 2023</t>
  </si>
  <si>
    <t>Intereses pagados
USD 2022</t>
  </si>
  <si>
    <t>Intereses pagados
USD 2021</t>
  </si>
  <si>
    <t>Intereses pagados
USD 2020</t>
  </si>
  <si>
    <t>Gastos de Investigación y Desarrollo
USD 2024</t>
  </si>
  <si>
    <t>Gastos de Investigación y Desarrollo
USD 2023</t>
  </si>
  <si>
    <t>Gastos de Investigación y Desarrollo
USD 2022</t>
  </si>
  <si>
    <t>Gastos de Investigación y Desarrollo
USD 2021</t>
  </si>
  <si>
    <t>Gastos de Investigación y Desarrollo
USD 2020</t>
  </si>
  <si>
    <t>Flujo de caja
USD 2024</t>
  </si>
  <si>
    <t>Flujo de caja
USD 2023</t>
  </si>
  <si>
    <t>Flujo de caja
USD 2022</t>
  </si>
  <si>
    <t>Flujo de caja
USD 2021</t>
  </si>
  <si>
    <t>Flujo de caja
USD 2020</t>
  </si>
  <si>
    <t>Valor añadido
USD 2024</t>
  </si>
  <si>
    <t>Valor añadido
USD 2023</t>
  </si>
  <si>
    <t>Valor añadido
USD 2022</t>
  </si>
  <si>
    <t>Valor añadido
USD 2021</t>
  </si>
  <si>
    <t>Valor añadido
USD 2020</t>
  </si>
  <si>
    <t>EBITDA
USD 2024</t>
  </si>
  <si>
    <t>EBITDA
USD 2023</t>
  </si>
  <si>
    <t>EBITDA
USD 2022</t>
  </si>
  <si>
    <t>EBITDA
USD 2021</t>
  </si>
  <si>
    <t>EBITDA
USD 2020</t>
  </si>
  <si>
    <t>Activos fijos
USD 2024</t>
  </si>
  <si>
    <t>Activos fijos
USD 2023</t>
  </si>
  <si>
    <t>Activos fijos
USD 2022</t>
  </si>
  <si>
    <t>Activos fijos
USD 2021</t>
  </si>
  <si>
    <t>Activos fijos
USD 2020</t>
  </si>
  <si>
    <t>Inmovilizado inmaterial
USD 2024</t>
  </si>
  <si>
    <t>Inmovilizado inmaterial
USD 2023</t>
  </si>
  <si>
    <t>Inmovilizado inmaterial
USD 2022</t>
  </si>
  <si>
    <t>Inmovilizado inmaterial
USD 2021</t>
  </si>
  <si>
    <t>Inmovilizado inmaterial
USD 2020</t>
  </si>
  <si>
    <t>Inmovilizado material
USD 2024</t>
  </si>
  <si>
    <t>Inmovilizado material
USD 2023</t>
  </si>
  <si>
    <t>Inmovilizado material
USD 2022</t>
  </si>
  <si>
    <t>Inmovilizado material
USD 2021</t>
  </si>
  <si>
    <t>Inmovilizado material
USD 2020</t>
  </si>
  <si>
    <t>Otros activos fijos
USD 2024</t>
  </si>
  <si>
    <t>Otros activos fijos
USD 2023</t>
  </si>
  <si>
    <t>Otros activos fijos
USD 2022</t>
  </si>
  <si>
    <t>Otros activos fijos
USD 2021</t>
  </si>
  <si>
    <t>Otros activos fijos
USD 2020</t>
  </si>
  <si>
    <t>Inmovilizado inmaterial
USD 2024.1</t>
  </si>
  <si>
    <t>Inmovilizado inmaterial
USD 2023.1</t>
  </si>
  <si>
    <t>Inmovilizado inmaterial
USD 2022.1</t>
  </si>
  <si>
    <t>Inmovilizado inmaterial
USD 2021.1</t>
  </si>
  <si>
    <t>Inmovilizado inmaterial
USD 2020.1</t>
  </si>
  <si>
    <t>Inmovilizado material
USD 2024.1</t>
  </si>
  <si>
    <t>Inmovilizado material
USD 2023.1</t>
  </si>
  <si>
    <t>Inmovilizado material
USD 2022.1</t>
  </si>
  <si>
    <t>Inmovilizado material
USD 2021.1</t>
  </si>
  <si>
    <t>Inmovilizado material
USD 2020.1</t>
  </si>
  <si>
    <t>Otros activos fijos
USD 2024.1</t>
  </si>
  <si>
    <t>Otros activos fijos
USD 2023.1</t>
  </si>
  <si>
    <t>Otros activos fijos
USD 2022.1</t>
  </si>
  <si>
    <t>Otros activos fijos
USD 2021.1</t>
  </si>
  <si>
    <t>Otros activos fijos
USD 2020.1</t>
  </si>
  <si>
    <t>Activo circulante
USD 2024</t>
  </si>
  <si>
    <t>Activo circulante
USD 2023</t>
  </si>
  <si>
    <t>Activo circulante
USD 2022</t>
  </si>
  <si>
    <t>Activo circulante
USD 2021</t>
  </si>
  <si>
    <t>Activo circulante
USD 2020</t>
  </si>
  <si>
    <t>Valores
USD 2024</t>
  </si>
  <si>
    <t>Valores
USD 2023</t>
  </si>
  <si>
    <t>Valores
USD 2022</t>
  </si>
  <si>
    <t>Valores
USD 2021</t>
  </si>
  <si>
    <t>Valores
USD 2020</t>
  </si>
  <si>
    <t>Deudores
USD 2024</t>
  </si>
  <si>
    <t>Deudores
USD 2023</t>
  </si>
  <si>
    <t>Deudores
USD 2022</t>
  </si>
  <si>
    <t>Deudores
USD 2021</t>
  </si>
  <si>
    <t>Deudores
USD 2020</t>
  </si>
  <si>
    <t>Otros activos corrientes
USD 2024</t>
  </si>
  <si>
    <t>Otros activos corrientes
USD 2023</t>
  </si>
  <si>
    <t>Otros activos corrientes
USD 2022</t>
  </si>
  <si>
    <t>Otros activos corrientes
USD 2021</t>
  </si>
  <si>
    <t>Otros activos corrientes
USD 2020</t>
  </si>
  <si>
    <t>Efectivo y equivalentes de efectivo
USD 2024</t>
  </si>
  <si>
    <t>Efectivo y equivalentes de efectivo
USD 2023</t>
  </si>
  <si>
    <t>Efectivo y equivalentes de efectivo
USD 2022</t>
  </si>
  <si>
    <t>Efectivo y equivalentes de efectivo
USD 2021</t>
  </si>
  <si>
    <t>Efectivo y equivalentes de efectivo
USD 2020</t>
  </si>
  <si>
    <t>Activos totales
USD 2024</t>
  </si>
  <si>
    <t>Activos totales
USD 2023</t>
  </si>
  <si>
    <t>Activos totales
USD 2022</t>
  </si>
  <si>
    <t>Activos totales
USD 2021</t>
  </si>
  <si>
    <t>Activos totales
USD 2020</t>
  </si>
  <si>
    <t>Fondos de los accionistas
USD 2024</t>
  </si>
  <si>
    <t>Fondos de los accionistas
USD 2023</t>
  </si>
  <si>
    <t>Fondos de los accionistas
USD 2022</t>
  </si>
  <si>
    <t>Fondos de los accionistas
USD 2021</t>
  </si>
  <si>
    <t>Fondos de los accionistas
USD 2020</t>
  </si>
  <si>
    <t>Capital
USD 2024</t>
  </si>
  <si>
    <t>Capital
USD 2023</t>
  </si>
  <si>
    <t>Capital
USD 2022</t>
  </si>
  <si>
    <t>Capital
USD 2021</t>
  </si>
  <si>
    <t>Capital
USD 2020</t>
  </si>
  <si>
    <t>Otros accionistas de fondos
USD 2024</t>
  </si>
  <si>
    <t>Otros accionistas de fondos
USD 2023</t>
  </si>
  <si>
    <t>Otros accionistas de fondos
USD 2022</t>
  </si>
  <si>
    <t>Otros accionistas de fondos
USD 2021</t>
  </si>
  <si>
    <t>Otros accionistas de fondos
USD 2020</t>
  </si>
  <si>
    <t>Pasivos no corrientes
USD 2024</t>
  </si>
  <si>
    <t>Pasivos no corrientes
USD 2023</t>
  </si>
  <si>
    <t>Pasivos no corrientes
USD 2022</t>
  </si>
  <si>
    <t>Pasivos no corrientes
USD 2021</t>
  </si>
  <si>
    <t>Pasivos no corrientes
USD 2020</t>
  </si>
  <si>
    <t>Deuda a largo plazo
USD 2024</t>
  </si>
  <si>
    <t>Deuda a largo plazo
USD 2023</t>
  </si>
  <si>
    <t>Deuda a largo plazo
USD 2022</t>
  </si>
  <si>
    <t>Deuda a largo plazo
USD 2021</t>
  </si>
  <si>
    <t>Deuda a largo plazo
USD 2020</t>
  </si>
  <si>
    <t>Otros pasivos no corrientes
USD 2024</t>
  </si>
  <si>
    <t>Otros pasivos no corrientes
USD 2023</t>
  </si>
  <si>
    <t>Otros pasivos no corrientes
USD 2022</t>
  </si>
  <si>
    <t>Otros pasivos no corrientes
USD 2021</t>
  </si>
  <si>
    <t>Otros pasivos no corrientes
USD 2020</t>
  </si>
  <si>
    <t>Provisiones
USD 2024</t>
  </si>
  <si>
    <t>Provisiones
USD 2023</t>
  </si>
  <si>
    <t>Provisiones
USD 2022</t>
  </si>
  <si>
    <t>Provisiones
USD 2021</t>
  </si>
  <si>
    <t>Provisiones
USD 2020</t>
  </si>
  <si>
    <t>Deudas a corto plazo
USD 2024</t>
  </si>
  <si>
    <t>Deudas a corto plazo
USD 2023</t>
  </si>
  <si>
    <t>Deudas a corto plazo
USD 2022</t>
  </si>
  <si>
    <t>Deudas a corto plazo
USD 2021</t>
  </si>
  <si>
    <t>Deudas a corto plazo
USD 2020</t>
  </si>
  <si>
    <t>Préstamos
USD 2024</t>
  </si>
  <si>
    <t>Préstamos
USD 2023</t>
  </si>
  <si>
    <t>Préstamos
USD 2022</t>
  </si>
  <si>
    <t>Préstamos
USD 2021</t>
  </si>
  <si>
    <t>Préstamos
USD 2020</t>
  </si>
  <si>
    <t>Acreedores
USD 2024</t>
  </si>
  <si>
    <t>Acreedores
USD 2023</t>
  </si>
  <si>
    <t>Acreedores
USD 2022</t>
  </si>
  <si>
    <t>Acreedores
USD 2021</t>
  </si>
  <si>
    <t>Acreedores
USD 2020</t>
  </si>
  <si>
    <t>Otros pasivos circulantes
USD 2024</t>
  </si>
  <si>
    <t>Otros pasivos circulantes
USD 2023</t>
  </si>
  <si>
    <t>Otros pasivos circulantes
USD 2022</t>
  </si>
  <si>
    <t>Otros pasivos circulantes
USD 2021</t>
  </si>
  <si>
    <t>Otros pasivos circulantes
USD 2020</t>
  </si>
  <si>
    <t>Total pasivo
USD 2024</t>
  </si>
  <si>
    <t>Total pasivo
USD 2023</t>
  </si>
  <si>
    <t>Total pasivo
USD 2022</t>
  </si>
  <si>
    <t>Total pasivo
USD 2021</t>
  </si>
  <si>
    <t>Total pasivo
USD 2020</t>
  </si>
  <si>
    <t>Capital de explotación
USD 2024</t>
  </si>
  <si>
    <t>Capital de explotación
USD 2023</t>
  </si>
  <si>
    <t>Capital de explotación
USD 2022</t>
  </si>
  <si>
    <t>Capital de explotación
USD 2021</t>
  </si>
  <si>
    <t>Capital de explotación
USD 2020</t>
  </si>
  <si>
    <t>Activo corriente neto
USD 2024</t>
  </si>
  <si>
    <t>Activo corriente neto
USD 2023</t>
  </si>
  <si>
    <t>Activo corriente neto
USD 2022</t>
  </si>
  <si>
    <t>Activo corriente neto
USD 2021</t>
  </si>
  <si>
    <t>Activo corriente neto
USD 2020</t>
  </si>
  <si>
    <t>Valor empresarial
USD 2024</t>
  </si>
  <si>
    <t>Valor empresarial
USD 2023</t>
  </si>
  <si>
    <t>Valor empresarial
USD 2022</t>
  </si>
  <si>
    <t>Valor empresarial
USD 2021</t>
  </si>
  <si>
    <t>Valor empresarial
USD 2020</t>
  </si>
  <si>
    <t>Número de empleados
2024</t>
  </si>
  <si>
    <t>Número de empleados
2023</t>
  </si>
  <si>
    <t>Número de empleados
2022</t>
  </si>
  <si>
    <t>Número de empleados
2021</t>
  </si>
  <si>
    <t>Número de empleados
2020</t>
  </si>
  <si>
    <t>Total Activo Circulante
USD 2024</t>
  </si>
  <si>
    <t>Total Activo Circulante
USD 2023</t>
  </si>
  <si>
    <t>Total Activo Circulante
USD 2022</t>
  </si>
  <si>
    <t>Total Activo Circulante
USD 2021</t>
  </si>
  <si>
    <t>Total Activo Circulante
USD 2020</t>
  </si>
  <si>
    <t>Inventario neto declarado
USD 2024</t>
  </si>
  <si>
    <t>Inventario neto declarado
USD 2023</t>
  </si>
  <si>
    <t>Inventario neto declarado
USD 2022</t>
  </si>
  <si>
    <t>Inventario neto declarado
USD 2021</t>
  </si>
  <si>
    <t>Inventario neto declarado
USD 2020</t>
  </si>
  <si>
    <t>Materias Primas
USD 2024</t>
  </si>
  <si>
    <t>Materias Primas
USD 2023</t>
  </si>
  <si>
    <t>Materias Primas
USD 2022</t>
  </si>
  <si>
    <t>Materias Primas
USD 2021</t>
  </si>
  <si>
    <t>Materias Primas
USD 2020</t>
  </si>
  <si>
    <t>Trabajo en Progreso
USD 2024</t>
  </si>
  <si>
    <t>Trabajo en Progreso
USD 2023</t>
  </si>
  <si>
    <t>Trabajo en Progreso
USD 2022</t>
  </si>
  <si>
    <t>Trabajo en Progreso
USD 2021</t>
  </si>
  <si>
    <t>Trabajo en Progreso
USD 2020</t>
  </si>
  <si>
    <t>Productos Terminados
USD 2024</t>
  </si>
  <si>
    <t>Productos Terminados
USD 2023</t>
  </si>
  <si>
    <t>Productos Terminados
USD 2022</t>
  </si>
  <si>
    <t>Productos Terminados
USD 2021</t>
  </si>
  <si>
    <t>Productos Terminados
USD 2020</t>
  </si>
  <si>
    <t>Inventario de Reservas
USD 2024</t>
  </si>
  <si>
    <t>Inventario de Reservas
USD 2023</t>
  </si>
  <si>
    <t>Inventario de Reservas
USD 2022</t>
  </si>
  <si>
    <t>Inventario de Reservas
USD 2021</t>
  </si>
  <si>
    <t>Inventario de Reservas
USD 2020</t>
  </si>
  <si>
    <t>Cuentas por cobrar netas
USD 2024</t>
  </si>
  <si>
    <t>Cuentas por cobrar netas
USD 2023</t>
  </si>
  <si>
    <t>Cuentas por cobrar netas
USD 2022</t>
  </si>
  <si>
    <t>Cuentas por cobrar netas
USD 2021</t>
  </si>
  <si>
    <t>Cuentas por cobrar netas
USD 2020</t>
  </si>
  <si>
    <t>Cuentas por cobrar
USD 2024</t>
  </si>
  <si>
    <t>Cuentas por cobrar
USD 2023</t>
  </si>
  <si>
    <t>Cuentas por cobrar
USD 2022</t>
  </si>
  <si>
    <t>Cuentas por cobrar
USD 2021</t>
  </si>
  <si>
    <t>Cuentas por cobrar
USD 2020</t>
  </si>
  <si>
    <t>Cuentas Dudosas
USD 2024</t>
  </si>
  <si>
    <t>Cuentas Dudosas
USD 2023</t>
  </si>
  <si>
    <t>Cuentas Dudosas
USD 2022</t>
  </si>
  <si>
    <t>Cuentas Dudosas
USD 2021</t>
  </si>
  <si>
    <t>Cuentas Dudosas
USD 2020</t>
  </si>
  <si>
    <t>Otros
USD 2024</t>
  </si>
  <si>
    <t>Otros
USD 2023</t>
  </si>
  <si>
    <t>Otros
USD 2022</t>
  </si>
  <si>
    <t>Otros
USD 2021</t>
  </si>
  <si>
    <t>Otros
USD 2020</t>
  </si>
  <si>
    <t>Otros activos corrientes
USD 2024.1</t>
  </si>
  <si>
    <t>Otros activos corrientes
USD 2023.1</t>
  </si>
  <si>
    <t>Otros activos corrientes
USD 2022.1</t>
  </si>
  <si>
    <t>Otros activos corrientes
USD 2021.1</t>
  </si>
  <si>
    <t>Otros activos corrientes
USD 2020.1</t>
  </si>
  <si>
    <t>Gastos pagados por anticipado y Adelantos
USD 2024</t>
  </si>
  <si>
    <t>Gastos pagados por anticipado y Adelantos
USD 2023</t>
  </si>
  <si>
    <t>Gastos pagados por anticipado y Adelantos
USD 2022</t>
  </si>
  <si>
    <t>Gastos pagados por anticipado y Adelantos
USD 2021</t>
  </si>
  <si>
    <t>Gastos pagados por anticipado y Adelantos
USD 2020</t>
  </si>
  <si>
    <t>Cargos diferidos
USD 2024</t>
  </si>
  <si>
    <t>Cargos diferidos
USD 2023</t>
  </si>
  <si>
    <t>Cargos diferidos
USD 2022</t>
  </si>
  <si>
    <t>Cargos diferidos
USD 2021</t>
  </si>
  <si>
    <t>Cargos diferidos
USD 2020</t>
  </si>
  <si>
    <t>Total de efectivo e inversiones a corto plazo
USD 2024</t>
  </si>
  <si>
    <t>Total de efectivo e inversiones a corto plazo
USD 2023</t>
  </si>
  <si>
    <t>Total de efectivo e inversiones a corto plazo
USD 2022</t>
  </si>
  <si>
    <t>Total de efectivo e inversiones a corto plazo
USD 2021</t>
  </si>
  <si>
    <t>Total de efectivo e inversiones a corto plazo
USD 2020</t>
  </si>
  <si>
    <t>Dinero en efectivo o equivalentes
USD 2024</t>
  </si>
  <si>
    <t>Dinero en efectivo o equivalentes
USD 2023</t>
  </si>
  <si>
    <t>Dinero en efectivo o equivalentes
USD 2022</t>
  </si>
  <si>
    <t>Dinero en efectivo o equivalentes
USD 2021</t>
  </si>
  <si>
    <t>Dinero en efectivo o equivalentes
USD 2020</t>
  </si>
  <si>
    <t>Inversiones a Corto Plazo
USD 2024</t>
  </si>
  <si>
    <t>Inversiones a Corto Plazo
USD 2023</t>
  </si>
  <si>
    <t>Inversiones a Corto Plazo
USD 2022</t>
  </si>
  <si>
    <t>Inversiones a Corto Plazo
USD 2021</t>
  </si>
  <si>
    <t>Inversiones a Corto Plazo
USD 2020</t>
  </si>
  <si>
    <t>Activos fijos
USD 2024.1</t>
  </si>
  <si>
    <t>Activos fijos
USD 2023.1</t>
  </si>
  <si>
    <t>Activos fijos
USD 2022.1</t>
  </si>
  <si>
    <t>Activos fijos
USD 2021.1</t>
  </si>
  <si>
    <t>Activos fijos
USD 2020.1</t>
  </si>
  <si>
    <t>Net Property, Plant &amp; Equipment
USD 2024</t>
  </si>
  <si>
    <t>Net Property, Plant &amp; Equipment
USD 2023</t>
  </si>
  <si>
    <t>Net Property, Plant &amp; Equipment
USD 2022</t>
  </si>
  <si>
    <t>Net Property, Plant &amp; Equipment
USD 2021</t>
  </si>
  <si>
    <t>Net Property, Plant &amp; Equipment
USD 2020</t>
  </si>
  <si>
    <t>Tierra
USD 2024</t>
  </si>
  <si>
    <t>Tierra
USD 2023</t>
  </si>
  <si>
    <t>Tierra
USD 2022</t>
  </si>
  <si>
    <t>Tierra
USD 2021</t>
  </si>
  <si>
    <t>Tierra
USD 2020</t>
  </si>
  <si>
    <t>Depreciación total de tierras
USD 2024</t>
  </si>
  <si>
    <t>Depreciación total de tierras
USD 2023</t>
  </si>
  <si>
    <t>Depreciación total de tierras
USD 2022</t>
  </si>
  <si>
    <t>Depreciación total de tierras
USD 2021</t>
  </si>
  <si>
    <t>Depreciación total de tierras
USD 2020</t>
  </si>
  <si>
    <t>Tierra neta declarada
USD 2024</t>
  </si>
  <si>
    <t>Tierra neta declarada
USD 2023</t>
  </si>
  <si>
    <t>Tierra neta declarada
USD 2022</t>
  </si>
  <si>
    <t>Tierra neta declarada
USD 2021</t>
  </si>
  <si>
    <t>Tierra neta declarada
USD 2020</t>
  </si>
  <si>
    <t>Edificios
USD 2024</t>
  </si>
  <si>
    <t>Edificios
USD 2023</t>
  </si>
  <si>
    <t>Edificios
USD 2022</t>
  </si>
  <si>
    <t>Edificios
USD 2021</t>
  </si>
  <si>
    <t>Edificios
USD 2020</t>
  </si>
  <si>
    <t>Depreciación Total Edificios 
USD 2024</t>
  </si>
  <si>
    <t>Depreciación Total Edificios 
USD 2023</t>
  </si>
  <si>
    <t>Depreciación Total Edificios 
USD 2022</t>
  </si>
  <si>
    <t>Depreciación Total Edificios 
USD 2021</t>
  </si>
  <si>
    <t>Depreciación Total Edificios 
USD 2020</t>
  </si>
  <si>
    <t>Edificios Netos
USD 2024</t>
  </si>
  <si>
    <t>Edificios Netos
USD 2023</t>
  </si>
  <si>
    <t>Edificios Netos
USD 2022</t>
  </si>
  <si>
    <t>Edificios Netos
USD 2021</t>
  </si>
  <si>
    <t>Edificios Netos
USD 2020</t>
  </si>
  <si>
    <t>Instalaciones técnicas y maquinaria
USD 2024</t>
  </si>
  <si>
    <t>Instalaciones técnicas y maquinaria
USD 2023</t>
  </si>
  <si>
    <t>Instalaciones técnicas y maquinaria
USD 2022</t>
  </si>
  <si>
    <t>Instalaciones técnicas y maquinaria
USD 2021</t>
  </si>
  <si>
    <t>Instalaciones técnicas y maquinaria
USD 2020</t>
  </si>
  <si>
    <t>Instalaciones técnicas y maquinaria Depreciación
USD 2024</t>
  </si>
  <si>
    <t>Instalaciones técnicas y maquinaria Depreciación
USD 2023</t>
  </si>
  <si>
    <t>Instalaciones técnicas y maquinaria Depreciación
USD 2022</t>
  </si>
  <si>
    <t>Instalaciones técnicas y maquinaria Depreciación
USD 2021</t>
  </si>
  <si>
    <t>Instalaciones técnicas y maquinaria Depreciación
USD 2020</t>
  </si>
  <si>
    <t>Planta neta declarada y Maquinaria
USD 2024</t>
  </si>
  <si>
    <t>Planta neta declarada y Maquinaria
USD 2023</t>
  </si>
  <si>
    <t>Planta neta declarada y Maquinaria
USD 2022</t>
  </si>
  <si>
    <t>Planta neta declarada y Maquinaria
USD 2021</t>
  </si>
  <si>
    <t>Planta neta declarada y Maquinaria
USD 2020</t>
  </si>
  <si>
    <t>Equipos de transporte
USD 2024</t>
  </si>
  <si>
    <t>Equipos de transporte
USD 2023</t>
  </si>
  <si>
    <t>Equipos de transporte
USD 2022</t>
  </si>
  <si>
    <t>Equipos de transporte
USD 2021</t>
  </si>
  <si>
    <t>Equipos de transporte
USD 2020</t>
  </si>
  <si>
    <t>Depreciación equipos de transporte
USD 2024</t>
  </si>
  <si>
    <t>Depreciación equipos de transporte
USD 2023</t>
  </si>
  <si>
    <t>Depreciación equipos de transporte
USD 2022</t>
  </si>
  <si>
    <t>Depreciación equipos de transporte
USD 2021</t>
  </si>
  <si>
    <t>Depreciación equipos de transporte
USD 2020</t>
  </si>
  <si>
    <t>Equipo de Transporte Neto
USD 2024</t>
  </si>
  <si>
    <t>Equipo de Transporte Neto
USD 2023</t>
  </si>
  <si>
    <t>Equipo de Transporte Neto
USD 2022</t>
  </si>
  <si>
    <t>Equipo de Transporte Neto
USD 2021</t>
  </si>
  <si>
    <t>Equipo de Transporte Neto
USD 2020</t>
  </si>
  <si>
    <t>Activos arrendados
USD 2024</t>
  </si>
  <si>
    <t>Activos arrendados
USD 2023</t>
  </si>
  <si>
    <t>Activos arrendados
USD 2022</t>
  </si>
  <si>
    <t>Activos arrendados
USD 2021</t>
  </si>
  <si>
    <t>Activos arrendados
USD 2020</t>
  </si>
  <si>
    <t>Depreciación de activos arrendados
USD 2024</t>
  </si>
  <si>
    <t>Depreciación de activos arrendados
USD 2023</t>
  </si>
  <si>
    <t>Depreciación de activos arrendados
USD 2022</t>
  </si>
  <si>
    <t>Depreciación de activos arrendados
USD 2021</t>
  </si>
  <si>
    <t>Depreciación de activos arrendados
USD 2020</t>
  </si>
  <si>
    <t>Activos Netos arrendados
USD 2024</t>
  </si>
  <si>
    <t>Activos Netos arrendados
USD 2023</t>
  </si>
  <si>
    <t>Activos Netos arrendados
USD 2022</t>
  </si>
  <si>
    <t>Activos Netos arrendados
USD 2021</t>
  </si>
  <si>
    <t>Activos Netos arrendados
USD 2020</t>
  </si>
  <si>
    <t>Otras Propiedades, Planta y Equipo
USD 2024</t>
  </si>
  <si>
    <t>Otras Propiedades, Planta y Equipo
USD 2023</t>
  </si>
  <si>
    <t>Otras Propiedades, Planta y Equipo
USD 2022</t>
  </si>
  <si>
    <t>Otras Propiedades, Planta y Equipo
USD 2021</t>
  </si>
  <si>
    <t>Otras Propiedades, Planta y Equipo
USD 2020</t>
  </si>
  <si>
    <t>Otras Propiedades, Planta y Equipo. Amortización.
USD 2024</t>
  </si>
  <si>
    <t>Otras Propiedades, Planta y Equipo. Amortización.
USD 2023</t>
  </si>
  <si>
    <t>Otras Propiedades, Planta y Equipo. Amortización.
USD 2022</t>
  </si>
  <si>
    <t>Otras Propiedades, Planta y Equipo. Amortización.
USD 2021</t>
  </si>
  <si>
    <t>Otras Propiedades, Planta y Equipo. Amortización.
USD 2020</t>
  </si>
  <si>
    <t>Otras propiedades de plantas y equipos netos
USD 2024</t>
  </si>
  <si>
    <t>Otras propiedades de plantas y equipos netos
USD 2023</t>
  </si>
  <si>
    <t>Otras propiedades de plantas y equipos netos
USD 2022</t>
  </si>
  <si>
    <t>Otras propiedades de plantas y equipos netos
USD 2021</t>
  </si>
  <si>
    <t>Otras propiedades de plantas y equipos netos
USD 2020</t>
  </si>
  <si>
    <t>Amortización acumulada., n.e.s.
USD 2024</t>
  </si>
  <si>
    <t>Amortización acumulada., n.e.s.
USD 2023</t>
  </si>
  <si>
    <t>Amortización acumulada., n.e.s.
USD 2022</t>
  </si>
  <si>
    <t>Amortización acumulada., n.e.s.
USD 2021</t>
  </si>
  <si>
    <t>Amortización acumulada., n.e.s.
USD 2020</t>
  </si>
  <si>
    <t>Intangibles
USD 2024</t>
  </si>
  <si>
    <t>Intangibles
USD 2023</t>
  </si>
  <si>
    <t>Intangibles
USD 2022</t>
  </si>
  <si>
    <t>Intangibles
USD 2021</t>
  </si>
  <si>
    <t>Intangibles
USD 2020</t>
  </si>
  <si>
    <t>Buena voluntad
USD 2024</t>
  </si>
  <si>
    <t>Buena voluntad
USD 2023</t>
  </si>
  <si>
    <t>Buena voluntad
USD 2022</t>
  </si>
  <si>
    <t>Buena voluntad
USD 2021</t>
  </si>
  <si>
    <t>Buena voluntad
USD 2020</t>
  </si>
  <si>
    <t>Otros intangibles
USD 2024</t>
  </si>
  <si>
    <t>Otros intangibles
USD 2023</t>
  </si>
  <si>
    <t>Otros intangibles
USD 2022</t>
  </si>
  <si>
    <t>Otros intangibles
USD 2021</t>
  </si>
  <si>
    <t>Otros intangibles
USD 2020</t>
  </si>
  <si>
    <t>Otros activos fijos
USD 2024.2</t>
  </si>
  <si>
    <t>Otros activos fijos
USD 2023.2</t>
  </si>
  <si>
    <t>Otros activos fijos
USD 2022.2</t>
  </si>
  <si>
    <t>Otros activos fijos
USD 2021.2</t>
  </si>
  <si>
    <t>Otros activos fijos
USD 2020.2</t>
  </si>
  <si>
    <t>Exploración
USD 2024</t>
  </si>
  <si>
    <t>Exploración
USD 2023</t>
  </si>
  <si>
    <t>Exploración
USD 2022</t>
  </si>
  <si>
    <t>Exploración
USD 2021</t>
  </si>
  <si>
    <t>Exploración
USD 2020</t>
  </si>
  <si>
    <t>Crédito a largo plazo
USD 2024</t>
  </si>
  <si>
    <t>Crédito a largo plazo
USD 2023</t>
  </si>
  <si>
    <t>Crédito a largo plazo
USD 2022</t>
  </si>
  <si>
    <t>Crédito a largo plazo
USD 2021</t>
  </si>
  <si>
    <t>Crédito a largo plazo
USD 2020</t>
  </si>
  <si>
    <t>Inversiones
USD 2024</t>
  </si>
  <si>
    <t>Inversiones
USD 2023</t>
  </si>
  <si>
    <t>Inversiones
USD 2022</t>
  </si>
  <si>
    <t>Inversiones
USD 2021</t>
  </si>
  <si>
    <t>Inversiones
USD 2020</t>
  </si>
  <si>
    <t>Empresas asociadas a largo plazo
USD 2024</t>
  </si>
  <si>
    <t>Empresas asociadas a largo plazo
USD 2023</t>
  </si>
  <si>
    <t>Empresas asociadas a largo plazo
USD 2022</t>
  </si>
  <si>
    <t>Empresas asociadas a largo plazo
USD 2021</t>
  </si>
  <si>
    <t>Empresas asociadas a largo plazo
USD 2020</t>
  </si>
  <si>
    <t>Propiedades de inversión
USD 2024</t>
  </si>
  <si>
    <t>Propiedades de inversión
USD 2023</t>
  </si>
  <si>
    <t>Propiedades de inversión
USD 2022</t>
  </si>
  <si>
    <t>Propiedades de inversión
USD 2021</t>
  </si>
  <si>
    <t>Propiedades de inversión
USD 2020</t>
  </si>
  <si>
    <t>Otros activos a largo plazo
USD 2024</t>
  </si>
  <si>
    <t>Otros activos a largo plazo
USD 2023</t>
  </si>
  <si>
    <t>Otros activos a largo plazo
USD 2022</t>
  </si>
  <si>
    <t>Otros activos a largo plazo
USD 2021</t>
  </si>
  <si>
    <t>Otros activos a largo plazo
USD 2020</t>
  </si>
  <si>
    <t>Activos totales
USD 2024.1</t>
  </si>
  <si>
    <t>Activos totales
USD 2023.1</t>
  </si>
  <si>
    <t>Activos totales
USD 2022.1</t>
  </si>
  <si>
    <t>Activos totales
USD 2021.1</t>
  </si>
  <si>
    <t>Activos totales
USD 2020.1</t>
  </si>
  <si>
    <t>Total pasivos corrientes
USD 2024</t>
  </si>
  <si>
    <t>Total pasivos corrientes
USD 2023</t>
  </si>
  <si>
    <t>Total pasivos corrientes
USD 2022</t>
  </si>
  <si>
    <t>Total pasivos corrientes
USD 2021</t>
  </si>
  <si>
    <t>Total pasivos corrientes
USD 2020</t>
  </si>
  <si>
    <t>Préstamos
USD 2024.1</t>
  </si>
  <si>
    <t>Préstamos
USD 2023.1</t>
  </si>
  <si>
    <t>Préstamos
USD 2022.1</t>
  </si>
  <si>
    <t>Préstamos
USD 2021.1</t>
  </si>
  <si>
    <t>Préstamos
USD 2020.1</t>
  </si>
  <si>
    <t>Deuda a Largo Plazo actuales
USD 2024</t>
  </si>
  <si>
    <t>Deuda a Largo Plazo actuales
USD 2023</t>
  </si>
  <si>
    <t>Deuda a Largo Plazo actuales
USD 2022</t>
  </si>
  <si>
    <t>Deuda a Largo Plazo actuales
USD 2021</t>
  </si>
  <si>
    <t>Deuda a Largo Plazo actuales
USD 2020</t>
  </si>
  <si>
    <t>Préstamos &amp; descubiertos bancarios actuales
USD 2024</t>
  </si>
  <si>
    <t>Préstamos &amp; descubiertos bancarios actuales
USD 2023</t>
  </si>
  <si>
    <t>Préstamos &amp; descubiertos bancarios actuales
USD 2022</t>
  </si>
  <si>
    <t>Préstamos &amp; descubiertos bancarios actuales
USD 2021</t>
  </si>
  <si>
    <t>Préstamos &amp; descubiertos bancarios actuales
USD 2020</t>
  </si>
  <si>
    <t>Acreedores comerciales
USD 2024</t>
  </si>
  <si>
    <t>Acreedores comerciales
USD 2023</t>
  </si>
  <si>
    <t>Acreedores comerciales
USD 2022</t>
  </si>
  <si>
    <t>Acreedores comerciales
USD 2021</t>
  </si>
  <si>
    <t>Acreedores comerciales
USD 2020</t>
  </si>
  <si>
    <t>Otro
USD 2024</t>
  </si>
  <si>
    <t>Otro
USD 2023</t>
  </si>
  <si>
    <t>Otro
USD 2022</t>
  </si>
  <si>
    <t>Otro
USD 2021</t>
  </si>
  <si>
    <t>Otro
USD 2020</t>
  </si>
  <si>
    <t>Otras deudas a corto plazo
USD 2024</t>
  </si>
  <si>
    <t>Otras deudas a corto plazo
USD 2023</t>
  </si>
  <si>
    <t>Otras deudas a corto plazo
USD 2022</t>
  </si>
  <si>
    <t>Otras deudas a corto plazo
USD 2021</t>
  </si>
  <si>
    <t>Otras deudas a corto plazo
USD 2020</t>
  </si>
  <si>
    <t>Otros acreedores
USD 2024</t>
  </si>
  <si>
    <t>Otros acreedores
USD 2023</t>
  </si>
  <si>
    <t>Otros acreedores
USD 2022</t>
  </si>
  <si>
    <t>Otros acreedores
USD 2021</t>
  </si>
  <si>
    <t>Otros acreedores
USD 2020</t>
  </si>
  <si>
    <t>Impuestos por pagar
USD 2024</t>
  </si>
  <si>
    <t>Impuestos por pagar
USD 2023</t>
  </si>
  <si>
    <t>Impuestos por pagar
USD 2022</t>
  </si>
  <si>
    <t>Impuestos por pagar
USD 2021</t>
  </si>
  <si>
    <t>Impuestos por pagar
USD 2020</t>
  </si>
  <si>
    <t>Gastos Sociales a cargo 
USD 2024</t>
  </si>
  <si>
    <t>Gastos Sociales a cargo 
USD 2023</t>
  </si>
  <si>
    <t>Gastos Sociales a cargo 
USD 2022</t>
  </si>
  <si>
    <t>Gastos Sociales a cargo 
USD 2021</t>
  </si>
  <si>
    <t>Gastos Sociales a cargo 
USD 2020</t>
  </si>
  <si>
    <t>Dividendos por Pagar
USD 2024</t>
  </si>
  <si>
    <t>Dividendos por Pagar
USD 2023</t>
  </si>
  <si>
    <t>Dividendos por Pagar
USD 2022</t>
  </si>
  <si>
    <t>Dividendos por Pagar
USD 2021</t>
  </si>
  <si>
    <t>Dividendos por Pagar
USD 2020</t>
  </si>
  <si>
    <t>Otros pasivos circulantes
USD 2024.1</t>
  </si>
  <si>
    <t>Otros pasivos circulantes
USD 2023.1</t>
  </si>
  <si>
    <t>Otros pasivos circulantes
USD 2022.1</t>
  </si>
  <si>
    <t>Otros pasivos circulantes
USD 2021.1</t>
  </si>
  <si>
    <t>Otros pasivos circulantes
USD 2020.1</t>
  </si>
  <si>
    <t>No hay Pasivo Corriente 
USD 2024</t>
  </si>
  <si>
    <t>No hay Pasivo Corriente 
USD 2023</t>
  </si>
  <si>
    <t>No hay Pasivo Corriente 
USD 2022</t>
  </si>
  <si>
    <t>No hay Pasivo Corriente 
USD 2021</t>
  </si>
  <si>
    <t>No hay Pasivo Corriente 
USD 2020</t>
  </si>
  <si>
    <t>Total Interés Deuda LP
USD 2024</t>
  </si>
  <si>
    <t>Total Interés Deuda LP
USD 2023</t>
  </si>
  <si>
    <t>Total Interés Deuda LP
USD 2022</t>
  </si>
  <si>
    <t>Total Interés Deuda LP
USD 2021</t>
  </si>
  <si>
    <t>Total Interés Deuda LP
USD 2020</t>
  </si>
  <si>
    <t>Préstamos Bancarios
USD 2024</t>
  </si>
  <si>
    <t>Préstamos Bancarios
USD 2023</t>
  </si>
  <si>
    <t>Préstamos Bancarios
USD 2022</t>
  </si>
  <si>
    <t>Préstamos Bancarios
USD 2021</t>
  </si>
  <si>
    <t>Préstamos Bancarios
USD 2020</t>
  </si>
  <si>
    <t>Emisión de obligaciones convertibles y deuda
USD 2024</t>
  </si>
  <si>
    <t>Emisión de obligaciones convertibles y deuda
USD 2023</t>
  </si>
  <si>
    <t>Emisión de obligaciones convertibles y deuda
USD 2022</t>
  </si>
  <si>
    <t>Emisión de obligaciones convertibles y deuda
USD 2021</t>
  </si>
  <si>
    <t>Emisión de obligaciones convertibles y deuda
USD 2020</t>
  </si>
  <si>
    <t>Pasivos de arrendamiento 
USD 2024</t>
  </si>
  <si>
    <t>Pasivos de arrendamiento 
USD 2023</t>
  </si>
  <si>
    <t>Pasivos de arrendamiento 
USD 2022</t>
  </si>
  <si>
    <t>Pasivos de arrendamiento 
USD 2021</t>
  </si>
  <si>
    <t>Pasivos de arrendamiento 
USD 2020</t>
  </si>
  <si>
    <t>Otras deudas con interés a largo plazo
USD 2024</t>
  </si>
  <si>
    <t>Otras deudas con interés a largo plazo
USD 2023</t>
  </si>
  <si>
    <t>Otras deudas con interés a largo plazo
USD 2022</t>
  </si>
  <si>
    <t>Otras deudas con interés a largo plazo
USD 2021</t>
  </si>
  <si>
    <t>Otras deudas con interés a largo plazo
USD 2020</t>
  </si>
  <si>
    <t>Otros pasivos no corrientes
USD 2024.1</t>
  </si>
  <si>
    <t>Otros pasivos no corrientes
USD 2023.1</t>
  </si>
  <si>
    <t>Otros pasivos no corrientes
USD 2022.1</t>
  </si>
  <si>
    <t>Otros pasivos no corrientes
USD 2021.1</t>
  </si>
  <si>
    <t>Otros pasivos no corrientes
USD 2020.1</t>
  </si>
  <si>
    <t>Disposición Fondo de Pensiones
USD 2024</t>
  </si>
  <si>
    <t>Disposición Fondo de Pensiones
USD 2023</t>
  </si>
  <si>
    <t>Disposición Fondo de Pensiones
USD 2022</t>
  </si>
  <si>
    <t>Disposición Fondo de Pensiones
USD 2021</t>
  </si>
  <si>
    <t>Disposición Fondo de Pensiones
USD 2020</t>
  </si>
  <si>
    <t>Impuestos Diferidos
USD 2024</t>
  </si>
  <si>
    <t>Impuestos Diferidos
USD 2023</t>
  </si>
  <si>
    <t>Impuestos Diferidos
USD 2022</t>
  </si>
  <si>
    <t>Impuestos Diferidos
USD 2021</t>
  </si>
  <si>
    <t>Impuestos Diferidos
USD 2020</t>
  </si>
  <si>
    <t>Provisiones
USD 2024.1</t>
  </si>
  <si>
    <t>Provisiones
USD 2023.1</t>
  </si>
  <si>
    <t>Provisiones
USD 2022.1</t>
  </si>
  <si>
    <t>Provisiones
USD 2021.1</t>
  </si>
  <si>
    <t>Provisiones
USD 2020.1</t>
  </si>
  <si>
    <t>Ingresos diferidos
USD 2024</t>
  </si>
  <si>
    <t>Ingresos diferidos
USD 2023</t>
  </si>
  <si>
    <t>Ingresos diferidos
USD 2022</t>
  </si>
  <si>
    <t>Ingresos diferidos
USD 2021</t>
  </si>
  <si>
    <t>Ingresos diferidos
USD 2020</t>
  </si>
  <si>
    <t>Otras deudas a LP sin devengo de intereses
USD 2024</t>
  </si>
  <si>
    <t>Otras deudas a LP sin devengo de intereses
USD 2023</t>
  </si>
  <si>
    <t>Otras deudas a LP sin devengo de intereses
USD 2022</t>
  </si>
  <si>
    <t>Otras deudas a LP sin devengo de intereses
USD 2021</t>
  </si>
  <si>
    <t>Otras deudas a LP sin devengo de intereses
USD 2020</t>
  </si>
  <si>
    <t>Interés Minoritario
USD 2024</t>
  </si>
  <si>
    <t>Interés Minoritario
USD 2023</t>
  </si>
  <si>
    <t>Interés Minoritario
USD 2022</t>
  </si>
  <si>
    <t>Interés Minoritario
USD 2021</t>
  </si>
  <si>
    <t>Interés Minoritario
USD 2020</t>
  </si>
  <si>
    <t>Total pasivo y deuda
USD 2024</t>
  </si>
  <si>
    <t>Total pasivo y deuda
USD 2023</t>
  </si>
  <si>
    <t>Total pasivo y deuda
USD 2022</t>
  </si>
  <si>
    <t>Total pasivo y deuda
USD 2021</t>
  </si>
  <si>
    <t>Total pasivo y deuda
USD 2020</t>
  </si>
  <si>
    <t>Patrimonio neto total
USD 2024</t>
  </si>
  <si>
    <t>Patrimonio neto total
USD 2023</t>
  </si>
  <si>
    <t>Patrimonio neto total
USD 2022</t>
  </si>
  <si>
    <t>Patrimonio neto total
USD 2021</t>
  </si>
  <si>
    <t>Patrimonio neto total
USD 2020</t>
  </si>
  <si>
    <t>Capital Social
USD 2024</t>
  </si>
  <si>
    <t>Capital Social
USD 2023</t>
  </si>
  <si>
    <t>Capital Social
USD 2022</t>
  </si>
  <si>
    <t>Capital Social
USD 2021</t>
  </si>
  <si>
    <t>Capital Social
USD 2020</t>
  </si>
  <si>
    <t>Acciones Comunes / Acciones
USD 2024</t>
  </si>
  <si>
    <t>Acciones Comunes / Acciones
USD 2023</t>
  </si>
  <si>
    <t>Acciones Comunes / Acciones
USD 2022</t>
  </si>
  <si>
    <t>Acciones Comunes / Acciones
USD 2021</t>
  </si>
  <si>
    <t>Acciones Comunes / Acciones
USD 2020</t>
  </si>
  <si>
    <t>Cuotas de participación
USD 2024</t>
  </si>
  <si>
    <t>Cuotas de participación
USD 2023</t>
  </si>
  <si>
    <t>Cuotas de participación
USD 2022</t>
  </si>
  <si>
    <t>Cuotas de participación
USD 2021</t>
  </si>
  <si>
    <t>Cuotas de participación
USD 2020</t>
  </si>
  <si>
    <t>Acciones Preferidas
USD 2024</t>
  </si>
  <si>
    <t>Acciones Preferidas
USD 2023</t>
  </si>
  <si>
    <t>Acciones Preferidas
USD 2022</t>
  </si>
  <si>
    <t>Acciones Preferidas
USD 2021</t>
  </si>
  <si>
    <t>Acciones Preferidas
USD 2020</t>
  </si>
  <si>
    <t>Acciones Preferidas Redimibles 
USD 2024</t>
  </si>
  <si>
    <t>Acciones Preferidas Redimibles 
USD 2023</t>
  </si>
  <si>
    <t>Acciones Preferidas Redimibles 
USD 2022</t>
  </si>
  <si>
    <t>Acciones Preferidas Redimibles 
USD 2021</t>
  </si>
  <si>
    <t>Acciones Preferidas Redimibles 
USD 2020</t>
  </si>
  <si>
    <t>Otro
USD 2024.1</t>
  </si>
  <si>
    <t>Otro
USD 2023.1</t>
  </si>
  <si>
    <t>Otro
USD 2022.1</t>
  </si>
  <si>
    <t>Otro
USD 2021.1</t>
  </si>
  <si>
    <t>Otro
USD 2020.1</t>
  </si>
  <si>
    <t>Primas de acciones
USD 2024</t>
  </si>
  <si>
    <t>Primas de acciones
USD 2023</t>
  </si>
  <si>
    <t>Primas de acciones
USD 2022</t>
  </si>
  <si>
    <t>Primas de acciones
USD 2021</t>
  </si>
  <si>
    <t>Primas de acciones
USD 2020</t>
  </si>
  <si>
    <t>Acciones en Tesorería
USD 2024</t>
  </si>
  <si>
    <t>Acciones en Tesorería
USD 2023</t>
  </si>
  <si>
    <t>Acciones en Tesorería
USD 2022</t>
  </si>
  <si>
    <t>Acciones en Tesorería
USD 2021</t>
  </si>
  <si>
    <t>Acciones en Tesorería
USD 2020</t>
  </si>
  <si>
    <t>Reservas de revalorización
USD 2024</t>
  </si>
  <si>
    <t>Reservas de revalorización
USD 2023</t>
  </si>
  <si>
    <t>Reservas de revalorización
USD 2022</t>
  </si>
  <si>
    <t>Reservas de revalorización
USD 2021</t>
  </si>
  <si>
    <t>Reservas de revalorización
USD 2020</t>
  </si>
  <si>
    <t>Utilidades Retenidas
USD 2024</t>
  </si>
  <si>
    <t>Utilidades Retenidas
USD 2023</t>
  </si>
  <si>
    <t>Utilidades Retenidas
USD 2022</t>
  </si>
  <si>
    <t>Utilidades Retenidas
USD 2021</t>
  </si>
  <si>
    <t>Utilidades Retenidas
USD 2020</t>
  </si>
  <si>
    <t>Otros reservas de Accionistas 
USD 2024</t>
  </si>
  <si>
    <t>Otros reservas de Accionistas 
USD 2023</t>
  </si>
  <si>
    <t>Otros reservas de Accionistas 
USD 2022</t>
  </si>
  <si>
    <t>Otros reservas de Accionistas 
USD 2021</t>
  </si>
  <si>
    <t>Otros reservas de Accionistas 
USD 2020</t>
  </si>
  <si>
    <t>Total Pasivo y Capital
USD 2024</t>
  </si>
  <si>
    <t>Total Pasivo y Capital
USD 2023</t>
  </si>
  <si>
    <t>Total Pasivo y Capital
USD 2022</t>
  </si>
  <si>
    <t>Total Pasivo y Capital
USD 2021</t>
  </si>
  <si>
    <t>Total Pasivo y Capital
USD 2020</t>
  </si>
  <si>
    <t>Activos Netos
USD 2024</t>
  </si>
  <si>
    <t>Activos Netos
USD 2023</t>
  </si>
  <si>
    <t>Activos Netos
USD 2022</t>
  </si>
  <si>
    <t>Activos Netos
USD 2021</t>
  </si>
  <si>
    <t>Activos Netos
USD 2020</t>
  </si>
  <si>
    <t>Deuda Neta
USD 2024</t>
  </si>
  <si>
    <t>Deuda Neta
USD 2023</t>
  </si>
  <si>
    <t>Deuda Neta
USD 2022</t>
  </si>
  <si>
    <t>Deuda Neta
USD 2021</t>
  </si>
  <si>
    <t>Deuda Neta
USD 2020</t>
  </si>
  <si>
    <t>Valor empresarial
USD 2024.1</t>
  </si>
  <si>
    <t>Valor empresarial
USD 2023.1</t>
  </si>
  <si>
    <t>Valor empresarial
USD 2022.1</t>
  </si>
  <si>
    <t>Valor empresarial
USD 2021.1</t>
  </si>
  <si>
    <t>Valor empresarial
USD 2020.1</t>
  </si>
  <si>
    <t>Número de empleados
2024.1</t>
  </si>
  <si>
    <t>Número de empleados
2023.1</t>
  </si>
  <si>
    <t>Número de empleados
2022.1</t>
  </si>
  <si>
    <t>Número de empleados
2021.1</t>
  </si>
  <si>
    <t>Número de empleados
2020.1</t>
  </si>
  <si>
    <t>ROE - base: result. antes impuestos
2024</t>
  </si>
  <si>
    <t>ROE - base: result. antes impuestos
2023</t>
  </si>
  <si>
    <t>ROE - base: result. antes impuestos
2022</t>
  </si>
  <si>
    <t>ROE - base: result. antes impuestos
2021</t>
  </si>
  <si>
    <t>ROE - base: result. antes impuestos
2020</t>
  </si>
  <si>
    <t>ROCE - base: result. antes impuestos
2024</t>
  </si>
  <si>
    <t>ROCE - base: result. antes impuestos
2023</t>
  </si>
  <si>
    <t>ROCE - base: result. antes impuestos
2022</t>
  </si>
  <si>
    <t>ROCE - base: result. antes impuestos
2021</t>
  </si>
  <si>
    <t>ROCE - base: result. antes impuestos
2020</t>
  </si>
  <si>
    <t>ROA utilizando resultados antes de impuestos
2024</t>
  </si>
  <si>
    <t>ROA utilizando resultados antes de impuestos
2023</t>
  </si>
  <si>
    <t>ROA utilizando resultados antes de impuestos
2022</t>
  </si>
  <si>
    <t>ROA utilizando resultados antes de impuestos
2021</t>
  </si>
  <si>
    <t>ROA utilizando resultados antes de impuestos
2020</t>
  </si>
  <si>
    <t>ROE utilizando Ingresos Netos
2024</t>
  </si>
  <si>
    <t>ROE utilizando Ingresos Netos
2023</t>
  </si>
  <si>
    <t>ROE utilizando Ingresos Netos
2022</t>
  </si>
  <si>
    <t>ROE utilizando Ingresos Netos
2021</t>
  </si>
  <si>
    <t>ROE utilizando Ingresos Netos
2020</t>
  </si>
  <si>
    <t>ROCE utilizando Ingresos Netos
2024</t>
  </si>
  <si>
    <t>ROCE utilizando Ingresos Netos
2023</t>
  </si>
  <si>
    <t>ROCE utilizando Ingresos Netos
2022</t>
  </si>
  <si>
    <t>ROCE utilizando Ingresos Netos
2021</t>
  </si>
  <si>
    <t>ROCE utilizando Ingresos Netos
2020</t>
  </si>
  <si>
    <t>ROA utilizando Ingresos Netos
2024</t>
  </si>
  <si>
    <t>ROA utilizando Ingresos Netos
2023</t>
  </si>
  <si>
    <t>ROA utilizando Ingresos Netos
2022</t>
  </si>
  <si>
    <t>ROA utilizando Ingresos Netos
2021</t>
  </si>
  <si>
    <t>ROA utilizando Ingresos Netos
2020</t>
  </si>
  <si>
    <t>Margen de beneficio
2024</t>
  </si>
  <si>
    <t>Margen de beneficio
2023</t>
  </si>
  <si>
    <t>Margen de beneficio
2022</t>
  </si>
  <si>
    <t>Margen de beneficio
2021</t>
  </si>
  <si>
    <t>Margen de beneficio
2020</t>
  </si>
  <si>
    <t>Margen bruto
2024</t>
  </si>
  <si>
    <t>Margen bruto
2023</t>
  </si>
  <si>
    <t>Margen bruto
2022</t>
  </si>
  <si>
    <t>Margen bruto
2021</t>
  </si>
  <si>
    <t>Margen bruto
2020</t>
  </si>
  <si>
    <t>Operating Margin (%)
2024</t>
  </si>
  <si>
    <t>Operating Margin (%)
2023</t>
  </si>
  <si>
    <t>Operating Margin (%)
2022</t>
  </si>
  <si>
    <t>Operating Margin (%)
2021</t>
  </si>
  <si>
    <t>Operating Margin (%)
2020</t>
  </si>
  <si>
    <t>Margen EBITDA
2024</t>
  </si>
  <si>
    <t>Margen EBITDA
2023</t>
  </si>
  <si>
    <t>Margen EBITDA
2022</t>
  </si>
  <si>
    <t>Margen EBITDA
2021</t>
  </si>
  <si>
    <t>Margen EBITDA
2020</t>
  </si>
  <si>
    <t>EBIT margen
2024</t>
  </si>
  <si>
    <t>EBIT margen
2023</t>
  </si>
  <si>
    <t>EBIT margen
2022</t>
  </si>
  <si>
    <t>EBIT margen
2021</t>
  </si>
  <si>
    <t>EBIT margen
2020</t>
  </si>
  <si>
    <t>Flujo de caja / Ingresos de explotación
2024</t>
  </si>
  <si>
    <t>Flujo de caja / Ingresos de explotación
2023</t>
  </si>
  <si>
    <t>Flujo de caja / Ingresos de explotación
2022</t>
  </si>
  <si>
    <t>Flujo de caja / Ingresos de explotación
2021</t>
  </si>
  <si>
    <t>Flujo de caja / Ingresos de explotación
2020</t>
  </si>
  <si>
    <t>Net Cost Plus Margin (%)
2024</t>
  </si>
  <si>
    <t>Net Cost Plus Margin (%)
2023</t>
  </si>
  <si>
    <t>Net Cost Plus Margin (%)
2022</t>
  </si>
  <si>
    <t>Net Cost Plus Margin (%)
2021</t>
  </si>
  <si>
    <t>Net Cost Plus Margin (%)
2020</t>
  </si>
  <si>
    <t>Berry Ratio
2024</t>
  </si>
  <si>
    <t>Berry Ratio
2023</t>
  </si>
  <si>
    <t>Berry Ratio
2022</t>
  </si>
  <si>
    <t>Berry Ratio
2021</t>
  </si>
  <si>
    <t>Berry Ratio
2020</t>
  </si>
  <si>
    <t>Valor de la empresa / EBITDA
2024</t>
  </si>
  <si>
    <t>Valor de la empresa / EBITDA
2023</t>
  </si>
  <si>
    <t>Valor de la empresa / EBITDA
2022</t>
  </si>
  <si>
    <t>Valor de la empresa / EBITDA
2021</t>
  </si>
  <si>
    <t>Valor de la empresa / EBITDA
2020</t>
  </si>
  <si>
    <t>Market cap / Cash flow from operations
2024</t>
  </si>
  <si>
    <t>Market cap / Cash flow from operations
2023</t>
  </si>
  <si>
    <t>Market cap / Cash flow from operations
2022</t>
  </si>
  <si>
    <t>Market cap / Cash flow from operations
2021</t>
  </si>
  <si>
    <t>Market cap / Cash flow from operations
2020</t>
  </si>
  <si>
    <t>Rotación de activos netos
2024</t>
  </si>
  <si>
    <t>Rotación de activos netos
2023</t>
  </si>
  <si>
    <t>Rotación de activos netos
2022</t>
  </si>
  <si>
    <t>Rotación de activos netos
2021</t>
  </si>
  <si>
    <t>Rotación de activos netos
2020</t>
  </si>
  <si>
    <t>Intereses de cobertura
2024</t>
  </si>
  <si>
    <t>Intereses de cobertura
2023</t>
  </si>
  <si>
    <t>Intereses de cobertura
2022</t>
  </si>
  <si>
    <t>Intereses de cobertura
2021</t>
  </si>
  <si>
    <t>Intereses de cobertura
2020</t>
  </si>
  <si>
    <t>Rotación de las existencias
2024</t>
  </si>
  <si>
    <t>Rotación de las existencias
2023</t>
  </si>
  <si>
    <t>Rotación de las existencias
2022</t>
  </si>
  <si>
    <t>Rotación de las existencias
2021</t>
  </si>
  <si>
    <t>Rotación de las existencias
2020</t>
  </si>
  <si>
    <t>Período de cobro
2024</t>
  </si>
  <si>
    <t>Período de cobro
2023</t>
  </si>
  <si>
    <t>Período de cobro
2022</t>
  </si>
  <si>
    <t>Período de cobro
2021</t>
  </si>
  <si>
    <t>Período de cobro
2020</t>
  </si>
  <si>
    <t>Período de crédito
2024</t>
  </si>
  <si>
    <t>Período de crédito
2023</t>
  </si>
  <si>
    <t>Período de crédito
2022</t>
  </si>
  <si>
    <t>Período de crédito
2021</t>
  </si>
  <si>
    <t>Período de crédito
2020</t>
  </si>
  <si>
    <t>Ingresos de exportación / Ingresos de explotación
2024</t>
  </si>
  <si>
    <t>Ingresos de exportación / Ingresos de explotación
2023</t>
  </si>
  <si>
    <t>Ingresos de exportación / Ingresos de explotación
2022</t>
  </si>
  <si>
    <t>Ingresos de exportación / Ingresos de explotación
2021</t>
  </si>
  <si>
    <t>Ingresos de exportación / Ingresos de explotación
2020</t>
  </si>
  <si>
    <t>Gastos I&amp;D / Ventas
2024</t>
  </si>
  <si>
    <t>Gastos I&amp;D / Ventas
2023</t>
  </si>
  <si>
    <t>Gastos I&amp;D / Ventas
2022</t>
  </si>
  <si>
    <t>Gastos I&amp;D / Ventas
2021</t>
  </si>
  <si>
    <t>Gastos I&amp;D / Ventas
2020</t>
  </si>
  <si>
    <t>R&amp;D expenses / Sales (%)
2024</t>
  </si>
  <si>
    <t>R&amp;D expenses / Sales (%)
2023</t>
  </si>
  <si>
    <t>R&amp;D expenses / Sales (%)
2022</t>
  </si>
  <si>
    <t>R&amp;D expenses / Sales (%)
2021</t>
  </si>
  <si>
    <t>R&amp;D expenses / Sales (%)
2020</t>
  </si>
  <si>
    <t>Gastos R&amp;D / Total activos operativos (%)
2024</t>
  </si>
  <si>
    <t>Gastos R&amp;D / Total activos operativos (%)
2023</t>
  </si>
  <si>
    <t>Gastos R&amp;D / Total activos operativos (%)
2022</t>
  </si>
  <si>
    <t>Gastos R&amp;D / Total activos operativos (%)
2021</t>
  </si>
  <si>
    <t>Gastos R&amp;D / Total activos operativos (%)
2020</t>
  </si>
  <si>
    <t>Ratio actual
2024</t>
  </si>
  <si>
    <t>Ratio actual
2023</t>
  </si>
  <si>
    <t>Ratio actual
2022</t>
  </si>
  <si>
    <t>Ratio actual
2021</t>
  </si>
  <si>
    <t>Ratio actual
2020</t>
  </si>
  <si>
    <t>Ratio de liquidez
2024</t>
  </si>
  <si>
    <t>Ratio de liquidez
2023</t>
  </si>
  <si>
    <t>Ratio de liquidez
2022</t>
  </si>
  <si>
    <t>Ratio de liquidez
2021</t>
  </si>
  <si>
    <t>Ratio de liquidez
2020</t>
  </si>
  <si>
    <t>Ratio de liquidez de accionistas
2024</t>
  </si>
  <si>
    <t>Ratio de liquidez de accionistas
2023</t>
  </si>
  <si>
    <t>Ratio de liquidez de accionistas
2022</t>
  </si>
  <si>
    <t>Ratio de liquidez de accionistas
2021</t>
  </si>
  <si>
    <t>Ratio de liquidez de accionistas
2020</t>
  </si>
  <si>
    <t>Ratio de solvencia
2024</t>
  </si>
  <si>
    <t>Ratio de solvencia
2023</t>
  </si>
  <si>
    <t>Ratio de solvencia
2022</t>
  </si>
  <si>
    <t>Ratio de solvencia
2021</t>
  </si>
  <si>
    <t>Ratio de solvencia
2020</t>
  </si>
  <si>
    <t>Solvency ratio (Liability based)
2024</t>
  </si>
  <si>
    <t>Solvency ratio (Liability based)
2023</t>
  </si>
  <si>
    <t>Solvency ratio (Liability based)
2022</t>
  </si>
  <si>
    <t>Solvency ratio (Liability based)
2021</t>
  </si>
  <si>
    <t>Solvency ratio (Liability based)
2020</t>
  </si>
  <si>
    <t>Endeudamiento
2024</t>
  </si>
  <si>
    <t>Endeudamiento
2023</t>
  </si>
  <si>
    <t>Endeudamiento
2022</t>
  </si>
  <si>
    <t>Endeudamiento
2021</t>
  </si>
  <si>
    <t>Endeudamiento
2020</t>
  </si>
  <si>
    <t>Other Fixed Assets / Total Assets (%)
2024</t>
  </si>
  <si>
    <t>Other Fixed Assets / Total Assets (%)
2023</t>
  </si>
  <si>
    <t>Other Fixed Assets / Total Assets (%)
2022</t>
  </si>
  <si>
    <t>Other Fixed Assets / Total Assets (%)
2021</t>
  </si>
  <si>
    <t>Other Fixed Assets / Total Assets (%)
2020</t>
  </si>
  <si>
    <t>Other Current Assets / Total Assets (%)
2024</t>
  </si>
  <si>
    <t>Other Current Assets / Total Assets (%)
2023</t>
  </si>
  <si>
    <t>Other Current Assets / Total Assets (%)
2022</t>
  </si>
  <si>
    <t>Other Current Assets / Total Assets (%)
2021</t>
  </si>
  <si>
    <t>Other Current Assets / Total Assets (%)
2020</t>
  </si>
  <si>
    <t>Other Current Liabilities / Total Assets (%)
2024</t>
  </si>
  <si>
    <t>Other Current Liabilities / Total Assets (%)
2023</t>
  </si>
  <si>
    <t>Other Current Liabilities / Total Assets (%)
2022</t>
  </si>
  <si>
    <t>Other Current Liabilities / Total Assets (%)
2021</t>
  </si>
  <si>
    <t>Other Current Liabilities / Total Assets (%)
2020</t>
  </si>
  <si>
    <t>Inventory / COGS (%)
2024</t>
  </si>
  <si>
    <t>Inventory / COGS (%)
2023</t>
  </si>
  <si>
    <t>Inventory / COGS (%)
2022</t>
  </si>
  <si>
    <t>Inventory / COGS (%)
2021</t>
  </si>
  <si>
    <t>Inventory / COGS (%)
2020</t>
  </si>
  <si>
    <t>Beneficio por empleado
mil USD 2024</t>
  </si>
  <si>
    <t>Beneficio por empleado
mil USD 2023</t>
  </si>
  <si>
    <t>Beneficio por empleado
mil USD 2022</t>
  </si>
  <si>
    <t>Beneficio por empleado
mil USD 2021</t>
  </si>
  <si>
    <t>Beneficio por empleado
mil USD 2020</t>
  </si>
  <si>
    <t>Ingresos de explotación por empleado
mil USD 2024</t>
  </si>
  <si>
    <t>Ingresos de explotación por empleado
mil USD 2023</t>
  </si>
  <si>
    <t>Ingresos de explotación por empleado
mil USD 2022</t>
  </si>
  <si>
    <t>Ingresos de explotación por empleado
mil USD 2021</t>
  </si>
  <si>
    <t>Ingresos de explotación por empleado
mil USD 2020</t>
  </si>
  <si>
    <t>Costes de los trabajadores / Ingresos de explotación
2024</t>
  </si>
  <si>
    <t>Costes de los trabajadores / Ingresos de explotación
2023</t>
  </si>
  <si>
    <t>Costes de los trabajadores / Ingresos de explotación
2022</t>
  </si>
  <si>
    <t>Costes de los trabajadores / Ingresos de explotación
2021</t>
  </si>
  <si>
    <t>Costes de los trabajadores / Ingresos de explotación
2020</t>
  </si>
  <si>
    <t>Coste medio de los empleados
mil USD 2024</t>
  </si>
  <si>
    <t>Coste medio de los empleados
mil USD 2023</t>
  </si>
  <si>
    <t>Coste medio de los empleados
mil USD 2022</t>
  </si>
  <si>
    <t>Coste medio de los empleados
mil USD 2021</t>
  </si>
  <si>
    <t>Coste medio de los empleados
mil USD 2020</t>
  </si>
  <si>
    <t>Fondos de los accionistas por empleado
mil USD 2024</t>
  </si>
  <si>
    <t>Fondos de los accionistas por empleado
mil USD 2023</t>
  </si>
  <si>
    <t>Fondos de los accionistas por empleado
mil USD 2022</t>
  </si>
  <si>
    <t>Fondos de los accionistas por empleado
mil USD 2021</t>
  </si>
  <si>
    <t>Fondos de los accionistas por empleado
mil USD 2020</t>
  </si>
  <si>
    <t>Capital de trabajo por empleado
mil USD 2024</t>
  </si>
  <si>
    <t>Capital de trabajo por empleado
mil USD 2023</t>
  </si>
  <si>
    <t>Capital de trabajo por empleado
mil USD 2022</t>
  </si>
  <si>
    <t>Capital de trabajo por empleado
mil USD 2021</t>
  </si>
  <si>
    <t>Capital de trabajo por empleado
mil USD 2020</t>
  </si>
  <si>
    <t>Total de activos por empleado
mil USD 2024</t>
  </si>
  <si>
    <t>Total de activos por empleado
mil USD 2023</t>
  </si>
  <si>
    <t>Total de activos por empleado
mil USD 2022</t>
  </si>
  <si>
    <t>Total de activos por empleado
mil USD 2021</t>
  </si>
  <si>
    <t>Total de activos por empleado
mil USD 2020</t>
  </si>
  <si>
    <t>Payables / COGS
2024</t>
  </si>
  <si>
    <t>Payables / COGS
2023</t>
  </si>
  <si>
    <t>Payables / COGS
2022</t>
  </si>
  <si>
    <t>Payables / COGS
2021</t>
  </si>
  <si>
    <t>Payables / COGS
2020</t>
  </si>
  <si>
    <t>Existencias / Ingresos de explotación (Turnover) (%)
2024</t>
  </si>
  <si>
    <t>Existencias / Ingresos de explotación (Turnover) (%)
2023</t>
  </si>
  <si>
    <t>Existencias / Ingresos de explotación (Turnover) (%)
2022</t>
  </si>
  <si>
    <t>Existencias / Ingresos de explotación (Turnover) (%)
2021</t>
  </si>
  <si>
    <t>Existencias / Ingresos de explotación (Turnover) (%)
2020</t>
  </si>
  <si>
    <t>Existencias / Activos Totales (%)
2024</t>
  </si>
  <si>
    <t>Existencias / Activos Totales (%)
2023</t>
  </si>
  <si>
    <t>Existencias / Activos Totales (%)
2022</t>
  </si>
  <si>
    <t>Existencias / Activos Totales (%)
2021</t>
  </si>
  <si>
    <t>Existencias / Activos Totales (%)
2020</t>
  </si>
  <si>
    <t>Activos fijos intangibles/ Ingresos de explotación (Turnover) (%)
2024</t>
  </si>
  <si>
    <t>Activos fijos intangibles/ Ingresos de explotación (Turnover) (%)
2023</t>
  </si>
  <si>
    <t>Activos fijos intangibles/ Ingresos de explotación (Turnover) (%)
2022</t>
  </si>
  <si>
    <t>Activos fijos intangibles/ Ingresos de explotación (Turnover) (%)
2021</t>
  </si>
  <si>
    <t>Activos fijos intangibles/ Ingresos de explotación (Turnover) (%)
2020</t>
  </si>
  <si>
    <t>Activos fijos intangibles/ Activos totales (%)
2024</t>
  </si>
  <si>
    <t>Activos fijos intangibles/ Activos totales (%)
2023</t>
  </si>
  <si>
    <t>Activos fijos intangibles/ Activos totales (%)
2022</t>
  </si>
  <si>
    <t>Activos fijos intangibles/ Activos totales (%)
2021</t>
  </si>
  <si>
    <t>Activos fijos intangibles/ Activos totales (%)
2020</t>
  </si>
  <si>
    <t>Activos Fijos Tangibles / Ingresos de explotación (Turnover) (%)
2024</t>
  </si>
  <si>
    <t>Activos Fijos Tangibles / Ingresos de explotación (Turnover) (%)
2023</t>
  </si>
  <si>
    <t>Activos Fijos Tangibles / Ingresos de explotación (Turnover) (%)
2022</t>
  </si>
  <si>
    <t>Activos Fijos Tangibles / Ingresos de explotación (Turnover) (%)
2021</t>
  </si>
  <si>
    <t>Activos Fijos Tangibles / Ingresos de explotación (Turnover) (%)
2020</t>
  </si>
  <si>
    <t>Activos Fijos Tangibles / Total activos (%)
2024</t>
  </si>
  <si>
    <t>Activos Fijos Tangibles / Total activos (%)
2023</t>
  </si>
  <si>
    <t>Activos Fijos Tangibles / Total activos (%)
2022</t>
  </si>
  <si>
    <t>Activos Fijos Tangibles / Total activos (%)
2021</t>
  </si>
  <si>
    <t>Activos Fijos Tangibles / Total activos (%)
2020</t>
  </si>
  <si>
    <t>Partidas a cobrar / Ingresos de explotación (Turnover) (%)
2024</t>
  </si>
  <si>
    <t>Partidas a cobrar / Ingresos de explotación (Turnover) (%)
2023</t>
  </si>
  <si>
    <t>Partidas a cobrar / Ingresos de explotación (Turnover) (%)
2022</t>
  </si>
  <si>
    <t>Partidas a cobrar / Ingresos de explotación (Turnover) (%)
2021</t>
  </si>
  <si>
    <t>Partidas a cobrar / Ingresos de explotación (Turnover) (%)
2020</t>
  </si>
  <si>
    <t>Cuentas a pagar / Partidas a cobrar (%)
2024</t>
  </si>
  <si>
    <t>Cuentas a pagar / Partidas a cobrar (%)
2023</t>
  </si>
  <si>
    <t>Cuentas a pagar / Partidas a cobrar (%)
2022</t>
  </si>
  <si>
    <t>Cuentas a pagar / Partidas a cobrar (%)
2021</t>
  </si>
  <si>
    <t>Cuentas a pagar / Partidas a cobrar (%)
2020</t>
  </si>
  <si>
    <t>Margen bruto [Beneficio bruto/ Ingresos de explotación (Turnover)] (%)
2024</t>
  </si>
  <si>
    <t>Margen bruto [Beneficio bruto/ Ingresos de explotación (Turnover)] (%)
2023</t>
  </si>
  <si>
    <t>Margen bruto [Beneficio bruto/ Ingresos de explotación (Turnover)] (%)
2022</t>
  </si>
  <si>
    <t>Margen bruto [Beneficio bruto/ Ingresos de explotación (Turnover)] (%)
2021</t>
  </si>
  <si>
    <t>Margen bruto [Beneficio bruto/ Ingresos de explotación (Turnover)] (%)
2020</t>
  </si>
  <si>
    <t>Beneficio bruto / ventas (%)
2024</t>
  </si>
  <si>
    <t>Beneficio bruto / ventas (%)
2023</t>
  </si>
  <si>
    <t>Beneficio bruto / ventas (%)
2022</t>
  </si>
  <si>
    <t>Beneficio bruto / ventas (%)
2021</t>
  </si>
  <si>
    <t>Beneficio bruto / ventas (%)
2020</t>
  </si>
  <si>
    <t>Beneficio bruto Mark-up [Beneficio bruto / COGS] (%)
2024</t>
  </si>
  <si>
    <t>Beneficio bruto Mark-up [Beneficio bruto / COGS] (%)
2023</t>
  </si>
  <si>
    <t>Beneficio bruto Mark-up [Beneficio bruto / COGS] (%)
2022</t>
  </si>
  <si>
    <t>Beneficio bruto Mark-up [Beneficio bruto / COGS] (%)
2021</t>
  </si>
  <si>
    <t>Beneficio bruto Mark-up [Beneficio bruto / COGS] (%)
2020</t>
  </si>
  <si>
    <t>Ratio Berry [Resultado Bruto / Otros gastos de explotación]
2024</t>
  </si>
  <si>
    <t>Ratio Berry [Resultado Bruto / Otros gastos de explotación]
2023</t>
  </si>
  <si>
    <t>Ratio Berry [Resultado Bruto / Otros gastos de explotación]
2022</t>
  </si>
  <si>
    <t>Ratio Berry [Resultado Bruto / Otros gastos de explotación]
2021</t>
  </si>
  <si>
    <t>Ratio Berry [Resultado Bruto / Otros gastos de explotación]
2020</t>
  </si>
  <si>
    <t>Ratio Berry EU
2024</t>
  </si>
  <si>
    <t>Ratio Berry EU
2023</t>
  </si>
  <si>
    <t>Ratio Berry EU
2022</t>
  </si>
  <si>
    <t>Ratio Berry EU
2021</t>
  </si>
  <si>
    <t>Ratio Berry EU
2020</t>
  </si>
  <si>
    <t>Ratio Berry GSF
2024</t>
  </si>
  <si>
    <t>Ratio Berry GSF
2023</t>
  </si>
  <si>
    <t>Ratio Berry GSF
2022</t>
  </si>
  <si>
    <t>Ratio Berry GSF
2021</t>
  </si>
  <si>
    <t>Ratio Berry GSF
2020</t>
  </si>
  <si>
    <t>P/G operativos [=EBIT] / Ingresos de explotación (Turnover) (%)
2024</t>
  </si>
  <si>
    <t>P/G operativos [=EBIT] / Ingresos de explotación (Turnover) (%)
2023</t>
  </si>
  <si>
    <t>P/G operativos [=EBIT] / Ingresos de explotación (Turnover) (%)
2022</t>
  </si>
  <si>
    <t>P/G operativos [=EBIT] / Ingresos de explotación (Turnover) (%)
2021</t>
  </si>
  <si>
    <t>P/G operativos [=EBIT] / Ingresos de explotación (Turnover) (%)
2020</t>
  </si>
  <si>
    <t>P/G operativos [=EBIT] / Ventas (%)
2024</t>
  </si>
  <si>
    <t>P/G operativos [=EBIT] / Ventas (%)
2023</t>
  </si>
  <si>
    <t>P/G operativos [=EBIT] / Ventas (%)
2022</t>
  </si>
  <si>
    <t>P/G operativos [=EBIT] / Ventas (%)
2021</t>
  </si>
  <si>
    <t>P/G operativos [=EBIT] / Ventas (%)
2020</t>
  </si>
  <si>
    <t>Net Cost Plus [Operating P/L [=EBIT] / Total Operating Costs] (%)
2024</t>
  </si>
  <si>
    <t>Net Cost Plus [Operating P/L [=EBIT] / Total Operating Costs] (%)
2023</t>
  </si>
  <si>
    <t>Net Cost Plus [Operating P/L [=EBIT] / Total Operating Costs] (%)
2022</t>
  </si>
  <si>
    <t>Net Cost Plus [Operating P/L [=EBIT] / Total Operating Costs] (%)
2021</t>
  </si>
  <si>
    <t>Net Cost Plus [Operating P/L [=EBIT] / Total Operating Costs] (%)
2020</t>
  </si>
  <si>
    <t>Rendimiento sobre capital empleado (TP) (%)
2024</t>
  </si>
  <si>
    <t>Rendimiento sobre capital empleado (TP) (%)
2023</t>
  </si>
  <si>
    <t>Rendimiento sobre capital empleado (TP) (%)
2022</t>
  </si>
  <si>
    <t>Rendimiento sobre capital empleado (TP) (%)
2021</t>
  </si>
  <si>
    <t>Rendimiento sobre capital empleado (TP) (%)
2020</t>
  </si>
  <si>
    <t>Ingresos de explotación (turnover) – Costes Materiales) / Ingresos de explotación (%)
2024</t>
  </si>
  <si>
    <t>Ingresos de explotación (turnover) – Costes Materiales) / Ingresos de explotación (%)
2023</t>
  </si>
  <si>
    <t>Ingresos de explotación (turnover) – Costes Materiales) / Ingresos de explotación (%)
2022</t>
  </si>
  <si>
    <t>Ingresos de explotación (turnover) – Costes Materiales) / Ingresos de explotación (%)
2021</t>
  </si>
  <si>
    <t>Ingresos de explotación (turnover) – Costes Materiales) / Ingresos de explotación (%)
2020</t>
  </si>
  <si>
    <t>Beneficio bruto / Costes operacionales totales (%)
2024</t>
  </si>
  <si>
    <t>Beneficio bruto / Costes operacionales totales (%)
2023</t>
  </si>
  <si>
    <t>Beneficio bruto / Costes operacionales totales (%)
2022</t>
  </si>
  <si>
    <t>Beneficio bruto / Costes operacionales totales (%)
2021</t>
  </si>
  <si>
    <t>Beneficio bruto / Costes operacionales totales (%)
2020</t>
  </si>
  <si>
    <t>Beneficio bruto / Activos totales (%)
2024</t>
  </si>
  <si>
    <t>Beneficio bruto / Activos totales (%)
2023</t>
  </si>
  <si>
    <t>Beneficio bruto / Activos totales (%)
2022</t>
  </si>
  <si>
    <t>Beneficio bruto / Activos totales (%)
2021</t>
  </si>
  <si>
    <t>Beneficio bruto / Activos totales (%)
2020</t>
  </si>
  <si>
    <t>P/G operativos [=EBIT] / COGS (%)
2024</t>
  </si>
  <si>
    <t>P/G operativos [=EBIT] / COGS (%)
2023</t>
  </si>
  <si>
    <t>P/G operativos [=EBIT] / COGS (%)
2022</t>
  </si>
  <si>
    <t>P/G operativos [=EBIT] / COGS (%)
2021</t>
  </si>
  <si>
    <t>P/G operativos [=EBIT] / COGS (%)
2020</t>
  </si>
  <si>
    <t>P/G operativos [=EBIT] / Otros gastos operativos (%)
2024</t>
  </si>
  <si>
    <t>P/G operativos [=EBIT] / Otros gastos operativos (%)
2023</t>
  </si>
  <si>
    <t>P/G operativos [=EBIT] / Otros gastos operativos (%)
2022</t>
  </si>
  <si>
    <t>P/G operativos [=EBIT] / Otros gastos operativos (%)
2021</t>
  </si>
  <si>
    <t>P/G operativos [=EBIT] / Otros gastos operativos (%)
2020</t>
  </si>
  <si>
    <t>P/G operativos [=EBIT] / Activos Totales (%)
2024</t>
  </si>
  <si>
    <t>P/G operativos [=EBIT] / Activos Totales (%)
2023</t>
  </si>
  <si>
    <t>P/G operativos [=EBIT] / Activos Totales (%)
2022</t>
  </si>
  <si>
    <t>P/G operativos [=EBIT] / Activos Totales (%)
2021</t>
  </si>
  <si>
    <t>P/G operativos [=EBIT] / Activos Totales (%)
2020</t>
  </si>
  <si>
    <t>Beneficio Neto / Ingresos de explotación (Turnover) (%)
2024</t>
  </si>
  <si>
    <t>Beneficio Neto / Ingresos de explotación (Turnover) (%)
2023</t>
  </si>
  <si>
    <t>Beneficio Neto / Ingresos de explotación (Turnover) (%)
2022</t>
  </si>
  <si>
    <t>Beneficio Neto / Ingresos de explotación (Turnover) (%)
2021</t>
  </si>
  <si>
    <t>Beneficio Neto / Ingresos de explotación (Turnover) (%)
2020</t>
  </si>
  <si>
    <t>Beneficio Neto / Ventas (%)
2024</t>
  </si>
  <si>
    <t>Beneficio Neto / Ventas (%)
2023</t>
  </si>
  <si>
    <t>Beneficio Neto / Ventas (%)
2022</t>
  </si>
  <si>
    <t>Beneficio Neto / Ventas (%)
2021</t>
  </si>
  <si>
    <t>Beneficio Neto / Ventas (%)
2020</t>
  </si>
  <si>
    <t>Beneficio Neto / COGS (%)
2024</t>
  </si>
  <si>
    <t>Beneficio Neto / COGS (%)
2023</t>
  </si>
  <si>
    <t>Beneficio Neto / COGS (%)
2022</t>
  </si>
  <si>
    <t>Beneficio Neto / COGS (%)
2021</t>
  </si>
  <si>
    <t>Beneficio Neto / COGS (%)
2020</t>
  </si>
  <si>
    <t>Beneficio Neto / Otros gastos de explotación (%)
2024</t>
  </si>
  <si>
    <t>Beneficio Neto / Otros gastos de explotación (%)
2023</t>
  </si>
  <si>
    <t>Beneficio Neto / Otros gastos de explotación (%)
2022</t>
  </si>
  <si>
    <t>Beneficio Neto / Otros gastos de explotación (%)
2021</t>
  </si>
  <si>
    <t>Beneficio Neto / Otros gastos de explotación (%)
2020</t>
  </si>
  <si>
    <t>Beneficio Neto / Total costes operativos (%)
2024</t>
  </si>
  <si>
    <t>Beneficio Neto / Total costes operativos (%)
2023</t>
  </si>
  <si>
    <t>Beneficio Neto / Total costes operativos (%)
2022</t>
  </si>
  <si>
    <t>Beneficio Neto / Total costes operativos (%)
2021</t>
  </si>
  <si>
    <t>Beneficio Neto / Total costes operativos (%)
2020</t>
  </si>
  <si>
    <t>Beneficio Neto / Activos totales (%)
2024</t>
  </si>
  <si>
    <t>Beneficio Neto / Activos totales (%)
2023</t>
  </si>
  <si>
    <t>Beneficio Neto / Activos totales (%)
2022</t>
  </si>
  <si>
    <t>Beneficio Neto / Activos totales (%)
2021</t>
  </si>
  <si>
    <t>Beneficio Neto / Activos totales (%)
2020</t>
  </si>
  <si>
    <t>costes de conversión
2024</t>
  </si>
  <si>
    <t>costes de conversión
2023</t>
  </si>
  <si>
    <t>costes de conversión
2022</t>
  </si>
  <si>
    <t>costes de conversión
2021</t>
  </si>
  <si>
    <t>costes de conversión
2020</t>
  </si>
  <si>
    <t>Número de miembros actuales de las juntas directivas y de gestión</t>
  </si>
  <si>
    <t>DMNombre completo</t>
  </si>
  <si>
    <t>DMTítulo original trabajo</t>
  </si>
  <si>
    <t>Número de asesores corrientes</t>
  </si>
  <si>
    <t>Indicator deIndependencia BvD</t>
  </si>
  <si>
    <t>Número de accionistas</t>
  </si>
  <si>
    <t>Número de participadas</t>
  </si>
  <si>
    <t>reviewColumn</t>
  </si>
  <si>
    <t>Website checked</t>
  </si>
  <si>
    <t>Manual review</t>
  </si>
  <si>
    <t>Status</t>
  </si>
  <si>
    <t>Ingresos de explotación (turnover)
USD 2024.1</t>
  </si>
  <si>
    <t>Ingresos de explotación (turnover)
USD 2023.1</t>
  </si>
  <si>
    <t>Ingresos de explotación (turnover)
USD 2022.1</t>
  </si>
  <si>
    <t>P/G operacionales [=EBIT]
USD 2024.1</t>
  </si>
  <si>
    <t>P/G operacionales [=EBIT]
USD 2023.1</t>
  </si>
  <si>
    <t>P/G operacionales [=EBIT]
USD 2022.1</t>
  </si>
  <si>
    <t>Sumatorio Ingresos</t>
  </si>
  <si>
    <t>Sumatorio EBIT</t>
  </si>
  <si>
    <t>Filtro - Promedio ponderado (2022-2024)</t>
  </si>
  <si>
    <t>Filtro - Información financiera suficiente Ingresos</t>
  </si>
  <si>
    <t>Filtro - Información financiera suficiente EBIT</t>
  </si>
  <si>
    <t>Filtro - Pérdidas en 2 años (EBIT)</t>
  </si>
  <si>
    <t>Filtro - Pérdidas prom. 2022-2024</t>
  </si>
  <si>
    <t>Filtro - Sitio web</t>
  </si>
  <si>
    <t>Nombre empresaAlfabeto latino.1</t>
  </si>
  <si>
    <t>Sitio web.1</t>
  </si>
  <si>
    <t>Falta de información</t>
  </si>
  <si>
    <t>Distintas funciones</t>
  </si>
  <si>
    <t>Distinto servicio</t>
  </si>
  <si>
    <t>Grupo</t>
  </si>
  <si>
    <t>A/R</t>
  </si>
  <si>
    <t>Comentario</t>
  </si>
  <si>
    <t>Link Evidencia</t>
  </si>
  <si>
    <t>Nivel de Confianza</t>
  </si>
  <si>
    <t>3D-SHAPER MEDICAL S.L.</t>
  </si>
  <si>
    <t>ABRA ADUANAS SOCIEDAD LIMITADA</t>
  </si>
  <si>
    <t>ACFYD ANALISIS SL</t>
  </si>
  <si>
    <t>ADDLESHAW GODDARD (SPAIN) SAP.</t>
  </si>
  <si>
    <t>AGRUPACION DETALLISTAS ELECTRODOMESTICOS FEDERAL FADESA SA</t>
  </si>
  <si>
    <t>ALEICO 2015 SL.</t>
  </si>
  <si>
    <t>ALPINIA TECHNOLOGIES, SOCIEDAD LIMITADA.</t>
  </si>
  <si>
    <t>ALTA GESTION DE ACTIVOS SL</t>
  </si>
  <si>
    <t>AMPLIA SOLUCIONES SL</t>
  </si>
  <si>
    <t>ANHELA IT SL.</t>
  </si>
  <si>
    <t>ARAS SL</t>
  </si>
  <si>
    <t>ASIANET DE REDES SL</t>
  </si>
  <si>
    <t>ASIREC SL</t>
  </si>
  <si>
    <t>ATECNA ARCHIVOS TECNOLOGICOS DE NAVARRA SAL</t>
  </si>
  <si>
    <t>AUREN CONSULTORES LCG SL.</t>
  </si>
  <si>
    <t>AXIALTIC SOLUCIONES TECNOLOGICAS SL.</t>
  </si>
  <si>
    <t>BAKER &amp; MCKENZIE BARCELONA SLP</t>
  </si>
  <si>
    <t>BARBARA IOT SL.</t>
  </si>
  <si>
    <t>BARCELONA SMART TECHNOLOGIES SL.</t>
  </si>
  <si>
    <t>BETALAB INNOVATION SOCIEDAD LIMITADA.</t>
  </si>
  <si>
    <t>BILKY EUROPE SL.</t>
  </si>
  <si>
    <t>BORNAN SPORTS TECHNOLOGY SL.</t>
  </si>
  <si>
    <t>BUSINESS INTELLIGENCE TECHNOLOGY SLL</t>
  </si>
  <si>
    <t>CHEKIN SOLUCIONES DIGITALES SL.</t>
  </si>
  <si>
    <t>CLUBER SIGUETULIGA, S.L.</t>
  </si>
  <si>
    <t>CODIGO10 SOLUCIONES INFORMATICAS SAL.</t>
  </si>
  <si>
    <t>CONSENTIO PLATFORM S.L.</t>
  </si>
  <si>
    <t>CONSULTING INTEGRAL PROFESIONAL S.L.</t>
  </si>
  <si>
    <t>CONSULTORES ASOCIADOS SL</t>
  </si>
  <si>
    <t>CONZEPTO COMUNICACION CREATIVA SL</t>
  </si>
  <si>
    <t>CUMBERLAND SOLUTIONS SL.</t>
  </si>
  <si>
    <t>CURELL SUNOL SLP</t>
  </si>
  <si>
    <t>DELECTA TECHNOLOGIES SL.</t>
  </si>
  <si>
    <t>DESARROLLO APLICACIONES TARJETA INTELIGENTE SL</t>
  </si>
  <si>
    <t>DOCTOMATIC S.L.</t>
  </si>
  <si>
    <t>ECIJA &amp; ASOCIADOS ABOGADOS BARCELONA SL</t>
  </si>
  <si>
    <t>EIM LEARNING SL.</t>
  </si>
  <si>
    <t>EKOLUR ASESORIA AMBIENTAL SLL</t>
  </si>
  <si>
    <t>EQUIPO TECNICO EN PREVENCION PROCARION S.L.</t>
  </si>
  <si>
    <t>ESTUDIO JURIDICO Y ECONOMICO BILBAO SOCIEDAD LIMITADA PROFESIONAL.</t>
  </si>
  <si>
    <t>EUROMANAGER SL</t>
  </si>
  <si>
    <t>EUROVASBE S.L.</t>
  </si>
  <si>
    <t>FOURLAW ABOGADOS SLP.</t>
  </si>
  <si>
    <t>FUNDRAISING INICIATIVAS SL</t>
  </si>
  <si>
    <t>FUSIO D'ARTS TECHNOLOGY SOCIEDAD LIMITADA.</t>
  </si>
  <si>
    <t>GAROA, SOCIEDAD ANONIMA</t>
  </si>
  <si>
    <t>GESTIMUSA SL</t>
  </si>
  <si>
    <t>GESTIO HOTELERA I TURISTICA SA</t>
  </si>
  <si>
    <t>GESTISA SA</t>
  </si>
  <si>
    <t>GESTORES ADMINISTRATIVOS REUNIDOS SA</t>
  </si>
  <si>
    <t>GESTORIA PUJOL SL</t>
  </si>
  <si>
    <t>GIMAGE GROUP SL</t>
  </si>
  <si>
    <t>GIMENEZ TORRES ABOGADOS SLP</t>
  </si>
  <si>
    <t>GRUDI NUSO SL</t>
  </si>
  <si>
    <t>GRUPO ASESOR ROS SLP</t>
  </si>
  <si>
    <t>GRUPO BEDEGE GESTION INTEGRAL SL.</t>
  </si>
  <si>
    <t>GUADALTEL SA</t>
  </si>
  <si>
    <t>GUREGRAF SOCIEDAD LIMITADA</t>
  </si>
  <si>
    <t>IBACAR PREMIUM SL.</t>
  </si>
  <si>
    <t>INFOAUTONOMOS 2009 SL</t>
  </si>
  <si>
    <t>INFORMATION AND COMMUNICATION SOLUTIONS SL</t>
  </si>
  <si>
    <t>INNOVATIVE SOCIAL TECHNOLOGIES SL.</t>
  </si>
  <si>
    <t>INSTITUTO DE INVESTIGACION SOBRE VEHICULOS SA.</t>
  </si>
  <si>
    <t>INTERMEDIA SPORT PLAYER SL.</t>
  </si>
  <si>
    <t>INTERNATIONAL VENTURE CONSULTANTS, SA</t>
  </si>
  <si>
    <t>INTERNET LABORATORY DIGITAL SL.</t>
  </si>
  <si>
    <t>INVER &amp; GEST SOCIEDAD LIMITADA</t>
  </si>
  <si>
    <t>INVERSIONES MOBILIARIAS URQUIOLA SL</t>
  </si>
  <si>
    <t>IOMED MEDICAL SOLUTIONS SL.</t>
  </si>
  <si>
    <t>JOINUP GREEN INTELLIGENCE SL.</t>
  </si>
  <si>
    <t>JUSTO GALLARDO ASESORES SL</t>
  </si>
  <si>
    <t>LAGOS ESTUDIO JURIDICO Y FISCAL SL</t>
  </si>
  <si>
    <t>LEGAL PIGEON S.L.</t>
  </si>
  <si>
    <t>LEX CENTRO DE ASESORES TECNICOS JURIDICOS SA</t>
  </si>
  <si>
    <t>MADON LEGAL SL.</t>
  </si>
  <si>
    <t>MADRID BUSINESS SERVICES SL</t>
  </si>
  <si>
    <t>MAILSUITE S.L.</t>
  </si>
  <si>
    <t>MAIO GALICIA SOCIEDAD LIMITADA PROFESIONAL.</t>
  </si>
  <si>
    <t>MERKATU INTERACTIVA SL</t>
  </si>
  <si>
    <t>MOLLITIAM INDUSTRIES SL.</t>
  </si>
  <si>
    <t>MSI SISTEMAS DE INTELIGENCIA DE MERCADO SA</t>
  </si>
  <si>
    <t>NARU INTELLIGENCE SOLUTIONS SL.</t>
  </si>
  <si>
    <t>NETBOSS COMUNICACIONES SL</t>
  </si>
  <si>
    <t>NEURO ENERGIA Y GESTION SOCIEDAD LIMITADA.</t>
  </si>
  <si>
    <t>NIVLOR INVESTMENT LIMITED SL</t>
  </si>
  <si>
    <t>NOQO MARKETING PARTNERS SL.</t>
  </si>
  <si>
    <t>NOUS PARQUINGS URBANS SL.</t>
  </si>
  <si>
    <t>NOVADIGITS TECHNOLOGIES S.L.</t>
  </si>
  <si>
    <t>NUCAPS NANOTECHNOLOGY SL.</t>
  </si>
  <si>
    <t>OLIVA-AYALA ABOGADOS SLP.</t>
  </si>
  <si>
    <t>OZONA TECNOLOGIAS DE LA INFORMACION SL.</t>
  </si>
  <si>
    <t>PENA ABOGADOS SLP</t>
  </si>
  <si>
    <t>PENTOS CONSULTING SL.</t>
  </si>
  <si>
    <t>PROYECTA IT SISTEMAS Y CONSULTORIA SLL.</t>
  </si>
  <si>
    <t>R HERMOSILLA GIMENO ABOGADOS SLP.</t>
  </si>
  <si>
    <t>RISK XXI SL</t>
  </si>
  <si>
    <t>ROAD TO DATA CONSULTING SL.</t>
  </si>
  <si>
    <t>ROAMS TIC S.L.</t>
  </si>
  <si>
    <t>ROMASERVEIS ADMINISTRATIUS SL</t>
  </si>
  <si>
    <t>SAINZ DE BARANDA ADVOCATS I ECONOMISTES S.A.P.</t>
  </si>
  <si>
    <t>SAN MIGUEL GESTION SL</t>
  </si>
  <si>
    <t>SCANNER ORENSE SL</t>
  </si>
  <si>
    <t>SECRETARIA Y CONTABILIDAD S.A.</t>
  </si>
  <si>
    <t>SENNIORS HOME CARE SL.</t>
  </si>
  <si>
    <t>SERENISSIMA INFORMATICA ESPANA SL</t>
  </si>
  <si>
    <t>SERVEIS MAJUENJO SL</t>
  </si>
  <si>
    <t>SERVICIOS PROFESIONALES Y PROYECTOS SL</t>
  </si>
  <si>
    <t>SIGE GESTION INFORMATICA SL</t>
  </si>
  <si>
    <t>SIGMA GESTION UNIVERSITARIA AIE</t>
  </si>
  <si>
    <t>SISTEMES I XARXES INFORMATIQUES CALIDAE SL</t>
  </si>
  <si>
    <t>SITUM TECHNOLOGIES SL.</t>
  </si>
  <si>
    <t>SPIN MEDIA SL</t>
  </si>
  <si>
    <t>TAX DOWN SL.</t>
  </si>
  <si>
    <t>TECHNOLOGY 2 CLIENT S.L.</t>
  </si>
  <si>
    <t>TECNOLOGIAS DE LA INFORMACION Y REDES PARA LAS ENTIDADES ASEGURADORAS, SA</t>
  </si>
  <si>
    <t>TESORIZA SL.</t>
  </si>
  <si>
    <t>THE PLACE IN BOOKING SOCIEDAD LIMITADA.</t>
  </si>
  <si>
    <t>TREE TECHNOLOGY SA.</t>
  </si>
  <si>
    <t>UBIKARE ZAINKETAK SL</t>
  </si>
  <si>
    <t>WEARETESTERS SOCIEDAD LIMITADA.</t>
  </si>
  <si>
    <t>WOLO REALTECH S.L.</t>
  </si>
  <si>
    <t>XPEER MEDED S.L.</t>
  </si>
  <si>
    <t>ZUBIZARRETA CONSULTING SL</t>
  </si>
  <si>
    <t>ESB01756865</t>
  </si>
  <si>
    <t>ESB48917363</t>
  </si>
  <si>
    <t>ESB84984491</t>
  </si>
  <si>
    <t>ESA82376880</t>
  </si>
  <si>
    <t>ESA78254497</t>
  </si>
  <si>
    <t>ESB88550900</t>
  </si>
  <si>
    <t>ESB13620901</t>
  </si>
  <si>
    <t>ESB81379851</t>
  </si>
  <si>
    <t>ESB83415612</t>
  </si>
  <si>
    <t>ESB02761401</t>
  </si>
  <si>
    <t>ESB14022123</t>
  </si>
  <si>
    <t>ESB85210227</t>
  </si>
  <si>
    <t>ESB80065519</t>
  </si>
  <si>
    <t>ESA31603707</t>
  </si>
  <si>
    <t>ESB15902331</t>
  </si>
  <si>
    <t>ESB87716510</t>
  </si>
  <si>
    <t>ESB61181145</t>
  </si>
  <si>
    <t>ESB24697385</t>
  </si>
  <si>
    <t>ESB66849514</t>
  </si>
  <si>
    <t>ESB98625940</t>
  </si>
  <si>
    <t>ESB87345153</t>
  </si>
  <si>
    <t>ESB87915419</t>
  </si>
  <si>
    <t>ESB73449290</t>
  </si>
  <si>
    <t>ESB21579990</t>
  </si>
  <si>
    <t>ESB70291927</t>
  </si>
  <si>
    <t>ESA54689583</t>
  </si>
  <si>
    <t>ESB66734690</t>
  </si>
  <si>
    <t>ESB84099894</t>
  </si>
  <si>
    <t>ESB48130561</t>
  </si>
  <si>
    <t>ESB18661009</t>
  </si>
  <si>
    <t>ESB86458833</t>
  </si>
  <si>
    <t>ESB08503963</t>
  </si>
  <si>
    <t>ESB66365321</t>
  </si>
  <si>
    <t>ESB47707583</t>
  </si>
  <si>
    <t>ESB06840276</t>
  </si>
  <si>
    <t>ESB65434136</t>
  </si>
  <si>
    <t>ESB86210218</t>
  </si>
  <si>
    <t>ESB20645990</t>
  </si>
  <si>
    <t>ESB92284397</t>
  </si>
  <si>
    <t>ESB95660296</t>
  </si>
  <si>
    <t>ESB59925271</t>
  </si>
  <si>
    <t>ESB37280393</t>
  </si>
  <si>
    <t>ESB86004512</t>
  </si>
  <si>
    <t>ESB83635003</t>
  </si>
  <si>
    <t>ESB98369788</t>
  </si>
  <si>
    <t>ESA20019691</t>
  </si>
  <si>
    <t>ESB82847732</t>
  </si>
  <si>
    <t>ESA58128331</t>
  </si>
  <si>
    <t>ESA39023148</t>
  </si>
  <si>
    <t>ESA79965331</t>
  </si>
  <si>
    <t>ESB60213667</t>
  </si>
  <si>
    <t>ESB63904551</t>
  </si>
  <si>
    <t>ESB83689919</t>
  </si>
  <si>
    <t>ESB96481601</t>
  </si>
  <si>
    <t>ESB03084357</t>
  </si>
  <si>
    <t>ESB12823506</t>
  </si>
  <si>
    <t>ESA41414145</t>
  </si>
  <si>
    <t>ESB48891535</t>
  </si>
  <si>
    <t>ESB57739435</t>
  </si>
  <si>
    <t>ESB18917203</t>
  </si>
  <si>
    <t>ESB85790251</t>
  </si>
  <si>
    <t>ESB98543663</t>
  </si>
  <si>
    <t>ESA50188762</t>
  </si>
  <si>
    <t>ESB27833300</t>
  </si>
  <si>
    <t>ESA28275097</t>
  </si>
  <si>
    <t>ESB87433579</t>
  </si>
  <si>
    <t>ESB43098524</t>
  </si>
  <si>
    <t>ESB48060271</t>
  </si>
  <si>
    <t>ESB66774969</t>
  </si>
  <si>
    <t>ESB65826331</t>
  </si>
  <si>
    <t>ESB06176457</t>
  </si>
  <si>
    <t>ESB81359481</t>
  </si>
  <si>
    <t>ESB67471508</t>
  </si>
  <si>
    <t>ESA28392033</t>
  </si>
  <si>
    <t>ESB20799235</t>
  </si>
  <si>
    <t>ESB78522273</t>
  </si>
  <si>
    <t>ESB66095670</t>
  </si>
  <si>
    <t>ESB27719582</t>
  </si>
  <si>
    <t>ESB01393339</t>
  </si>
  <si>
    <t>ESB45892627</t>
  </si>
  <si>
    <t>ESA81695603</t>
  </si>
  <si>
    <t>ESB75174474</t>
  </si>
  <si>
    <t>ESB39474929</t>
  </si>
  <si>
    <t>ESB95899928</t>
  </si>
  <si>
    <t>ESB38358438</t>
  </si>
  <si>
    <t>ESB87233193</t>
  </si>
  <si>
    <t>ESB65798548</t>
  </si>
  <si>
    <t>ESB67463588</t>
  </si>
  <si>
    <t>ESB71324503</t>
  </si>
  <si>
    <t>ESB85340388</t>
  </si>
  <si>
    <t>ESB15834872</t>
  </si>
  <si>
    <t>ESB82651753</t>
  </si>
  <si>
    <t>ESB84784511</t>
  </si>
  <si>
    <t>ESB71145387</t>
  </si>
  <si>
    <t>ESB87156311</t>
  </si>
  <si>
    <t>ESB62228598</t>
  </si>
  <si>
    <t>ESB88160064</t>
  </si>
  <si>
    <t>ESB34263582</t>
  </si>
  <si>
    <t>ESB64982549</t>
  </si>
  <si>
    <t>ESA59860403</t>
  </si>
  <si>
    <t>ESB06271365</t>
  </si>
  <si>
    <t>ESB32108037</t>
  </si>
  <si>
    <t>ESA82731712</t>
  </si>
  <si>
    <t>ESB02742641</t>
  </si>
  <si>
    <t>ESB64856578</t>
  </si>
  <si>
    <t>ESB60561164</t>
  </si>
  <si>
    <t>ESB78689635</t>
  </si>
  <si>
    <t>ESB64454143</t>
  </si>
  <si>
    <t>ESV61213641</t>
  </si>
  <si>
    <t>ESB62846050</t>
  </si>
  <si>
    <t>ESB70401229</t>
  </si>
  <si>
    <t>ESB81722894</t>
  </si>
  <si>
    <t>ESB88287164</t>
  </si>
  <si>
    <t>ESB63376826</t>
  </si>
  <si>
    <t>ESA81864498</t>
  </si>
  <si>
    <t>ESB86510039</t>
  </si>
  <si>
    <t>ESB88445283</t>
  </si>
  <si>
    <t>ESA74448515</t>
  </si>
  <si>
    <t>ESB95843413</t>
  </si>
  <si>
    <t>ESB95823753</t>
  </si>
  <si>
    <t>ESB67436600</t>
  </si>
  <si>
    <t>ESB67506378</t>
  </si>
  <si>
    <t>ESB01104488</t>
  </si>
  <si>
    <t>ABRA ADUANAS SLL</t>
  </si>
  <si>
    <t>SJ BERWIN ESPANA SA</t>
  </si>
  <si>
    <t>TIPTAP LABS SOCIEDAD LIMITADA.</t>
  </si>
  <si>
    <t>TRINQUEL INTERNET SL.</t>
  </si>
  <si>
    <t>CONSENTIO BLOCKCHAIN SL.</t>
  </si>
  <si>
    <t>DESARROLLO APLICACIONES TARJETA INTELIGENTE SLL.</t>
  </si>
  <si>
    <t>ADVANCED INTELLIGENCE IBERIA SL.</t>
  </si>
  <si>
    <t>COCA &amp; GUTIERREZ ABOGADOS SLP</t>
  </si>
  <si>
    <t>GUILLAMON RUBERT DOS CONSULTING SL</t>
  </si>
  <si>
    <t>INSTITUTO DE INVESTIGACION SOBRE REPARACION DE VEHICULOS, SA</t>
  </si>
  <si>
    <t>CIALT ASESORES SL</t>
  </si>
  <si>
    <t>THE MAIL TRACK COMPANY SL.</t>
  </si>
  <si>
    <t>LEALTADIS VIGO SLP</t>
  </si>
  <si>
    <t>OZONA CONSULTING SL</t>
  </si>
  <si>
    <t>PROVIDE HCM PEOPLE SL</t>
  </si>
  <si>
    <t>ASESORIA SAINZ DE BARANDA SAP</t>
  </si>
  <si>
    <t>SERVEIS MAJUENJO SLP</t>
  </si>
  <si>
    <t>TECNOLOGY 2 CLIENT SL</t>
  </si>
  <si>
    <t>DEUDAE COMPENSACION DE DEUDAS SL.</t>
  </si>
  <si>
    <t>MALL INNOVATION SL.</t>
  </si>
  <si>
    <t>UBIKARE ZAINKETAK SOCIEDAD LIMITADA.</t>
  </si>
  <si>
    <t>RENTAL IN DETAIL S.L.</t>
  </si>
  <si>
    <t>Activa</t>
  </si>
  <si>
    <t>Activa (procedimiento concursal)</t>
  </si>
  <si>
    <t>ES</t>
  </si>
  <si>
    <t>España</t>
  </si>
  <si>
    <t>Cataluna</t>
  </si>
  <si>
    <t>Pais Vasco</t>
  </si>
  <si>
    <t>Madrid</t>
  </si>
  <si>
    <t>Castilla-La Mancha</t>
  </si>
  <si>
    <t>Andalucia</t>
  </si>
  <si>
    <t>Murcia</t>
  </si>
  <si>
    <t>Navarra</t>
  </si>
  <si>
    <t>Galicia</t>
  </si>
  <si>
    <t>Comunidad Valenciana</t>
  </si>
  <si>
    <t>Castilla y Leon</t>
  </si>
  <si>
    <t>Cantabria</t>
  </si>
  <si>
    <t>Islas Baleares</t>
  </si>
  <si>
    <t>Aragon</t>
  </si>
  <si>
    <t>Extremadura</t>
  </si>
  <si>
    <t>Canary Islands</t>
  </si>
  <si>
    <t>Asturias</t>
  </si>
  <si>
    <t>BARCELONA</t>
  </si>
  <si>
    <t>BILBAO</t>
  </si>
  <si>
    <t>MADRID</t>
  </si>
  <si>
    <t>MECO</t>
  </si>
  <si>
    <t>CIUDAD REAL</t>
  </si>
  <si>
    <t>ALCOBENDAS</t>
  </si>
  <si>
    <t>LUCENA</t>
  </si>
  <si>
    <t>COBENA</t>
  </si>
  <si>
    <t>MURCIA</t>
  </si>
  <si>
    <t>GALAR</t>
  </si>
  <si>
    <t>A CORUNA</t>
  </si>
  <si>
    <t>VALENCIA</t>
  </si>
  <si>
    <t>RIVAS-VACIAMADRID</t>
  </si>
  <si>
    <t>SEVILLA</t>
  </si>
  <si>
    <t>ALACANT/ALICANTE</t>
  </si>
  <si>
    <t>LEIOA</t>
  </si>
  <si>
    <t>GRANADA</t>
  </si>
  <si>
    <t>SANT CUGAT DEL VALLES</t>
  </si>
  <si>
    <t>VALLADOLID</t>
  </si>
  <si>
    <t>MALAGA</t>
  </si>
  <si>
    <t>OIARTZUN</t>
  </si>
  <si>
    <t>SALAMANCA</t>
  </si>
  <si>
    <t>BENISSANO</t>
  </si>
  <si>
    <t>DONOSTIA/SAN SEBASTIAN</t>
  </si>
  <si>
    <t>CALELLA</t>
  </si>
  <si>
    <t>SANTANDER</t>
  </si>
  <si>
    <t>BERGA</t>
  </si>
  <si>
    <t>ELX/ELCHE</t>
  </si>
  <si>
    <t>CASTELLO PLANA/CASTELLON PLANA</t>
  </si>
  <si>
    <t>BASAURI</t>
  </si>
  <si>
    <t>ALCUDIA</t>
  </si>
  <si>
    <t>PEDROLA</t>
  </si>
  <si>
    <t>VIGO</t>
  </si>
  <si>
    <t>SALOU</t>
  </si>
  <si>
    <t>BADAJOZ</t>
  </si>
  <si>
    <t>TRES CANTOS</t>
  </si>
  <si>
    <t>VITORIA-GASTEIZ</t>
  </si>
  <si>
    <t>EL ASTILLERO</t>
  </si>
  <si>
    <t>PUERTO DE LA CRUZ</t>
  </si>
  <si>
    <t>VALLE ELORZ/ELORTZIBAR</t>
  </si>
  <si>
    <t>SANTIAGO DE COMPOSTELA</t>
  </si>
  <si>
    <t>PALENCIA</t>
  </si>
  <si>
    <t>OURENSE</t>
  </si>
  <si>
    <t>BARBERA DEL VALLES</t>
  </si>
  <si>
    <t>LAS ROZAS DE MADRID</t>
  </si>
  <si>
    <t>CALDES DE MONTBUI</t>
  </si>
  <si>
    <t>ESPLUGUES DE LLOBREGAT</t>
  </si>
  <si>
    <t>AMES</t>
  </si>
  <si>
    <t>OVIEDO</t>
  </si>
  <si>
    <t>ERANDIO</t>
  </si>
  <si>
    <t>www.3d-shaper.com/en/index.html</t>
  </si>
  <si>
    <t>www.abraaduanas.com</t>
  </si>
  <si>
    <t>www.acfyd.com</t>
  </si>
  <si>
    <t>www.aglaw.com</t>
  </si>
  <si>
    <t>www.expert.es</t>
  </si>
  <si>
    <t>www.maestrans.com</t>
  </si>
  <si>
    <t>www.alpinia.digital</t>
  </si>
  <si>
    <t>alta-gestion-de-activos.pymes.com</t>
  </si>
  <si>
    <t>www.amplia-iiot.com</t>
  </si>
  <si>
    <t>www.anhela.es</t>
  </si>
  <si>
    <t>www.gestoriaaras.es</t>
  </si>
  <si>
    <t>www.atiud.com</t>
  </si>
  <si>
    <t>www.asirec.es</t>
  </si>
  <si>
    <t>www.atecna.com</t>
  </si>
  <si>
    <t>www.auren.com</t>
  </si>
  <si>
    <t>www.actaelectronica.es</t>
  </si>
  <si>
    <t>www.bakermckenzie.com/es/locations/emea/spain</t>
  </si>
  <si>
    <t>www.barbaraiot.com</t>
  </si>
  <si>
    <t>www.urbiotica.com</t>
  </si>
  <si>
    <t>www.geekshubs.com</t>
  </si>
  <si>
    <t>www.bilky.es/es</t>
  </si>
  <si>
    <t>www.bornan.net/es</t>
  </si>
  <si>
    <t>www.bitec.es</t>
  </si>
  <si>
    <t>www.chekin.com</t>
  </si>
  <si>
    <t>www.siguetuliga.com</t>
  </si>
  <si>
    <t>www.codigo10.es</t>
  </si>
  <si>
    <t>www.consentio.co</t>
  </si>
  <si>
    <t>www.grupocip.es</t>
  </si>
  <si>
    <t>www.in2ca.com</t>
  </si>
  <si>
    <t>www.conzepto.es</t>
  </si>
  <si>
    <t>www.weplananalytics.com/es</t>
  </si>
  <si>
    <t>www.curellsunol.es</t>
  </si>
  <si>
    <t>www.delectatech.com</t>
  </si>
  <si>
    <t>www.datio.es</t>
  </si>
  <si>
    <t>www.doctomatic.com/en</t>
  </si>
  <si>
    <t>www.ecija.com</t>
  </si>
  <si>
    <t>www.eimlearning.com</t>
  </si>
  <si>
    <t>www.ekolur.com</t>
  </si>
  <si>
    <t>www.grupoprocarion.com</t>
  </si>
  <si>
    <t>www.ejuridico.com</t>
  </si>
  <si>
    <t>www.euromanager.es</t>
  </si>
  <si>
    <t>www.vasbe.com</t>
  </si>
  <si>
    <t>www.fourlaw.es</t>
  </si>
  <si>
    <t>www.darylupsall.com</t>
  </si>
  <si>
    <t>www.visualfy.com</t>
  </si>
  <si>
    <t>egaroa.com</t>
  </si>
  <si>
    <t>gestimusa.pymes.com</t>
  </si>
  <si>
    <t>www.ghthotels.com</t>
  </si>
  <si>
    <t>www.gestisa.com</t>
  </si>
  <si>
    <t>www.garsa.com</t>
  </si>
  <si>
    <t>www.pujol.cat</t>
  </si>
  <si>
    <t>www.gimage.es</t>
  </si>
  <si>
    <t>www.gtyabogados.com</t>
  </si>
  <si>
    <t>www.grudilec.com</t>
  </si>
  <si>
    <t>www.rosgrupoasesor.es</t>
  </si>
  <si>
    <t>www.bedege.es</t>
  </si>
  <si>
    <t>www.guadaltel.com</t>
  </si>
  <si>
    <t>www.guregraf.com</t>
  </si>
  <si>
    <t>www.ibacar.es</t>
  </si>
  <si>
    <t>www.infoautonomos.com</t>
  </si>
  <si>
    <t>www.ics.com.es</t>
  </si>
  <si>
    <t>www.brandmanic.es</t>
  </si>
  <si>
    <t>www.centro-zaragoza.com</t>
  </si>
  <si>
    <t>intermedia.futbol</t>
  </si>
  <si>
    <t>www.ivc.es</t>
  </si>
  <si>
    <t>www.inlabdigital.com</t>
  </si>
  <si>
    <t>www.ohtels.es</t>
  </si>
  <si>
    <t>www.gestefin.com</t>
  </si>
  <si>
    <t>www.iomed.health</t>
  </si>
  <si>
    <t>www.joinup.es</t>
  </si>
  <si>
    <t>www.justogallardoasesores.com</t>
  </si>
  <si>
    <t>www.pedrosalagos.com</t>
  </si>
  <si>
    <t>www.legalpigeon.com</t>
  </si>
  <si>
    <t>www.lexsa.es</t>
  </si>
  <si>
    <t>www.cialt.com</t>
  </si>
  <si>
    <t>www.madridbs.com</t>
  </si>
  <si>
    <t>www.mailtrack.io/es</t>
  </si>
  <si>
    <t>www.lealtadis.es</t>
  </si>
  <si>
    <t>www.merkatu.com</t>
  </si>
  <si>
    <t>www.mollitiamindustries.com</t>
  </si>
  <si>
    <t>www.msiberia.org</t>
  </si>
  <si>
    <t>www.naruintelligence.com</t>
  </si>
  <si>
    <t>www.netboss.es</t>
  </si>
  <si>
    <t>www.neuroenergia.com</t>
  </si>
  <si>
    <t>www.aptosambassador.com</t>
  </si>
  <si>
    <t>www.noqo.net</t>
  </si>
  <si>
    <t>www.wesmartpark.com</t>
  </si>
  <si>
    <t>www.stockagile.com</t>
  </si>
  <si>
    <t>www.nucapsnanotechnology.com</t>
  </si>
  <si>
    <t>www.oliva-ayala.com</t>
  </si>
  <si>
    <t>www.ozonatech.com</t>
  </si>
  <si>
    <t>www.penaabogados.com</t>
  </si>
  <si>
    <t>www.providehcm.es</t>
  </si>
  <si>
    <t>www.proyectait.es</t>
  </si>
  <si>
    <t>www.ramonhermosilla.com</t>
  </si>
  <si>
    <t>www.risk21.com</t>
  </si>
  <si>
    <t>www.roadtodata.com</t>
  </si>
  <si>
    <t>www.roams.es</t>
  </si>
  <si>
    <t>www.rmotion.es</t>
  </si>
  <si>
    <t>www.sainzdebaranda.cat</t>
  </si>
  <si>
    <t>www.clinicassanmiguel.com</t>
  </si>
  <si>
    <t>www.cosaga.com</t>
  </si>
  <si>
    <t>www.seconsa.net</t>
  </si>
  <si>
    <t>www.senniors.com</t>
  </si>
  <si>
    <t>www.serinf.es</t>
  </si>
  <si>
    <t>www.sermaseguros.es</t>
  </si>
  <si>
    <t>www.seproser.com</t>
  </si>
  <si>
    <t>www.sige.es</t>
  </si>
  <si>
    <t>www.sigmaaie.org</t>
  </si>
  <si>
    <t>www.calidae.com</t>
  </si>
  <si>
    <t>www.situm.com</t>
  </si>
  <si>
    <t>www.spinmedia.es</t>
  </si>
  <si>
    <t>www.taxdown.es</t>
  </si>
  <si>
    <t>www.t2client.com</t>
  </si>
  <si>
    <t>www.tirea.es</t>
  </si>
  <si>
    <t>www.tesoriza.com</t>
  </si>
  <si>
    <t>www.placein.com</t>
  </si>
  <si>
    <t>www.treetk.com</t>
  </si>
  <si>
    <t>ubikare.io</t>
  </si>
  <si>
    <t>www.wearetesters.com</t>
  </si>
  <si>
    <t>www.wolorent.com</t>
  </si>
  <si>
    <t>www.xpeer.app</t>
  </si>
  <si>
    <t>www.grupozubizarreta.com</t>
  </si>
  <si>
    <t>6209-LA</t>
  </si>
  <si>
    <t>8211-VL</t>
  </si>
  <si>
    <t>6920-VL</t>
  </si>
  <si>
    <t>6910-VL</t>
  </si>
  <si>
    <t>7490-LA</t>
  </si>
  <si>
    <t>7022-VL</t>
  </si>
  <si>
    <t>6209-VL</t>
  </si>
  <si>
    <t>6202-VL</t>
  </si>
  <si>
    <t>7022-ME</t>
  </si>
  <si>
    <t>6311-VL</t>
  </si>
  <si>
    <t>6203-LA</t>
  </si>
  <si>
    <t>6203-VL</t>
  </si>
  <si>
    <t>7490-VL</t>
  </si>
  <si>
    <t>6202-LA</t>
  </si>
  <si>
    <t>8299-LA</t>
  </si>
  <si>
    <t>7830-VL</t>
  </si>
  <si>
    <t>8299-VL</t>
  </si>
  <si>
    <t>8299-ME</t>
  </si>
  <si>
    <t>7010-SM</t>
  </si>
  <si>
    <t>7021-VL</t>
  </si>
  <si>
    <t>6920-SM</t>
  </si>
  <si>
    <t>7490-ME</t>
  </si>
  <si>
    <t>6920-LA</t>
  </si>
  <si>
    <t>7810-VL</t>
  </si>
  <si>
    <t>Other information technology and computer service activities  (Large Companies)</t>
  </si>
  <si>
    <t>Combined office administrative service activities  (Very Large Companies)</t>
  </si>
  <si>
    <t>Accounting, bookkeeping and auditing activities; tax consultancy  (Very Large Companies)</t>
  </si>
  <si>
    <t>Legal activities  (Very Large Companies)</t>
  </si>
  <si>
    <t>Other professional, scientific and technical activities nec  (Large Companies)</t>
  </si>
  <si>
    <t>Business and other management consultancy activities  (Very Large Companies)</t>
  </si>
  <si>
    <t>Other information technology and computer service activities  (Very Large Companies)</t>
  </si>
  <si>
    <t>Computer consultancy activities  (Very Large Companies)</t>
  </si>
  <si>
    <t>Business and other management consultancy activities  (Medium Companies)</t>
  </si>
  <si>
    <t>Data processing, hosting and related activities  (Very Large Companies)</t>
  </si>
  <si>
    <t>Computer facilities management activities  (Large Companies)</t>
  </si>
  <si>
    <t>Computer facilities management activities  (Very Large Companies)</t>
  </si>
  <si>
    <t>Other professional, scientific and technical activities nec  (Very Large Companies)</t>
  </si>
  <si>
    <t>Computer consultancy activities  (Large Companies)</t>
  </si>
  <si>
    <t>Other business support service activities nec  (Large Companies)</t>
  </si>
  <si>
    <t>Other human resources provision  (Very Large Companies)</t>
  </si>
  <si>
    <t>Other business support service activities nec  (Very Large Companies)</t>
  </si>
  <si>
    <t>Other business support service activities nec  (Medium Companies)</t>
  </si>
  <si>
    <t>Activities of head offices  (Small Companies)</t>
  </si>
  <si>
    <t>Public relations and communication activities  (Very Large Companies)</t>
  </si>
  <si>
    <t>Accounting, bookkeeping and auditing activities; tax consultancy  (Small Companies)</t>
  </si>
  <si>
    <t>Other professional, scientific and technical activities nec  (Medium Companies)</t>
  </si>
  <si>
    <t>Accounting, bookkeeping and auditing activities; tax consultancy  (Large Companies)</t>
  </si>
  <si>
    <t>Activities of employment placement agencies  (Very Large Companies)</t>
  </si>
  <si>
    <t>EL DISEÑO, DESARROLLO Y COMERCIALIZACION DE SOFTWARE MEDICO PARA EL DIAGNOSTICO DE LA OSTEOPOROSIS Y OTRAS ENFERMEDADES OSEAS</t>
  </si>
  <si>
    <t>Agentes de aduanas</t>
  </si>
  <si>
    <t>Servicios de asesoría,Recuperación de activos financieros perdidos</t>
  </si>
  <si>
    <t>Despacho de abogados.</t>
  </si>
  <si>
    <t>Central de marketing y compras.</t>
  </si>
  <si>
    <t>LA COMPRAVENTA, EL ALQUILER, INSTALACION, MANTENIMIENTO, REPARACION, TRANSPORTE Y EXPLOTACION, ESTO ULTIMO, YA SEA POR ARRENDAMIENTO O POR CANON, DE TODA CLASE DE MAQUINARIA AGRICOLA E INDUSTRIAL</t>
  </si>
  <si>
    <t>1. El asesoramiento y consultoría sobre desarrollo, instalación y mantenimiento de sistemas y soportes informáticos avanzados que permitan ofrecer soluciones informáticas completas mediante la utilización de tecnologías. 2. El diseño, desarrollo, producción, integración, operación, mantenimient</t>
  </si>
  <si>
    <t>LA CONTRATACION DE TRABAJADORES PARA CEDERLOS A TERCEROS CON CARACTER TEMPORAL, DE ACUERDO CON LO QUE ESTABLECE LA LEY 14.1994 DE 1 DE JUNIO, QUE REGULA LA ACTIVIDAD DE LAS EMPRESAS DE TRABAJO TEMPORAL.</t>
  </si>
  <si>
    <t>Consultoría y desarrollo de software.</t>
  </si>
  <si>
    <t>La prestación de servicios profesionales de consultoría, tecnologías de la información y outsourcing, la informatica, la compra venta de material de oficina e informático, tanto software como hardware de producción propia o ajena, y su representación, comercialización y distribución, entre otros</t>
  </si>
  <si>
    <t>Gestión de asesoría jurídica laboral y contable</t>
  </si>
  <si>
    <t>1. La compraventa, administración, disfrute, tenencia y explotación de participaciones sociales, activos financieros y valores cotizables o no en mercados oficiales con la finalidad de dirigir, administrar y gestionar dichas participaciones en todo tipo de sociedades, residentes y no residentes en.</t>
  </si>
  <si>
    <t>1. La prestación de servicios, la consultoría, formación y asistencia técnica a las Administraciones Públicas, en los ámbitos de la informática, la organización y la gestión administrativa, abarcando la gestión catastral, la gestión tributaria y recaudatoria en voluntaria y en ejecutiva, la inspecc.</t>
  </si>
  <si>
    <t>Gestión integral de archivos.</t>
  </si>
  <si>
    <t>Desarrollo de servicios de consultoría especializada en business intelligence.</t>
  </si>
  <si>
    <t>Otros servicios relacionados con las tecnologías de la información y la informatica. a) La prestación de servicios informáticos (software y hardware), a todo tipo de instituciones o empresas tanto de carácter público como privadas. b) La puesta a disposición de servicios y equipos destinados</t>
  </si>
  <si>
    <t>Gestión de despacho de abogados</t>
  </si>
  <si>
    <t>Código CNAE actividad principal 6202.Desarrollo de software para empresas de hardware Consultoria de Desarrollo en Móviles. Consultoría técnica de android e ios. Desarrollo de páginas web, creación de aplicaciones móviles</t>
  </si>
  <si>
    <t>Diseño y soluciones informáticas de software y hardware para parkings inteligentes.</t>
  </si>
  <si>
    <t>-Prestación de servicios de gestión y desarrollo de proyectos y eventos tecnológicos; de gestión de actividades de marketing y publicidad; y de gestión de un local de espacio de trabajo compartido. -Servicios educativos de formación tecnológica e informática. -Informática, telecomunicaciones y of</t>
  </si>
  <si>
    <t>a) La gestión de envío, almacenamiento y custodia de nóminas por internet (vía web). b) La gestión y explotación de bases de datos. c) Consultoría, desarrollo e I+ D en informática y en sistemas de la información y el asesoramiento, comercialización, implementación y mantenimiento de proyectos en la</t>
  </si>
  <si>
    <t>Otros servicios relacionados con las tecnologías de la información y la informática</t>
  </si>
  <si>
    <t>Desarrollo e integración de soluciones informáticas para la gestión empresarial.</t>
  </si>
  <si>
    <t>otros servicios relacionados con las tecnologicas de la información y la informatica</t>
  </si>
  <si>
    <t>Venta y gestión de publicidad online; consultoría informática; gestión de clubes deportivos; y diseño, desarrollo y mantenimiento de aplicaciones web</t>
  </si>
  <si>
    <t>Informatica software</t>
  </si>
  <si>
    <t>EL DESARROLLO, IMPORTACION, EXPORTACION, VENTA, MARKETING Y COMERCIALIZACION DE SERVICIOS DE SOFTWARE RELATIVOS A LA TECNOLOGIA BLOCKCHAIN, ETC</t>
  </si>
  <si>
    <t>Prestación de servicios informáticos para empresas y particulares.</t>
  </si>
  <si>
    <t>REALIZACION DE ESTUDIOS TECNICOS INDUSTRIALES, INFORMATICOS Y DE ORGANIZACION, PRESTACION DE SERVICIOS DE PROCESOS DE DATOS Y CURSOS DE FORMACION.</t>
  </si>
  <si>
    <t>INVESTIGAR, DESARROLLAR ACTIVIDADES Y PRESTAR SERVICIOS EN EL AREA DE LAS TELECOMUNICACIONES, LA INFORMACION Y LA COMUNICACION, EN PARTICULAR, CON INTERNET Y OTRAS REDES INCLUYENDO ACTIVIDADES DE PRODUCCION. DISTRIBUCION</t>
  </si>
  <si>
    <t>DESARROLLO DE SOFTWARE Y ASESORIA TECNICA Y ECONOMICA</t>
  </si>
  <si>
    <t>EJERCICIO EN COMUN DE TODAS LAS ACTIVIDADES PROFESIONALES RELACIONADAS CON LA PROFESION DE AGENTE DE LA PROPIEDAD INDUSTRIAL Y DE AGENTE DE PATENTES EUROPEAS; ASI COMO LA DE ABOGADO.</t>
  </si>
  <si>
    <t>(CNAE 6209). INVESTIGACION, DESARROLLO INTEGRAL DE SOFTWARE MULTIPLATAFORMA, CONSULTORIA, Y FORMACION INFORMATICA</t>
  </si>
  <si>
    <t>Desarrollo de software</t>
  </si>
  <si>
    <t>ACTIVIDAD PRINCIPAL: 8299 / OTRAS ACTIVIDADES DE APOYO A LAS EMPRESAS. OTRAS ACTIVIDADES: 6201 / ACTIVIDADES DE PROGRAMACION INFORMATICA</t>
  </si>
  <si>
    <t>Prestación de servicios jurídicos legales en el ámbito de derecho a empresas</t>
  </si>
  <si>
    <t>ASESORIA, FORMACION Y DISTRIBUCION DE METEDOLOGIA Y RECURSOS DIDACTICOS PARA LA MEJORA DE LAS HABILIDADES DE APRENDIZAJE, ESPECIFICAMENTE LA LECTURA, LA MEMORIA Y EL RAZONAMIENTO..</t>
  </si>
  <si>
    <t>Asesoría medioambiental.</t>
  </si>
  <si>
    <t>Servicio de prevención de riesgos laborales</t>
  </si>
  <si>
    <t>Despacho de abogados y economistas</t>
  </si>
  <si>
    <t>Consultoría de recursos humanos.</t>
  </si>
  <si>
    <t>Servicios de consejería y auxiliares a otras empresas.</t>
  </si>
  <si>
    <t>Gestión y explotación de un despacho de abogados.</t>
  </si>
  <si>
    <t>Consultoría de gestión empresarial.</t>
  </si>
  <si>
    <t>1. La fabricación, el desarrollo, la comercialización, instalación y el mantenimiento de equipos electrónicos, informáticos y de software, incluidos sus accesorios. 2. La confección, instalación y compraventa de páginas web. 3. La explotación electrónica por cuenta de terceros, consistiendo esta ...</t>
  </si>
  <si>
    <t>Explotación y gestión de camping.</t>
  </si>
  <si>
    <t>Servicios administrativos, prestados a otras empresas.</t>
  </si>
  <si>
    <t>Gestión administrativa del grupo empresarial hotelero.</t>
  </si>
  <si>
    <t>Asesoría fiscal, contable, laboral y jurídica</t>
  </si>
  <si>
    <t>Gestoría hipotecaria</t>
  </si>
  <si>
    <t>Prestación de servicios de gestión y asesoramiento a empresas y particulares</t>
  </si>
  <si>
    <t>Servicios de comunicación dinámica.</t>
  </si>
  <si>
    <t>Soporte financiero a las empresas del grupo.</t>
  </si>
  <si>
    <t>Asesoría jurídica, financiera, fiscal y laboral.</t>
  </si>
  <si>
    <t>Gestión de una constructora.</t>
  </si>
  <si>
    <t>Servicios tecnicos de ingenieria informatica (sector Tic).</t>
  </si>
  <si>
    <t>Impresión en offset</t>
  </si>
  <si>
    <t>La Sociedad tiene por objeto la compra, venta, arrendamiento, servicios dereparación y mantenimiento, mecánica, pintura, plancha, servicio de grúa para coches de empresas de alquiler. Prestación de servicios auxiliares, de asesoramiento, de marketing, administración, publicidad..</t>
  </si>
  <si>
    <t>Asesoría laboral, financiera y contable.</t>
  </si>
  <si>
    <t>Servicios tecnológicos, distribución y comercialización de productos tecnológicos, prestación de servicios técnicos y informáticos.</t>
  </si>
  <si>
    <t>1. La investigación y desarrollo de aplicaciones tecnológicas para la gestión de redes sociales y creación de herramientas informáticas expertas para la optimización de la información. 2. El desarrollo de contenidos, productos, herramientas y plataformas para la gestión de la información y contenido</t>
  </si>
  <si>
    <t>Servicios técnicos de informes periciales y siniestros.</t>
  </si>
  <si>
    <t>Otras actividades profesionales, científicas y técnicas n. c. o. p</t>
  </si>
  <si>
    <t>LA PRESTACION DE SERVICIOS DE ASESORIA Y CONSULTORIA EN EL CAMPO DE LAS INVERSIONES EXTRANJERAS EN ESPANA E INVERSONES ESPANOLAS EN EL EXTERIOR. LA CONSULTORIA EN MATERIA MERCANTIL, CIVIL, FISCAL, LABORAL Y ADMINISTRATIV</t>
  </si>
  <si>
    <t>La sociedad tiene por objeto: Actividad principal: Agencia de publicidad (CNAE 7311). Actividades secundarias: Consultoría estratégica de marca, publicidad online, marketing estratégico. Comercialización y gestión de campañas de publicidad digital. La publicidad, la comercialización de medios de ..</t>
  </si>
  <si>
    <t>Servicios hoteleros</t>
  </si>
  <si>
    <t>COMPRA VENTA, EXPLOTACION, ALQUILER, PARCELACION, PROMOCION Y URBANIZACON DE SOLARES, TERRENOS Y FINCAS DE CUALQUIER NATURALEZA, PUDIENDO PROCEDES A LA EDIFICACION, ETC.</t>
  </si>
  <si>
    <t>Desarrollo de plataformas para el sector médico.</t>
  </si>
  <si>
    <t>Gestión de recursos informáticos, principalmente recursos de servicios de movilidad terrestre.</t>
  </si>
  <si>
    <t>Asesoría laboral, fiscal contable y jurídica.</t>
  </si>
  <si>
    <t>Asesoramiento fiscal a empresas.</t>
  </si>
  <si>
    <t>LA EXPLOTACION DE APLICACIONES INFORMATICAS DE SERVICIOS PARA TERCEROS. ADICIONALMENTE ACTUANDO COMO COMISIONISTA POR LA INTERMEDIACION DE PONER EN CONTACTO A PERSONAS Y PROFESIONALES</t>
  </si>
  <si>
    <t>Servicios jurídicos ,laboral ,social ,mercantil etc</t>
  </si>
  <si>
    <t>Despacho jurídico, asesoría fiscal y mercantil.</t>
  </si>
  <si>
    <t>Servicios informáticos para empresas.</t>
  </si>
  <si>
    <t>LA PRESTACION DE SERVICIOS Y LA PROVISION DE HERRAMIENTAS PARA EL CONTROL Y SEGUIMIENTO DE CORREOS ELECTRONICOS</t>
  </si>
  <si>
    <t>EL EJERCICIO DE LA ABOGACIA.</t>
  </si>
  <si>
    <t>Consultoría estratégica en internet.</t>
  </si>
  <si>
    <t>CNAE6209Servicios de asistencia técnica, desarrollo software, integración de sistemas, consultoría, formación de herramientas.Proveer, gestionar de productos, marcas.Diseño, construcción, explotación.Promoción, publicidad.Compra, venta, comercialización de productos industriales.Alquiler de bienes muebles..</t>
  </si>
  <si>
    <t>Servicios prestados a las empresas: automoción.</t>
  </si>
  <si>
    <t>- El desarrollo, comercialización, implementación, implantación y validación de software como producto sanitario y otros sistemas informatizados aplicados al sector de la salud, incluyendo la investigación y el desarrollo experimental en biotecnología. - La consultoría de proyectos. - La fabricación.</t>
  </si>
  <si>
    <t>actividades relacionadas con It-Contar Center-Cmr</t>
  </si>
  <si>
    <t>EL DESARROLLO, LA EXPLOTACION Y LA COMERCIALIZACION DE SOFTWARE Y APLICACIONES INFORMATICAS RELACIONADAS CON LA ENERGIA..</t>
  </si>
  <si>
    <t>LA ADMINISTRACION DE INVERSIONES HOTELERAS Y EMPRESAS TURISTICAS, PROMOCIONES INMOBILIARIAS Y ASESORAMIENTO EMPRESARIAL.</t>
  </si>
  <si>
    <t>PRODUCCION, EXHIBICION, EDICION, IMPORTACION, EXPORTACION, DISTRIBUCION, COMPRAVENTA Y ALQUILER DE TODO TIPO DE PRODUCTOS AUDIOVISUALES Y PUBLICACIONES EN SOPORTE PAPEL, ELECTRONICO, AUDIO O VIDEO, ENCUADERNACIONES, COMPOSICION Y FOTOGRABADO. PARTICIPACION EN TODO TIPO DE MUESTRAS, FESTIVALES,</t>
  </si>
  <si>
    <t>EL DESARROLLO Y LA COMERCIALIZACION DE TECNOLOGIA PROPIA, HARDWARE Y SOFTWARE, QUE PERMITA LA GESTION DE ACTIVOS INMOBILIARIOS, INCLUYENDO ACTIVIDADES DE PROGRAMACION INFORMATICA, GESTION DE RECURSOS INFORMATICOS,...</t>
  </si>
  <si>
    <t>LOS SERVICIOS RELACIONADOS CON LAS TECNOLOGIAS DE LA INFORMACION Y LA INFORMATICA CNAE 6209</t>
  </si>
  <si>
    <t>Servicios relacionados con la encapsulación de todo tipo de sustancias, compuestos y microorganismo con micro/nanocápsulas, basada en el uso de proteínas naturales de calidad alimentaria para la industria alimentaria, neutracéutica, cosmética y farmacéutica. Y otras</t>
  </si>
  <si>
    <t>Gestión y explotación de despacho de abogados especialistas en derecho penal.</t>
  </si>
  <si>
    <t>Consultoría informática y desarrollo de programas informáticos.</t>
  </si>
  <si>
    <t>Servicios de partner de SAP.</t>
  </si>
  <si>
    <t>Consultoría informática, venta de ordenadores, aplicaciones informáticas.</t>
  </si>
  <si>
    <t>Prevención de riesgos laborales.</t>
  </si>
  <si>
    <t>Servicios de consultoría informática para empresas.</t>
  </si>
  <si>
    <t>a) Servicios relacionados con las tecnologías de la información. b) Servicios de intermediación comercial en telefonía. c) Servicios de asesoría, consultoría, desarrollo y comercialización de software y sistemas de telecomunicaciones. d) Servicios de mantenimiento y reparación de los sistemas implantados y.</t>
  </si>
  <si>
    <t>Asesoría fiscal para grupo de empresas al que pertenecen.</t>
  </si>
  <si>
    <t>Asesoría, gestoría y buffet jurídico.</t>
  </si>
  <si>
    <t>COMPRAVENTA Y ARRENDAMIENTO DE FINCAS. SERVICIOS ADMINISTRATIVOS, ECONOMICOS. FISCALES, FINANCIEROS Y CONTABLES A LAS EMPRESAS.</t>
  </si>
  <si>
    <t>Clínica privada de radiodiagnóstico</t>
  </si>
  <si>
    <t>Asesoría jurídica en despacho de abogados.</t>
  </si>
  <si>
    <t>Actividades de servicios sociales sin alojamiento para personas mayores</t>
  </si>
  <si>
    <t>Implantación de software informático para la gestión hotelera.</t>
  </si>
  <si>
    <t>Actividades de asesoría fiscal y correduría de seguros.</t>
  </si>
  <si>
    <t>Prestación de servicios profesionales a empresas y terceros.</t>
  </si>
  <si>
    <t>Prestación de servicios informáticos.</t>
  </si>
  <si>
    <t>Soluciones TI para las instituciones de Educación Superior en España</t>
  </si>
  <si>
    <t>Consultoría informática.</t>
  </si>
  <si>
    <t>Actividades de programación informática, Prestación de servicios relacionados con las tecnologías de la información y la informática, la programación y la consultoría informática. Fabricación de aparatos y equipos electrónicos. Comercio de material tecnológico. Investigación y desarrollo</t>
  </si>
  <si>
    <t>Consulta y desarrollo de aplicaciones y de página web.</t>
  </si>
  <si>
    <t>(i) La explotación de aplicaciones informáticas para ofrecer servicios de asesoría e intermediación fiscal; (ii) La prestación de los servicios propios de los proveedores de servicios de información fiscal y personal; (iii) La participación en el capital de otras sociedades o entidades, civiles</t>
  </si>
  <si>
    <t>Auditoria y consultoría de sistemas informáticos y administración de sistemas.</t>
  </si>
  <si>
    <t>Gestión de aplicaciones informáticas para empresas aseguradoras.</t>
  </si>
  <si>
    <t>Las actividades de compra y venta de créditos, así como la intermediación para su compra y venta por terceros y Actuaciones relacionadas con la compensación de deudas,. CNAE 6399 La prestación de servicios de consultoria dirigidos a empresas. El desarrollo y ejecución de proyectos de comercio elec.</t>
  </si>
  <si>
    <t>la planificación, negociación y gestión de compras de espacios en medios online y offline; y la creación de empresas que comercializan productos y/o servicios a través del uso intensivo de las tecnologías de la información y la comunicación (tic s), gestión y financiación de las mismas. Asimismo, la</t>
  </si>
  <si>
    <t>Desarrollo de sistemas Big Data, ciberseguridad, inteligencia artificial y triaje de hospitales</t>
  </si>
  <si>
    <t>Desarrollo de software con consideración de producto sanitario. Servicios de consultoría empresarial. Prestación de servicios sociosanitarios.</t>
  </si>
  <si>
    <t>DESARROLLO DE PLATAFORMAS TECNOLOGICAS DIGITALES PARA LA PRESTACION DE SERVICIOS EN EL SECTOR INMOBILIARIO Y SERVICIOS DE VALOR AÑADIDO RELACIONADO. PRESTACION DE SERVICIOS DE INTERMEDIACION EN EL ALQUILER , ETC</t>
  </si>
  <si>
    <t>LA CREACION DE UNA PLATAFORMA DIGITAL DE FORMACION MEDICA CNAE 6209</t>
  </si>
  <si>
    <t>Consultoría de servicios financieros y contables.</t>
  </si>
  <si>
    <t>Musculoskeletal diseases medical imaging software developer [source: Bureau van Dijk]</t>
  </si>
  <si>
    <t>Engaged in providing legal services [source: Bureau van Dijk]</t>
  </si>
  <si>
    <t>Engaged in advertising and other related support activities; Operates as an advertising agency [source: Bureau van Dijk]</t>
  </si>
  <si>
    <t>Engaged in software development and IT consultancy [source: Bureau van Dijk]</t>
  </si>
  <si>
    <t>Engaged in the development, implementation, and support of software products for IoT applications [source: Bureau van Dijk]</t>
  </si>
  <si>
    <t>Documents digitalisation services ; Archive management services ; Archive management software developer [source: Bureau van Dijk]</t>
  </si>
  <si>
    <t>Engaged in providing software and hardware solutions [source: Bureau van Dijk]</t>
  </si>
  <si>
    <t>Engaged in the provision of legal and other related services [source: Bureau van Dijk]</t>
  </si>
  <si>
    <t>Cybersecurity edge industrial platform operator [source: Bureau van Dijk]</t>
  </si>
  <si>
    <t>Engaged in providing management and development services for technological projects and events [source: Bureau van Dijk]</t>
  </si>
  <si>
    <t>Tourist apartments and small hotels check-in platform operator [source: Bureau van Dijk]</t>
  </si>
  <si>
    <t>Online regional football content platform operator [source: Bureau van Dijk]</t>
  </si>
  <si>
    <t>Online fruit and vegetables marketplace platform operator [source: Bureau van Dijk]</t>
  </si>
  <si>
    <t>Engaged in web hosting, website management, or IT services, given the association with Parallels Plesk [source: Bureau van Dijk]</t>
  </si>
  <si>
    <t>Mobile phone tariff comparison application provider [source: Bureau van Dijk]</t>
  </si>
  <si>
    <t>Engaged in the development of smart card applications and digital identity management solutions [source: Bureau van Dijk]</t>
  </si>
  <si>
    <t>Law firm [source: Bureau van Dijk]</t>
  </si>
  <si>
    <t>Employment agency services [source: Bureau van Dijk]</t>
  </si>
  <si>
    <t>Legal services [source: Bureau van Dijk]</t>
  </si>
  <si>
    <t>Engaged in the operation of advertising agencies [source: Bureau van Dijk]</t>
  </si>
  <si>
    <t>Accessible technology for people with hearing loss software developer [source: Bureau van Dijk]</t>
  </si>
  <si>
    <t>Engaged in the provision of general advice and processing of all types of documents to public and private agencies [source: Bureau van Dijk]</t>
  </si>
  <si>
    <t>Television media content and programme scheduling solutions provider [source: Bureau van Dijk]</t>
  </si>
  <si>
    <t>Engaged in the provision of computer programming, data processing, and other computer related services [source: Bureau van Dijk]</t>
  </si>
  <si>
    <t>Online influence-based marketing services [source: Bureau van Dijk]</t>
  </si>
  <si>
    <t>Engaged in the management and operation of elementary and secondary schools [source: Bureau van Dijk]</t>
  </si>
  <si>
    <t>Hotel operator [source: Bureau van Dijk]</t>
  </si>
  <si>
    <t>Primarily engaged in the provision financial intermediation services [source: Bureau van Dijk]</t>
  </si>
  <si>
    <t>Medical data-based medical natural language processing Software-as-a-Service (SaaS) provider [source: Bureau van Dijk]</t>
  </si>
  <si>
    <t>Engaged in computer facilities management services [source: Bureau van Dijk]</t>
  </si>
  <si>
    <t>Accounting services ; Legal services [source: Bureau van Dijk]</t>
  </si>
  <si>
    <t>Legal advisory platform operator [source: Bureau van Dijk]</t>
  </si>
  <si>
    <t>Primarily engaged in the provision of legal services [source: Bureau van Dijk]</t>
  </si>
  <si>
    <t>Engaged in the provision of accounting, auditing, and bookeeping services [source: Bureau van Dijk]</t>
  </si>
  <si>
    <t>Mail track software developer [source: Bureau van Dijk]</t>
  </si>
  <si>
    <t>Digital business consultancy [source: Bureau van Dijk]</t>
  </si>
  <si>
    <t>Biomedical software developer [source: Bureau van Dijk]</t>
  </si>
  <si>
    <t>Engaged in providing management, scientific, and technical consulting services [source: Bureau van Dijk]</t>
  </si>
  <si>
    <t>Online parking spaces rental mobile application platform operator ; Online parking spaces rental services platform operator [source: Bureau van Dijk]</t>
  </si>
  <si>
    <t>Cloud-based supply chain resources management and optimisation Software-as-a-Service (SaaS) operator [source: Bureau van Dijk]</t>
  </si>
  <si>
    <t>Natural proteins and vitamins capsules developer [source: Bureau van Dijk]</t>
  </si>
  <si>
    <t>Primarily engaged in the provision of computer systems design and other related services [source: Bureau van Dijk]</t>
  </si>
  <si>
    <t>Mobile phone network comparison and management mobile application provider [source: Bureau van Dijk]</t>
  </si>
  <si>
    <t>Elderly care services provider [source: Bureau van Dijk]</t>
  </si>
  <si>
    <t>Engaged in the provision of IT (information technology) training services [source: Bureau van Dijk]</t>
  </si>
  <si>
    <t>Engaged in the provision of schools and educational services [source: Bureau van Dijk]</t>
  </si>
  <si>
    <t>Engaged in providing computer programming, data processing, and other computer services [source: Bureau van Dijk]</t>
  </si>
  <si>
    <t>Online indoor positioning Platform-as-a-Service (PaaS) provider [source: Bureau van Dijk]</t>
  </si>
  <si>
    <t>Engaged in digital media and publishing, focusing on entertainment and music content [source: Bureau van Dijk]</t>
  </si>
  <si>
    <t>Tax management platform operator [source: Bureau van Dijk]</t>
  </si>
  <si>
    <t>Engaged in the provision of technology solutions for the insurance sector in Spain [source: Bureau van Dijk]</t>
  </si>
  <si>
    <t>Digital transformation services provider [source: Bureau van Dijk]</t>
  </si>
  <si>
    <t>Seniors comprehensive health and home care services provider [source: Bureau van Dijk]</t>
  </si>
  <si>
    <t>Online market research platform operator [source: Bureau van Dijk]</t>
  </si>
  <si>
    <t>Engaged in a long-term apartment rental platform [source: Bureau van Dijk]</t>
  </si>
  <si>
    <t>Engaged in providing accredited continuing medical education services [source: Bureau van Dijk]</t>
  </si>
  <si>
    <t>Engaged in providing legal services</t>
  </si>
  <si>
    <t>Engaged in advertising and other related support activities; Operates as an advertising agency</t>
  </si>
  <si>
    <t>Engaged in software development and IT consultancy</t>
  </si>
  <si>
    <t>Engaged in the development, implementation, and support of software products for IoT applications</t>
  </si>
  <si>
    <t>Engaged in providing software and hardware solutions</t>
  </si>
  <si>
    <t>Engaged in the provision of legal and other related services</t>
  </si>
  <si>
    <t>Engaged in providing management and development services for technological projects and events</t>
  </si>
  <si>
    <t>Engaged in web hosting, website management, or IT services, given the association with Parallels Plesk</t>
  </si>
  <si>
    <t>Engaged in the development of smart card applications and digital identity management solutions</t>
  </si>
  <si>
    <t>Engaged in the operation of advertising agencies</t>
  </si>
  <si>
    <t>Engaged in the provision of general advice and processing of all types of documents to public and private agencies</t>
  </si>
  <si>
    <t>Engaged in the provision of computer programming, data processing, and other computer related services</t>
  </si>
  <si>
    <t>Engaged in the management and operation of elementary and secondary schools</t>
  </si>
  <si>
    <t>Primarily engaged in the provision financial intermediation services</t>
  </si>
  <si>
    <t>Engaged in computer facilities management services</t>
  </si>
  <si>
    <t>Primarily engaged in the provision of legal services</t>
  </si>
  <si>
    <t>Engaged in the provision of accounting, auditing, and bookeeping services</t>
  </si>
  <si>
    <t>Engaged in providing management, scientific, and technical consulting services</t>
  </si>
  <si>
    <t>Primarily engaged in the provision of computer systems design and other related services</t>
  </si>
  <si>
    <t>Engaged in the provision of IT (information technology) training services</t>
  </si>
  <si>
    <t>Engaged in the provision of schools and educational services</t>
  </si>
  <si>
    <t>Engaged in providing computer programming, data processing, and other computer services</t>
  </si>
  <si>
    <t>Engaged in digital media and publishing, focusing on entertainment and music content</t>
  </si>
  <si>
    <t>Engaged in the provision of technology solutions for the insurance sector in Spain</t>
  </si>
  <si>
    <t>Engaged in a long-term apartment rental platform</t>
  </si>
  <si>
    <t>Engaged in providing accredited continuing medical education services</t>
  </si>
  <si>
    <t>Services</t>
  </si>
  <si>
    <t>Legal services</t>
  </si>
  <si>
    <t>Advertising and other related support activities</t>
  </si>
  <si>
    <t>Developing software solutions by combining traditional and emerging architectures; Follows an agile methodology to ensure flexibility and responsiveness in project management; Foster research, innovation, and talent development; Providing customized solutions to clients through a customer-centric approach, emphasizing transparency and ethical behavior</t>
  </si>
  <si>
    <t>The OpenGate IoT Platform, which connects industrial machines, devices, and assets with business processes, optimizing costs through monitoring and automated rules, smart metering, multi-utility, and digital asset management</t>
  </si>
  <si>
    <t>IT services: consulting, software, and hardware solutions for businesses, technological solutions: they provide technological services aimed at enhancing business performance and digital infrastructure</t>
  </si>
  <si>
    <t>Legal and other related services</t>
  </si>
  <si>
    <t>Consulting and overseeing the development of tech-based projects, organizing and managing technology-related events, planning and executing marketing campaigns, digital advertising, brand management, social media strategy, providing shared office space, offering educational services, providing professional development in software programming and networking, and managing IT infrastructure, telecommunications services, and office services</t>
  </si>
  <si>
    <t>Providing website management, hosting services, or IT infrastructure solutions; Offers products like Parallels Plesk for web hosting management, cloud computing automation solutions, and virtualization software, which could be part of Conzepto's service offerings</t>
  </si>
  <si>
    <t>A range of technological solutions including instant issuance of personalized smart cards, vineyard harvest management (Vitio), access control systems, and electronic signature tools; Focuses on delivering tailored and integrated software services to businesses and regulatory organizations; Provides consulting and technical support for smart cards, electronic signatures, and digital identity projects</t>
  </si>
  <si>
    <t>Custom made wedding rings</t>
  </si>
  <si>
    <t>General advice and processing of all types of documents to public and private agencies</t>
  </si>
  <si>
    <t>Computer programming, data processing, and other computer related services</t>
  </si>
  <si>
    <t>Furnishing academic courses and associated course work that comprise a basic preparatory education</t>
  </si>
  <si>
    <t>Financial intermediation services</t>
  </si>
  <si>
    <t>Computer systems facilities (i.e., clients' facilities) management and operation services, data processing facilities (i.e., clients' facilities) management and operation services, facilities (i.e., clients' facilities) management and operation services, computer systems and data processing, facilities (i.e., clients' facilities) support services, computer systems and data processing</t>
  </si>
  <si>
    <t>Accounting, auditing, and bookeeping services</t>
  </si>
  <si>
    <t>Advice and assistance to businesses and other organizations on management issues, such as strategic and organizational planning, financial planning and budgeting, marketing objectives and policies, human resource policies, practices, and planning</t>
  </si>
  <si>
    <t>Computer systems design and other related services</t>
  </si>
  <si>
    <t>IT (information technology) training services</t>
  </si>
  <si>
    <t>Schools and educational services</t>
  </si>
  <si>
    <t>Global IT (information technology) solutions and consulting services</t>
  </si>
  <si>
    <t>Operating a network of entertainment and music websites, producing and publishing online pop culture and digital music brands; Connected a vast network of entertainment and music fans to content, celebrities, and brands it loved</t>
  </si>
  <si>
    <t>Technology solutions for the insurance sector</t>
  </si>
  <si>
    <t>Offering an all-in-one digital platform that simplifies the apartment rental process by connecting landlords and tenants; Property listing, tenant searching, digital contract signing, insurance options, and management of rental payments; Emphasizes transparency, efficiency, and security, leveraging technology to enhance the user experience; Supports digital communication and provides real-time access to rental information</t>
  </si>
  <si>
    <t>Free online accredited medical courses, offering immediate CME/CPD credits, with instant accreditation, up-to-date medical news, tests and diplomas, community engagement, and business solutions</t>
  </si>
  <si>
    <t>U1</t>
  </si>
  <si>
    <t>n.d.</t>
  </si>
  <si>
    <t>n.s.</t>
  </si>
  <si>
    <t>A-</t>
  </si>
  <si>
    <t>A+</t>
  </si>
  <si>
    <t>A</t>
  </si>
  <si>
    <t>No</t>
  </si>
  <si>
    <t>⃝</t>
  </si>
  <si>
    <t>R</t>
  </si>
  <si>
    <t>NO</t>
  </si>
  <si>
    <t>SI (Rechazado)</t>
  </si>
  <si>
    <t>La empresa analizada desarrolla y comercializa un software médico especializado para el análisis óseo, lo cual es fundamentalmente diferente de los servicios de apoyo a la gestión ofrecidos por el cliente (administrativos, nóminas, contabilidad, IT básico). (Confianza: 100%)</t>
  </si>
  <si>
    <t>Error/Junk: Timeout/Error Conexión</t>
  </si>
  <si>
    <t>La empresa analizada se especializa en auditorías de contratos y gastos mediante análisis de datos y consultoría, lo cual difiere de los servicios de apoyo a la gestión general (administrativos, nóminas, contabilidad, IT básico) que ofrece el cliente. (Confianza: 95%)</t>
  </si>
  <si>
    <t>La empresa analizada se dedica a la venta minorista e instalación de electrodomésticos, ofreciendo también servicios de financiación y reciclaje. Esto difiere de los servicios de apoyo a la gestión (administrativos, nóminas, contabilidad, IT básico) del cliente. (Confianza: 100%)</t>
  </si>
  <si>
    <t>La empresa analizada se dedica al transporte, distribución y almacenaje, servicios que son completamente diferentes a los servicios de apoyo a la gestión (administrativos, nóminas, contabilidad, IT básico) del cliente. (Confianza: 100%)</t>
  </si>
  <si>
    <t>Alpinia Technologies se dedica al desarrollo y creación de software y soluciones tecnológicas avanzadas, lo cual difiere significativamente de los servicios de apoyo a la gestión (administrativos, nóminas, contabilidad) y TI básico que ofrece el cliente. (Confianza: 95%)</t>
  </si>
  <si>
    <t>La empresa analizada se especializa en soluciones de IoT industrial, plataformas de software y consultoría de transformación digital, lo cual difiere completamente de los servicios de apoyo a la gestión y TI básico ofrecidos por el cliente. (Confianza: 100%)</t>
  </si>
  <si>
    <t>La empresa analizada ofrece consultoría y desarrollo de software altamente especializado en tecnología avanzada (Devops, Cloud, IA, Industria 4.0) para sectores específicos como Defensa y Sanidad, lo cual difiere de los servicios de apoyo a la gestión y TI básico del cliente. (Confianza: 95%)</t>
  </si>
  <si>
    <t>La empresa analizada, Gestoría Aras, ofrece servicios de asesoría laboral, fiscal, contable y gestión administrativa, que se alinean directamente con los servicios de apoyo a la gestión (administrativos, nóminas, contabilidad) del cliente. (Confianza: 95%)</t>
  </si>
  <si>
    <t>La empresa analizada es una sociedad de inversión que adquiere y gestiona participaciones en otras empresas, lo cual difiere fundamentalmente de los servicios de apoyo a la gestión administrativa, nóminas, contabilidad o IT básico del cliente. (Confianza: 100%)</t>
  </si>
  <si>
    <t>Asirec se especializa en la gestión de tributos y trabajos catastrales para la Administración Pública, lo cual difiere de los servicios de apoyo a la gestión general, nóminas, contabilidad e IT básico que ofrece el cliente. (Confianza: 95%)</t>
  </si>
  <si>
    <t>La empresa analizada ofrece servicios BPO y de transformación digital para procesos administrativos clave, incluyendo gestión documental, automatización de facturación y gestión de RRHH, lo cual coincide con los servicios de apoyo a la gestión administrativa, contabilidad y TI básico del cliente. (Confianza: 95%)</t>
  </si>
  <si>
    <t>La empresa analizada es una consultora que ofrece servicios de apoyo administrativo y de nóminas (Lohnbuchhaltung, Personalverwaltung) y contabilidad (Steuerberatung, Wirtschaftsprüfung), los cuales coinciden con los del cliente. (Confianza: 70%)</t>
  </si>
  <si>
    <t>La empresa analizada ofrece servicios de asesoramiento jurídico integral en todas las áreas del Derecho, lo cual es sustancialmente diferente a los servicios de apoyo a la gestión (administrativos, nóminas, contabilidad, IT básico) que proporciona el cliente. (Confianza: 100%)</t>
  </si>
  <si>
    <t>La empresa analizada ofrece una plataforma de Edge AI para la implementación y orquestación de aplicaciones y modelos de IA en entornos industriales, lo cual difiere significativamente de los servicios de apoyo a la gestión (administrativos, nóminas, contabilidad, IT básico) que presta el cliente. (Confianza: 100%)</t>
  </si>
  <si>
    <t>Error/Junk: HTTP 526</t>
  </si>
  <si>
    <t>Error/Junk: HTTP 403</t>
  </si>
  <si>
    <t>La empresa analizada ofrece soluciones tecnológicas y servicios de gestión para eventos deportivos (cronometraje, puntuación, transmisión de vídeo, etc.), lo cual es muy diferente de los servicios de apoyo a la gestión (administrativos, nóminas, contabilidad, IT básico) del cliente. (Confianza: 100%)</t>
  </si>
  <si>
    <t>La empresa analizada se especializa en consultoría, implementación y soporte de software de gestión empresarial (ERP, CRM), Business Intelligence, sistemas IT avanzados, cloud y ciberseguridad, lo cual difiere de los servicios de apoyo a la gestión administrativa, nóminas, contabilidad e IT básico ofrecidos por el cliente. (Confianza: 95%)</t>
  </si>
  <si>
    <t>La empresa analizada ofrece software y servicios especializados para la automatización del check-in y la gestión de huéspedes en el sector turístico y de alojamientos, lo cual difiere significativamente de los servicios de apoyo a la gestión general (administrativos, nóminas, contabilidad, IT básico) del cliente. (Confianza: 95%)</t>
  </si>
  <si>
    <t>El cliente ofrece servicios de apoyo a la gestión administrativa, nóminas y contabilidad, mientras que la empresa analizada es una plataforma online de ligas y resultados de deporte regional. (Confianza: 100%)</t>
  </si>
  <si>
    <t>El cliente ofrece servicios de apoyo a la gestión y TI básica, mientras que la empresa analizada se especializa en el desarrollo e implementación de software ERP y soluciones informáticas avanzadas para sectores específicos, así como consultoría y servicios de infraestructura TI, lo cual excede el alcance de 'TI básico'. (Confianza: 95%)</t>
  </si>
  <si>
    <t>La empresa analizada opera una plataforma de trading online para productos frescos, lo cual es fundamentalmente diferente de los servicios de apoyo a la gestión (administrativos, nóminas, contabilidad, IT básico) ofrecidos por el cliente. (Confianza: 100%)</t>
  </si>
  <si>
    <t>El cliente ofrece servicios de apoyo a la gestión (administrativos, nóminas, contabilidad, IT básico), mientras que la empresa analizada se dedica a la comercialización, soporte y formación de programas informáticos para estas actividades, además de soluciones IT como antivirus y backup. Sus modelos de negocio son diferentes. (Confianza: 95%)</t>
  </si>
  <si>
    <t>La empresa analizada se dedica al desarrollo y comercialización de software ERP especializado para la industria de artes gráficas e imprentas. El cliente ofrece servicios de apoyo a la gestión (administrativos, nóminas, contabilidad, IT básico). Las actividades no son comparables. (Confianza: 100%)</t>
  </si>
  <si>
    <t>La empresa analizada ofrece soluciones de análisis de calidad de red basadas en IA para operadores de telecomunicaciones, lo cual difiere significativamente de los servicios de apoyo a la gestión (administrativos, nóminas, contabilidad, IT básico) que ofrece el cliente. (Confianza: 100%)</t>
  </si>
  <si>
    <t>El cliente ofrece servicios generales de apoyo a la gestión (administrativos, nóminas, contabilidad, IT básico), mientras que la empresa analizada proporciona una plataforma de IA y Big Data altamente especializada para decisiones estratégicas de marketing y ventas en el sector foodservice. Las actividades no coinciden. (Confianza: 95%)</t>
  </si>
  <si>
    <t>La empresa analizada es una compañía de software que menciona tarjetas inteligentes, lo cual no coincide con los servicios de apoyo a la gestión y TI básico del cliente. (Confianza: 95%)</t>
  </si>
  <si>
    <t>La empresa analizada, Doctomatic, es un fabricante de dispositivos médicos (software) que provee servicios de traducción de imágenes médicas mediante IA para plataformas de salud digital. Esto es fundamentalmente diferente de los servicios de apoyo a la gestión (administrativos, nóminas, contabilidad, IT básico) ofrecidos por el cliente. (Confianza: 100%)</t>
  </si>
  <si>
    <t>La empresa analizada es una firma de abogados que ofrece servicios legales especializados en diversas áreas (mercantil, litigación, laboral, fiscal, etc.), lo cual no coincide con los servicios de apoyo a la gestión (administrativos, nóminas, contabilidad, IT básico) del cliente. (Confianza: 100%)</t>
  </si>
  <si>
    <t>El cliente ofrece servicios de apoyo a la gestión (administrativos, nóminas, contabilidad, IT básico), mientras que la empresa analizada se especializa en biodiversidad, evaluación ambiental y gestión del agua, ofreciendo servicios medioambientales altamente especializados. Las actividades no son comparables. (Confianza: 100%)</t>
  </si>
  <si>
    <t>La empresa analizada se especializa en servicios de prevención de riesgos laborales y seguridad industrial, lo cual difiere de los servicios de apoyo a la gestión (administrativos, nóminas, contabilidad, IT básico) del cliente. (Confianza: 100%)</t>
  </si>
  <si>
    <t>La empresa analizada es un estudio jurídico que ofrece principalmente servicios legales especializados (civil, mercantil, laboral, penal, etc.), además de asesoría contable y fiscal. El cliente ofrece servicios de apoyo a la gestión que incluyen administrativos, nóminas, contabilidad e IT básico, sin mención a servicios jurídicos especializados. (Confianza: 95%)</t>
  </si>
  <si>
    <t>La empresa analizada se dedica a la consultoría de recursos humanos especializada en la búsqueda y valoración de talento directivo y mandos intermedios, lo cual difiere de los servicios de apoyo a la gestión (administrativos, nóminas, contabilidad, IT básico) del cliente. (Confianza: 100%)</t>
  </si>
  <si>
    <t>La empresa analizada se dedica a servicios de seguridad y vigilancia, que son sustancialmente diferentes de los servicios de apoyo a la gestión (administrativos, nóminas, contabilidad, IT básico) del cliente. (Confianza: 100%)</t>
  </si>
  <si>
    <t>La empresa analizada es un despacho de abogados que ofrece asesoramiento legal especializado, lo cual difiere de los servicios de apoyo a la gestión (administrativos, nóminas, contabilidad, IT básico) del cliente. (Confianza: 100%)</t>
  </si>
  <si>
    <t>La empresa analizada desarrolla tecnología y soluciones de accesibilidad acústica, lo cual difiere completamente de los servicios de apoyo a la gestión ofrecidos por el cliente. (Confianza: 100%)</t>
  </si>
  <si>
    <t>El cliente ofrece servicios de apoyo a la gestión, mientras que la empresa analizada es una librería dedicada a la venta y recomendación de libros. (Confianza: 100%)</t>
  </si>
  <si>
    <t>La empresa analizada es una cadena de hoteles que ofrece servicios de alojamiento y turismo, lo cual difiere de los servicios de apoyo a la gestión (administrativos, nóminas, contabilidad, IT básico) que ofrece el cliente. (Confianza: 100%)</t>
  </si>
  <si>
    <t>La empresa analizada ofrece servicios de asesoría fiscal, laboral, jurídica y contable, así como gestión integral de empresas, lo cual coincide ampliamente con los servicios de apoyo a la gestión (administrativos, nóminas, contabilidad) del cliente, aunque no menciona servicios de IT. (Confianza: 75%)</t>
  </si>
  <si>
    <t>La empresa analizada se especializa en la externalización de servicios bancarios e inmobiliarios (gestión hipotecaria, activos, promoción inmobiliaria, BPO específico del sector), lo cual difiere de los servicios de apoyo a la gestión genéricos (administrativos, nóminas, contabilidad, IT básico) ofrecidos por el cliente. (Confianza: 100%)</t>
  </si>
  <si>
    <t>La empresa analizada ofrece un rango de servicios mucho más amplio y diverso que el cliente, incluyendo actividades no relacionadas con el soporte a la gestión, como autoescuela, administración de fincas y correduría de seguros, lo que impide una comparabilidad directa. (Confianza: 80%)</t>
  </si>
  <si>
    <t>El cliente ofrece servicios de apoyo a la gestión (administrativos, nóminas, contabilidad, IT básico), mientras que la empresa analizada se especializa en marketing y comunicación mediante soluciones de cartelería digital (Digital Signage). Las actividades son fundamentalmente diferentes. (Confianza: 100%)</t>
  </si>
  <si>
    <t>La empresa analizada es un despacho de abogados que ofrece servicios jurídicos especializados, lo cual es distinto de los servicios de apoyo a la gestión (administrativos, nóminas, contabilidad, IT básico) del cliente. (Confianza: 100%)</t>
  </si>
  <si>
    <t>La empresa analizada se dedica a la distribución de material eléctrico y a la gestión de un grupo de empresas de este sector, lo cual difiere de los servicios de apoyo a la gestión (administrativos, nóminas, contabilidad, IT básico) del cliente. (Confianza: 100%)</t>
  </si>
  <si>
    <t>La empresa analizada ofrece servicios especializados de asesoría fiscal, jurídica, laboral y auditoría de cuentas, lo cual difiere de los servicios de apoyo a la gestión, nóminas, contabilidad e IT básico del cliente. (Confianza: 95%)</t>
  </si>
  <si>
    <t>La empresa analizada es una constructora que ofrece servicios de obra nueva, reformas y rehabilitación, lo cual no coincide con los servicios de apoyo a la gestión (administrativos, nóminas, contabilidad, IT básico) del cliente. (Confianza: 100%)</t>
  </si>
  <si>
    <t>La empresa analizada desarrolla y comercializa software de administración electrónica y soluciones de IA/Big Data/GIS para Administraciones Públicas, además de ofrecer consultoría y desarrollo de sistemas de información a medida. Esto difiere significativamente de los servicios de apoyo a la gestión (administrativos, nóminas, contabilidad, IT básico) que ofrece el cliente. (Confianza: 95%)</t>
  </si>
  <si>
    <t>El cliente ofrece servicios de apoyo a la gestión, mientras que la empresa analizada es una industria de artes gráficas y una imprenta, dedicada a la impresión y fabricación, lo cual no es comparable. (Confianza: 100%)</t>
  </si>
  <si>
    <t>La empresa analizada ofrece servicios de asesoría y gestoría fiscal, laboral y contable, incluyendo gestión de nóminas, contabilidad y trámites administrativos, lo que coincide directamente con los servicios de apoyo a la gestión del cliente. (Confianza: 90%)</t>
  </si>
  <si>
    <t>La empresa analizada ofrece soluciones IT avanzadas, especializadas en infraestructura, seguridad y servicios cloud, lo cual difiere significativamente de los servicios de apoyo a la gestión y 'IT básico' que ofrece el cliente. (Confianza: 100%)</t>
  </si>
  <si>
    <t>Error/Junk: HTTP 503</t>
  </si>
  <si>
    <t>El texto es un mensaje de mantenimiento web y no proporciona ninguna información sobre las actividades o servicios de la empresa, imposibilitando determinar la comparabilidad. (Confianza: 100%)</t>
  </si>
  <si>
    <t>El cliente ofrece servicios de apoyo a la gestión, mientras que la empresa analizada opera hoteles, proporcionando alojamiento, restauración y servicios para eventos. (Confianza: 100%)</t>
  </si>
  <si>
    <t>La empresa analizada es una Sociedad Gestora de Instituciones de Inversión Colectiva, una actividad financiera especializada, lo cual no coincide con los servicios de apoyo a la gestión (administrativos, nóminas, contabilidad, IT básico) del cliente. (Confianza: 100%)</t>
  </si>
  <si>
    <t>La empresa analizada ofrece una plataforma de Data Space impulsada por IA para la mediación y el uso secundario de datos de salud, un servicio altamente especializado en el sector sanitario. Esto difiere significativamente de los servicios de apoyo a la gestión, administrativos, de nóminas, contabilidad e IT básico que ofrece el cliente. (Confianza: 95%)</t>
  </si>
  <si>
    <t>La empresa analizada ofrece servicios de asesoría laboral (contratos, recursos humanos), fiscal y contable, lo cual coincide con los servicios de apoyo a la gestión del cliente en áreas como nóminas, contabilidad y administrativos. El asesoramiento jurídico adicional se enmarca también dentro del apoyo a la gestión. (Confianza: 85%)</t>
  </si>
  <si>
    <t>La empresa analizada es un despacho de abogados y consultoría legal con servicios financieros y de dirección empresarial, lo cual difiere de los servicios de apoyo a la gestión (administrativos, nóminas, contabilidad, IT básico) ofrecidos por el cliente. (Confianza: 95%)</t>
  </si>
  <si>
    <t>El cliente ofrece servicios de apoyo a la gestión general (administrativos, nóminas, contabilidad, IT básico), mientras que la empresa analizada proporciona una plataforma para conectar y gestionar profesionales del sector legal (abogados, procuradores, paralegales) para tareas y servicios legales específicos. La naturaleza de los servicios es distinta. (Confianza: 100%)</t>
  </si>
  <si>
    <t>La empresa analizada ofrece servicios de asesoramiento técnico-jurídico que incluyen gestión de nóminas (adaptación al SILTRA) y soluciones IT para la gestión documental (Lex Cloud Services), lo cual se alinea con los servicios de apoyo a la gestión (administrativos, nóminas, IT básico) del cliente. (Confianza: 80%)</t>
  </si>
  <si>
    <t>La empresa analizada se especializa en el asesoramiento legal en derecho fiscal, mercantil y laboral, mientras que el cliente proporciona servicios de apoyo a la gestión administrativa, de nóminas, contabilidad e IT básico. Las actividades son sustancialmente diferentes. (Confianza: 100%)</t>
  </si>
  <si>
    <t>La empresa analizada ofrece consultoría especializada en internacionalización, supply chain management, industria 4.0, formación y O&amp;M para sectores de infraestructuras, industrial y telecomunicaciones, lo cual difiere significativamente de los servicios de apoyo a la gestión, administrativos, nóminas y contabilidad que presta el cliente. (Confianza: 100%)</t>
  </si>
  <si>
    <t>La empresa analizada desarrolla y comercializa software de productividad y seguimiento de email y documentos (email tracker, campañas, mail merge, solicitud de firma, etc.), lo cual es una actividad de desarrollo y venta de software. El cliente ofrece servicios de apoyo a la gestión más genéricos (administrativos, nóminas, contabilidad, IT básico) que no incluyen el desarrollo o la venta de este tipo de herramientas. (Confianza: 95%)</t>
  </si>
  <si>
    <t>La empresa analizada es un despacho de abogados y asesores fiscales, que ofrece servicios legales y tributarios especializados. Esto no coincide con los servicios de apoyo a la gestión (administrativos, nóminas, contabilidad, IT básico) del cliente. Se menciona 'holding' en relación con una consulta planteada por la empresa. (Confianza: 95%)</t>
  </si>
  <si>
    <t>La empresa analizada se especializa en consultoría de negocio digital, marketing multicanal y desarrollo de plataformas, actividades que difieren sustancialmente de los servicios de apoyo a la gestión (administrativos, nóminas, contabilidad, IT básico) del cliente. (Confianza: 100%)</t>
  </si>
  <si>
    <t>La empresa analizada ofrece soluciones de ciberinteligencia y tecnología de vigilancia avanzada, lo cual es muy diferente de los servicios de apoyo a la gestión administrativa y de TI básica del cliente. (Confianza: 100%)</t>
  </si>
  <si>
    <t>El cliente ofrece servicios de apoyo a la gestión genéricos (administrativos, nóminas, contabilidad, IT básico), mientras que la empresa analizada se dedica al desarrollo de tecnología y soluciones innovadoras potenciadas por inteligencia artificial para el sector salud, especialmente en oncología. Las actividades no coinciden. (Confianza: 100%)</t>
  </si>
  <si>
    <t>La empresa analizada se especializa en consultoría, BPO y Contact Center orientados a servicios al cliente y ciudadano, y desarrollo de software para gestión de equipos en campo. Esto difiere de los servicios de apoyo a la gestión del cliente (administrativos, nóminas, contabilidad, IT básico). (Confianza: 95%)</t>
  </si>
  <si>
    <t>La empresa analizada proporciona software, consultoría y servicios de apoyo operativo altamente especializados para el sector energético (comercializadoras, productores, BESS), centrándose en operaciones de mercado, asesoramiento técnico-legal y automatización de procesos energéticos. Esto contrasta con el cliente, que ofrece servicios generales de apoyo a la gestión (administrativos, nóminas, contabilidad, IT básico) sin una especialización sectorial tan profunda. (Confianza: 95%)</t>
  </si>
  <si>
    <t>La empresa analizada ofrece servicios de alojamiento turístico (alquiler de apartamentos), lo cual es fundamentalmente diferente de los servicios de apoyo a la gestión que proporciona el cliente. (Confianza: 100%)</t>
  </si>
  <si>
    <t>La empresa analizada se especializa en la fabricación de mobiliario y el desarrollo de plataformas digitales para la gestión de espacios y seguimiento de obra, lo cual difiere de los servicios de apoyo a la gestión (administrativos, nóminas, contabilidad, IT básico) del cliente. (Confianza: 95%)</t>
  </si>
  <si>
    <t>La empresa analizada se dedica a la gestión de aparcamientos, lo cual es significativamente diferente de los servicios de apoyo a la gestión (administrativos, nóminas, contabilidad, IT básico) del cliente. (Confianza: 100%)</t>
  </si>
  <si>
    <t>El cliente presta servicios de apoyo a la gestión (administrativos, nóminas, contabilidad), mientras que la empresa analizada desarrolla y comercializa software de gestión para negocios de retail (TPV, SGA, OMS, SCM). (Confianza: 100%)</t>
  </si>
  <si>
    <t>La empresa analizada se dedica a la nanotecnología para nutrición y salud, lo cual es fundamentalmente diferente de los servicios de apoyo a la gestión (administrativos, nóminas, contabilidad, IT básico) que ofrece el cliente. (Confianza: 100%)</t>
  </si>
  <si>
    <t>La empresa analizada ofrece servicios legales especializados en Derecho penal, lo cual es distinto de los servicios de apoyo a la gestión (administrativos, nóminas, contabilidad, IT básico) del cliente. (Confianza: 100%)</t>
  </si>
  <si>
    <t>La empresa analizada se especializa en 'Transformación digital' y es 'Citrix Preferred Services Partner', lo que sugiere servicios IT avanzados, no los servicios de apoyo a la gestión y IT básico del cliente. (Confianza: 90%)</t>
  </si>
  <si>
    <t>La empresa analizada es un bufete de abogados que ofrece servicios legales y de asesoría fiscal, lo cual difiere sustancialmente de los servicios de apoyo a la gestión (administrativos, nóminas, contabilidad, IT básico) ofrecidos por el cliente. (Confianza: 100%)</t>
  </si>
  <si>
    <t>El cliente ofrece servicios de apoyo a la gestión básicos (administrativos, nóminas, contabilidad, IT básico). La empresa analizada proporciona servicios de consultoría experta, implementación y operación de soluciones avanzadas en Gestión del Capital Humano (HCM), Gobierno, Riesgo y Cumplimiento (GRC) y Analítica Corporativa, lo que difiere significativamente en naturaleza y nivel de especialización. (Confianza: 90%)</t>
  </si>
  <si>
    <t>La empresa analizada, Proyecta IT, se enfoca exclusivamente en soluciones, servicios e infraestructuras IT, mientras que el cliente ofrece un abanico más amplio de servicios de apoyo a la gestión, incluyendo administrativos, nóminas y contabilidad, además de IT básico. La actividad principal no coincide en su totalidad ni en su estructura de negocio. (Confianza: 95%)</t>
  </si>
  <si>
    <t>La empresa analizada es un despacho de abogados que ofrece servicios legales, lo cual difiere de los servicios de apoyo a la gestión (administrativos, nóminas, contabilidad, IT básico) del cliente. (Confianza: 100%)</t>
  </si>
  <si>
    <t>La empresa analizada ofrece servicios especializados en Prevención de Riesgos Laborales (PRL), seguridad y salud en el trabajo, asesoría técnico-jurídica en PRL y formación relacionada. Estos servicios son distintos a los servicios de apoyo a la gestión administrativa, nóminas, contabilidad e IT básico que presta el cliente. (Confianza: 100%)</t>
  </si>
  <si>
    <t>La empresa analizada se especializa en servicios avanzados de datos como Big Data, Machine Learning e Inteligencia Artificial, lo cual difiere de los servicios de apoyo a la gestión y TI básico ofrecidos por el cliente. (Confianza: 95%)</t>
  </si>
  <si>
    <t>La empresa analizada se dedica a la comparación, asesoramiento y gestión de servicios para consumidores (telefonía, energía, seguros, finanzas y alarmas), no a servicios de apoyo a la gestión administrativa, nóminas, contabilidad o IT básico para empresas. (Confianza: 100%)</t>
  </si>
  <si>
    <t>La empresa analizada opera como un concesionario de automóviles, vendiendo vehículos nuevos y de ocasión, y ofreciendo servicios de taller y financiación. Esta actividad es fundamentalmente diferente de los servicios de apoyo a la gestión (administrativos, nóminas, contabilidad, IT básico) proporcionados por el cliente. (Confianza: 100%)</t>
  </si>
  <si>
    <t>La empresa analizada es un gabinete jurídico-económico con un enfoque en servicios legales y económicos especializados (incluyendo áreas como derecho penal y procesal), lo que difiere sustancialmente de los servicios de apoyo a la gestión general, nóminas, contabilidad e IT básico del cliente. (Confianza: 90%)</t>
  </si>
  <si>
    <t>La empresa analizada se dedica a la prestación de servicios médicos diagnósticos, incluyendo diagnóstico por imagen y pruebas especializadas, lo cual es fundamentalmente diferente de los servicios de apoyo a la gestión (administrativos, nóminas, contabilidad, IT básico) del cliente. (Confianza: 100%)</t>
  </si>
  <si>
    <t>Error/Junk: HTTP 500</t>
  </si>
  <si>
    <t>La empresa ofrece servicios de secretaría y contabilidad que coinciden con los servicios de apoyo a la gestión, administrativos y contabilidad del cliente. Además, el servicio de hospedaje web puede considerarse dentro de IT básico. (Confianza: 90%)</t>
  </si>
  <si>
    <t>La empresa analizada se dedica al cuidado y asistencia directa de personas mayores y dependientes a domicilio, incluyendo terapias y gestión legal específica del cuidado. El cliente, en cambio, ofrece servicios de apoyo a la gestión empresarial (administrativos, nóminas, contabilidad, IT básico). Las actividades son fundamentalmente distintas. (Confianza: 100%)</t>
  </si>
  <si>
    <t>La empresa analizada se especializa en tecnología y software para el sector hotelero, incluyendo soluciones de gestión, cloud y asistencia informática específica para hoteles. Esto difiere de los servicios generales de apoyo a la gestión y de IT básico que ofrece el cliente. (Confianza: 95%)</t>
  </si>
  <si>
    <t>La empresa analizada se dedica a la prestación de servicios de seguros, mientras que el cliente ofrece servicios de apoyo a la gestión (administrativos, nóminas, contabilidad, IT básico). Las actividades no son comparables. (Confianza: 100%)</t>
  </si>
  <si>
    <t>Seproser es una empresa multiservicio que ofrece consultoría global y ha diseñado planes formativos y sociales para empleados (motivación), lo cual puede considerarse parte de los servicios de apoyo a la gestión, a pesar de su fuerte enfoque en facility management, limpieza y mantenimiento. La confianza es baja debido a que las actividades principales detalladas no se alinean completamente con las áreas específicas del cliente (nóminas, contabilidad, IT básico). (Confianza: 40%)</t>
  </si>
  <si>
    <t>La empresa analizada se especializa en ingeniería, desarrollo de software y sistemas de automatización y control industrial, principalmente en el sector energético, incluyendo la fabricación de armarios eléctricos. Esto difiere significativamente de los servicios de apoyo a la gestión (administrativos, nóminas, contabilidad, IT básico) del cliente. (Confianza: 100%)</t>
  </si>
  <si>
    <t>La empresa analizada se especializa en soluciones tecnológicas para la gestión académica y de investigación en universidades, lo cual difiere de los servicios de apoyo a la gestión (administrativos, nóminas, contabilidad, IT básico) ofrecidos por el cliente. (Confianza: 95%)</t>
  </si>
  <si>
    <t>La empresa analizada se dedica al desarrollo de soluciones digitales, consultoría de software y servicios de IT avanzados (DevOps, SEO, desarrollo web/aplicaciones), lo cual difiere sustancialmente de los servicios de apoyo a la gestión (administrativos, nóminas, contabilidad, IT básico) del cliente. (Confianza: 100%)</t>
  </si>
  <si>
    <t>La empresa analizada se dedica al desarrollo y comercialización de soluciones tecnológicas avanzadas para posicionamiento y navegación interior/exterior, lo cual es distinto de los servicios de apoyo a la gestión (administrativos, nóminas, contabilidad, IT básico) del cliente. (Confianza: 100%)</t>
  </si>
  <si>
    <t>La empresa analizada ofrece servicios de comunicación digital, desarrollo web y app's, contenidos digitales y soluciones LED, los cuales no son comparables con los servicios de apoyo a la gestión (administrativos, nóminas, contabilidad, IT básico) del cliente. (Confianza: 95%)</t>
  </si>
  <si>
    <t>El cliente ofrece servicios de apoyo a la gestión que incluyen administrativos, nóminas, contabilidad general e IT básico. La empresa analizada, TaxDown, se especializa exclusivamente en la preparación y asesoramiento de declaraciones de la renta y trámites fiscales, lo cual es un servicio mucho más específico y no abarca la amplitud de servicios de gestión y soporte que ofrece el cliente. (Confianza: 90%)</t>
  </si>
  <si>
    <t>La empresa analizada se especializa en servicios de TI avanzados, incluyendo inteligencia de negocios y desarrollo de aplicaciones, lo cual es significativamente diferente del apoyo de TI básico y servicios administrativos que ofrece el cliente. (Confianza: 95%)</t>
  </si>
  <si>
    <t>El cliente ofrece servicios de apoyo a la gestión (administrativos, nóminas, contabilidad, IT básico), mientras que la empresa analizada proporciona soluciones de financiación como factoring y confirming. (Confianza: 100%)</t>
  </si>
  <si>
    <t>PlaceIn desarrolla y comercializa soluciones de software de gestión para el sector hostelero (reservas, carta digital, pagos, fidelización, inteligencia de negocio). El cliente ofrece servicios de apoyo a la gestión administrativa, de nóminas, contabilidad e IT básico. Las actividades son fundamentalmente diferentes, siendo PlaceIn un proveedor de software y el cliente un proveedor de servicios de gestión. (Confianza: 95%)</t>
  </si>
  <si>
    <t>El cliente ofrece servicios de apoyo a la gestión y TI básico, mientras que la empresa analizada se especializa en soluciones avanzadas de TI basadas en Big Data e Inteligencia Artificial y transformación digital. (Confianza: 95%)</t>
  </si>
  <si>
    <t>La empresa analizada se especializa en el diseño y desarrollo de software sanitario con IA, incluyendo dispositivos médicos, para el sector salud y sociosanitario. El cliente ofrece servicios de apoyo a la gestión general como administrativos, nóminas, contabilidad e IT básico, lo cual es fundamentalmente diferente. (Confianza: 100%)</t>
  </si>
  <si>
    <t>La empresa analizada se dedica a la investigación de mercados y UX research, ofreciendo estudios cualitativos, cuantitativos y pruebas de usabilidad. Esto difiere de los servicios de apoyo a la gestión (administrativos, nóminas, contabilidad, IT básico) que ofrece el cliente. (Confianza: 100%)</t>
  </si>
  <si>
    <t>La empresa analizada es una agencia inmobiliaria que gestiona alquileres y garantiza el cobro para propietarios, lo cual difiere de los servicios de apoyo a la gestión (administrativos, nóminas, contabilidad, IT básico) del cliente. (Confianza: 100%)</t>
  </si>
  <si>
    <t>El cliente ofrece servicios de apoyo a la gestión general (administrativos, nóminas, contabilidad, IT básico), mientras que la empresa analizada provee educación médica online acreditada y una plataforma para profesionales de la salud, lo cual es una actividad muy diferente y especializada. (Confianza: 100%)</t>
  </si>
  <si>
    <t>La empresa analizada ofrece servicios de auditoría, consultoría estratégica, servicios jurídicos y reestructuración, lo cual difiere de los servicios de apoyo a la gestión operativa (administrativos, nóminas, contabilidad básica, IT) ofrecidos por el cliente. (Confianza: 95%)</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</si>
</sst>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S124"/>
  <sheetViews>
    <sheetView tabSelected="1" workbookViewId="0"/>
  </sheetViews>
  <sheetFormatPr defaultRowHeight="15"/>
  <sheetData>
    <row r="1" spans="1:1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row>
    <row r="2" spans="1:1163">
      <c r="A2">
        <v>650</v>
      </c>
      <c r="B2" t="s">
        <v>1163</v>
      </c>
      <c r="C2" t="s">
        <v>1286</v>
      </c>
      <c r="E2" s="2">
        <v>44032</v>
      </c>
      <c r="F2" t="s">
        <v>1431</v>
      </c>
      <c r="G2" t="s">
        <v>1433</v>
      </c>
      <c r="H2" t="s">
        <v>1434</v>
      </c>
      <c r="I2" t="s">
        <v>1435</v>
      </c>
      <c r="J2" t="s">
        <v>1451</v>
      </c>
      <c r="L2" t="s">
        <v>1501</v>
      </c>
      <c r="N2" t="s">
        <v>1624</v>
      </c>
      <c r="O2" t="s">
        <v>1648</v>
      </c>
      <c r="P2">
        <v>6209</v>
      </c>
      <c r="Q2">
        <v>6209</v>
      </c>
      <c r="R2" t="s">
        <v>1672</v>
      </c>
      <c r="S2" t="s">
        <v>1791</v>
      </c>
      <c r="Z2" t="s">
        <v>1899</v>
      </c>
      <c r="AA2" s="2">
        <v>45657</v>
      </c>
      <c r="AB2">
        <v>2024</v>
      </c>
      <c r="AC2">
        <v>767717.993597688</v>
      </c>
      <c r="AD2">
        <v>788780.658645067</v>
      </c>
      <c r="AE2">
        <v>440499.742618908</v>
      </c>
      <c r="AF2">
        <v>565691.381067038</v>
      </c>
      <c r="AG2" t="s">
        <v>1900</v>
      </c>
      <c r="AH2">
        <v>539265.927295659</v>
      </c>
      <c r="AI2">
        <v>662500.737872191</v>
      </c>
      <c r="AJ2">
        <v>338299.2046561</v>
      </c>
      <c r="AK2">
        <v>565691.381067038</v>
      </c>
      <c r="AL2" t="s">
        <v>1900</v>
      </c>
      <c r="AM2">
        <v>16768.2541499615</v>
      </c>
      <c r="AN2">
        <v>264932.54314847</v>
      </c>
      <c r="AO2">
        <v>58542.510108006</v>
      </c>
      <c r="AP2">
        <v>100841.260917163</v>
      </c>
      <c r="AQ2">
        <v>17180.3841424644</v>
      </c>
      <c r="AR2">
        <v>750949.7394477261</v>
      </c>
      <c r="AS2">
        <v>523848.115496597</v>
      </c>
      <c r="AT2">
        <v>381957.232510902</v>
      </c>
      <c r="AU2">
        <v>464850.120149875</v>
      </c>
      <c r="AV2">
        <v>-17180.3841424644</v>
      </c>
      <c r="AW2">
        <v>1110148.26668195</v>
      </c>
      <c r="AX2">
        <v>939677.282110617</v>
      </c>
      <c r="AY2">
        <v>782034.93546042</v>
      </c>
      <c r="AZ2">
        <v>621208.60531218</v>
      </c>
      <c r="BA2">
        <v>184559.71043613</v>
      </c>
      <c r="BB2">
        <v>-359198.529312021</v>
      </c>
      <c r="BC2">
        <v>-415829.167719021</v>
      </c>
      <c r="BD2">
        <v>-400077.702949518</v>
      </c>
      <c r="BE2">
        <v>-156358.485162306</v>
      </c>
      <c r="BF2">
        <v>-201740.094578594</v>
      </c>
      <c r="BG2">
        <v>0</v>
      </c>
      <c r="BH2">
        <v>-308.063088254929</v>
      </c>
      <c r="BI2">
        <v>0</v>
      </c>
      <c r="BJ2">
        <v>0</v>
      </c>
      <c r="BK2">
        <v>0</v>
      </c>
      <c r="BL2" t="s">
        <v>1900</v>
      </c>
      <c r="BM2" t="s">
        <v>1900</v>
      </c>
      <c r="BN2" t="s">
        <v>1900</v>
      </c>
      <c r="BO2" t="s">
        <v>1900</v>
      </c>
      <c r="BP2" t="s">
        <v>1900</v>
      </c>
      <c r="BQ2" t="s">
        <v>1900</v>
      </c>
      <c r="BR2">
        <v>308.063088254929</v>
      </c>
      <c r="BS2" t="s">
        <v>1900</v>
      </c>
      <c r="BT2" t="s">
        <v>1900</v>
      </c>
      <c r="BU2" t="s">
        <v>1900</v>
      </c>
      <c r="BV2">
        <v>-359198.529312021</v>
      </c>
      <c r="BW2">
        <v>-416137.230807276</v>
      </c>
      <c r="BX2">
        <v>-400077.702949518</v>
      </c>
      <c r="BY2">
        <v>-156358.485162306</v>
      </c>
      <c r="BZ2">
        <v>-201740.094578594</v>
      </c>
      <c r="CA2">
        <v>-17316.9489424884</v>
      </c>
      <c r="CB2">
        <v>-34153.7973278046</v>
      </c>
      <c r="CC2">
        <v>-9710.28974311948</v>
      </c>
      <c r="CD2">
        <v>76786.4500050545</v>
      </c>
      <c r="CE2">
        <v>-50435.0205769002</v>
      </c>
      <c r="CF2">
        <v>-341881.580369532</v>
      </c>
      <c r="CG2">
        <v>-381983.432374471</v>
      </c>
      <c r="CH2">
        <v>-390367.413206398</v>
      </c>
      <c r="CI2">
        <v>-233144.93516736</v>
      </c>
      <c r="CJ2">
        <v>-151305.072774594</v>
      </c>
      <c r="CK2" t="s">
        <v>1900</v>
      </c>
      <c r="CL2" t="s">
        <v>1900</v>
      </c>
      <c r="CM2" t="s">
        <v>1900</v>
      </c>
      <c r="CN2" t="s">
        <v>1900</v>
      </c>
      <c r="CO2" t="s">
        <v>1900</v>
      </c>
      <c r="CP2" t="s">
        <v>1900</v>
      </c>
      <c r="CQ2" t="s">
        <v>1900</v>
      </c>
      <c r="CR2" t="s">
        <v>1900</v>
      </c>
      <c r="CS2" t="s">
        <v>1900</v>
      </c>
      <c r="CT2" t="s">
        <v>1900</v>
      </c>
      <c r="CU2" t="s">
        <v>1900</v>
      </c>
      <c r="CV2" t="s">
        <v>1900</v>
      </c>
      <c r="CW2" t="s">
        <v>1900</v>
      </c>
      <c r="CX2" t="s">
        <v>1900</v>
      </c>
      <c r="CY2" t="s">
        <v>1900</v>
      </c>
      <c r="CZ2">
        <v>-341881.580369532</v>
      </c>
      <c r="DA2">
        <v>-381983.432374471</v>
      </c>
      <c r="DB2">
        <v>-390367.413206398</v>
      </c>
      <c r="DC2">
        <v>-233144.93516736</v>
      </c>
      <c r="DD2">
        <v>-151305.072774594</v>
      </c>
      <c r="DE2" t="s">
        <v>1900</v>
      </c>
      <c r="DF2" t="s">
        <v>1900</v>
      </c>
      <c r="DG2" t="s">
        <v>1900</v>
      </c>
      <c r="DH2" t="s">
        <v>1900</v>
      </c>
      <c r="DI2" t="s">
        <v>1900</v>
      </c>
      <c r="DJ2">
        <v>16768.2541499615</v>
      </c>
      <c r="DK2">
        <v>264932.54314847</v>
      </c>
      <c r="DL2">
        <v>58542.510108006</v>
      </c>
      <c r="DM2">
        <v>100841.260917163</v>
      </c>
      <c r="DN2">
        <v>17180.3841424644</v>
      </c>
      <c r="DO2">
        <v>532334.451892738</v>
      </c>
      <c r="DP2">
        <v>506656.506731215</v>
      </c>
      <c r="DQ2">
        <v>578904.818418414</v>
      </c>
      <c r="DR2">
        <v>180869.892562366</v>
      </c>
      <c r="DS2" t="s">
        <v>1900</v>
      </c>
      <c r="DT2">
        <v>547391.969907789</v>
      </c>
      <c r="DU2">
        <v>443117.729565792</v>
      </c>
      <c r="DV2">
        <v>426006.800505048</v>
      </c>
      <c r="DW2">
        <v>383902.915677309</v>
      </c>
      <c r="DX2">
        <v>173164.461398846</v>
      </c>
      <c r="DY2">
        <v>30421.84488142</v>
      </c>
      <c r="DZ2">
        <v>-10096.951976388</v>
      </c>
      <c r="EA2">
        <v>-222876.682396442</v>
      </c>
      <c r="EB2">
        <v>56435.7970725059</v>
      </c>
      <c r="EC2">
        <v>11395.2490372837</v>
      </c>
      <c r="ED2" t="s">
        <v>1900</v>
      </c>
      <c r="EE2" t="s">
        <v>1900</v>
      </c>
      <c r="EF2" t="s">
        <v>1900</v>
      </c>
      <c r="EG2" t="s">
        <v>1900</v>
      </c>
      <c r="EH2" t="s">
        <v>1900</v>
      </c>
      <c r="EI2" t="s">
        <v>1900</v>
      </c>
      <c r="EJ2" t="s">
        <v>1900</v>
      </c>
      <c r="EK2" t="s">
        <v>1900</v>
      </c>
      <c r="EL2" t="s">
        <v>1900</v>
      </c>
      <c r="EM2" t="s">
        <v>1900</v>
      </c>
      <c r="EN2">
        <v>205510.389538257</v>
      </c>
      <c r="EO2">
        <v>61134.2960863209</v>
      </c>
      <c r="EP2">
        <v>35639.3872986495</v>
      </c>
      <c r="EQ2">
        <v>150757.979377348</v>
      </c>
      <c r="ER2">
        <v>21859.3873971522</v>
      </c>
      <c r="ES2">
        <v>720527.892488507</v>
      </c>
      <c r="ET2">
        <v>533637.005489731</v>
      </c>
      <c r="EU2">
        <v>604833.915973943</v>
      </c>
      <c r="EV2">
        <v>408414.321944768</v>
      </c>
      <c r="EW2">
        <v>-28575.6319526488</v>
      </c>
      <c r="EX2">
        <v>188193.440595769</v>
      </c>
      <c r="EY2">
        <v>27288.5618467712</v>
      </c>
      <c r="EZ2">
        <v>25929.0975555301</v>
      </c>
      <c r="FA2">
        <v>227544.429382403</v>
      </c>
      <c r="FB2">
        <v>-28575.6319526488</v>
      </c>
      <c r="FC2">
        <v>4309621.46172049</v>
      </c>
      <c r="FD2">
        <v>4565051.18868888</v>
      </c>
      <c r="FE2">
        <v>4390712.48057483</v>
      </c>
      <c r="FF2">
        <v>4460325.64054313</v>
      </c>
      <c r="FG2">
        <v>5290464.50410551</v>
      </c>
      <c r="FH2">
        <v>4010302.17224931</v>
      </c>
      <c r="FI2">
        <v>4377646.83948411</v>
      </c>
      <c r="FJ2">
        <v>4368103.06726655</v>
      </c>
      <c r="FK2">
        <v>4451652.08545454</v>
      </c>
      <c r="FL2">
        <v>5238672.31170344</v>
      </c>
      <c r="FM2">
        <v>5108.03009571671</v>
      </c>
      <c r="FN2">
        <v>9398.28336783409</v>
      </c>
      <c r="FO2">
        <v>12899.1235651553</v>
      </c>
      <c r="FP2">
        <v>8673.55508859158</v>
      </c>
      <c r="FQ2">
        <v>1357.17182517052</v>
      </c>
      <c r="FR2">
        <v>294211.259375465</v>
      </c>
      <c r="FS2">
        <v>178006.065836935</v>
      </c>
      <c r="FT2">
        <v>9710.28974311948</v>
      </c>
      <c r="FU2">
        <v>0</v>
      </c>
      <c r="FV2">
        <v>50435.0205769002</v>
      </c>
      <c r="FW2">
        <v>4010302.17224931</v>
      </c>
      <c r="FX2">
        <v>4377646.83948411</v>
      </c>
      <c r="FY2">
        <v>4368103.06726655</v>
      </c>
      <c r="FZ2">
        <v>4451652.08545454</v>
      </c>
      <c r="GA2">
        <v>5238672.31170344</v>
      </c>
      <c r="GB2">
        <v>5108.03009571671</v>
      </c>
      <c r="GC2">
        <v>9398.28336783409</v>
      </c>
      <c r="GD2">
        <v>12899.1235651553</v>
      </c>
      <c r="GE2">
        <v>8673.55508859158</v>
      </c>
      <c r="GF2">
        <v>1357.17182517052</v>
      </c>
      <c r="GG2">
        <v>294211.259375465</v>
      </c>
      <c r="GH2">
        <v>178006.065836935</v>
      </c>
      <c r="GI2">
        <v>9710.28974311948</v>
      </c>
      <c r="GJ2">
        <v>0</v>
      </c>
      <c r="GK2">
        <v>50435.0205769002</v>
      </c>
      <c r="GL2">
        <v>317553.856822166</v>
      </c>
      <c r="GM2">
        <v>356842.484296522</v>
      </c>
      <c r="GN2">
        <v>255792.443905854</v>
      </c>
      <c r="GO2">
        <v>1186950.19455085</v>
      </c>
      <c r="GP2">
        <v>48674.7343608737</v>
      </c>
      <c r="GQ2">
        <v>0</v>
      </c>
      <c r="GR2">
        <v>0</v>
      </c>
      <c r="GS2">
        <v>0</v>
      </c>
      <c r="GT2">
        <v>0</v>
      </c>
      <c r="GU2">
        <v>0</v>
      </c>
      <c r="GV2">
        <v>206100.038789586</v>
      </c>
      <c r="GW2">
        <v>183996.693425455</v>
      </c>
      <c r="GX2">
        <v>152827.888997012</v>
      </c>
      <c r="GY2">
        <v>141396.008302474</v>
      </c>
      <c r="GZ2">
        <v>4981.49550299048</v>
      </c>
      <c r="HA2">
        <v>111453.818032581</v>
      </c>
      <c r="HB2">
        <v>172845.790871067</v>
      </c>
      <c r="HC2">
        <v>102964.554908842</v>
      </c>
      <c r="HD2">
        <v>1045554.18624837</v>
      </c>
      <c r="HE2">
        <v>43693.2388578832</v>
      </c>
      <c r="HF2">
        <v>111453.818032581</v>
      </c>
      <c r="HG2">
        <v>172845.790871067</v>
      </c>
      <c r="HH2">
        <v>102964.554908842</v>
      </c>
      <c r="HI2">
        <v>1045554.18624837</v>
      </c>
      <c r="HJ2">
        <v>43693.2388578832</v>
      </c>
      <c r="HK2">
        <v>4627175.31854266</v>
      </c>
      <c r="HL2">
        <v>4921893.6729854</v>
      </c>
      <c r="HM2">
        <v>4646504.92448068</v>
      </c>
      <c r="HN2">
        <v>5647275.83509398</v>
      </c>
      <c r="HO2">
        <v>5339139.23846638</v>
      </c>
      <c r="HP2">
        <v>3695119.87374313</v>
      </c>
      <c r="HQ2">
        <v>4200548.87410472</v>
      </c>
      <c r="HR2">
        <v>4423280.01868331</v>
      </c>
      <c r="HS2">
        <v>5111514.32323194</v>
      </c>
      <c r="HT2">
        <v>4757092.12372169</v>
      </c>
      <c r="HU2">
        <v>259250.108135104</v>
      </c>
      <c r="HV2">
        <v>275745.13875103</v>
      </c>
      <c r="HW2">
        <v>266162.436098456</v>
      </c>
      <c r="HX2">
        <v>282632.478525639</v>
      </c>
      <c r="HY2">
        <v>4908397.19772339</v>
      </c>
      <c r="HZ2">
        <v>3435869.76560803</v>
      </c>
      <c r="IA2">
        <v>3924803.73535369</v>
      </c>
      <c r="IB2">
        <v>4157117.58258486</v>
      </c>
      <c r="IC2">
        <v>4828881.8447063</v>
      </c>
      <c r="ID2">
        <v>-151305.074001694</v>
      </c>
      <c r="IE2">
        <v>617611.990868846</v>
      </c>
      <c r="IF2">
        <v>535169.46437748</v>
      </c>
      <c r="IG2">
        <v>0</v>
      </c>
      <c r="IH2">
        <v>154889.887647629</v>
      </c>
      <c r="II2">
        <v>335626.38358593</v>
      </c>
      <c r="IJ2">
        <v>617611.990868846</v>
      </c>
      <c r="IK2">
        <v>535169.46437748</v>
      </c>
      <c r="IL2" t="s">
        <v>1900</v>
      </c>
      <c r="IM2">
        <v>154889.887647629</v>
      </c>
      <c r="IN2">
        <v>335626.38358593</v>
      </c>
      <c r="IO2">
        <v>0</v>
      </c>
      <c r="IP2">
        <v>0</v>
      </c>
      <c r="IQ2" t="s">
        <v>1900</v>
      </c>
      <c r="IR2">
        <v>0</v>
      </c>
      <c r="IS2">
        <v>0</v>
      </c>
      <c r="IT2">
        <v>0</v>
      </c>
      <c r="IU2">
        <v>0</v>
      </c>
      <c r="IV2" t="s">
        <v>1900</v>
      </c>
      <c r="IW2">
        <v>0</v>
      </c>
      <c r="IX2">
        <v>0</v>
      </c>
      <c r="IY2">
        <v>314443.453930681</v>
      </c>
      <c r="IZ2">
        <v>186175.334503202</v>
      </c>
      <c r="JA2">
        <v>223224.905797368</v>
      </c>
      <c r="JB2">
        <v>380871.624214411</v>
      </c>
      <c r="JC2">
        <v>246420.731158757</v>
      </c>
      <c r="JD2">
        <v>110887.139889001</v>
      </c>
      <c r="JE2">
        <v>0</v>
      </c>
      <c r="JF2">
        <v>0</v>
      </c>
      <c r="JG2">
        <v>0</v>
      </c>
      <c r="JH2">
        <v>0</v>
      </c>
      <c r="JI2">
        <v>0</v>
      </c>
      <c r="JJ2">
        <v>3556.14574595451</v>
      </c>
      <c r="JK2">
        <v>0</v>
      </c>
      <c r="JL2">
        <v>0</v>
      </c>
      <c r="JM2">
        <v>0</v>
      </c>
      <c r="JN2">
        <v>203556.31404168</v>
      </c>
      <c r="JO2">
        <v>182619.188757248</v>
      </c>
      <c r="JP2">
        <v>223224.904730769</v>
      </c>
      <c r="JQ2">
        <v>380871.62308181</v>
      </c>
      <c r="JR2">
        <v>246420.731158757</v>
      </c>
      <c r="JS2">
        <v>4627175.31854266</v>
      </c>
      <c r="JT2">
        <v>4921893.6729854</v>
      </c>
      <c r="JU2">
        <v>4646504.92448068</v>
      </c>
      <c r="JV2">
        <v>5647275.83509398</v>
      </c>
      <c r="JW2">
        <v>5339139.23846638</v>
      </c>
      <c r="JX2">
        <v>206100.038789586</v>
      </c>
      <c r="JY2">
        <v>180440.5465745</v>
      </c>
      <c r="JZ2">
        <v>152827.888997012</v>
      </c>
      <c r="KA2">
        <v>141396.008302474</v>
      </c>
      <c r="KB2">
        <v>4981.49550299048</v>
      </c>
      <c r="KC2" t="s">
        <v>1900</v>
      </c>
      <c r="KD2" t="s">
        <v>1900</v>
      </c>
      <c r="KE2" t="s">
        <v>1900</v>
      </c>
      <c r="KF2" t="s">
        <v>1900</v>
      </c>
      <c r="KG2" t="s">
        <v>1900</v>
      </c>
      <c r="KH2" t="s">
        <v>1900</v>
      </c>
      <c r="KI2" t="s">
        <v>1900</v>
      </c>
      <c r="KJ2" t="s">
        <v>1900</v>
      </c>
      <c r="KK2" t="s">
        <v>1900</v>
      </c>
      <c r="KL2" t="s">
        <v>1900</v>
      </c>
      <c r="KM2">
        <v>9</v>
      </c>
      <c r="KN2">
        <v>8</v>
      </c>
      <c r="KO2">
        <v>9</v>
      </c>
      <c r="KP2">
        <v>2</v>
      </c>
      <c r="KQ2" t="s">
        <v>1900</v>
      </c>
      <c r="KR2" t="s">
        <v>1900</v>
      </c>
      <c r="KS2" t="s">
        <v>1900</v>
      </c>
      <c r="KT2" t="s">
        <v>1900</v>
      </c>
      <c r="KU2" t="s">
        <v>1900</v>
      </c>
      <c r="KV2" t="s">
        <v>1900</v>
      </c>
      <c r="KW2" t="s">
        <v>1900</v>
      </c>
      <c r="KX2" t="s">
        <v>1900</v>
      </c>
      <c r="KY2" t="s">
        <v>1900</v>
      </c>
      <c r="KZ2" t="s">
        <v>1900</v>
      </c>
      <c r="LA2" t="s">
        <v>1900</v>
      </c>
      <c r="LB2" t="s">
        <v>1900</v>
      </c>
      <c r="LC2" t="s">
        <v>1900</v>
      </c>
      <c r="LD2" t="s">
        <v>1900</v>
      </c>
      <c r="LE2" t="s">
        <v>1900</v>
      </c>
      <c r="LF2" t="s">
        <v>1900</v>
      </c>
      <c r="LG2" t="s">
        <v>1900</v>
      </c>
      <c r="LH2" t="s">
        <v>1900</v>
      </c>
      <c r="LI2" t="s">
        <v>1900</v>
      </c>
      <c r="LJ2" t="s">
        <v>1900</v>
      </c>
      <c r="LK2" t="s">
        <v>1900</v>
      </c>
      <c r="LL2" t="s">
        <v>1900</v>
      </c>
      <c r="LM2" t="s">
        <v>1900</v>
      </c>
      <c r="LN2" t="s">
        <v>1900</v>
      </c>
      <c r="LO2" t="s">
        <v>1900</v>
      </c>
      <c r="LP2" t="s">
        <v>1900</v>
      </c>
      <c r="LQ2" t="s">
        <v>1900</v>
      </c>
      <c r="LR2" t="s">
        <v>1900</v>
      </c>
      <c r="LS2" t="s">
        <v>1900</v>
      </c>
      <c r="LT2" t="s">
        <v>1900</v>
      </c>
      <c r="LU2" t="s">
        <v>1900</v>
      </c>
      <c r="LV2" t="s">
        <v>1900</v>
      </c>
      <c r="LW2" t="s">
        <v>1900</v>
      </c>
      <c r="LX2" t="s">
        <v>1900</v>
      </c>
      <c r="LY2" t="s">
        <v>1900</v>
      </c>
      <c r="LZ2" t="s">
        <v>1900</v>
      </c>
      <c r="MA2" t="s">
        <v>1900</v>
      </c>
      <c r="MB2" t="s">
        <v>1900</v>
      </c>
      <c r="MC2" t="s">
        <v>1900</v>
      </c>
      <c r="MD2" t="s">
        <v>1900</v>
      </c>
      <c r="ME2" t="s">
        <v>1900</v>
      </c>
      <c r="MF2" t="s">
        <v>1900</v>
      </c>
      <c r="MG2" t="s">
        <v>1900</v>
      </c>
      <c r="MH2" t="s">
        <v>1900</v>
      </c>
      <c r="MI2" t="s">
        <v>1900</v>
      </c>
      <c r="MJ2" t="s">
        <v>1900</v>
      </c>
      <c r="MK2" t="s">
        <v>1900</v>
      </c>
      <c r="ML2" t="s">
        <v>1900</v>
      </c>
      <c r="MM2" t="s">
        <v>1900</v>
      </c>
      <c r="MN2" t="s">
        <v>1900</v>
      </c>
      <c r="MO2" t="s">
        <v>1900</v>
      </c>
      <c r="MP2">
        <v>111453.818032581</v>
      </c>
      <c r="MQ2">
        <v>172845.790871067</v>
      </c>
      <c r="MR2">
        <v>102964.554908842</v>
      </c>
      <c r="MS2">
        <v>1045554.18624837</v>
      </c>
      <c r="MT2">
        <v>43693.2388578832</v>
      </c>
      <c r="MU2" t="s">
        <v>1900</v>
      </c>
      <c r="MV2" t="s">
        <v>1900</v>
      </c>
      <c r="MW2" t="s">
        <v>1900</v>
      </c>
      <c r="MX2" t="s">
        <v>1900</v>
      </c>
      <c r="MY2" t="s">
        <v>1900</v>
      </c>
      <c r="MZ2" t="s">
        <v>1900</v>
      </c>
      <c r="NA2" t="s">
        <v>1900</v>
      </c>
      <c r="NB2" t="s">
        <v>1900</v>
      </c>
      <c r="NC2" t="s">
        <v>1900</v>
      </c>
      <c r="ND2" t="s">
        <v>1900</v>
      </c>
      <c r="NE2" t="s">
        <v>1900</v>
      </c>
      <c r="NF2" t="s">
        <v>1900</v>
      </c>
      <c r="NG2" t="s">
        <v>1900</v>
      </c>
      <c r="NH2" t="s">
        <v>1900</v>
      </c>
      <c r="NI2" t="s">
        <v>1900</v>
      </c>
      <c r="NJ2" t="s">
        <v>1900</v>
      </c>
      <c r="NK2" t="s">
        <v>1900</v>
      </c>
      <c r="NL2" t="s">
        <v>1900</v>
      </c>
      <c r="NM2" t="s">
        <v>1900</v>
      </c>
      <c r="NN2" t="s">
        <v>1900</v>
      </c>
      <c r="NO2" t="s">
        <v>1900</v>
      </c>
      <c r="NP2" t="s">
        <v>1900</v>
      </c>
      <c r="NQ2" t="s">
        <v>1900</v>
      </c>
      <c r="NR2" t="s">
        <v>1900</v>
      </c>
      <c r="NS2" t="s">
        <v>1900</v>
      </c>
      <c r="NT2">
        <v>4309621.46172049</v>
      </c>
      <c r="NU2">
        <v>4565051.18868888</v>
      </c>
      <c r="NV2">
        <v>4390712.48057483</v>
      </c>
      <c r="NW2">
        <v>4460325.64054313</v>
      </c>
      <c r="NX2">
        <v>5290464.50410551</v>
      </c>
      <c r="NY2" t="s">
        <v>1900</v>
      </c>
      <c r="NZ2" t="s">
        <v>1900</v>
      </c>
      <c r="OA2" t="s">
        <v>1900</v>
      </c>
      <c r="OB2" t="s">
        <v>1900</v>
      </c>
      <c r="OC2" t="s">
        <v>1900</v>
      </c>
      <c r="OD2" t="s">
        <v>1900</v>
      </c>
      <c r="OE2" t="s">
        <v>1900</v>
      </c>
      <c r="OF2" t="s">
        <v>1900</v>
      </c>
      <c r="OG2" t="s">
        <v>1900</v>
      </c>
      <c r="OH2" t="s">
        <v>1900</v>
      </c>
      <c r="OI2" t="s">
        <v>1900</v>
      </c>
      <c r="OJ2" t="s">
        <v>1900</v>
      </c>
      <c r="OK2" t="s">
        <v>1900</v>
      </c>
      <c r="OL2" t="s">
        <v>1900</v>
      </c>
      <c r="OM2" t="s">
        <v>1900</v>
      </c>
      <c r="ON2" t="s">
        <v>1900</v>
      </c>
      <c r="OO2" t="s">
        <v>1900</v>
      </c>
      <c r="OP2" t="s">
        <v>1900</v>
      </c>
      <c r="OQ2" t="s">
        <v>1900</v>
      </c>
      <c r="OR2" t="s">
        <v>1900</v>
      </c>
      <c r="OS2" t="s">
        <v>1900</v>
      </c>
      <c r="OT2" t="s">
        <v>1900</v>
      </c>
      <c r="OU2" t="s">
        <v>1900</v>
      </c>
      <c r="OV2" t="s">
        <v>1900</v>
      </c>
      <c r="OW2" t="s">
        <v>1900</v>
      </c>
      <c r="OX2" t="s">
        <v>1900</v>
      </c>
      <c r="OY2" t="s">
        <v>1900</v>
      </c>
      <c r="OZ2" t="s">
        <v>1900</v>
      </c>
      <c r="PA2" t="s">
        <v>1900</v>
      </c>
      <c r="PB2" t="s">
        <v>1900</v>
      </c>
      <c r="PC2" t="s">
        <v>1900</v>
      </c>
      <c r="PD2" t="s">
        <v>1900</v>
      </c>
      <c r="PE2" t="s">
        <v>1900</v>
      </c>
      <c r="PF2" t="s">
        <v>1900</v>
      </c>
      <c r="PG2" t="s">
        <v>1900</v>
      </c>
      <c r="PH2" t="s">
        <v>1900</v>
      </c>
      <c r="PI2" t="s">
        <v>1900</v>
      </c>
      <c r="PJ2" t="s">
        <v>1900</v>
      </c>
      <c r="PK2" t="s">
        <v>1900</v>
      </c>
      <c r="PL2" t="s">
        <v>1900</v>
      </c>
      <c r="PM2" t="s">
        <v>1900</v>
      </c>
      <c r="PN2" t="s">
        <v>1900</v>
      </c>
      <c r="PO2" t="s">
        <v>1900</v>
      </c>
      <c r="PP2" t="s">
        <v>1900</v>
      </c>
      <c r="PQ2" t="s">
        <v>1900</v>
      </c>
      <c r="PR2" t="s">
        <v>1900</v>
      </c>
      <c r="PS2" t="s">
        <v>1900</v>
      </c>
      <c r="PT2" t="s">
        <v>1900</v>
      </c>
      <c r="PU2" t="s">
        <v>1900</v>
      </c>
      <c r="PV2" t="s">
        <v>1900</v>
      </c>
      <c r="PW2" t="s">
        <v>1900</v>
      </c>
      <c r="PX2" t="s">
        <v>1900</v>
      </c>
      <c r="PY2" t="s">
        <v>1900</v>
      </c>
      <c r="PZ2" t="s">
        <v>1900</v>
      </c>
      <c r="QA2" t="s">
        <v>1900</v>
      </c>
      <c r="QB2" t="s">
        <v>1900</v>
      </c>
      <c r="QC2" t="s">
        <v>1900</v>
      </c>
      <c r="QD2" t="s">
        <v>1900</v>
      </c>
      <c r="QE2" t="s">
        <v>1900</v>
      </c>
      <c r="QF2" t="s">
        <v>1900</v>
      </c>
      <c r="QG2" t="s">
        <v>1900</v>
      </c>
      <c r="QH2" t="s">
        <v>1900</v>
      </c>
      <c r="QI2" t="s">
        <v>1900</v>
      </c>
      <c r="QJ2" t="s">
        <v>1900</v>
      </c>
      <c r="QK2" t="s">
        <v>1900</v>
      </c>
      <c r="QL2" t="s">
        <v>1900</v>
      </c>
      <c r="QM2" t="s">
        <v>1900</v>
      </c>
      <c r="QN2" t="s">
        <v>1900</v>
      </c>
      <c r="QO2" t="s">
        <v>1900</v>
      </c>
      <c r="QP2" t="s">
        <v>1900</v>
      </c>
      <c r="QQ2" t="s">
        <v>1900</v>
      </c>
      <c r="QR2" t="s">
        <v>1900</v>
      </c>
      <c r="QS2" t="s">
        <v>1900</v>
      </c>
      <c r="QT2" t="s">
        <v>1900</v>
      </c>
      <c r="QU2" t="s">
        <v>1900</v>
      </c>
      <c r="QV2" t="s">
        <v>1900</v>
      </c>
      <c r="QW2" t="s">
        <v>1900</v>
      </c>
      <c r="QX2" t="s">
        <v>1900</v>
      </c>
      <c r="QY2" t="s">
        <v>1900</v>
      </c>
      <c r="QZ2" t="s">
        <v>1900</v>
      </c>
      <c r="RA2" t="s">
        <v>1900</v>
      </c>
      <c r="RB2" t="s">
        <v>1900</v>
      </c>
      <c r="RC2" t="s">
        <v>1900</v>
      </c>
      <c r="RD2" t="s">
        <v>1900</v>
      </c>
      <c r="RE2" t="s">
        <v>1900</v>
      </c>
      <c r="RF2" t="s">
        <v>1900</v>
      </c>
      <c r="RG2" t="s">
        <v>1900</v>
      </c>
      <c r="RH2" t="s">
        <v>1900</v>
      </c>
      <c r="RI2" t="s">
        <v>1900</v>
      </c>
      <c r="RJ2" t="s">
        <v>1900</v>
      </c>
      <c r="RK2" t="s">
        <v>1900</v>
      </c>
      <c r="RL2" t="s">
        <v>1900</v>
      </c>
      <c r="RM2" t="s">
        <v>1900</v>
      </c>
      <c r="RN2" t="s">
        <v>1900</v>
      </c>
      <c r="RO2" t="s">
        <v>1900</v>
      </c>
      <c r="RP2" t="s">
        <v>1900</v>
      </c>
      <c r="RQ2" t="s">
        <v>1900</v>
      </c>
      <c r="RR2" t="s">
        <v>1900</v>
      </c>
      <c r="RS2" t="s">
        <v>1900</v>
      </c>
      <c r="RT2" t="s">
        <v>1900</v>
      </c>
      <c r="RU2" t="s">
        <v>1900</v>
      </c>
      <c r="RV2" t="s">
        <v>1900</v>
      </c>
      <c r="RW2" t="s">
        <v>1900</v>
      </c>
      <c r="RX2" t="s">
        <v>1900</v>
      </c>
      <c r="RY2" t="s">
        <v>1900</v>
      </c>
      <c r="RZ2" t="s">
        <v>1900</v>
      </c>
      <c r="SA2" t="s">
        <v>1900</v>
      </c>
      <c r="SB2" t="s">
        <v>1900</v>
      </c>
      <c r="SC2" t="s">
        <v>1900</v>
      </c>
      <c r="SD2" t="s">
        <v>1900</v>
      </c>
      <c r="SE2" t="s">
        <v>1900</v>
      </c>
      <c r="SF2" t="s">
        <v>1900</v>
      </c>
      <c r="SG2" t="s">
        <v>1900</v>
      </c>
      <c r="SH2" t="s">
        <v>1900</v>
      </c>
      <c r="SI2" t="s">
        <v>1900</v>
      </c>
      <c r="SJ2">
        <v>294211.259375465</v>
      </c>
      <c r="SK2">
        <v>178006.065836935</v>
      </c>
      <c r="SL2">
        <v>9710.28974311948</v>
      </c>
      <c r="SM2">
        <v>0</v>
      </c>
      <c r="SN2">
        <v>50435.0205769002</v>
      </c>
      <c r="SO2" t="s">
        <v>1900</v>
      </c>
      <c r="SP2" t="s">
        <v>1900</v>
      </c>
      <c r="SQ2" t="s">
        <v>1900</v>
      </c>
      <c r="SR2" t="s">
        <v>1900</v>
      </c>
      <c r="SS2" t="s">
        <v>1900</v>
      </c>
      <c r="ST2" t="s">
        <v>1900</v>
      </c>
      <c r="SU2" t="s">
        <v>1900</v>
      </c>
      <c r="SV2" t="s">
        <v>1900</v>
      </c>
      <c r="SW2" t="s">
        <v>1900</v>
      </c>
      <c r="SX2" t="s">
        <v>1900</v>
      </c>
      <c r="SY2" t="s">
        <v>1900</v>
      </c>
      <c r="SZ2" t="s">
        <v>1900</v>
      </c>
      <c r="TA2" t="s">
        <v>1900</v>
      </c>
      <c r="TB2" t="s">
        <v>1900</v>
      </c>
      <c r="TC2" t="s">
        <v>1900</v>
      </c>
      <c r="TD2" t="s">
        <v>1900</v>
      </c>
      <c r="TE2" t="s">
        <v>1900</v>
      </c>
      <c r="TF2" t="s">
        <v>1900</v>
      </c>
      <c r="TG2" t="s">
        <v>1900</v>
      </c>
      <c r="TH2" t="s">
        <v>1900</v>
      </c>
      <c r="TI2" t="s">
        <v>1900</v>
      </c>
      <c r="TJ2" t="s">
        <v>1900</v>
      </c>
      <c r="TK2" t="s">
        <v>1900</v>
      </c>
      <c r="TL2" t="s">
        <v>1900</v>
      </c>
      <c r="TM2" t="s">
        <v>1900</v>
      </c>
      <c r="TN2" t="s">
        <v>1900</v>
      </c>
      <c r="TO2" t="s">
        <v>1900</v>
      </c>
      <c r="TP2" t="s">
        <v>1900</v>
      </c>
      <c r="TQ2" t="s">
        <v>1900</v>
      </c>
      <c r="TR2" t="s">
        <v>1900</v>
      </c>
      <c r="TS2">
        <v>4627175.31854266</v>
      </c>
      <c r="TT2">
        <v>4921893.6729854</v>
      </c>
      <c r="TU2">
        <v>4646504.92448068</v>
      </c>
      <c r="TV2">
        <v>5647275.83509398</v>
      </c>
      <c r="TW2">
        <v>5339139.23846638</v>
      </c>
      <c r="TX2" t="s">
        <v>1900</v>
      </c>
      <c r="TY2" t="s">
        <v>1900</v>
      </c>
      <c r="TZ2" t="s">
        <v>1900</v>
      </c>
      <c r="UA2" t="s">
        <v>1900</v>
      </c>
      <c r="UB2" t="s">
        <v>1900</v>
      </c>
      <c r="UC2">
        <v>110887.139889001</v>
      </c>
      <c r="UD2">
        <v>0</v>
      </c>
      <c r="UE2">
        <v>0</v>
      </c>
      <c r="UF2">
        <v>0</v>
      </c>
      <c r="UG2">
        <v>0</v>
      </c>
      <c r="UH2" t="s">
        <v>1900</v>
      </c>
      <c r="UI2" t="s">
        <v>1900</v>
      </c>
      <c r="UJ2" t="s">
        <v>1900</v>
      </c>
      <c r="UK2" t="s">
        <v>1900</v>
      </c>
      <c r="UL2" t="s">
        <v>1900</v>
      </c>
      <c r="UM2" t="s">
        <v>1900</v>
      </c>
      <c r="UN2" t="s">
        <v>1900</v>
      </c>
      <c r="UO2" t="s">
        <v>1900</v>
      </c>
      <c r="UP2" t="s">
        <v>1900</v>
      </c>
      <c r="UQ2" t="s">
        <v>1900</v>
      </c>
      <c r="UR2" t="s">
        <v>1900</v>
      </c>
      <c r="US2" t="s">
        <v>1900</v>
      </c>
      <c r="UT2" t="s">
        <v>1900</v>
      </c>
      <c r="UU2" t="s">
        <v>1900</v>
      </c>
      <c r="UV2" t="s">
        <v>1900</v>
      </c>
      <c r="UW2" t="s">
        <v>1900</v>
      </c>
      <c r="UX2" t="s">
        <v>1900</v>
      </c>
      <c r="UY2" t="s">
        <v>1900</v>
      </c>
      <c r="UZ2" t="s">
        <v>1900</v>
      </c>
      <c r="VA2" t="s">
        <v>1900</v>
      </c>
      <c r="VB2" t="s">
        <v>1900</v>
      </c>
      <c r="VC2" t="s">
        <v>1900</v>
      </c>
      <c r="VD2" t="s">
        <v>1900</v>
      </c>
      <c r="VE2" t="s">
        <v>1900</v>
      </c>
      <c r="VF2" t="s">
        <v>1900</v>
      </c>
      <c r="VG2" t="s">
        <v>1900</v>
      </c>
      <c r="VH2" t="s">
        <v>1900</v>
      </c>
      <c r="VI2" t="s">
        <v>1900</v>
      </c>
      <c r="VJ2" t="s">
        <v>1900</v>
      </c>
      <c r="VK2" t="s">
        <v>1900</v>
      </c>
      <c r="VL2" t="s">
        <v>1900</v>
      </c>
      <c r="VM2" t="s">
        <v>1900</v>
      </c>
      <c r="VN2" t="s">
        <v>1900</v>
      </c>
      <c r="VO2" t="s">
        <v>1900</v>
      </c>
      <c r="VP2" t="s">
        <v>1900</v>
      </c>
      <c r="VQ2" t="s">
        <v>1900</v>
      </c>
      <c r="VR2" t="s">
        <v>1900</v>
      </c>
      <c r="VS2" t="s">
        <v>1900</v>
      </c>
      <c r="VT2" t="s">
        <v>1900</v>
      </c>
      <c r="VU2" t="s">
        <v>1900</v>
      </c>
      <c r="VV2" t="s">
        <v>1900</v>
      </c>
      <c r="VW2" t="s">
        <v>1900</v>
      </c>
      <c r="VX2" t="s">
        <v>1900</v>
      </c>
      <c r="VY2" t="s">
        <v>1900</v>
      </c>
      <c r="VZ2" t="s">
        <v>1900</v>
      </c>
      <c r="WA2">
        <v>203556.31404168</v>
      </c>
      <c r="WB2">
        <v>182619.188757248</v>
      </c>
      <c r="WC2">
        <v>223224.904730769</v>
      </c>
      <c r="WD2">
        <v>380871.62308181</v>
      </c>
      <c r="WE2">
        <v>246420.731158757</v>
      </c>
      <c r="WF2" t="s">
        <v>1900</v>
      </c>
      <c r="WG2" t="s">
        <v>1900</v>
      </c>
      <c r="WH2" t="s">
        <v>1900</v>
      </c>
      <c r="WI2" t="s">
        <v>1900</v>
      </c>
      <c r="WJ2" t="s">
        <v>1900</v>
      </c>
      <c r="WK2" t="s">
        <v>1900</v>
      </c>
      <c r="WL2" t="s">
        <v>1900</v>
      </c>
      <c r="WM2" t="s">
        <v>1900</v>
      </c>
      <c r="WN2" t="s">
        <v>1900</v>
      </c>
      <c r="WO2" t="s">
        <v>1900</v>
      </c>
      <c r="WP2" t="s">
        <v>1900</v>
      </c>
      <c r="WQ2" t="s">
        <v>1900</v>
      </c>
      <c r="WR2" t="s">
        <v>1900</v>
      </c>
      <c r="WS2" t="s">
        <v>1900</v>
      </c>
      <c r="WT2" t="s">
        <v>1900</v>
      </c>
      <c r="WU2" t="s">
        <v>1900</v>
      </c>
      <c r="WV2" t="s">
        <v>1900</v>
      </c>
      <c r="WW2" t="s">
        <v>1900</v>
      </c>
      <c r="WX2" t="s">
        <v>1900</v>
      </c>
      <c r="WY2" t="s">
        <v>1900</v>
      </c>
      <c r="WZ2" t="s">
        <v>1900</v>
      </c>
      <c r="XA2" t="s">
        <v>1900</v>
      </c>
      <c r="XB2" t="s">
        <v>1900</v>
      </c>
      <c r="XC2" t="s">
        <v>1900</v>
      </c>
      <c r="XD2" t="s">
        <v>1900</v>
      </c>
      <c r="XE2" t="s">
        <v>1900</v>
      </c>
      <c r="XF2" t="s">
        <v>1900</v>
      </c>
      <c r="XG2" t="s">
        <v>1900</v>
      </c>
      <c r="XH2" t="s">
        <v>1900</v>
      </c>
      <c r="XI2" t="s">
        <v>1900</v>
      </c>
      <c r="XJ2">
        <v>0</v>
      </c>
      <c r="XK2">
        <v>0</v>
      </c>
      <c r="XL2" t="s">
        <v>1900</v>
      </c>
      <c r="XM2">
        <v>0</v>
      </c>
      <c r="XN2">
        <v>0</v>
      </c>
      <c r="XO2" t="s">
        <v>1900</v>
      </c>
      <c r="XP2" t="s">
        <v>1900</v>
      </c>
      <c r="XQ2" t="s">
        <v>1900</v>
      </c>
      <c r="XR2" t="s">
        <v>1900</v>
      </c>
      <c r="XS2" t="s">
        <v>1900</v>
      </c>
      <c r="XT2" t="s">
        <v>1900</v>
      </c>
      <c r="XU2" t="s">
        <v>1900</v>
      </c>
      <c r="XV2" t="s">
        <v>1900</v>
      </c>
      <c r="XW2" t="s">
        <v>1900</v>
      </c>
      <c r="XX2" t="s">
        <v>1900</v>
      </c>
      <c r="XY2">
        <v>0</v>
      </c>
      <c r="XZ2">
        <v>0</v>
      </c>
      <c r="YA2" t="s">
        <v>1900</v>
      </c>
      <c r="YB2">
        <v>0</v>
      </c>
      <c r="YC2">
        <v>0</v>
      </c>
      <c r="YD2" t="s">
        <v>1900</v>
      </c>
      <c r="YE2" t="s">
        <v>1900</v>
      </c>
      <c r="YF2" t="s">
        <v>1900</v>
      </c>
      <c r="YG2" t="s">
        <v>1900</v>
      </c>
      <c r="YH2" t="s">
        <v>1900</v>
      </c>
      <c r="YI2" t="s">
        <v>1900</v>
      </c>
      <c r="YJ2" t="s">
        <v>1900</v>
      </c>
      <c r="YK2" t="s">
        <v>1900</v>
      </c>
      <c r="YL2" t="s">
        <v>1900</v>
      </c>
      <c r="YM2" t="s">
        <v>1900</v>
      </c>
      <c r="YN2" t="s">
        <v>1900</v>
      </c>
      <c r="YO2" t="s">
        <v>1900</v>
      </c>
      <c r="YP2" t="s">
        <v>1900</v>
      </c>
      <c r="YQ2" t="s">
        <v>1900</v>
      </c>
      <c r="YR2" t="s">
        <v>1900</v>
      </c>
      <c r="YS2" t="s">
        <v>1900</v>
      </c>
      <c r="YT2" t="s">
        <v>1900</v>
      </c>
      <c r="YU2" t="s">
        <v>1900</v>
      </c>
      <c r="YV2" t="s">
        <v>1900</v>
      </c>
      <c r="YW2" t="s">
        <v>1900</v>
      </c>
      <c r="YX2" t="s">
        <v>1900</v>
      </c>
      <c r="YY2" t="s">
        <v>1900</v>
      </c>
      <c r="YZ2" t="s">
        <v>1900</v>
      </c>
      <c r="ZA2" t="s">
        <v>1900</v>
      </c>
      <c r="ZB2" t="s">
        <v>1900</v>
      </c>
      <c r="ZC2" t="s">
        <v>1900</v>
      </c>
      <c r="ZD2" t="s">
        <v>1900</v>
      </c>
      <c r="ZE2" t="s">
        <v>1900</v>
      </c>
      <c r="ZF2" t="s">
        <v>1900</v>
      </c>
      <c r="ZG2" t="s">
        <v>1900</v>
      </c>
      <c r="ZH2" t="s">
        <v>1900</v>
      </c>
      <c r="ZI2" t="s">
        <v>1900</v>
      </c>
      <c r="ZJ2" t="s">
        <v>1900</v>
      </c>
      <c r="ZK2" t="s">
        <v>1900</v>
      </c>
      <c r="ZL2" t="s">
        <v>1900</v>
      </c>
      <c r="ZM2" t="s">
        <v>1900</v>
      </c>
      <c r="ZN2" t="s">
        <v>1900</v>
      </c>
      <c r="ZO2" t="s">
        <v>1900</v>
      </c>
      <c r="ZP2" t="s">
        <v>1900</v>
      </c>
      <c r="ZQ2" t="s">
        <v>1900</v>
      </c>
      <c r="ZR2" t="s">
        <v>1900</v>
      </c>
      <c r="ZS2" t="s">
        <v>1900</v>
      </c>
      <c r="ZT2" t="s">
        <v>1900</v>
      </c>
      <c r="ZU2" t="s">
        <v>1900</v>
      </c>
      <c r="ZV2" t="s">
        <v>1900</v>
      </c>
      <c r="ZW2" t="s">
        <v>1900</v>
      </c>
      <c r="ZX2" t="s">
        <v>1900</v>
      </c>
      <c r="ZY2" t="s">
        <v>1900</v>
      </c>
      <c r="ZZ2" t="s">
        <v>1900</v>
      </c>
      <c r="AAA2" t="s">
        <v>1900</v>
      </c>
      <c r="AAB2" t="s">
        <v>1900</v>
      </c>
      <c r="AAC2" t="s">
        <v>1900</v>
      </c>
      <c r="AAD2" t="s">
        <v>1900</v>
      </c>
      <c r="AAE2" t="s">
        <v>1900</v>
      </c>
      <c r="AAF2" t="s">
        <v>1900</v>
      </c>
      <c r="AAG2" t="s">
        <v>1900</v>
      </c>
      <c r="AAH2" t="s">
        <v>1900</v>
      </c>
      <c r="AAI2" t="s">
        <v>1900</v>
      </c>
      <c r="AAJ2" t="s">
        <v>1900</v>
      </c>
      <c r="AAK2" t="s">
        <v>1900</v>
      </c>
      <c r="AAL2" t="s">
        <v>1900</v>
      </c>
      <c r="AAM2" t="s">
        <v>1900</v>
      </c>
      <c r="AAN2" t="s">
        <v>1900</v>
      </c>
      <c r="AAO2" t="s">
        <v>1900</v>
      </c>
      <c r="AAP2" t="s">
        <v>1900</v>
      </c>
      <c r="AAQ2" t="s">
        <v>1900</v>
      </c>
      <c r="AAR2" t="s">
        <v>1900</v>
      </c>
      <c r="AAS2" t="s">
        <v>1900</v>
      </c>
      <c r="AAT2" t="s">
        <v>1900</v>
      </c>
      <c r="AAU2" t="s">
        <v>1900</v>
      </c>
      <c r="AAV2" t="s">
        <v>1900</v>
      </c>
      <c r="AAW2" t="s">
        <v>1900</v>
      </c>
      <c r="AAX2" t="s">
        <v>1900</v>
      </c>
      <c r="AAY2" t="s">
        <v>1900</v>
      </c>
      <c r="AAZ2" t="s">
        <v>1900</v>
      </c>
      <c r="ABA2" t="s">
        <v>1900</v>
      </c>
      <c r="ABB2" t="s">
        <v>1900</v>
      </c>
      <c r="ABC2" t="s">
        <v>1900</v>
      </c>
      <c r="ABD2" t="s">
        <v>1900</v>
      </c>
      <c r="ABE2" t="s">
        <v>1900</v>
      </c>
      <c r="ABF2" t="s">
        <v>1900</v>
      </c>
      <c r="ABG2" t="s">
        <v>1900</v>
      </c>
      <c r="ABH2" t="s">
        <v>1900</v>
      </c>
      <c r="ABI2" t="s">
        <v>1900</v>
      </c>
      <c r="ABJ2" t="s">
        <v>1900</v>
      </c>
      <c r="ABK2" t="s">
        <v>1900</v>
      </c>
      <c r="ABL2" t="s">
        <v>1900</v>
      </c>
      <c r="ABM2" t="s">
        <v>1900</v>
      </c>
      <c r="ABN2" t="s">
        <v>1900</v>
      </c>
      <c r="ABO2" t="s">
        <v>1900</v>
      </c>
      <c r="ABP2" t="s">
        <v>1900</v>
      </c>
      <c r="ABQ2" t="s">
        <v>1900</v>
      </c>
      <c r="ABR2" t="s">
        <v>1900</v>
      </c>
      <c r="ABS2" t="s">
        <v>1900</v>
      </c>
      <c r="ABT2" t="s">
        <v>1900</v>
      </c>
      <c r="ABU2" t="s">
        <v>1900</v>
      </c>
      <c r="ABV2" t="s">
        <v>1900</v>
      </c>
      <c r="ABW2" t="s">
        <v>1900</v>
      </c>
      <c r="ABX2" t="s">
        <v>1900</v>
      </c>
      <c r="ABY2" t="s">
        <v>1900</v>
      </c>
      <c r="ABZ2" t="s">
        <v>1900</v>
      </c>
      <c r="ACA2" t="s">
        <v>1900</v>
      </c>
      <c r="ACB2" t="s">
        <v>1900</v>
      </c>
      <c r="ACC2" t="s">
        <v>1900</v>
      </c>
      <c r="ACD2" t="s">
        <v>1900</v>
      </c>
      <c r="ACE2">
        <v>-9.721</v>
      </c>
      <c r="ACF2">
        <v>-9.907</v>
      </c>
      <c r="ACG2">
        <v>-9.045</v>
      </c>
      <c r="ACH2">
        <v>-3.059</v>
      </c>
      <c r="ACI2">
        <v>-10.178</v>
      </c>
      <c r="ACJ2" t="s">
        <v>1900</v>
      </c>
      <c r="ACK2" t="s">
        <v>1900</v>
      </c>
      <c r="ACL2" t="s">
        <v>1900</v>
      </c>
      <c r="ACM2" t="s">
        <v>1900</v>
      </c>
      <c r="ACN2" t="s">
        <v>1900</v>
      </c>
      <c r="ACO2">
        <v>-7.763</v>
      </c>
      <c r="ACP2">
        <v>-8.455</v>
      </c>
      <c r="ACQ2">
        <v>-8.609999999999999</v>
      </c>
      <c r="ACR2">
        <v>-2.769</v>
      </c>
      <c r="ACS2">
        <v>-9.068</v>
      </c>
      <c r="ACT2">
        <v>-9.252000000000001</v>
      </c>
      <c r="ACU2">
        <v>-9.093999999999999</v>
      </c>
      <c r="ACV2">
        <v>-8.824999999999999</v>
      </c>
      <c r="ACW2">
        <v>-4.561</v>
      </c>
      <c r="ACX2">
        <v>-3.181</v>
      </c>
      <c r="ACY2" t="s">
        <v>1900</v>
      </c>
      <c r="ACZ2" t="s">
        <v>1900</v>
      </c>
      <c r="ADA2" t="s">
        <v>1900</v>
      </c>
      <c r="ADB2" t="s">
        <v>1900</v>
      </c>
      <c r="ADC2" t="s">
        <v>1900</v>
      </c>
      <c r="ADD2">
        <v>-7.389</v>
      </c>
      <c r="ADE2">
        <v>-7.761</v>
      </c>
      <c r="ADF2">
        <v>-8.401</v>
      </c>
      <c r="ADG2">
        <v>-4.128</v>
      </c>
      <c r="ADH2">
        <v>-6.801</v>
      </c>
      <c r="ADI2">
        <v>-46.788</v>
      </c>
      <c r="ADJ2">
        <v>-52.757</v>
      </c>
      <c r="ADK2">
        <v>-90.824</v>
      </c>
      <c r="ADL2">
        <v>-27.64</v>
      </c>
      <c r="ADM2" t="s">
        <v>1900</v>
      </c>
      <c r="ADN2">
        <v>97.816</v>
      </c>
      <c r="ADO2">
        <v>66.41200000000001</v>
      </c>
      <c r="ADP2">
        <v>86.70999999999999</v>
      </c>
      <c r="ADQ2">
        <v>82.17400000000001</v>
      </c>
      <c r="ADR2" t="s">
        <v>1900</v>
      </c>
      <c r="ADS2">
        <v>-46.787822131</v>
      </c>
      <c r="ADT2">
        <v>-52.717972121</v>
      </c>
      <c r="ADU2">
        <v>-90.82359516699999</v>
      </c>
      <c r="ADV2">
        <v>-27.640245264</v>
      </c>
      <c r="ADW2" t="s">
        <v>1900</v>
      </c>
      <c r="ADX2">
        <v>24.513</v>
      </c>
      <c r="ADY2">
        <v>3.46</v>
      </c>
      <c r="ADZ2">
        <v>5.886</v>
      </c>
      <c r="AEA2">
        <v>40.224</v>
      </c>
      <c r="AEB2" t="s">
        <v>1900</v>
      </c>
      <c r="AEC2">
        <v>-46.788</v>
      </c>
      <c r="AED2">
        <v>-52.718</v>
      </c>
      <c r="AEE2">
        <v>-90.824</v>
      </c>
      <c r="AEF2">
        <v>-27.64</v>
      </c>
      <c r="AEG2" t="s">
        <v>1900</v>
      </c>
      <c r="AEH2">
        <v>26.769</v>
      </c>
      <c r="AEI2">
        <v>7.75</v>
      </c>
      <c r="AEJ2">
        <v>8.090999999999999</v>
      </c>
      <c r="AEK2">
        <v>26.65</v>
      </c>
      <c r="AEL2" t="s">
        <v>1900</v>
      </c>
      <c r="AEM2">
        <v>-31.874457603</v>
      </c>
      <c r="AEN2">
        <v>-34.519821989</v>
      </c>
      <c r="AEO2">
        <v>-47.595579094</v>
      </c>
      <c r="AEP2">
        <v>-21.654804256</v>
      </c>
      <c r="AEQ2">
        <v>-100</v>
      </c>
      <c r="AER2">
        <v>0.676440941</v>
      </c>
      <c r="AES2">
        <v>0.55747662</v>
      </c>
      <c r="AET2">
        <v>0.488414539</v>
      </c>
      <c r="AEU2">
        <v>0.748299551</v>
      </c>
      <c r="AEV2" t="s">
        <v>1900</v>
      </c>
      <c r="AEW2" t="s">
        <v>1900</v>
      </c>
      <c r="AEX2" t="s">
        <v>1900</v>
      </c>
      <c r="AEY2" t="s">
        <v>1900</v>
      </c>
      <c r="AEZ2" t="s">
        <v>1900</v>
      </c>
      <c r="AFA2" t="s">
        <v>1900</v>
      </c>
      <c r="AFB2" t="s">
        <v>1900</v>
      </c>
      <c r="AFC2" t="s">
        <v>1900</v>
      </c>
      <c r="AFD2" t="s">
        <v>1900</v>
      </c>
      <c r="AFE2" t="s">
        <v>1900</v>
      </c>
      <c r="AFF2" t="s">
        <v>1900</v>
      </c>
      <c r="AFG2">
        <v>0.178</v>
      </c>
      <c r="AFH2">
        <v>0.167</v>
      </c>
      <c r="AFI2">
        <v>0.1</v>
      </c>
      <c r="AFJ2">
        <v>0.107</v>
      </c>
      <c r="AFK2" t="s">
        <v>1900</v>
      </c>
      <c r="AFL2" t="s">
        <v>1900</v>
      </c>
      <c r="AFM2" t="s">
        <v>1900</v>
      </c>
      <c r="AFN2" t="s">
        <v>1900</v>
      </c>
      <c r="AFO2" t="s">
        <v>1900</v>
      </c>
      <c r="AFP2" t="s">
        <v>1900</v>
      </c>
      <c r="AFQ2" t="s">
        <v>1901</v>
      </c>
      <c r="AFR2" t="s">
        <v>1901</v>
      </c>
      <c r="AFS2" t="s">
        <v>1901</v>
      </c>
      <c r="AFT2" t="s">
        <v>1901</v>
      </c>
      <c r="AFU2" t="s">
        <v>1900</v>
      </c>
      <c r="AFV2">
        <v>96.645</v>
      </c>
      <c r="AFW2">
        <v>83.976</v>
      </c>
      <c r="AFX2">
        <v>124.899</v>
      </c>
      <c r="AFY2">
        <v>89.983</v>
      </c>
      <c r="AFZ2" t="s">
        <v>1900</v>
      </c>
      <c r="AGA2">
        <v>0</v>
      </c>
      <c r="AGB2">
        <v>1.623</v>
      </c>
      <c r="AGC2">
        <v>0</v>
      </c>
      <c r="AGD2">
        <v>0</v>
      </c>
      <c r="AGE2" t="s">
        <v>1900</v>
      </c>
      <c r="AGF2" t="s">
        <v>1900</v>
      </c>
      <c r="AGG2" t="s">
        <v>1900</v>
      </c>
      <c r="AGH2" t="s">
        <v>1900</v>
      </c>
      <c r="AGI2" t="s">
        <v>1900</v>
      </c>
      <c r="AGJ2" t="s">
        <v>1900</v>
      </c>
      <c r="AGK2" t="s">
        <v>1900</v>
      </c>
      <c r="AGL2" t="s">
        <v>1900</v>
      </c>
      <c r="AGM2" t="s">
        <v>1900</v>
      </c>
      <c r="AGN2" t="s">
        <v>1900</v>
      </c>
      <c r="AGO2" t="s">
        <v>1900</v>
      </c>
      <c r="AGP2" t="s">
        <v>1900</v>
      </c>
      <c r="AGQ2" t="s">
        <v>1900</v>
      </c>
      <c r="AGR2" t="s">
        <v>1900</v>
      </c>
      <c r="AGS2" t="s">
        <v>1900</v>
      </c>
      <c r="AGT2" t="s">
        <v>1900</v>
      </c>
      <c r="AGU2">
        <v>0</v>
      </c>
      <c r="AGV2">
        <v>0</v>
      </c>
      <c r="AGW2">
        <v>0</v>
      </c>
      <c r="AGX2">
        <v>0</v>
      </c>
      <c r="AGY2">
        <v>0</v>
      </c>
      <c r="AGZ2">
        <v>1.01</v>
      </c>
      <c r="AHA2">
        <v>1.917</v>
      </c>
      <c r="AHB2">
        <v>1.146</v>
      </c>
      <c r="AHC2">
        <v>3.116</v>
      </c>
      <c r="AHD2">
        <v>0.198</v>
      </c>
      <c r="AHE2">
        <v>1.01</v>
      </c>
      <c r="AHF2">
        <v>1.917</v>
      </c>
      <c r="AHG2">
        <v>1.146</v>
      </c>
      <c r="AHH2">
        <v>3.116</v>
      </c>
      <c r="AHI2">
        <v>0.198</v>
      </c>
      <c r="AHJ2">
        <v>5.983</v>
      </c>
      <c r="AHK2">
        <v>7.849</v>
      </c>
      <c r="AHL2" t="s">
        <v>1901</v>
      </c>
      <c r="AHM2">
        <v>33.001</v>
      </c>
      <c r="AHN2">
        <v>14.174</v>
      </c>
      <c r="AHO2">
        <v>79.857</v>
      </c>
      <c r="AHP2">
        <v>85.34399999999999</v>
      </c>
      <c r="AHQ2">
        <v>95.196</v>
      </c>
      <c r="AHR2">
        <v>90.51300000000001</v>
      </c>
      <c r="AHS2">
        <v>89.098</v>
      </c>
      <c r="AHT2" t="s">
        <v>1901</v>
      </c>
      <c r="AHU2" t="s">
        <v>1901</v>
      </c>
      <c r="AHV2" t="s">
        <v>1901</v>
      </c>
      <c r="AHW2" t="s">
        <v>1901</v>
      </c>
      <c r="AHX2" t="s">
        <v>1901</v>
      </c>
      <c r="AHY2">
        <v>19.715</v>
      </c>
      <c r="AHZ2">
        <v>12.74</v>
      </c>
      <c r="AIA2">
        <v>0</v>
      </c>
      <c r="AIB2">
        <v>3.03</v>
      </c>
      <c r="AIC2">
        <v>7.055</v>
      </c>
      <c r="AID2">
        <v>6.358333954</v>
      </c>
      <c r="AIE2">
        <v>3.616617458</v>
      </c>
      <c r="AIF2">
        <v>0.208980511</v>
      </c>
      <c r="AIG2">
        <v>0</v>
      </c>
      <c r="AIH2">
        <v>0.944628307</v>
      </c>
      <c r="AII2">
        <v>2.408679386</v>
      </c>
      <c r="AIJ2">
        <v>3.511774174</v>
      </c>
      <c r="AIK2">
        <v>2.215957081</v>
      </c>
      <c r="AIL2">
        <v>18.514310559</v>
      </c>
      <c r="AIM2">
        <v>0.818357359</v>
      </c>
      <c r="AIN2">
        <v>4.399148509</v>
      </c>
      <c r="AIO2">
        <v>3.710344044</v>
      </c>
      <c r="AIP2">
        <v>4.804146522</v>
      </c>
      <c r="AIQ2">
        <v>6.74434248</v>
      </c>
      <c r="AIR2">
        <v>4.61536439</v>
      </c>
      <c r="AIS2">
        <v>0</v>
      </c>
      <c r="AIT2">
        <v>0</v>
      </c>
      <c r="AIU2">
        <v>0</v>
      </c>
      <c r="AIV2">
        <v>0</v>
      </c>
      <c r="AIW2">
        <v>0</v>
      </c>
      <c r="AIX2">
        <v>-39.9109475859023</v>
      </c>
      <c r="AIY2">
        <v>-52.0171535746594</v>
      </c>
      <c r="AIZ2">
        <v>-44.4530785795462</v>
      </c>
      <c r="AJA2">
        <v>-78.17924258115291</v>
      </c>
      <c r="AJB2" t="s">
        <v>1900</v>
      </c>
      <c r="AJC2">
        <v>85.3019988268988</v>
      </c>
      <c r="AJD2">
        <v>98.5975820543833</v>
      </c>
      <c r="AJE2">
        <v>48.9444159650564</v>
      </c>
      <c r="AJF2">
        <v>282.845690533519</v>
      </c>
      <c r="AJG2" t="s">
        <v>1900</v>
      </c>
      <c r="AJH2">
        <v>69.34</v>
      </c>
      <c r="AJI2">
        <v>64.233</v>
      </c>
      <c r="AJJ2" t="s">
        <v>1901</v>
      </c>
      <c r="AJK2">
        <v>31.973</v>
      </c>
      <c r="AJL2" t="s">
        <v>1900</v>
      </c>
      <c r="AJM2">
        <v>59.1482722016599</v>
      </c>
      <c r="AJN2">
        <v>63.3320636176519</v>
      </c>
      <c r="AJO2">
        <v>64.32275724651279</v>
      </c>
      <c r="AJP2">
        <v>90.4349462811828</v>
      </c>
      <c r="AJQ2" t="s">
        <v>1900</v>
      </c>
      <c r="AJR2">
        <v>410.568874398615</v>
      </c>
      <c r="AJS2">
        <v>525.0686095393399</v>
      </c>
      <c r="AJT2">
        <v>491.475558105524</v>
      </c>
      <c r="AJU2">
        <v>2555.75716161597</v>
      </c>
      <c r="AJV2" t="s">
        <v>1900</v>
      </c>
      <c r="AJW2">
        <v>22.9000044253873</v>
      </c>
      <c r="AJX2">
        <v>22.5550679074373</v>
      </c>
      <c r="AJY2">
        <v>16.9808760811794</v>
      </c>
      <c r="AJZ2">
        <v>70.698004151237</v>
      </c>
      <c r="AKA2" t="s">
        <v>1900</v>
      </c>
      <c r="AKB2">
        <v>514.130591295484</v>
      </c>
      <c r="AKC2">
        <v>615.236709675675</v>
      </c>
      <c r="AKD2">
        <v>516.278324468254</v>
      </c>
      <c r="AKE2">
        <v>2823.63791754699</v>
      </c>
      <c r="AKF2" t="s">
        <v>1900</v>
      </c>
      <c r="AKG2">
        <v>0</v>
      </c>
      <c r="AKH2">
        <v>0</v>
      </c>
      <c r="AKI2">
        <v>0</v>
      </c>
      <c r="AKJ2">
        <v>0</v>
      </c>
      <c r="AKK2">
        <v>0</v>
      </c>
      <c r="AKL2">
        <v>0</v>
      </c>
      <c r="AKM2">
        <v>0</v>
      </c>
      <c r="AKN2">
        <v>0</v>
      </c>
      <c r="AKO2">
        <v>0</v>
      </c>
      <c r="AKP2" t="s">
        <v>1900</v>
      </c>
      <c r="AKQ2">
        <v>0</v>
      </c>
      <c r="AKR2">
        <v>0</v>
      </c>
      <c r="AKS2">
        <v>0</v>
      </c>
      <c r="AKT2">
        <v>0</v>
      </c>
      <c r="AKU2">
        <v>0</v>
      </c>
      <c r="AKV2">
        <v>522.366572842</v>
      </c>
      <c r="AKW2">
        <v>554.989120423</v>
      </c>
      <c r="AKX2">
        <v>991.624431219</v>
      </c>
      <c r="AKY2">
        <v>786.940058563</v>
      </c>
      <c r="AKZ2" t="s">
        <v>1900</v>
      </c>
      <c r="ALA2">
        <v>86.66847258200001</v>
      </c>
      <c r="ALB2">
        <v>88.94232850900001</v>
      </c>
      <c r="ALC2">
        <v>94.008359794</v>
      </c>
      <c r="ALD2">
        <v>78.82830971</v>
      </c>
      <c r="ALE2">
        <v>98.11829356200001</v>
      </c>
      <c r="ALF2">
        <v>0.6653524</v>
      </c>
      <c r="ALG2">
        <v>1.19149516</v>
      </c>
      <c r="ALH2">
        <v>2.928293099</v>
      </c>
      <c r="ALI2">
        <v>1.533266261</v>
      </c>
      <c r="ALJ2" t="s">
        <v>1900</v>
      </c>
      <c r="ALK2">
        <v>0.110391972</v>
      </c>
      <c r="ALL2">
        <v>0.190948525</v>
      </c>
      <c r="ALM2">
        <v>0.277609166</v>
      </c>
      <c r="ALN2">
        <v>0.153588302</v>
      </c>
      <c r="ALO2">
        <v>0.0254193</v>
      </c>
      <c r="ALP2">
        <v>26.845800217</v>
      </c>
      <c r="ALQ2">
        <v>23.326724788</v>
      </c>
      <c r="ALR2">
        <v>34.694206196</v>
      </c>
      <c r="ALS2">
        <v>24.9952559</v>
      </c>
      <c r="ALT2" t="s">
        <v>1900</v>
      </c>
      <c r="ALU2">
        <v>0</v>
      </c>
      <c r="ALV2">
        <v>1.932722637</v>
      </c>
      <c r="ALW2">
        <v>0</v>
      </c>
      <c r="ALX2">
        <v>0</v>
      </c>
      <c r="ALY2">
        <v>0</v>
      </c>
      <c r="ALZ2">
        <v>97.8158315566655</v>
      </c>
      <c r="AMA2">
        <v>66.41239357927979</v>
      </c>
      <c r="AMB2">
        <v>86.7099785893285</v>
      </c>
      <c r="AMC2">
        <v>82.1738028380509</v>
      </c>
      <c r="AMD2" t="s">
        <v>1900</v>
      </c>
      <c r="AME2" t="s">
        <v>1901</v>
      </c>
      <c r="AMF2">
        <v>79.07132559264529</v>
      </c>
      <c r="AMG2" t="s">
        <v>1901</v>
      </c>
      <c r="AMH2">
        <v>82.1738028380509</v>
      </c>
      <c r="AMI2" t="s">
        <v>1900</v>
      </c>
      <c r="AMJ2">
        <v>4478.40146464772</v>
      </c>
      <c r="AMK2">
        <v>197.72886685462</v>
      </c>
      <c r="AML2">
        <v>652.444235490114</v>
      </c>
      <c r="AMM2">
        <v>460.972141682888</v>
      </c>
      <c r="AMN2">
        <v>-100</v>
      </c>
      <c r="AMO2">
        <v>0.676440942156486</v>
      </c>
      <c r="AMP2">
        <v>0.557476620398843</v>
      </c>
      <c r="AMQ2">
        <v>0.488414539033383</v>
      </c>
      <c r="AMR2">
        <v>0.748299550545135</v>
      </c>
      <c r="AMS2">
        <v>-0.09308848665760119</v>
      </c>
      <c r="AMT2">
        <v>0.676440940284845</v>
      </c>
      <c r="AMU2">
        <v>0.557476619222907</v>
      </c>
      <c r="AMV2">
        <v>0.488414539033383</v>
      </c>
      <c r="AMW2">
        <v>0.748299550545135</v>
      </c>
      <c r="AMX2">
        <v>-0.0930884866576009</v>
      </c>
      <c r="AMY2">
        <v>0.6764409408904311</v>
      </c>
      <c r="AMZ2">
        <v>0.557476619743286</v>
      </c>
      <c r="ANA2">
        <v>0.488414539033383</v>
      </c>
      <c r="ANB2">
        <v>0.748299550545135</v>
      </c>
      <c r="ANC2" t="s">
        <v>1900</v>
      </c>
      <c r="AND2">
        <v>-46.7878221309808</v>
      </c>
      <c r="ANE2">
        <v>-52.7179721208319</v>
      </c>
      <c r="ANF2">
        <v>-90.8235951673732</v>
      </c>
      <c r="ANG2">
        <v>-27.6402452636584</v>
      </c>
      <c r="ANH2" t="s">
        <v>1900</v>
      </c>
      <c r="ANI2">
        <v>-66.6087937566072</v>
      </c>
      <c r="ANJ2">
        <v>-62.7665969180011</v>
      </c>
      <c r="ANK2" t="s">
        <v>1901</v>
      </c>
      <c r="ANL2">
        <v>-27.6402452636584</v>
      </c>
      <c r="ANM2" t="s">
        <v>1900</v>
      </c>
      <c r="ANN2">
        <v>-31.8744576026418</v>
      </c>
      <c r="ANO2">
        <v>-34.5198219886792</v>
      </c>
      <c r="ANP2">
        <v>-47.5955790937232</v>
      </c>
      <c r="ANQ2">
        <v>-21.654804255949</v>
      </c>
      <c r="ANR2" t="s">
        <v>1900</v>
      </c>
      <c r="ANS2">
        <v>-8.32879345593952</v>
      </c>
      <c r="ANT2">
        <v>-8.780698892922221</v>
      </c>
      <c r="ANU2">
        <v>-9.0448197098001</v>
      </c>
      <c r="ANV2">
        <v>-2.96897995105073</v>
      </c>
      <c r="ANW2">
        <v>-3.96134391266892</v>
      </c>
      <c r="ANX2">
        <v>97.8158315566655</v>
      </c>
      <c r="ANY2">
        <v>66.41239357927979</v>
      </c>
      <c r="ANZ2">
        <v>86.7099785893285</v>
      </c>
      <c r="AOA2">
        <v>82.1738028380509</v>
      </c>
      <c r="AOB2" t="s">
        <v>1900</v>
      </c>
      <c r="AOC2">
        <v>66.63756579846461</v>
      </c>
      <c r="AOD2">
        <v>43.4869535372914</v>
      </c>
      <c r="AOE2">
        <v>45.4398621476942</v>
      </c>
      <c r="AOF2">
        <v>64.37922668380151</v>
      </c>
      <c r="AOG2" t="s">
        <v>1900</v>
      </c>
      <c r="AOH2">
        <v>16.2291179337514</v>
      </c>
      <c r="AOI2">
        <v>10.6432229199062</v>
      </c>
      <c r="AOJ2">
        <v>8.22031265905936</v>
      </c>
      <c r="AOK2">
        <v>8.231404551928341</v>
      </c>
      <c r="AOL2">
        <v>-0.321781908564709</v>
      </c>
      <c r="AOM2">
        <v>-2142.13433372159</v>
      </c>
      <c r="AON2">
        <v>-156.956621024087</v>
      </c>
      <c r="AOO2">
        <v>-683.396906301777</v>
      </c>
      <c r="AOP2">
        <v>-155.054075821948</v>
      </c>
      <c r="AOQ2">
        <v>-1174.24670429782</v>
      </c>
      <c r="AOR2">
        <v>-32.3559059715155</v>
      </c>
      <c r="AOS2">
        <v>-44.2523380777093</v>
      </c>
      <c r="AOT2">
        <v>-51.1585460966617</v>
      </c>
      <c r="AOU2">
        <v>-25.1700449454865</v>
      </c>
      <c r="AOV2">
        <v>-109.30884866576</v>
      </c>
      <c r="AOW2">
        <v>-7.76280353745384</v>
      </c>
      <c r="AOX2">
        <v>-8.44856056117924</v>
      </c>
      <c r="AOY2">
        <v>-8.61029331620116</v>
      </c>
      <c r="AOZ2">
        <v>-2.76874177440819</v>
      </c>
      <c r="APA2">
        <v>-3.77851345634773</v>
      </c>
      <c r="APB2">
        <v>-44.5321828093938</v>
      </c>
      <c r="APC2">
        <v>-48.4270789588864</v>
      </c>
      <c r="APD2">
        <v>-88.6192148230422</v>
      </c>
      <c r="APE2">
        <v>-41.2141572190104</v>
      </c>
      <c r="APF2" t="s">
        <v>1900</v>
      </c>
      <c r="APG2">
        <v>-63.3975860637106</v>
      </c>
      <c r="APH2">
        <v>-57.6578123673219</v>
      </c>
      <c r="API2">
        <v>-115.391170843345</v>
      </c>
      <c r="APJ2">
        <v>-41.2141572190104</v>
      </c>
      <c r="APK2" t="s">
        <v>1900</v>
      </c>
      <c r="APL2">
        <v>-2038.86210998488</v>
      </c>
      <c r="APM2">
        <v>-144.181393435085</v>
      </c>
      <c r="APN2">
        <v>-666.8101734725821</v>
      </c>
      <c r="APO2">
        <v>-231.199940428035</v>
      </c>
      <c r="APP2">
        <v>-880.685038937033</v>
      </c>
      <c r="APQ2">
        <v>-30.7960288395856</v>
      </c>
      <c r="APR2">
        <v>-40.6504913598097</v>
      </c>
      <c r="APS2">
        <v>-49.9168765365413</v>
      </c>
      <c r="APT2">
        <v>-37.5308605150755</v>
      </c>
      <c r="APU2">
        <v>-81.981637496639</v>
      </c>
      <c r="APV2">
        <v>-30.3377910802826</v>
      </c>
      <c r="APW2">
        <v>-31.7101375079617</v>
      </c>
      <c r="APX2">
        <v>-46.4403863397047</v>
      </c>
      <c r="APY2">
        <v>-32.2893121474947</v>
      </c>
      <c r="APZ2" t="s">
        <v>1900</v>
      </c>
      <c r="AQA2">
        <v>-7.38855904161437</v>
      </c>
      <c r="AQB2">
        <v>-7.76090378528589</v>
      </c>
      <c r="AQC2">
        <v>-8.40131280502254</v>
      </c>
      <c r="AQD2">
        <v>-4.12844957419156</v>
      </c>
      <c r="AQE2">
        <v>-2.83388512673544</v>
      </c>
      <c r="AQF2">
        <v>-0.323559059109569</v>
      </c>
      <c r="AQG2">
        <v>-0.442523380256714</v>
      </c>
      <c r="AQH2">
        <v>-0.5115854609666169</v>
      </c>
      <c r="AQI2">
        <v>-0.251700449454865</v>
      </c>
      <c r="AQJ2" t="s">
        <v>1900</v>
      </c>
      <c r="AQK2">
        <v>8</v>
      </c>
      <c r="AQO2" t="s">
        <v>1902</v>
      </c>
      <c r="AQP2">
        <v>2</v>
      </c>
      <c r="AQQ2">
        <v>0</v>
      </c>
      <c r="AQS2" t="s">
        <v>1905</v>
      </c>
      <c r="AQU2" t="s">
        <v>1906</v>
      </c>
      <c r="AQV2">
        <v>767717.993597688</v>
      </c>
      <c r="AQW2">
        <v>788780.658645067</v>
      </c>
      <c r="AQX2">
        <v>440499.742618908</v>
      </c>
      <c r="AQY2">
        <v>-359198.529312021</v>
      </c>
      <c r="AQZ2">
        <v>-415829.167719021</v>
      </c>
      <c r="ARA2">
        <v>-400077.702949518</v>
      </c>
      <c r="ARB2">
        <v>1996998.394861663</v>
      </c>
      <c r="ARC2">
        <v>-1175105.39998056</v>
      </c>
      <c r="ARD2">
        <v>-0.3704498578802048</v>
      </c>
      <c r="ARE2">
        <v>-0.3704498578802048</v>
      </c>
      <c r="ARF2">
        <v>-0.3704498578802048</v>
      </c>
      <c r="ARG2" t="s">
        <v>1907</v>
      </c>
      <c r="ARH2" t="s">
        <v>1907</v>
      </c>
      <c r="ARI2" t="s">
        <v>1907</v>
      </c>
      <c r="ARJ2" t="s">
        <v>1163</v>
      </c>
      <c r="ARK2" t="s">
        <v>1501</v>
      </c>
      <c r="ARL2" t="s">
        <v>1908</v>
      </c>
      <c r="ARM2" t="s">
        <v>1909</v>
      </c>
      <c r="ARN2" t="s">
        <v>1909</v>
      </c>
      <c r="ARO2" t="s">
        <v>1908</v>
      </c>
      <c r="ARP2" t="s">
        <v>1907</v>
      </c>
      <c r="ARQ2" t="s">
        <v>1910</v>
      </c>
      <c r="ARR2">
        <f>HYPERLINK("C:\Users\Usuario\Documents\Proyectos\llmthon\evidence\3d-shaper_com_233044.png", "Ver Evidencia")</f>
        <v>0</v>
      </c>
      <c r="ARS2">
        <v>100</v>
      </c>
    </row>
    <row r="3" spans="1:1163">
      <c r="A3">
        <v>313</v>
      </c>
      <c r="B3" t="s">
        <v>1164</v>
      </c>
      <c r="C3" t="s">
        <v>1287</v>
      </c>
      <c r="D3" t="s">
        <v>1409</v>
      </c>
      <c r="E3" s="2">
        <v>35614</v>
      </c>
      <c r="F3" t="s">
        <v>1431</v>
      </c>
      <c r="G3" t="s">
        <v>1433</v>
      </c>
      <c r="H3" t="s">
        <v>1434</v>
      </c>
      <c r="I3" t="s">
        <v>1436</v>
      </c>
      <c r="J3" t="s">
        <v>1452</v>
      </c>
      <c r="L3" t="s">
        <v>1502</v>
      </c>
      <c r="N3" t="s">
        <v>1625</v>
      </c>
      <c r="O3" t="s">
        <v>1649</v>
      </c>
      <c r="P3">
        <v>8211</v>
      </c>
      <c r="Q3">
        <v>8211</v>
      </c>
      <c r="R3" t="s">
        <v>1673</v>
      </c>
      <c r="Z3" t="s">
        <v>1899</v>
      </c>
      <c r="AA3" s="2">
        <v>45657</v>
      </c>
      <c r="AB3">
        <v>2024</v>
      </c>
      <c r="AC3">
        <v>2363788.1265963</v>
      </c>
      <c r="AD3">
        <v>2571392.89575953</v>
      </c>
      <c r="AE3">
        <v>2923126.57860094</v>
      </c>
      <c r="AF3">
        <v>2772155.55924518</v>
      </c>
      <c r="AG3">
        <v>2582181.17693145</v>
      </c>
      <c r="AH3">
        <v>2363788.1265963</v>
      </c>
      <c r="AI3">
        <v>2571392.89575953</v>
      </c>
      <c r="AJ3">
        <v>2921501.03831685</v>
      </c>
      <c r="AK3">
        <v>2772155.55924518</v>
      </c>
      <c r="AL3">
        <v>2574737.28580627</v>
      </c>
      <c r="AM3">
        <v>1181627.22714557</v>
      </c>
      <c r="AN3">
        <v>1495292.29551881</v>
      </c>
      <c r="AO3">
        <v>1907407.40571081</v>
      </c>
      <c r="AP3">
        <v>1661092.26955719</v>
      </c>
      <c r="AQ3">
        <v>1529609.13206651</v>
      </c>
      <c r="AR3">
        <v>1182160.89945073</v>
      </c>
      <c r="AS3">
        <v>1076100.60024073</v>
      </c>
      <c r="AT3">
        <v>1015719.17289013</v>
      </c>
      <c r="AU3">
        <v>1111063.28968799</v>
      </c>
      <c r="AV3">
        <v>1052572.04486494</v>
      </c>
      <c r="AW3">
        <v>1162164.71170422</v>
      </c>
      <c r="AX3">
        <v>1050940.44614916</v>
      </c>
      <c r="AY3">
        <v>1005391.40737126</v>
      </c>
      <c r="AZ3">
        <v>1074502.04568279</v>
      </c>
      <c r="BA3">
        <v>1000586.49965336</v>
      </c>
      <c r="BB3">
        <v>19996.1877465093</v>
      </c>
      <c r="BC3">
        <v>25160.154091568</v>
      </c>
      <c r="BD3">
        <v>10327.765518862</v>
      </c>
      <c r="BE3">
        <v>36561.2440052032</v>
      </c>
      <c r="BF3">
        <v>51985.5464386821</v>
      </c>
      <c r="BG3">
        <v>300.761417090893</v>
      </c>
      <c r="BH3">
        <v>0</v>
      </c>
      <c r="BI3">
        <v>0</v>
      </c>
      <c r="BJ3">
        <v>0</v>
      </c>
      <c r="BK3">
        <v>-3978.83266542554</v>
      </c>
      <c r="BL3">
        <v>300.761417090893</v>
      </c>
      <c r="BM3" t="s">
        <v>1900</v>
      </c>
      <c r="BN3" t="s">
        <v>1900</v>
      </c>
      <c r="BO3" t="s">
        <v>1900</v>
      </c>
      <c r="BP3" t="s">
        <v>1900</v>
      </c>
      <c r="BQ3" t="s">
        <v>1900</v>
      </c>
      <c r="BR3" t="s">
        <v>1900</v>
      </c>
      <c r="BS3" t="s">
        <v>1900</v>
      </c>
      <c r="BT3" t="s">
        <v>1900</v>
      </c>
      <c r="BU3">
        <v>3978.83266542554</v>
      </c>
      <c r="BV3">
        <v>20296.9491636002</v>
      </c>
      <c r="BW3">
        <v>25160.154091568</v>
      </c>
      <c r="BX3">
        <v>10327.765518862</v>
      </c>
      <c r="BY3">
        <v>36561.2440052032</v>
      </c>
      <c r="BZ3">
        <v>48006.7137732565</v>
      </c>
      <c r="CA3">
        <v>2638.60744297624</v>
      </c>
      <c r="CB3">
        <v>3270.82356790543</v>
      </c>
      <c r="CC3">
        <v>1140.93080659509</v>
      </c>
      <c r="CD3">
        <v>5303.67276377678</v>
      </c>
      <c r="CE3">
        <v>6607.81928849816</v>
      </c>
      <c r="CF3">
        <v>17658.341720624</v>
      </c>
      <c r="CG3">
        <v>21889.3305236626</v>
      </c>
      <c r="CH3">
        <v>9186.833645667441</v>
      </c>
      <c r="CI3">
        <v>31257.5701088262</v>
      </c>
      <c r="CJ3">
        <v>41398.8944847584</v>
      </c>
      <c r="CK3" t="s">
        <v>1900</v>
      </c>
      <c r="CL3" t="s">
        <v>1900</v>
      </c>
      <c r="CM3" t="s">
        <v>1900</v>
      </c>
      <c r="CN3" t="s">
        <v>1900</v>
      </c>
      <c r="CO3" t="s">
        <v>1900</v>
      </c>
      <c r="CP3" t="s">
        <v>1900</v>
      </c>
      <c r="CQ3" t="s">
        <v>1900</v>
      </c>
      <c r="CR3" t="s">
        <v>1900</v>
      </c>
      <c r="CS3" t="s">
        <v>1900</v>
      </c>
      <c r="CT3" t="s">
        <v>1900</v>
      </c>
      <c r="CU3" t="s">
        <v>1900</v>
      </c>
      <c r="CV3" t="s">
        <v>1900</v>
      </c>
      <c r="CW3" t="s">
        <v>1900</v>
      </c>
      <c r="CX3" t="s">
        <v>1900</v>
      </c>
      <c r="CY3" t="s">
        <v>1900</v>
      </c>
      <c r="CZ3">
        <v>17658.341720624</v>
      </c>
      <c r="DA3">
        <v>21889.3305236626</v>
      </c>
      <c r="DB3">
        <v>9186.833645667441</v>
      </c>
      <c r="DC3">
        <v>31257.5701088262</v>
      </c>
      <c r="DD3">
        <v>41398.8944847584</v>
      </c>
      <c r="DE3" t="s">
        <v>1900</v>
      </c>
      <c r="DF3" t="s">
        <v>1900</v>
      </c>
      <c r="DG3" t="s">
        <v>1900</v>
      </c>
      <c r="DH3" t="s">
        <v>1900</v>
      </c>
      <c r="DI3" t="s">
        <v>1900</v>
      </c>
      <c r="DJ3">
        <v>1181627.22714557</v>
      </c>
      <c r="DK3">
        <v>1495292.29551881</v>
      </c>
      <c r="DL3">
        <v>1907407.40571081</v>
      </c>
      <c r="DM3">
        <v>1661092.26955719</v>
      </c>
      <c r="DN3">
        <v>1529609.13206651</v>
      </c>
      <c r="DO3">
        <v>1026099.85183048</v>
      </c>
      <c r="DP3">
        <v>893281.1411936</v>
      </c>
      <c r="DQ3">
        <v>848707.63323226</v>
      </c>
      <c r="DR3">
        <v>933118.869741797</v>
      </c>
      <c r="DS3">
        <v>876379.005454254</v>
      </c>
      <c r="DT3">
        <v>7108.74283158422</v>
      </c>
      <c r="DU3">
        <v>8833.65021443367</v>
      </c>
      <c r="DV3">
        <v>7700.10168558359</v>
      </c>
      <c r="DW3">
        <v>4112.97006053925</v>
      </c>
      <c r="DX3">
        <v>2770.31164938808</v>
      </c>
      <c r="DY3">
        <v>128956.117042161</v>
      </c>
      <c r="DZ3">
        <v>148825.654741125</v>
      </c>
      <c r="EA3">
        <v>148983.672453421</v>
      </c>
      <c r="EB3">
        <v>137270.205880451</v>
      </c>
      <c r="EC3">
        <v>121437.182549715</v>
      </c>
      <c r="ED3" t="s">
        <v>1900</v>
      </c>
      <c r="EE3" t="s">
        <v>1900</v>
      </c>
      <c r="EF3" t="s">
        <v>1900</v>
      </c>
      <c r="EG3" t="s">
        <v>1900</v>
      </c>
      <c r="EH3">
        <v>2.23332072496414</v>
      </c>
      <c r="EI3" t="s">
        <v>1900</v>
      </c>
      <c r="EJ3" t="s">
        <v>1900</v>
      </c>
      <c r="EK3" t="s">
        <v>1900</v>
      </c>
      <c r="EL3" t="s">
        <v>1900</v>
      </c>
      <c r="EM3" t="s">
        <v>1900</v>
      </c>
      <c r="EN3">
        <v>24767.0845522082</v>
      </c>
      <c r="EO3">
        <v>30722.9807380962</v>
      </c>
      <c r="EP3">
        <v>16886.9363978505</v>
      </c>
      <c r="EQ3">
        <v>35370.5401693654</v>
      </c>
      <c r="ER3">
        <v>44169.2061341465</v>
      </c>
      <c r="ES3">
        <v>1053505.54278676</v>
      </c>
      <c r="ET3">
        <v>927274.945499601</v>
      </c>
      <c r="EU3">
        <v>866735.500436705</v>
      </c>
      <c r="EV3">
        <v>973793.08380754</v>
      </c>
      <c r="EW3">
        <v>927158.262970524</v>
      </c>
      <c r="EX3">
        <v>27104.9305780935</v>
      </c>
      <c r="EY3">
        <v>33993.8043060017</v>
      </c>
      <c r="EZ3">
        <v>18027.8672044456</v>
      </c>
      <c r="FA3">
        <v>40674.2140657425</v>
      </c>
      <c r="FB3">
        <v>54755.8580880701</v>
      </c>
      <c r="FC3">
        <v>71516.1406003904</v>
      </c>
      <c r="FD3">
        <v>28177.3247956371</v>
      </c>
      <c r="FE3">
        <v>31092.6976660967</v>
      </c>
      <c r="FF3">
        <v>34152.9959714413</v>
      </c>
      <c r="FG3">
        <v>15324.8013948441</v>
      </c>
      <c r="FH3">
        <v>7794.29186063409</v>
      </c>
      <c r="FI3">
        <v>944.057173681259</v>
      </c>
      <c r="FJ3">
        <v>0</v>
      </c>
      <c r="FK3">
        <v>0</v>
      </c>
      <c r="FL3">
        <v>0</v>
      </c>
      <c r="FM3">
        <v>18010.2689401042</v>
      </c>
      <c r="FN3">
        <v>22813.2656383133</v>
      </c>
      <c r="FO3">
        <v>26826.2997130632</v>
      </c>
      <c r="FP3">
        <v>27583.9141881466</v>
      </c>
      <c r="FQ3">
        <v>13116.0226558685</v>
      </c>
      <c r="FR3">
        <v>45711.5797996521</v>
      </c>
      <c r="FS3">
        <v>4420.00198364258</v>
      </c>
      <c r="FT3">
        <v>4266.39795303345</v>
      </c>
      <c r="FU3">
        <v>6569.08178329468</v>
      </c>
      <c r="FV3">
        <v>2208.77873897552</v>
      </c>
      <c r="FW3">
        <v>7794.29186063409</v>
      </c>
      <c r="FX3">
        <v>944.057173681259</v>
      </c>
      <c r="FY3">
        <v>0</v>
      </c>
      <c r="FZ3">
        <v>0</v>
      </c>
      <c r="GA3">
        <v>0</v>
      </c>
      <c r="GB3">
        <v>18010.2689401042</v>
      </c>
      <c r="GC3">
        <v>22813.2656383133</v>
      </c>
      <c r="GD3">
        <v>26826.2997130632</v>
      </c>
      <c r="GE3">
        <v>27583.9141881466</v>
      </c>
      <c r="GF3">
        <v>13116.0226558685</v>
      </c>
      <c r="GG3">
        <v>45711.5797996521</v>
      </c>
      <c r="GH3">
        <v>4420.00198364258</v>
      </c>
      <c r="GI3">
        <v>4266.39795303345</v>
      </c>
      <c r="GJ3">
        <v>6569.08178329468</v>
      </c>
      <c r="GK3">
        <v>2208.77873897552</v>
      </c>
      <c r="GL3">
        <v>2532368.1734093</v>
      </c>
      <c r="GM3">
        <v>1680956.19159248</v>
      </c>
      <c r="GN3">
        <v>1614074.43558045</v>
      </c>
      <c r="GO3">
        <v>1831182.69532328</v>
      </c>
      <c r="GP3">
        <v>2024618.46163235</v>
      </c>
      <c r="GQ3">
        <v>628.534222245216</v>
      </c>
      <c r="GR3">
        <v>668.5253000259401</v>
      </c>
      <c r="GS3">
        <v>645.292690396309</v>
      </c>
      <c r="GT3">
        <v>685.223186016083</v>
      </c>
      <c r="GU3">
        <v>393165.278343123</v>
      </c>
      <c r="GV3">
        <v>2006856.9851433</v>
      </c>
      <c r="GW3">
        <v>1399443.403303</v>
      </c>
      <c r="GX3">
        <v>1154174.36713299</v>
      </c>
      <c r="GY3">
        <v>1335045.10328386</v>
      </c>
      <c r="GZ3">
        <v>1115325.6097611</v>
      </c>
      <c r="HA3">
        <v>524882.654043753</v>
      </c>
      <c r="HB3">
        <v>280844.262989454</v>
      </c>
      <c r="HC3">
        <v>459254.775757068</v>
      </c>
      <c r="HD3">
        <v>495452.368853402</v>
      </c>
      <c r="HE3">
        <v>516127.573528129</v>
      </c>
      <c r="HF3">
        <v>515909.990378852</v>
      </c>
      <c r="HG3">
        <v>271300.705206423</v>
      </c>
      <c r="HH3">
        <v>450042.875956827</v>
      </c>
      <c r="HI3">
        <v>372410.409031463</v>
      </c>
      <c r="HJ3">
        <v>505529.485008734</v>
      </c>
      <c r="HK3">
        <v>2603884.31400969</v>
      </c>
      <c r="HL3">
        <v>1709133.51638812</v>
      </c>
      <c r="HM3">
        <v>1645167.13324655</v>
      </c>
      <c r="HN3">
        <v>1865335.69129472</v>
      </c>
      <c r="HO3">
        <v>2039943.2630272</v>
      </c>
      <c r="HP3">
        <v>293308.424507436</v>
      </c>
      <c r="HQ3">
        <v>293188.57602443</v>
      </c>
      <c r="HR3">
        <v>325658.432818991</v>
      </c>
      <c r="HS3">
        <v>336054.75463407</v>
      </c>
      <c r="HT3">
        <v>360526.805279911</v>
      </c>
      <c r="HU3">
        <v>49951.2872700882</v>
      </c>
      <c r="HV3">
        <v>53129.4846438599</v>
      </c>
      <c r="HW3">
        <v>64103.9091637135</v>
      </c>
      <c r="HX3">
        <v>68070.63759899139</v>
      </c>
      <c r="HY3">
        <v>73750.2140409112</v>
      </c>
      <c r="HZ3">
        <v>243357.137237347</v>
      </c>
      <c r="IA3">
        <v>240059.09138057</v>
      </c>
      <c r="IB3">
        <v>261554.523655278</v>
      </c>
      <c r="IC3">
        <v>267984.117035079</v>
      </c>
      <c r="ID3">
        <v>286776.591238999</v>
      </c>
      <c r="IE3">
        <v>0</v>
      </c>
      <c r="IF3">
        <v>0</v>
      </c>
      <c r="IG3">
        <v>0</v>
      </c>
      <c r="IH3">
        <v>0</v>
      </c>
      <c r="II3">
        <v>0</v>
      </c>
      <c r="IJ3" t="s">
        <v>1900</v>
      </c>
      <c r="IK3" t="s">
        <v>1900</v>
      </c>
      <c r="IL3" t="s">
        <v>1900</v>
      </c>
      <c r="IM3" t="s">
        <v>1900</v>
      </c>
      <c r="IN3" t="s">
        <v>1900</v>
      </c>
      <c r="IO3" t="s">
        <v>1900</v>
      </c>
      <c r="IP3" t="s">
        <v>1900</v>
      </c>
      <c r="IQ3" t="s">
        <v>1900</v>
      </c>
      <c r="IR3" t="s">
        <v>1900</v>
      </c>
      <c r="IS3" t="s">
        <v>1900</v>
      </c>
      <c r="IT3" t="s">
        <v>1900</v>
      </c>
      <c r="IU3" t="s">
        <v>1900</v>
      </c>
      <c r="IV3" t="s">
        <v>1900</v>
      </c>
      <c r="IW3" t="s">
        <v>1900</v>
      </c>
      <c r="IX3" t="s">
        <v>1900</v>
      </c>
      <c r="IY3">
        <v>2310575.88950226</v>
      </c>
      <c r="IZ3">
        <v>1415944.93925869</v>
      </c>
      <c r="JA3">
        <v>1319508.70042756</v>
      </c>
      <c r="JB3">
        <v>1529280.93666065</v>
      </c>
      <c r="JC3">
        <v>1679416.45774729</v>
      </c>
      <c r="JD3">
        <v>768.660992321968</v>
      </c>
      <c r="JE3">
        <v>138.865412321091</v>
      </c>
      <c r="JF3">
        <v>0</v>
      </c>
      <c r="JG3">
        <v>149826.665929127</v>
      </c>
      <c r="JH3">
        <v>0</v>
      </c>
      <c r="JI3">
        <v>142945.366865189</v>
      </c>
      <c r="JJ3">
        <v>70964.5020479965</v>
      </c>
      <c r="JK3">
        <v>122561.976590234</v>
      </c>
      <c r="JL3">
        <v>140026.649226737</v>
      </c>
      <c r="JM3">
        <v>84706.06336105469</v>
      </c>
      <c r="JN3">
        <v>2166861.86164474</v>
      </c>
      <c r="JO3">
        <v>1344841.57179837</v>
      </c>
      <c r="JP3">
        <v>1196946.72383732</v>
      </c>
      <c r="JQ3">
        <v>1239427.62150478</v>
      </c>
      <c r="JR3">
        <v>1594710.39438623</v>
      </c>
      <c r="JS3">
        <v>2603884.31400969</v>
      </c>
      <c r="JT3">
        <v>1709133.51638812</v>
      </c>
      <c r="JU3">
        <v>1645167.13324655</v>
      </c>
      <c r="JV3">
        <v>1865335.69129472</v>
      </c>
      <c r="JW3">
        <v>2039943.2630272</v>
      </c>
      <c r="JX3">
        <v>1864540.15250036</v>
      </c>
      <c r="JY3">
        <v>1329147.42655503</v>
      </c>
      <c r="JZ3">
        <v>1032257.68323315</v>
      </c>
      <c r="KA3">
        <v>1195703.67724314</v>
      </c>
      <c r="KB3">
        <v>1423784.82474317</v>
      </c>
      <c r="KC3" t="s">
        <v>1900</v>
      </c>
      <c r="KD3" t="s">
        <v>1900</v>
      </c>
      <c r="KE3" t="s">
        <v>1900</v>
      </c>
      <c r="KF3" t="s">
        <v>1900</v>
      </c>
      <c r="KG3" t="s">
        <v>1900</v>
      </c>
      <c r="KH3" t="s">
        <v>1900</v>
      </c>
      <c r="KI3" t="s">
        <v>1900</v>
      </c>
      <c r="KJ3" t="s">
        <v>1900</v>
      </c>
      <c r="KK3" t="s">
        <v>1900</v>
      </c>
      <c r="KL3" t="s">
        <v>1900</v>
      </c>
      <c r="KM3">
        <v>13</v>
      </c>
      <c r="KN3">
        <v>13</v>
      </c>
      <c r="KO3">
        <v>14</v>
      </c>
      <c r="KP3">
        <v>11</v>
      </c>
      <c r="KQ3">
        <v>11</v>
      </c>
      <c r="KR3" t="s">
        <v>1900</v>
      </c>
      <c r="KS3" t="s">
        <v>1900</v>
      </c>
      <c r="KT3" t="s">
        <v>1900</v>
      </c>
      <c r="KU3" t="s">
        <v>1900</v>
      </c>
      <c r="KV3" t="s">
        <v>1900</v>
      </c>
      <c r="KW3" t="s">
        <v>1900</v>
      </c>
      <c r="KX3" t="s">
        <v>1900</v>
      </c>
      <c r="KY3" t="s">
        <v>1900</v>
      </c>
      <c r="KZ3" t="s">
        <v>1900</v>
      </c>
      <c r="LA3" t="s">
        <v>1900</v>
      </c>
      <c r="LB3" t="s">
        <v>1900</v>
      </c>
      <c r="LC3" t="s">
        <v>1900</v>
      </c>
      <c r="LD3" t="s">
        <v>1900</v>
      </c>
      <c r="LE3" t="s">
        <v>1900</v>
      </c>
      <c r="LF3" t="s">
        <v>1900</v>
      </c>
      <c r="LG3" t="s">
        <v>1900</v>
      </c>
      <c r="LH3" t="s">
        <v>1900</v>
      </c>
      <c r="LI3" t="s">
        <v>1900</v>
      </c>
      <c r="LJ3" t="s">
        <v>1900</v>
      </c>
      <c r="LK3" t="s">
        <v>1900</v>
      </c>
      <c r="LL3" t="s">
        <v>1900</v>
      </c>
      <c r="LM3" t="s">
        <v>1900</v>
      </c>
      <c r="LN3" t="s">
        <v>1900</v>
      </c>
      <c r="LO3" t="s">
        <v>1900</v>
      </c>
      <c r="LP3" t="s">
        <v>1900</v>
      </c>
      <c r="LQ3" t="s">
        <v>1900</v>
      </c>
      <c r="LR3" t="s">
        <v>1900</v>
      </c>
      <c r="LS3" t="s">
        <v>1900</v>
      </c>
      <c r="LT3" t="s">
        <v>1900</v>
      </c>
      <c r="LU3" t="s">
        <v>1900</v>
      </c>
      <c r="LV3" t="s">
        <v>1900</v>
      </c>
      <c r="LW3" t="s">
        <v>1900</v>
      </c>
      <c r="LX3" t="s">
        <v>1900</v>
      </c>
      <c r="LY3" t="s">
        <v>1900</v>
      </c>
      <c r="LZ3" t="s">
        <v>1900</v>
      </c>
      <c r="MA3" t="s">
        <v>1900</v>
      </c>
      <c r="MB3" t="s">
        <v>1900</v>
      </c>
      <c r="MC3" t="s">
        <v>1900</v>
      </c>
      <c r="MD3" t="s">
        <v>1900</v>
      </c>
      <c r="ME3" t="s">
        <v>1900</v>
      </c>
      <c r="MF3" t="s">
        <v>1900</v>
      </c>
      <c r="MG3" t="s">
        <v>1900</v>
      </c>
      <c r="MH3" t="s">
        <v>1900</v>
      </c>
      <c r="MI3" t="s">
        <v>1900</v>
      </c>
      <c r="MJ3" t="s">
        <v>1900</v>
      </c>
      <c r="MK3" t="s">
        <v>1900</v>
      </c>
      <c r="ML3" t="s">
        <v>1900</v>
      </c>
      <c r="MM3" t="s">
        <v>1900</v>
      </c>
      <c r="MN3" t="s">
        <v>1900</v>
      </c>
      <c r="MO3" t="s">
        <v>1900</v>
      </c>
      <c r="MP3">
        <v>524882.654043753</v>
      </c>
      <c r="MQ3">
        <v>280844.262989454</v>
      </c>
      <c r="MR3">
        <v>459254.775757068</v>
      </c>
      <c r="MS3">
        <v>495452.368853402</v>
      </c>
      <c r="MT3">
        <v>516127.573528129</v>
      </c>
      <c r="MU3" t="s">
        <v>1900</v>
      </c>
      <c r="MV3" t="s">
        <v>1900</v>
      </c>
      <c r="MW3" t="s">
        <v>1900</v>
      </c>
      <c r="MX3" t="s">
        <v>1900</v>
      </c>
      <c r="MY3" t="s">
        <v>1900</v>
      </c>
      <c r="MZ3" t="s">
        <v>1900</v>
      </c>
      <c r="NA3" t="s">
        <v>1900</v>
      </c>
      <c r="NB3" t="s">
        <v>1900</v>
      </c>
      <c r="NC3" t="s">
        <v>1900</v>
      </c>
      <c r="ND3" t="s">
        <v>1900</v>
      </c>
      <c r="NE3" t="s">
        <v>1900</v>
      </c>
      <c r="NF3" t="s">
        <v>1900</v>
      </c>
      <c r="NG3" t="s">
        <v>1900</v>
      </c>
      <c r="NH3" t="s">
        <v>1900</v>
      </c>
      <c r="NI3" t="s">
        <v>1900</v>
      </c>
      <c r="NJ3" t="s">
        <v>1900</v>
      </c>
      <c r="NK3" t="s">
        <v>1900</v>
      </c>
      <c r="NL3" t="s">
        <v>1900</v>
      </c>
      <c r="NM3" t="s">
        <v>1900</v>
      </c>
      <c r="NN3" t="s">
        <v>1900</v>
      </c>
      <c r="NO3" t="s">
        <v>1900</v>
      </c>
      <c r="NP3" t="s">
        <v>1900</v>
      </c>
      <c r="NQ3" t="s">
        <v>1900</v>
      </c>
      <c r="NR3" t="s">
        <v>1900</v>
      </c>
      <c r="NS3" t="s">
        <v>1900</v>
      </c>
      <c r="NT3">
        <v>71516.1406003904</v>
      </c>
      <c r="NU3">
        <v>28177.3247956371</v>
      </c>
      <c r="NV3">
        <v>31092.6976660967</v>
      </c>
      <c r="NW3">
        <v>34152.9959714413</v>
      </c>
      <c r="NX3">
        <v>15324.8013948441</v>
      </c>
      <c r="NY3" t="s">
        <v>1900</v>
      </c>
      <c r="NZ3" t="s">
        <v>1900</v>
      </c>
      <c r="OA3" t="s">
        <v>1900</v>
      </c>
      <c r="OB3" t="s">
        <v>1900</v>
      </c>
      <c r="OC3" t="s">
        <v>1900</v>
      </c>
      <c r="OD3" t="s">
        <v>1900</v>
      </c>
      <c r="OE3" t="s">
        <v>1900</v>
      </c>
      <c r="OF3" t="s">
        <v>1900</v>
      </c>
      <c r="OG3" t="s">
        <v>1900</v>
      </c>
      <c r="OH3" t="s">
        <v>1900</v>
      </c>
      <c r="OI3" t="s">
        <v>1900</v>
      </c>
      <c r="OJ3" t="s">
        <v>1900</v>
      </c>
      <c r="OK3" t="s">
        <v>1900</v>
      </c>
      <c r="OL3" t="s">
        <v>1900</v>
      </c>
      <c r="OM3" t="s">
        <v>1900</v>
      </c>
      <c r="ON3" t="s">
        <v>1900</v>
      </c>
      <c r="OO3" t="s">
        <v>1900</v>
      </c>
      <c r="OP3" t="s">
        <v>1900</v>
      </c>
      <c r="OQ3" t="s">
        <v>1900</v>
      </c>
      <c r="OR3" t="s">
        <v>1900</v>
      </c>
      <c r="OS3" t="s">
        <v>1900</v>
      </c>
      <c r="OT3" t="s">
        <v>1900</v>
      </c>
      <c r="OU3" t="s">
        <v>1900</v>
      </c>
      <c r="OV3" t="s">
        <v>1900</v>
      </c>
      <c r="OW3" t="s">
        <v>1900</v>
      </c>
      <c r="OX3" t="s">
        <v>1900</v>
      </c>
      <c r="OY3" t="s">
        <v>1900</v>
      </c>
      <c r="OZ3" t="s">
        <v>1900</v>
      </c>
      <c r="PA3" t="s">
        <v>1900</v>
      </c>
      <c r="PB3" t="s">
        <v>1900</v>
      </c>
      <c r="PC3" t="s">
        <v>1900</v>
      </c>
      <c r="PD3" t="s">
        <v>1900</v>
      </c>
      <c r="PE3" t="s">
        <v>1900</v>
      </c>
      <c r="PF3" t="s">
        <v>1900</v>
      </c>
      <c r="PG3" t="s">
        <v>1900</v>
      </c>
      <c r="PH3" t="s">
        <v>1900</v>
      </c>
      <c r="PI3" t="s">
        <v>1900</v>
      </c>
      <c r="PJ3" t="s">
        <v>1900</v>
      </c>
      <c r="PK3" t="s">
        <v>1900</v>
      </c>
      <c r="PL3" t="s">
        <v>1900</v>
      </c>
      <c r="PM3" t="s">
        <v>1900</v>
      </c>
      <c r="PN3" t="s">
        <v>1900</v>
      </c>
      <c r="PO3" t="s">
        <v>1900</v>
      </c>
      <c r="PP3" t="s">
        <v>1900</v>
      </c>
      <c r="PQ3" t="s">
        <v>1900</v>
      </c>
      <c r="PR3" t="s">
        <v>1900</v>
      </c>
      <c r="PS3" t="s">
        <v>1900</v>
      </c>
      <c r="PT3" t="s">
        <v>1900</v>
      </c>
      <c r="PU3" t="s">
        <v>1900</v>
      </c>
      <c r="PV3" t="s">
        <v>1900</v>
      </c>
      <c r="PW3" t="s">
        <v>1900</v>
      </c>
      <c r="PX3" t="s">
        <v>1900</v>
      </c>
      <c r="PY3" t="s">
        <v>1900</v>
      </c>
      <c r="PZ3" t="s">
        <v>1900</v>
      </c>
      <c r="QA3" t="s">
        <v>1900</v>
      </c>
      <c r="QB3" t="s">
        <v>1900</v>
      </c>
      <c r="QC3" t="s">
        <v>1900</v>
      </c>
      <c r="QD3" t="s">
        <v>1900</v>
      </c>
      <c r="QE3" t="s">
        <v>1900</v>
      </c>
      <c r="QF3" t="s">
        <v>1900</v>
      </c>
      <c r="QG3" t="s">
        <v>1900</v>
      </c>
      <c r="QH3" t="s">
        <v>1900</v>
      </c>
      <c r="QI3" t="s">
        <v>1900</v>
      </c>
      <c r="QJ3" t="s">
        <v>1900</v>
      </c>
      <c r="QK3" t="s">
        <v>1900</v>
      </c>
      <c r="QL3" t="s">
        <v>1900</v>
      </c>
      <c r="QM3" t="s">
        <v>1900</v>
      </c>
      <c r="QN3" t="s">
        <v>1900</v>
      </c>
      <c r="QO3" t="s">
        <v>1900</v>
      </c>
      <c r="QP3" t="s">
        <v>1900</v>
      </c>
      <c r="QQ3" t="s">
        <v>1900</v>
      </c>
      <c r="QR3" t="s">
        <v>1900</v>
      </c>
      <c r="QS3" t="s">
        <v>1900</v>
      </c>
      <c r="QT3" t="s">
        <v>1900</v>
      </c>
      <c r="QU3" t="s">
        <v>1900</v>
      </c>
      <c r="QV3" t="s">
        <v>1900</v>
      </c>
      <c r="QW3" t="s">
        <v>1900</v>
      </c>
      <c r="QX3" t="s">
        <v>1900</v>
      </c>
      <c r="QY3" t="s">
        <v>1900</v>
      </c>
      <c r="QZ3" t="s">
        <v>1900</v>
      </c>
      <c r="RA3" t="s">
        <v>1900</v>
      </c>
      <c r="RB3" t="s">
        <v>1900</v>
      </c>
      <c r="RC3" t="s">
        <v>1900</v>
      </c>
      <c r="RD3" t="s">
        <v>1900</v>
      </c>
      <c r="RE3" t="s">
        <v>1900</v>
      </c>
      <c r="RF3" t="s">
        <v>1900</v>
      </c>
      <c r="RG3" t="s">
        <v>1900</v>
      </c>
      <c r="RH3" t="s">
        <v>1900</v>
      </c>
      <c r="RI3" t="s">
        <v>1900</v>
      </c>
      <c r="RJ3" t="s">
        <v>1900</v>
      </c>
      <c r="RK3" t="s">
        <v>1900</v>
      </c>
      <c r="RL3" t="s">
        <v>1900</v>
      </c>
      <c r="RM3" t="s">
        <v>1900</v>
      </c>
      <c r="RN3" t="s">
        <v>1900</v>
      </c>
      <c r="RO3" t="s">
        <v>1900</v>
      </c>
      <c r="RP3" t="s">
        <v>1900</v>
      </c>
      <c r="RQ3" t="s">
        <v>1900</v>
      </c>
      <c r="RR3" t="s">
        <v>1900</v>
      </c>
      <c r="RS3" t="s">
        <v>1900</v>
      </c>
      <c r="RT3" t="s">
        <v>1900</v>
      </c>
      <c r="RU3" t="s">
        <v>1900</v>
      </c>
      <c r="RV3" t="s">
        <v>1900</v>
      </c>
      <c r="RW3" t="s">
        <v>1900</v>
      </c>
      <c r="RX3" t="s">
        <v>1900</v>
      </c>
      <c r="RY3" t="s">
        <v>1900</v>
      </c>
      <c r="RZ3" t="s">
        <v>1900</v>
      </c>
      <c r="SA3" t="s">
        <v>1900</v>
      </c>
      <c r="SB3" t="s">
        <v>1900</v>
      </c>
      <c r="SC3" t="s">
        <v>1900</v>
      </c>
      <c r="SD3" t="s">
        <v>1900</v>
      </c>
      <c r="SE3" t="s">
        <v>1900</v>
      </c>
      <c r="SF3" t="s">
        <v>1900</v>
      </c>
      <c r="SG3" t="s">
        <v>1900</v>
      </c>
      <c r="SH3" t="s">
        <v>1900</v>
      </c>
      <c r="SI3" t="s">
        <v>1900</v>
      </c>
      <c r="SJ3">
        <v>45711.5797996521</v>
      </c>
      <c r="SK3">
        <v>4420.00198364258</v>
      </c>
      <c r="SL3">
        <v>4266.39795303345</v>
      </c>
      <c r="SM3">
        <v>6569.08178329468</v>
      </c>
      <c r="SN3">
        <v>2208.77873897552</v>
      </c>
      <c r="SO3" t="s">
        <v>1900</v>
      </c>
      <c r="SP3" t="s">
        <v>1900</v>
      </c>
      <c r="SQ3" t="s">
        <v>1900</v>
      </c>
      <c r="SR3" t="s">
        <v>1900</v>
      </c>
      <c r="SS3" t="s">
        <v>1900</v>
      </c>
      <c r="ST3" t="s">
        <v>1900</v>
      </c>
      <c r="SU3" t="s">
        <v>1900</v>
      </c>
      <c r="SV3" t="s">
        <v>1900</v>
      </c>
      <c r="SW3" t="s">
        <v>1900</v>
      </c>
      <c r="SX3" t="s">
        <v>1900</v>
      </c>
      <c r="SY3" t="s">
        <v>1900</v>
      </c>
      <c r="SZ3" t="s">
        <v>1900</v>
      </c>
      <c r="TA3" t="s">
        <v>1900</v>
      </c>
      <c r="TB3" t="s">
        <v>1900</v>
      </c>
      <c r="TC3" t="s">
        <v>1900</v>
      </c>
      <c r="TD3" t="s">
        <v>1900</v>
      </c>
      <c r="TE3" t="s">
        <v>1900</v>
      </c>
      <c r="TF3" t="s">
        <v>1900</v>
      </c>
      <c r="TG3" t="s">
        <v>1900</v>
      </c>
      <c r="TH3" t="s">
        <v>1900</v>
      </c>
      <c r="TI3" t="s">
        <v>1900</v>
      </c>
      <c r="TJ3" t="s">
        <v>1900</v>
      </c>
      <c r="TK3" t="s">
        <v>1900</v>
      </c>
      <c r="TL3" t="s">
        <v>1900</v>
      </c>
      <c r="TM3" t="s">
        <v>1900</v>
      </c>
      <c r="TN3" t="s">
        <v>1900</v>
      </c>
      <c r="TO3" t="s">
        <v>1900</v>
      </c>
      <c r="TP3" t="s">
        <v>1900</v>
      </c>
      <c r="TQ3" t="s">
        <v>1900</v>
      </c>
      <c r="TR3" t="s">
        <v>1900</v>
      </c>
      <c r="TS3">
        <v>2603884.31400969</v>
      </c>
      <c r="TT3">
        <v>1709133.51638812</v>
      </c>
      <c r="TU3">
        <v>1645167.13324655</v>
      </c>
      <c r="TV3">
        <v>1865335.69129472</v>
      </c>
      <c r="TW3">
        <v>2039943.2630272</v>
      </c>
      <c r="TX3" t="s">
        <v>1900</v>
      </c>
      <c r="TY3" t="s">
        <v>1900</v>
      </c>
      <c r="TZ3" t="s">
        <v>1900</v>
      </c>
      <c r="UA3" t="s">
        <v>1900</v>
      </c>
      <c r="UB3" t="s">
        <v>1900</v>
      </c>
      <c r="UC3">
        <v>768.660992321968</v>
      </c>
      <c r="UD3">
        <v>138.865412321091</v>
      </c>
      <c r="UE3">
        <v>0</v>
      </c>
      <c r="UF3">
        <v>149826.665929127</v>
      </c>
      <c r="UG3">
        <v>0</v>
      </c>
      <c r="UH3" t="s">
        <v>1900</v>
      </c>
      <c r="UI3" t="s">
        <v>1900</v>
      </c>
      <c r="UJ3" t="s">
        <v>1900</v>
      </c>
      <c r="UK3" t="s">
        <v>1900</v>
      </c>
      <c r="UL3" t="s">
        <v>1900</v>
      </c>
      <c r="UM3" t="s">
        <v>1900</v>
      </c>
      <c r="UN3" t="s">
        <v>1900</v>
      </c>
      <c r="UO3" t="s">
        <v>1900</v>
      </c>
      <c r="UP3" t="s">
        <v>1900</v>
      </c>
      <c r="UQ3" t="s">
        <v>1900</v>
      </c>
      <c r="UR3" t="s">
        <v>1900</v>
      </c>
      <c r="US3" t="s">
        <v>1900</v>
      </c>
      <c r="UT3" t="s">
        <v>1900</v>
      </c>
      <c r="UU3" t="s">
        <v>1900</v>
      </c>
      <c r="UV3" t="s">
        <v>1900</v>
      </c>
      <c r="UW3" t="s">
        <v>1900</v>
      </c>
      <c r="UX3" t="s">
        <v>1900</v>
      </c>
      <c r="UY3" t="s">
        <v>1900</v>
      </c>
      <c r="UZ3" t="s">
        <v>1900</v>
      </c>
      <c r="VA3" t="s">
        <v>1900</v>
      </c>
      <c r="VB3" t="s">
        <v>1900</v>
      </c>
      <c r="VC3" t="s">
        <v>1900</v>
      </c>
      <c r="VD3" t="s">
        <v>1900</v>
      </c>
      <c r="VE3" t="s">
        <v>1900</v>
      </c>
      <c r="VF3" t="s">
        <v>1900</v>
      </c>
      <c r="VG3" t="s">
        <v>1900</v>
      </c>
      <c r="VH3" t="s">
        <v>1900</v>
      </c>
      <c r="VI3" t="s">
        <v>1900</v>
      </c>
      <c r="VJ3" t="s">
        <v>1900</v>
      </c>
      <c r="VK3" t="s">
        <v>1900</v>
      </c>
      <c r="VL3" t="s">
        <v>1900</v>
      </c>
      <c r="VM3" t="s">
        <v>1900</v>
      </c>
      <c r="VN3" t="s">
        <v>1900</v>
      </c>
      <c r="VO3" t="s">
        <v>1900</v>
      </c>
      <c r="VP3" t="s">
        <v>1900</v>
      </c>
      <c r="VQ3" t="s">
        <v>1900</v>
      </c>
      <c r="VR3" t="s">
        <v>1900</v>
      </c>
      <c r="VS3" t="s">
        <v>1900</v>
      </c>
      <c r="VT3" t="s">
        <v>1900</v>
      </c>
      <c r="VU3" t="s">
        <v>1900</v>
      </c>
      <c r="VV3" t="s">
        <v>1900</v>
      </c>
      <c r="VW3" t="s">
        <v>1900</v>
      </c>
      <c r="VX3" t="s">
        <v>1900</v>
      </c>
      <c r="VY3" t="s">
        <v>1900</v>
      </c>
      <c r="VZ3" t="s">
        <v>1900</v>
      </c>
      <c r="WA3">
        <v>2166861.86164474</v>
      </c>
      <c r="WB3">
        <v>1344841.57179837</v>
      </c>
      <c r="WC3">
        <v>1196946.72383732</v>
      </c>
      <c r="WD3">
        <v>1239427.62150478</v>
      </c>
      <c r="WE3">
        <v>1594710.39438623</v>
      </c>
      <c r="WF3" t="s">
        <v>1900</v>
      </c>
      <c r="WG3" t="s">
        <v>1900</v>
      </c>
      <c r="WH3" t="s">
        <v>1900</v>
      </c>
      <c r="WI3" t="s">
        <v>1900</v>
      </c>
      <c r="WJ3" t="s">
        <v>1900</v>
      </c>
      <c r="WK3" t="s">
        <v>1900</v>
      </c>
      <c r="WL3" t="s">
        <v>1900</v>
      </c>
      <c r="WM3" t="s">
        <v>1900</v>
      </c>
      <c r="WN3" t="s">
        <v>1900</v>
      </c>
      <c r="WO3" t="s">
        <v>1900</v>
      </c>
      <c r="WP3" t="s">
        <v>1900</v>
      </c>
      <c r="WQ3" t="s">
        <v>1900</v>
      </c>
      <c r="WR3" t="s">
        <v>1900</v>
      </c>
      <c r="WS3" t="s">
        <v>1900</v>
      </c>
      <c r="WT3" t="s">
        <v>1900</v>
      </c>
      <c r="WU3" t="s">
        <v>1900</v>
      </c>
      <c r="WV3" t="s">
        <v>1900</v>
      </c>
      <c r="WW3" t="s">
        <v>1900</v>
      </c>
      <c r="WX3" t="s">
        <v>1900</v>
      </c>
      <c r="WY3" t="s">
        <v>1900</v>
      </c>
      <c r="WZ3" t="s">
        <v>1900</v>
      </c>
      <c r="XA3" t="s">
        <v>1900</v>
      </c>
      <c r="XB3" t="s">
        <v>1900</v>
      </c>
      <c r="XC3" t="s">
        <v>1900</v>
      </c>
      <c r="XD3" t="s">
        <v>1900</v>
      </c>
      <c r="XE3" t="s">
        <v>1900</v>
      </c>
      <c r="XF3" t="s">
        <v>1900</v>
      </c>
      <c r="XG3" t="s">
        <v>1900</v>
      </c>
      <c r="XH3" t="s">
        <v>1900</v>
      </c>
      <c r="XI3" t="s">
        <v>1900</v>
      </c>
      <c r="XJ3" t="s">
        <v>1900</v>
      </c>
      <c r="XK3" t="s">
        <v>1900</v>
      </c>
      <c r="XL3" t="s">
        <v>1900</v>
      </c>
      <c r="XM3" t="s">
        <v>1900</v>
      </c>
      <c r="XN3" t="s">
        <v>1900</v>
      </c>
      <c r="XO3" t="s">
        <v>1900</v>
      </c>
      <c r="XP3" t="s">
        <v>1900</v>
      </c>
      <c r="XQ3" t="s">
        <v>1900</v>
      </c>
      <c r="XR3" t="s">
        <v>1900</v>
      </c>
      <c r="XS3" t="s">
        <v>1900</v>
      </c>
      <c r="XT3" t="s">
        <v>1900</v>
      </c>
      <c r="XU3" t="s">
        <v>1900</v>
      </c>
      <c r="XV3" t="s">
        <v>1900</v>
      </c>
      <c r="XW3" t="s">
        <v>1900</v>
      </c>
      <c r="XX3" t="s">
        <v>1900</v>
      </c>
      <c r="XY3" t="s">
        <v>1900</v>
      </c>
      <c r="XZ3" t="s">
        <v>1900</v>
      </c>
      <c r="YA3" t="s">
        <v>1900</v>
      </c>
      <c r="YB3" t="s">
        <v>1900</v>
      </c>
      <c r="YC3" t="s">
        <v>1900</v>
      </c>
      <c r="YD3" t="s">
        <v>1900</v>
      </c>
      <c r="YE3" t="s">
        <v>1900</v>
      </c>
      <c r="YF3" t="s">
        <v>1900</v>
      </c>
      <c r="YG3" t="s">
        <v>1900</v>
      </c>
      <c r="YH3" t="s">
        <v>1900</v>
      </c>
      <c r="YI3" t="s">
        <v>1900</v>
      </c>
      <c r="YJ3" t="s">
        <v>1900</v>
      </c>
      <c r="YK3" t="s">
        <v>1900</v>
      </c>
      <c r="YL3" t="s">
        <v>1900</v>
      </c>
      <c r="YM3" t="s">
        <v>1900</v>
      </c>
      <c r="YN3" t="s">
        <v>1900</v>
      </c>
      <c r="YO3" t="s">
        <v>1900</v>
      </c>
      <c r="YP3" t="s">
        <v>1900</v>
      </c>
      <c r="YQ3" t="s">
        <v>1900</v>
      </c>
      <c r="YR3" t="s">
        <v>1900</v>
      </c>
      <c r="YS3" t="s">
        <v>1900</v>
      </c>
      <c r="YT3" t="s">
        <v>1900</v>
      </c>
      <c r="YU3" t="s">
        <v>1900</v>
      </c>
      <c r="YV3" t="s">
        <v>1900</v>
      </c>
      <c r="YW3" t="s">
        <v>1900</v>
      </c>
      <c r="YX3" t="s">
        <v>1900</v>
      </c>
      <c r="YY3" t="s">
        <v>1900</v>
      </c>
      <c r="YZ3" t="s">
        <v>1900</v>
      </c>
      <c r="ZA3" t="s">
        <v>1900</v>
      </c>
      <c r="ZB3" t="s">
        <v>1900</v>
      </c>
      <c r="ZC3" t="s">
        <v>1900</v>
      </c>
      <c r="ZD3" t="s">
        <v>1900</v>
      </c>
      <c r="ZE3" t="s">
        <v>1900</v>
      </c>
      <c r="ZF3" t="s">
        <v>1900</v>
      </c>
      <c r="ZG3" t="s">
        <v>1900</v>
      </c>
      <c r="ZH3" t="s">
        <v>1900</v>
      </c>
      <c r="ZI3" t="s">
        <v>1900</v>
      </c>
      <c r="ZJ3" t="s">
        <v>1900</v>
      </c>
      <c r="ZK3" t="s">
        <v>1900</v>
      </c>
      <c r="ZL3" t="s">
        <v>1900</v>
      </c>
      <c r="ZM3" t="s">
        <v>1900</v>
      </c>
      <c r="ZN3" t="s">
        <v>1900</v>
      </c>
      <c r="ZO3" t="s">
        <v>1900</v>
      </c>
      <c r="ZP3" t="s">
        <v>1900</v>
      </c>
      <c r="ZQ3" t="s">
        <v>1900</v>
      </c>
      <c r="ZR3" t="s">
        <v>1900</v>
      </c>
      <c r="ZS3" t="s">
        <v>1900</v>
      </c>
      <c r="ZT3" t="s">
        <v>1900</v>
      </c>
      <c r="ZU3" t="s">
        <v>1900</v>
      </c>
      <c r="ZV3" t="s">
        <v>1900</v>
      </c>
      <c r="ZW3" t="s">
        <v>1900</v>
      </c>
      <c r="ZX3" t="s">
        <v>1900</v>
      </c>
      <c r="ZY3" t="s">
        <v>1900</v>
      </c>
      <c r="ZZ3" t="s">
        <v>1900</v>
      </c>
      <c r="AAA3" t="s">
        <v>1900</v>
      </c>
      <c r="AAB3" t="s">
        <v>1900</v>
      </c>
      <c r="AAC3" t="s">
        <v>1900</v>
      </c>
      <c r="AAD3" t="s">
        <v>1900</v>
      </c>
      <c r="AAE3" t="s">
        <v>1900</v>
      </c>
      <c r="AAF3" t="s">
        <v>1900</v>
      </c>
      <c r="AAG3" t="s">
        <v>1900</v>
      </c>
      <c r="AAH3" t="s">
        <v>1900</v>
      </c>
      <c r="AAI3" t="s">
        <v>1900</v>
      </c>
      <c r="AAJ3" t="s">
        <v>1900</v>
      </c>
      <c r="AAK3" t="s">
        <v>1900</v>
      </c>
      <c r="AAL3" t="s">
        <v>1900</v>
      </c>
      <c r="AAM3" t="s">
        <v>1900</v>
      </c>
      <c r="AAN3" t="s">
        <v>1900</v>
      </c>
      <c r="AAO3" t="s">
        <v>1900</v>
      </c>
      <c r="AAP3" t="s">
        <v>1900</v>
      </c>
      <c r="AAQ3" t="s">
        <v>1900</v>
      </c>
      <c r="AAR3" t="s">
        <v>1900</v>
      </c>
      <c r="AAS3" t="s">
        <v>1900</v>
      </c>
      <c r="AAT3" t="s">
        <v>1900</v>
      </c>
      <c r="AAU3" t="s">
        <v>1900</v>
      </c>
      <c r="AAV3" t="s">
        <v>1900</v>
      </c>
      <c r="AAW3" t="s">
        <v>1900</v>
      </c>
      <c r="AAX3" t="s">
        <v>1900</v>
      </c>
      <c r="AAY3" t="s">
        <v>1900</v>
      </c>
      <c r="AAZ3" t="s">
        <v>1900</v>
      </c>
      <c r="ABA3" t="s">
        <v>1900</v>
      </c>
      <c r="ABB3" t="s">
        <v>1900</v>
      </c>
      <c r="ABC3" t="s">
        <v>1900</v>
      </c>
      <c r="ABD3" t="s">
        <v>1900</v>
      </c>
      <c r="ABE3" t="s">
        <v>1900</v>
      </c>
      <c r="ABF3" t="s">
        <v>1900</v>
      </c>
      <c r="ABG3" t="s">
        <v>1900</v>
      </c>
      <c r="ABH3" t="s">
        <v>1900</v>
      </c>
      <c r="ABI3" t="s">
        <v>1900</v>
      </c>
      <c r="ABJ3" t="s">
        <v>1900</v>
      </c>
      <c r="ABK3" t="s">
        <v>1900</v>
      </c>
      <c r="ABL3" t="s">
        <v>1900</v>
      </c>
      <c r="ABM3" t="s">
        <v>1900</v>
      </c>
      <c r="ABN3" t="s">
        <v>1900</v>
      </c>
      <c r="ABO3" t="s">
        <v>1900</v>
      </c>
      <c r="ABP3" t="s">
        <v>1900</v>
      </c>
      <c r="ABQ3" t="s">
        <v>1900</v>
      </c>
      <c r="ABR3" t="s">
        <v>1900</v>
      </c>
      <c r="ABS3" t="s">
        <v>1900</v>
      </c>
      <c r="ABT3" t="s">
        <v>1900</v>
      </c>
      <c r="ABU3" t="s">
        <v>1900</v>
      </c>
      <c r="ABV3" t="s">
        <v>1900</v>
      </c>
      <c r="ABW3" t="s">
        <v>1900</v>
      </c>
      <c r="ABX3" t="s">
        <v>1900</v>
      </c>
      <c r="ABY3" t="s">
        <v>1900</v>
      </c>
      <c r="ABZ3" t="s">
        <v>1900</v>
      </c>
      <c r="ACA3" t="s">
        <v>1900</v>
      </c>
      <c r="ACB3" t="s">
        <v>1900</v>
      </c>
      <c r="ACC3" t="s">
        <v>1900</v>
      </c>
      <c r="ACD3" t="s">
        <v>1900</v>
      </c>
      <c r="ACE3">
        <v>6.92</v>
      </c>
      <c r="ACF3">
        <v>8.582000000000001</v>
      </c>
      <c r="ACG3">
        <v>3.171</v>
      </c>
      <c r="ACH3">
        <v>10.88</v>
      </c>
      <c r="ACI3">
        <v>13.316</v>
      </c>
      <c r="ACJ3" t="s">
        <v>1900</v>
      </c>
      <c r="ACK3" t="s">
        <v>1900</v>
      </c>
      <c r="ACL3" t="s">
        <v>1900</v>
      </c>
      <c r="ACM3" t="s">
        <v>1900</v>
      </c>
      <c r="ACN3">
        <v>13.316</v>
      </c>
      <c r="ACO3">
        <v>0.779</v>
      </c>
      <c r="ACP3">
        <v>1.472</v>
      </c>
      <c r="ACQ3">
        <v>0.628</v>
      </c>
      <c r="ACR3">
        <v>1.96</v>
      </c>
      <c r="ACS3">
        <v>2.353</v>
      </c>
      <c r="ACT3">
        <v>6.02</v>
      </c>
      <c r="ACU3">
        <v>7.466</v>
      </c>
      <c r="ACV3">
        <v>2.821</v>
      </c>
      <c r="ACW3">
        <v>9.301</v>
      </c>
      <c r="ACX3">
        <v>11.483</v>
      </c>
      <c r="ACY3" t="s">
        <v>1900</v>
      </c>
      <c r="ACZ3" t="s">
        <v>1900</v>
      </c>
      <c r="ADA3" t="s">
        <v>1900</v>
      </c>
      <c r="ADB3" t="s">
        <v>1900</v>
      </c>
      <c r="ADC3">
        <v>11.484</v>
      </c>
      <c r="ADD3">
        <v>0.678</v>
      </c>
      <c r="ADE3">
        <v>1.281</v>
      </c>
      <c r="ADF3">
        <v>0.5580000000000001</v>
      </c>
      <c r="ADG3">
        <v>1.676</v>
      </c>
      <c r="ADH3">
        <v>2.029</v>
      </c>
      <c r="ADI3">
        <v>0.859</v>
      </c>
      <c r="ADJ3">
        <v>0.978</v>
      </c>
      <c r="ADK3">
        <v>0.353</v>
      </c>
      <c r="ADL3">
        <v>1.319</v>
      </c>
      <c r="ADM3">
        <v>1.859</v>
      </c>
      <c r="ADN3">
        <v>50.011</v>
      </c>
      <c r="ADO3">
        <v>41.849</v>
      </c>
      <c r="ADP3">
        <v>34.748</v>
      </c>
      <c r="ADQ3">
        <v>40.079</v>
      </c>
      <c r="ADR3">
        <v>40.763</v>
      </c>
      <c r="ADS3">
        <v>0.845938243</v>
      </c>
      <c r="ADT3">
        <v>0.978464012</v>
      </c>
      <c r="ADU3">
        <v>0.353312292</v>
      </c>
      <c r="ADV3">
        <v>1.318874184</v>
      </c>
      <c r="ADW3">
        <v>2.013241631</v>
      </c>
      <c r="ADX3">
        <v>1.147</v>
      </c>
      <c r="ADY3">
        <v>1.322</v>
      </c>
      <c r="ADZ3">
        <v>0.617</v>
      </c>
      <c r="AEA3">
        <v>1.467</v>
      </c>
      <c r="AEB3">
        <v>2.121</v>
      </c>
      <c r="AEC3">
        <v>0.846</v>
      </c>
      <c r="AED3">
        <v>0.978</v>
      </c>
      <c r="AEE3">
        <v>0.353</v>
      </c>
      <c r="AEF3">
        <v>1.319</v>
      </c>
      <c r="AEG3">
        <v>2.013</v>
      </c>
      <c r="AEH3">
        <v>1.048</v>
      </c>
      <c r="AEI3">
        <v>1.195</v>
      </c>
      <c r="AEJ3">
        <v>0.578</v>
      </c>
      <c r="AEK3">
        <v>1.276</v>
      </c>
      <c r="AEL3">
        <v>1.711</v>
      </c>
      <c r="AEM3">
        <v>0.853155411</v>
      </c>
      <c r="AEN3">
        <v>0.988132533</v>
      </c>
      <c r="AEO3">
        <v>0.354565014</v>
      </c>
      <c r="AEP3">
        <v>1.33650095</v>
      </c>
      <c r="AEQ3">
        <v>2.05460581</v>
      </c>
      <c r="AER3">
        <v>1.017205984</v>
      </c>
      <c r="AES3">
        <v>1.023940609</v>
      </c>
      <c r="AET3">
        <v>1.010272383</v>
      </c>
      <c r="AEU3">
        <v>1.034026221</v>
      </c>
      <c r="AEV3">
        <v>1.051955075</v>
      </c>
      <c r="AEW3" t="s">
        <v>1900</v>
      </c>
      <c r="AEX3" t="s">
        <v>1900</v>
      </c>
      <c r="AEY3" t="s">
        <v>1900</v>
      </c>
      <c r="AEZ3" t="s">
        <v>1900</v>
      </c>
      <c r="AFA3" t="s">
        <v>1900</v>
      </c>
      <c r="AFB3" t="s">
        <v>1900</v>
      </c>
      <c r="AFC3" t="s">
        <v>1900</v>
      </c>
      <c r="AFD3" t="s">
        <v>1900</v>
      </c>
      <c r="AFE3" t="s">
        <v>1900</v>
      </c>
      <c r="AFF3" t="s">
        <v>1900</v>
      </c>
      <c r="AFG3">
        <v>8.058999999999999</v>
      </c>
      <c r="AFH3">
        <v>8.77</v>
      </c>
      <c r="AFI3">
        <v>8.976000000000001</v>
      </c>
      <c r="AFJ3">
        <v>8.249000000000001</v>
      </c>
      <c r="AFK3">
        <v>7.162</v>
      </c>
      <c r="AFL3" t="s">
        <v>1900</v>
      </c>
      <c r="AFM3" t="s">
        <v>1900</v>
      </c>
      <c r="AFN3" t="s">
        <v>1900</v>
      </c>
      <c r="AFO3" t="s">
        <v>1900</v>
      </c>
      <c r="AFP3" t="s">
        <v>1901</v>
      </c>
      <c r="AFQ3" t="s">
        <v>1901</v>
      </c>
      <c r="AFR3" t="s">
        <v>1901</v>
      </c>
      <c r="AFS3" t="s">
        <v>1901</v>
      </c>
      <c r="AFT3" t="s">
        <v>1901</v>
      </c>
      <c r="AFU3">
        <v>6.568</v>
      </c>
      <c r="AFV3">
        <v>305.64</v>
      </c>
      <c r="AFW3">
        <v>195.925</v>
      </c>
      <c r="AFX3">
        <v>142.143</v>
      </c>
      <c r="AFY3">
        <v>173.373</v>
      </c>
      <c r="AFZ3">
        <v>155.495</v>
      </c>
      <c r="AGA3">
        <v>21.77</v>
      </c>
      <c r="AGB3">
        <v>9.935</v>
      </c>
      <c r="AGC3">
        <v>15.094</v>
      </c>
      <c r="AGD3">
        <v>18.184</v>
      </c>
      <c r="AGE3">
        <v>11.809</v>
      </c>
      <c r="AGF3" t="s">
        <v>1900</v>
      </c>
      <c r="AGG3" t="s">
        <v>1900</v>
      </c>
      <c r="AGH3" t="s">
        <v>1900</v>
      </c>
      <c r="AGI3" t="s">
        <v>1900</v>
      </c>
      <c r="AGJ3" t="s">
        <v>1900</v>
      </c>
      <c r="AGK3" t="s">
        <v>1900</v>
      </c>
      <c r="AGL3" t="s">
        <v>1900</v>
      </c>
      <c r="AGM3" t="s">
        <v>1900</v>
      </c>
      <c r="AGN3" t="s">
        <v>1900</v>
      </c>
      <c r="AGO3" t="s">
        <v>1900</v>
      </c>
      <c r="AGP3" t="s">
        <v>1900</v>
      </c>
      <c r="AGQ3" t="s">
        <v>1900</v>
      </c>
      <c r="AGR3" t="s">
        <v>1900</v>
      </c>
      <c r="AGS3" t="s">
        <v>1900</v>
      </c>
      <c r="AGT3" t="s">
        <v>1900</v>
      </c>
      <c r="AGU3">
        <v>0</v>
      </c>
      <c r="AGV3">
        <v>0</v>
      </c>
      <c r="AGW3">
        <v>0</v>
      </c>
      <c r="AGX3">
        <v>0</v>
      </c>
      <c r="AGY3">
        <v>0</v>
      </c>
      <c r="AGZ3">
        <v>1.096</v>
      </c>
      <c r="AHA3">
        <v>1.187</v>
      </c>
      <c r="AHB3">
        <v>1.223</v>
      </c>
      <c r="AHC3">
        <v>1.197</v>
      </c>
      <c r="AHD3">
        <v>1.206</v>
      </c>
      <c r="AHE3">
        <v>1.096</v>
      </c>
      <c r="AHF3">
        <v>1.187</v>
      </c>
      <c r="AHG3">
        <v>1.223</v>
      </c>
      <c r="AHH3">
        <v>1.197</v>
      </c>
      <c r="AHI3">
        <v>0.971</v>
      </c>
      <c r="AHJ3" t="s">
        <v>1901</v>
      </c>
      <c r="AHK3" t="s">
        <v>1901</v>
      </c>
      <c r="AHL3" t="s">
        <v>1901</v>
      </c>
      <c r="AHM3" t="s">
        <v>1901</v>
      </c>
      <c r="AHN3" t="s">
        <v>1901</v>
      </c>
      <c r="AHO3">
        <v>11.264</v>
      </c>
      <c r="AHP3">
        <v>17.154</v>
      </c>
      <c r="AHQ3">
        <v>19.795</v>
      </c>
      <c r="AHR3">
        <v>18.016</v>
      </c>
      <c r="AHS3">
        <v>17.673</v>
      </c>
      <c r="AHT3">
        <v>12.694</v>
      </c>
      <c r="AHU3">
        <v>20.706</v>
      </c>
      <c r="AHV3">
        <v>24.68</v>
      </c>
      <c r="AHW3">
        <v>21.975</v>
      </c>
      <c r="AHX3">
        <v>21.467</v>
      </c>
      <c r="AHY3">
        <v>0.262</v>
      </c>
      <c r="AHZ3">
        <v>0.047</v>
      </c>
      <c r="AIA3">
        <v>0</v>
      </c>
      <c r="AIB3">
        <v>44.584</v>
      </c>
      <c r="AIC3">
        <v>0</v>
      </c>
      <c r="AID3">
        <v>1.755515003</v>
      </c>
      <c r="AIE3">
        <v>0.25861069</v>
      </c>
      <c r="AIF3">
        <v>0.259329151</v>
      </c>
      <c r="AIG3">
        <v>0.352166198</v>
      </c>
      <c r="AIH3">
        <v>0.108276479</v>
      </c>
      <c r="AII3">
        <v>20.15767948</v>
      </c>
      <c r="AIJ3">
        <v>16.431967444</v>
      </c>
      <c r="AIK3">
        <v>27.915387226</v>
      </c>
      <c r="AIL3">
        <v>26.561029801</v>
      </c>
      <c r="AIM3">
        <v>25.301074931</v>
      </c>
      <c r="AIN3">
        <v>83.216518107</v>
      </c>
      <c r="AIO3">
        <v>78.68557715999999</v>
      </c>
      <c r="AIP3">
        <v>72.755326778</v>
      </c>
      <c r="AIQ3">
        <v>66.44528527999999</v>
      </c>
      <c r="AIR3">
        <v>78.174252357</v>
      </c>
      <c r="AIS3">
        <v>0.05319226</v>
      </c>
      <c r="AIT3">
        <v>0.04470867</v>
      </c>
      <c r="AIU3">
        <v>0.033830879</v>
      </c>
      <c r="AIV3">
        <v>0.041251362</v>
      </c>
      <c r="AIW3">
        <v>25.703643506</v>
      </c>
      <c r="AIX3">
        <v>1.5613039416461</v>
      </c>
      <c r="AIY3">
        <v>1.93539621358204</v>
      </c>
      <c r="AIZ3">
        <v>0.737697537061572</v>
      </c>
      <c r="AJA3">
        <v>3.32374924909115</v>
      </c>
      <c r="AJB3">
        <v>4.36424614888728</v>
      </c>
      <c r="AJC3">
        <v>181.829855732193</v>
      </c>
      <c r="AJD3">
        <v>197.799453519964</v>
      </c>
      <c r="AJE3">
        <v>208.794755461981</v>
      </c>
      <c r="AJF3">
        <v>252.014141234744</v>
      </c>
      <c r="AJG3">
        <v>234.743743803622</v>
      </c>
      <c r="AJH3">
        <v>43.409</v>
      </c>
      <c r="AJI3">
        <v>34.739</v>
      </c>
      <c r="AJJ3">
        <v>29.034</v>
      </c>
      <c r="AJK3">
        <v>33.66</v>
      </c>
      <c r="AJL3">
        <v>33.939</v>
      </c>
      <c r="AJM3">
        <v>78.9307583126059</v>
      </c>
      <c r="AJN3">
        <v>68.7139342779694</v>
      </c>
      <c r="AJO3">
        <v>60.6219738023043</v>
      </c>
      <c r="AJP3">
        <v>84.8289881583452</v>
      </c>
      <c r="AJQ3">
        <v>79.6708184545505</v>
      </c>
      <c r="AJR3">
        <v>22.562186500572</v>
      </c>
      <c r="AJS3">
        <v>22.5529673014946</v>
      </c>
      <c r="AJT3">
        <v>23.2613167822993</v>
      </c>
      <c r="AJU3">
        <v>30.5504322394609</v>
      </c>
      <c r="AJV3">
        <v>32.7751645625734</v>
      </c>
      <c r="AJW3">
        <v>143.42616541712</v>
      </c>
      <c r="AJX3">
        <v>102.242110160003</v>
      </c>
      <c r="AJY3">
        <v>73.73269150713919</v>
      </c>
      <c r="AJZ3">
        <v>108.700334809649</v>
      </c>
      <c r="AKA3">
        <v>129.434983844452</v>
      </c>
      <c r="AKB3">
        <v>200.298793625107</v>
      </c>
      <c r="AKC3">
        <v>131.471808697932</v>
      </c>
      <c r="AKD3">
        <v>117.511938393782</v>
      </c>
      <c r="AKE3">
        <v>169.575971524029</v>
      </c>
      <c r="AKF3">
        <v>185.449388105699</v>
      </c>
      <c r="AKG3">
        <v>0.05319226</v>
      </c>
      <c r="AKH3">
        <v>0.04470867</v>
      </c>
      <c r="AKI3">
        <v>0.033830879</v>
      </c>
      <c r="AKJ3">
        <v>0.041251362</v>
      </c>
      <c r="AKK3">
        <v>25.703643506</v>
      </c>
      <c r="AKL3">
        <v>0.026590125</v>
      </c>
      <c r="AKM3">
        <v>0.025998567</v>
      </c>
      <c r="AKN3">
        <v>0.022075428</v>
      </c>
      <c r="AKO3">
        <v>0.024718064</v>
      </c>
      <c r="AKP3">
        <v>15.226091874</v>
      </c>
      <c r="AKQ3">
        <v>0.024138331</v>
      </c>
      <c r="AKR3">
        <v>0.039114867</v>
      </c>
      <c r="AKS3">
        <v>0.039223534</v>
      </c>
      <c r="AKT3">
        <v>0.036734578</v>
      </c>
      <c r="AKU3">
        <v>19.273343797</v>
      </c>
      <c r="AKV3">
        <v>0.32973733</v>
      </c>
      <c r="AKW3">
        <v>0.036713844</v>
      </c>
      <c r="AKX3">
        <v>0</v>
      </c>
      <c r="AKY3">
        <v>0</v>
      </c>
      <c r="AKZ3">
        <v>0</v>
      </c>
      <c r="ALA3">
        <v>0.299333262</v>
      </c>
      <c r="ALB3">
        <v>0.055236011</v>
      </c>
      <c r="ALC3">
        <v>0</v>
      </c>
      <c r="ALD3">
        <v>0</v>
      </c>
      <c r="ALE3">
        <v>0</v>
      </c>
      <c r="ALF3">
        <v>0.761923996</v>
      </c>
      <c r="ALG3">
        <v>0.887194861</v>
      </c>
      <c r="ALH3">
        <v>0.917726242</v>
      </c>
      <c r="ALI3">
        <v>0.99503486</v>
      </c>
      <c r="ALJ3">
        <v>0.507943547</v>
      </c>
      <c r="ALK3">
        <v>0.69166932</v>
      </c>
      <c r="ALL3">
        <v>1.334785458</v>
      </c>
      <c r="ALM3">
        <v>1.630612427</v>
      </c>
      <c r="ALN3">
        <v>1.478764081</v>
      </c>
      <c r="ALO3">
        <v>0.642960169</v>
      </c>
      <c r="ALP3">
        <v>84.900036622</v>
      </c>
      <c r="ALQ3">
        <v>54.423554083</v>
      </c>
      <c r="ALR3">
        <v>39.484241825</v>
      </c>
      <c r="ALS3">
        <v>48.159097668</v>
      </c>
      <c r="ALT3">
        <v>43.193158548</v>
      </c>
      <c r="ALU3">
        <v>7.122847713</v>
      </c>
      <c r="ALV3">
        <v>5.07090904</v>
      </c>
      <c r="ALW3">
        <v>10.619017376</v>
      </c>
      <c r="ALX3">
        <v>10.488533225</v>
      </c>
      <c r="ALY3">
        <v>7.594738489</v>
      </c>
      <c r="ALZ3">
        <v>50.0112884970349</v>
      </c>
      <c r="AMA3">
        <v>41.8489372827978</v>
      </c>
      <c r="AMB3">
        <v>34.7476972200181</v>
      </c>
      <c r="AMC3">
        <v>40.0793990792681</v>
      </c>
      <c r="AMD3">
        <v>40.7629044107498</v>
      </c>
      <c r="AME3">
        <v>50.0112884970349</v>
      </c>
      <c r="AMF3">
        <v>41.8489372827978</v>
      </c>
      <c r="AMG3">
        <v>34.7670310422107</v>
      </c>
      <c r="AMH3">
        <v>40.0793990792681</v>
      </c>
      <c r="AMI3">
        <v>40.8807551227631</v>
      </c>
      <c r="AMJ3">
        <v>100.045164184855</v>
      </c>
      <c r="AMK3">
        <v>71.96590281817519</v>
      </c>
      <c r="AML3">
        <v>53.2512964901492</v>
      </c>
      <c r="AMM3">
        <v>66.8875119131206</v>
      </c>
      <c r="AMN3">
        <v>68.81313812783741</v>
      </c>
      <c r="AMO3">
        <v>1.01720598426809</v>
      </c>
      <c r="AMP3">
        <v>1.0239406087983</v>
      </c>
      <c r="AMQ3">
        <v>1.01027238291788</v>
      </c>
      <c r="AMR3">
        <v>1.03402622093844</v>
      </c>
      <c r="AMS3">
        <v>1.05195507357894</v>
      </c>
      <c r="AMT3">
        <v>1.01720598426809</v>
      </c>
      <c r="AMU3">
        <v>1.0239406087983</v>
      </c>
      <c r="AMV3">
        <v>1.01027238291788</v>
      </c>
      <c r="AMW3">
        <v>1.03402622093844</v>
      </c>
      <c r="AMX3">
        <v>1.05195507480532</v>
      </c>
      <c r="AMY3">
        <v>1.01720598426809</v>
      </c>
      <c r="AMZ3">
        <v>1.0239406087983</v>
      </c>
      <c r="ANA3">
        <v>1.01027238291788</v>
      </c>
      <c r="ANB3">
        <v>1.03402622093844</v>
      </c>
      <c r="ANC3">
        <v>1.05195507486904</v>
      </c>
      <c r="AND3">
        <v>0.845938243005836</v>
      </c>
      <c r="ANE3">
        <v>0.978464011978077</v>
      </c>
      <c r="ANF3">
        <v>0.353312292203407</v>
      </c>
      <c r="ANG3">
        <v>1.31887418378348</v>
      </c>
      <c r="ANH3">
        <v>2.01324163087811</v>
      </c>
      <c r="ANI3">
        <v>0.845938243005836</v>
      </c>
      <c r="ANJ3">
        <v>0.978464011978077</v>
      </c>
      <c r="ANK3">
        <v>0.353508877231551</v>
      </c>
      <c r="ANL3">
        <v>1.31887418378348</v>
      </c>
      <c r="ANM3">
        <v>2.01906216705146</v>
      </c>
      <c r="ANN3">
        <v>0.853155410898903</v>
      </c>
      <c r="ANO3">
        <v>0.988132533206146</v>
      </c>
      <c r="ANP3">
        <v>0.354565013981657</v>
      </c>
      <c r="ANQ3">
        <v>1.3365009497761</v>
      </c>
      <c r="ANR3">
        <v>2.05460581040359</v>
      </c>
      <c r="ANS3">
        <v>6.81746110091782</v>
      </c>
      <c r="ANT3">
        <v>8.58156014736578</v>
      </c>
      <c r="ANU3">
        <v>3.17134902034072</v>
      </c>
      <c r="ANV3">
        <v>10.8795496867809</v>
      </c>
      <c r="ANW3">
        <v>14.4193290699483</v>
      </c>
      <c r="ANX3">
        <v>50.0112884970349</v>
      </c>
      <c r="ANY3">
        <v>41.8489372827978</v>
      </c>
      <c r="ANZ3">
        <v>34.7476972200181</v>
      </c>
      <c r="AOA3">
        <v>40.079399079268</v>
      </c>
      <c r="AOB3">
        <v>40.7629044107498</v>
      </c>
      <c r="AOC3">
        <v>50.4379625109076</v>
      </c>
      <c r="AOD3">
        <v>42.2624602468902</v>
      </c>
      <c r="AOE3">
        <v>34.8709003975245</v>
      </c>
      <c r="AOF3">
        <v>40.615060628627</v>
      </c>
      <c r="AOG3">
        <v>41.6004214132624</v>
      </c>
      <c r="AOH3">
        <v>45.3999009514496</v>
      </c>
      <c r="AOI3">
        <v>62.9617633685418</v>
      </c>
      <c r="AOJ3">
        <v>61.7395735888379</v>
      </c>
      <c r="AOK3">
        <v>59.5637179341596</v>
      </c>
      <c r="AOL3">
        <v>51.5981039248594</v>
      </c>
      <c r="AOM3">
        <v>1.6922585471235</v>
      </c>
      <c r="AON3">
        <v>1.68262447194904</v>
      </c>
      <c r="AOO3">
        <v>0.541455668460786</v>
      </c>
      <c r="AOP3">
        <v>2.20103631058073</v>
      </c>
      <c r="AOQ3">
        <v>3.39861637518138</v>
      </c>
      <c r="AOR3">
        <v>1.72059842680875</v>
      </c>
      <c r="AOS3">
        <v>2.39406087983001</v>
      </c>
      <c r="AOT3">
        <v>1.02723829178781</v>
      </c>
      <c r="AOU3">
        <v>3.40262209384353</v>
      </c>
      <c r="AOV3">
        <v>5.19550748053186</v>
      </c>
      <c r="AOW3">
        <v>0.767936871808157</v>
      </c>
      <c r="AOX3">
        <v>1.47209997641018</v>
      </c>
      <c r="AOY3">
        <v>0.627763909827287</v>
      </c>
      <c r="AOZ3">
        <v>1.96003562124661</v>
      </c>
      <c r="APA3">
        <v>2.54838197615053</v>
      </c>
      <c r="APB3">
        <v>0.747035722954189</v>
      </c>
      <c r="APC3">
        <v>0.8512635529078461</v>
      </c>
      <c r="APD3">
        <v>0.314281075370483</v>
      </c>
      <c r="APE3">
        <v>1.12755469311892</v>
      </c>
      <c r="APF3">
        <v>1.60325289544381</v>
      </c>
      <c r="APG3">
        <v>0.747035722954189</v>
      </c>
      <c r="APH3">
        <v>0.8512635529078461</v>
      </c>
      <c r="API3">
        <v>0.31445594320104</v>
      </c>
      <c r="APJ3">
        <v>1.12755469311892</v>
      </c>
      <c r="APK3">
        <v>1.60788810233097</v>
      </c>
      <c r="APL3">
        <v>1.49440883850323</v>
      </c>
      <c r="APM3">
        <v>1.46388305412005</v>
      </c>
      <c r="APN3">
        <v>0.481639822628448</v>
      </c>
      <c r="APO3">
        <v>1.88174797280579</v>
      </c>
      <c r="APP3">
        <v>2.70650152492411</v>
      </c>
      <c r="APQ3">
        <v>1.51943537286805</v>
      </c>
      <c r="APR3">
        <v>2.08283262899141</v>
      </c>
      <c r="APS3">
        <v>0.913756928725668</v>
      </c>
      <c r="APT3">
        <v>2.90902844107325</v>
      </c>
      <c r="APU3">
        <v>4.13746282796146</v>
      </c>
      <c r="APV3">
        <v>0.753409098645921</v>
      </c>
      <c r="APW3">
        <v>0.859675165017455</v>
      </c>
      <c r="APX3">
        <v>0.315395406109312</v>
      </c>
      <c r="APY3">
        <v>1.1426244723017</v>
      </c>
      <c r="APZ3">
        <v>1.63619342258906</v>
      </c>
      <c r="AQA3">
        <v>0.678153849831834</v>
      </c>
      <c r="AQB3">
        <v>1.2807267725883</v>
      </c>
      <c r="AQC3">
        <v>0.558413395211603</v>
      </c>
      <c r="AQD3">
        <v>1.67570750158812</v>
      </c>
      <c r="AQE3">
        <v>2.02941401533511</v>
      </c>
      <c r="AQF3">
        <v>0.0172059842680875</v>
      </c>
      <c r="AQG3">
        <v>0.0239406087983001</v>
      </c>
      <c r="AQH3">
        <v>0.0102723829178781</v>
      </c>
      <c r="AQI3">
        <v>0.0340262209384353</v>
      </c>
      <c r="AQJ3">
        <v>0.0519550748690353</v>
      </c>
      <c r="AQK3">
        <v>4</v>
      </c>
      <c r="AQO3" t="s">
        <v>1903</v>
      </c>
      <c r="AQP3">
        <v>4</v>
      </c>
      <c r="AQQ3">
        <v>0</v>
      </c>
      <c r="AQS3" t="s">
        <v>1905</v>
      </c>
      <c r="AQU3" t="s">
        <v>1906</v>
      </c>
      <c r="AQV3">
        <v>2363788.1265963</v>
      </c>
      <c r="AQW3">
        <v>2571392.89575953</v>
      </c>
      <c r="AQX3">
        <v>2923126.57860094</v>
      </c>
      <c r="AQY3">
        <v>19996.1877465093</v>
      </c>
      <c r="AQZ3">
        <v>25160.154091568</v>
      </c>
      <c r="ARA3">
        <v>10327.765518862</v>
      </c>
      <c r="ARB3">
        <v>7858307.60095677</v>
      </c>
      <c r="ARC3">
        <v>55484.1073569393</v>
      </c>
      <c r="ARD3">
        <v>0.007110773094181799</v>
      </c>
      <c r="ARE3">
        <v>0.007110773094181799</v>
      </c>
      <c r="ARF3">
        <v>0.007110773094181799</v>
      </c>
      <c r="ARG3">
        <v>0.007110773094181799</v>
      </c>
      <c r="ARH3">
        <v>0.007110773094181799</v>
      </c>
      <c r="ARI3">
        <v>0.007110773094181799</v>
      </c>
      <c r="ARJ3" t="s">
        <v>1164</v>
      </c>
      <c r="ARK3" t="s">
        <v>1502</v>
      </c>
      <c r="ARL3" t="s">
        <v>1909</v>
      </c>
      <c r="ARP3" t="s">
        <v>1907</v>
      </c>
      <c r="ARQ3" t="s">
        <v>1911</v>
      </c>
    </row>
    <row r="4" spans="1:1163">
      <c r="A4">
        <v>570</v>
      </c>
      <c r="B4" t="s">
        <v>1165</v>
      </c>
      <c r="C4" t="s">
        <v>1288</v>
      </c>
      <c r="E4" s="2">
        <v>39125</v>
      </c>
      <c r="F4" t="s">
        <v>1431</v>
      </c>
      <c r="G4" t="s">
        <v>1433</v>
      </c>
      <c r="H4" t="s">
        <v>1434</v>
      </c>
      <c r="I4" t="s">
        <v>1437</v>
      </c>
      <c r="J4" t="s">
        <v>1453</v>
      </c>
      <c r="L4" t="s">
        <v>1503</v>
      </c>
      <c r="N4" t="s">
        <v>1626</v>
      </c>
      <c r="O4" t="s">
        <v>1650</v>
      </c>
      <c r="P4">
        <v>6920</v>
      </c>
      <c r="Q4">
        <v>6920</v>
      </c>
      <c r="R4" t="s">
        <v>1674</v>
      </c>
      <c r="Z4" t="s">
        <v>1899</v>
      </c>
      <c r="AA4" s="2">
        <v>45657</v>
      </c>
      <c r="AB4">
        <v>2024</v>
      </c>
      <c r="AC4">
        <v>1176959.84629012</v>
      </c>
      <c r="AD4">
        <v>1008591.65574354</v>
      </c>
      <c r="AE4">
        <v>809819.223902452</v>
      </c>
      <c r="AF4">
        <v>1200171.8307601</v>
      </c>
      <c r="AG4">
        <v>1064611.59588748</v>
      </c>
      <c r="AH4">
        <v>1176959.84629012</v>
      </c>
      <c r="AI4">
        <v>1000304.15202421</v>
      </c>
      <c r="AJ4">
        <v>808091.332731473</v>
      </c>
      <c r="AK4">
        <v>1200171.8307601</v>
      </c>
      <c r="AL4">
        <v>1054008.26765408</v>
      </c>
      <c r="AM4">
        <v>41139.2478632057</v>
      </c>
      <c r="AN4">
        <v>226.259901542664</v>
      </c>
      <c r="AO4">
        <v>8989.684462857251</v>
      </c>
      <c r="AP4">
        <v>17108.0295782804</v>
      </c>
      <c r="AQ4" t="s">
        <v>1900</v>
      </c>
      <c r="AR4">
        <v>1135820.59738802</v>
      </c>
      <c r="AS4">
        <v>1008365.395842</v>
      </c>
      <c r="AT4">
        <v>800829.539439595</v>
      </c>
      <c r="AU4">
        <v>1183063.80118182</v>
      </c>
      <c r="AV4">
        <v>1064611.59588748</v>
      </c>
      <c r="AW4">
        <v>1016865.88415305</v>
      </c>
      <c r="AX4">
        <v>924570.268935776</v>
      </c>
      <c r="AY4">
        <v>751028.7827434</v>
      </c>
      <c r="AZ4">
        <v>1035410.73115475</v>
      </c>
      <c r="BA4">
        <v>1006938.5178219</v>
      </c>
      <c r="BB4">
        <v>118954.714273869</v>
      </c>
      <c r="BC4">
        <v>83795.1269062233</v>
      </c>
      <c r="BD4">
        <v>49800.7566961944</v>
      </c>
      <c r="BE4">
        <v>147653.070027065</v>
      </c>
      <c r="BF4">
        <v>57673.0780655861</v>
      </c>
      <c r="BG4">
        <v>-14125.9690026104</v>
      </c>
      <c r="BH4">
        <v>-10450.0007398319</v>
      </c>
      <c r="BI4">
        <v>-3136.16513930559</v>
      </c>
      <c r="BJ4">
        <v>-3035.22158596516</v>
      </c>
      <c r="BK4">
        <v>-2877.02020446658</v>
      </c>
      <c r="BL4" t="s">
        <v>1900</v>
      </c>
      <c r="BM4" t="s">
        <v>1900</v>
      </c>
      <c r="BN4" t="s">
        <v>1900</v>
      </c>
      <c r="BO4" t="s">
        <v>1900</v>
      </c>
      <c r="BP4" t="s">
        <v>1900</v>
      </c>
      <c r="BQ4">
        <v>14125.9690026104</v>
      </c>
      <c r="BR4">
        <v>10450.0007398319</v>
      </c>
      <c r="BS4">
        <v>3136.16513930559</v>
      </c>
      <c r="BT4">
        <v>3035.22158596516</v>
      </c>
      <c r="BU4">
        <v>2877.02020446658</v>
      </c>
      <c r="BV4">
        <v>104828.745271258</v>
      </c>
      <c r="BW4">
        <v>73345.12506139091</v>
      </c>
      <c r="BX4">
        <v>46664.5915568888</v>
      </c>
      <c r="BY4">
        <v>144617.8484411</v>
      </c>
      <c r="BZ4">
        <v>54796.0578611195</v>
      </c>
      <c r="CA4">
        <v>11625.9819253767</v>
      </c>
      <c r="CB4">
        <v>8452.701293468481</v>
      </c>
      <c r="CC4">
        <v>11602.149253428</v>
      </c>
      <c r="CD4">
        <v>36477.2503664017</v>
      </c>
      <c r="CE4">
        <v>14196.8639898002</v>
      </c>
      <c r="CF4">
        <v>93202.7633458817</v>
      </c>
      <c r="CG4">
        <v>64892.4237679224</v>
      </c>
      <c r="CH4">
        <v>35062.4423034608</v>
      </c>
      <c r="CI4">
        <v>108140.598074698</v>
      </c>
      <c r="CJ4">
        <v>40599.1938713193</v>
      </c>
      <c r="CK4" t="s">
        <v>1900</v>
      </c>
      <c r="CL4" t="s">
        <v>1900</v>
      </c>
      <c r="CM4" t="s">
        <v>1900</v>
      </c>
      <c r="CN4" t="s">
        <v>1900</v>
      </c>
      <c r="CO4" t="s">
        <v>1900</v>
      </c>
      <c r="CP4" t="s">
        <v>1900</v>
      </c>
      <c r="CQ4" t="s">
        <v>1900</v>
      </c>
      <c r="CR4" t="s">
        <v>1900</v>
      </c>
      <c r="CS4" t="s">
        <v>1900</v>
      </c>
      <c r="CT4" t="s">
        <v>1900</v>
      </c>
      <c r="CU4" t="s">
        <v>1900</v>
      </c>
      <c r="CV4" t="s">
        <v>1900</v>
      </c>
      <c r="CW4" t="s">
        <v>1900</v>
      </c>
      <c r="CX4" t="s">
        <v>1900</v>
      </c>
      <c r="CY4" t="s">
        <v>1900</v>
      </c>
      <c r="CZ4">
        <v>93202.7633458817</v>
      </c>
      <c r="DA4">
        <v>64892.4237679224</v>
      </c>
      <c r="DB4">
        <v>35062.4423034608</v>
      </c>
      <c r="DC4">
        <v>108140.598074698</v>
      </c>
      <c r="DD4">
        <v>40599.1938713193</v>
      </c>
      <c r="DE4" t="s">
        <v>1900</v>
      </c>
      <c r="DF4" t="s">
        <v>1900</v>
      </c>
      <c r="DG4" t="s">
        <v>1900</v>
      </c>
      <c r="DH4" t="s">
        <v>1900</v>
      </c>
      <c r="DI4" t="s">
        <v>1900</v>
      </c>
      <c r="DJ4">
        <v>41139.2478632057</v>
      </c>
      <c r="DK4">
        <v>226.259901542664</v>
      </c>
      <c r="DL4">
        <v>8989.684462857251</v>
      </c>
      <c r="DM4">
        <v>17108.0295782804</v>
      </c>
      <c r="DN4" t="s">
        <v>1900</v>
      </c>
      <c r="DO4">
        <v>846718.459991689</v>
      </c>
      <c r="DP4">
        <v>764000.381623983</v>
      </c>
      <c r="DQ4">
        <v>694546.00423916</v>
      </c>
      <c r="DR4">
        <v>714135.493126845</v>
      </c>
      <c r="DS4">
        <v>802046.262833917</v>
      </c>
      <c r="DT4">
        <v>34927.8856770611</v>
      </c>
      <c r="DU4">
        <v>32086.3303499508</v>
      </c>
      <c r="DV4">
        <v>12236.7972809315</v>
      </c>
      <c r="DW4">
        <v>8974.475664281839</v>
      </c>
      <c r="DX4">
        <v>14858.0128213406</v>
      </c>
      <c r="DY4">
        <v>135219.5384843</v>
      </c>
      <c r="DZ4">
        <v>128483.556961842</v>
      </c>
      <c r="EA4">
        <v>44245.9801567095</v>
      </c>
      <c r="EB4">
        <v>312300.762363625</v>
      </c>
      <c r="EC4">
        <v>190034.242166638</v>
      </c>
      <c r="ED4">
        <v>14125.9690026104</v>
      </c>
      <c r="EE4">
        <v>10450.0007398319</v>
      </c>
      <c r="EF4">
        <v>3136.16513930559</v>
      </c>
      <c r="EG4">
        <v>3035.22158596516</v>
      </c>
      <c r="EH4">
        <v>2877.02020446658</v>
      </c>
      <c r="EI4" t="s">
        <v>1900</v>
      </c>
      <c r="EJ4" t="s">
        <v>1900</v>
      </c>
      <c r="EK4" t="s">
        <v>1900</v>
      </c>
      <c r="EL4" t="s">
        <v>1900</v>
      </c>
      <c r="EM4" t="s">
        <v>1900</v>
      </c>
      <c r="EN4">
        <v>128130.649022943</v>
      </c>
      <c r="EO4">
        <v>96978.75411787321</v>
      </c>
      <c r="EP4">
        <v>47299.2395843923</v>
      </c>
      <c r="EQ4">
        <v>117115.07373898</v>
      </c>
      <c r="ER4">
        <v>55457.2066926598</v>
      </c>
      <c r="ES4">
        <v>1000601.05994262</v>
      </c>
      <c r="ET4">
        <v>879881.8377751569</v>
      </c>
      <c r="EU4">
        <v>756583.557149686</v>
      </c>
      <c r="EV4">
        <v>870763.038818192</v>
      </c>
      <c r="EW4">
        <v>874577.352493744</v>
      </c>
      <c r="EX4">
        <v>153882.59995093</v>
      </c>
      <c r="EY4">
        <v>115881.457256174</v>
      </c>
      <c r="EZ4">
        <v>62037.5539771259</v>
      </c>
      <c r="FA4">
        <v>156627.545691347</v>
      </c>
      <c r="FB4">
        <v>72531.0896598274</v>
      </c>
      <c r="FC4">
        <v>697744.203255719</v>
      </c>
      <c r="FD4">
        <v>719125.8031848239</v>
      </c>
      <c r="FE4">
        <v>548178.199028677</v>
      </c>
      <c r="FF4">
        <v>68565.84443142411</v>
      </c>
      <c r="FG4">
        <v>77271.96448829171</v>
      </c>
      <c r="FH4">
        <v>133186.838031569</v>
      </c>
      <c r="FI4">
        <v>116836.796484919</v>
      </c>
      <c r="FJ4">
        <v>51147.1998921871</v>
      </c>
      <c r="FK4">
        <v>57626.2619296789</v>
      </c>
      <c r="FL4">
        <v>57260.1591513276</v>
      </c>
      <c r="FM4">
        <v>563219.075613552</v>
      </c>
      <c r="FN4">
        <v>600936.552392941</v>
      </c>
      <c r="FO4">
        <v>493240.368551189</v>
      </c>
      <c r="FP4">
        <v>6914.38896503449</v>
      </c>
      <c r="FQ4">
        <v>16400.0348849773</v>
      </c>
      <c r="FR4">
        <v>1338.28961059809</v>
      </c>
      <c r="FS4">
        <v>1352.45430696487</v>
      </c>
      <c r="FT4">
        <v>3790.63058530092</v>
      </c>
      <c r="FU4">
        <v>4025.19353671074</v>
      </c>
      <c r="FV4">
        <v>3611.77045198679</v>
      </c>
      <c r="FW4">
        <v>133186.838031569</v>
      </c>
      <c r="FX4">
        <v>116836.796484919</v>
      </c>
      <c r="FY4">
        <v>51147.1998921871</v>
      </c>
      <c r="FZ4">
        <v>57626.2619296789</v>
      </c>
      <c r="GA4">
        <v>57260.1591513276</v>
      </c>
      <c r="GB4">
        <v>563219.075613552</v>
      </c>
      <c r="GC4">
        <v>600936.552392941</v>
      </c>
      <c r="GD4">
        <v>493240.368551189</v>
      </c>
      <c r="GE4">
        <v>6914.38896503449</v>
      </c>
      <c r="GF4">
        <v>16400.0348849773</v>
      </c>
      <c r="GG4">
        <v>1338.28961059809</v>
      </c>
      <c r="GH4">
        <v>1352.45430696487</v>
      </c>
      <c r="GI4">
        <v>3790.63058530092</v>
      </c>
      <c r="GJ4">
        <v>4025.19353671074</v>
      </c>
      <c r="GK4">
        <v>3611.77045198679</v>
      </c>
      <c r="GL4">
        <v>456001.5886279</v>
      </c>
      <c r="GM4">
        <v>239433.73955492</v>
      </c>
      <c r="GN4">
        <v>238644.243963355</v>
      </c>
      <c r="GO4">
        <v>604101.391206121</v>
      </c>
      <c r="GP4">
        <v>462442.5559147</v>
      </c>
      <c r="GQ4">
        <v>0</v>
      </c>
      <c r="GR4">
        <v>19509.8887557983</v>
      </c>
      <c r="GS4">
        <v>19664.3614652753</v>
      </c>
      <c r="GT4">
        <v>0</v>
      </c>
      <c r="GU4">
        <v>0</v>
      </c>
      <c r="GV4">
        <v>331635.651816298</v>
      </c>
      <c r="GW4">
        <v>172243.200950632</v>
      </c>
      <c r="GX4">
        <v>152011.353758776</v>
      </c>
      <c r="GY4">
        <v>253159.398350644</v>
      </c>
      <c r="GZ4">
        <v>120817.509674495</v>
      </c>
      <c r="HA4">
        <v>124365.935772703</v>
      </c>
      <c r="HB4">
        <v>47680.6498484898</v>
      </c>
      <c r="HC4">
        <v>66968.52873930339</v>
      </c>
      <c r="HD4">
        <v>350941.992855477</v>
      </c>
      <c r="HE4">
        <v>341625.046240205</v>
      </c>
      <c r="HF4">
        <v>36782.2590235972</v>
      </c>
      <c r="HG4">
        <v>25359.5403810501</v>
      </c>
      <c r="HH4">
        <v>45800.3259915531</v>
      </c>
      <c r="HI4">
        <v>252876.202969766</v>
      </c>
      <c r="HJ4">
        <v>255843.528511143</v>
      </c>
      <c r="HK4">
        <v>1153745.79188362</v>
      </c>
      <c r="HL4">
        <v>958559.5427397439</v>
      </c>
      <c r="HM4">
        <v>786822.442992032</v>
      </c>
      <c r="HN4">
        <v>672667.2356375461</v>
      </c>
      <c r="HO4">
        <v>539714.520402992</v>
      </c>
      <c r="HP4">
        <v>427425.451631945</v>
      </c>
      <c r="HQ4">
        <v>355487.91943861</v>
      </c>
      <c r="HR4">
        <v>280496.710872443</v>
      </c>
      <c r="HS4">
        <v>131924.502319264</v>
      </c>
      <c r="HT4">
        <v>111665.275446641</v>
      </c>
      <c r="HU4">
        <v>3129.16541719437</v>
      </c>
      <c r="HV4">
        <v>3328.26149368286</v>
      </c>
      <c r="HW4">
        <v>3212.59765863419</v>
      </c>
      <c r="HX4">
        <v>3411.39212608337</v>
      </c>
      <c r="HY4">
        <v>3696.02308988571</v>
      </c>
      <c r="HZ4">
        <v>424296.286214751</v>
      </c>
      <c r="IA4">
        <v>352159.657944927</v>
      </c>
      <c r="IB4">
        <v>277284.113213809</v>
      </c>
      <c r="IC4">
        <v>128513.110193181</v>
      </c>
      <c r="ID4">
        <v>107969.252356756</v>
      </c>
      <c r="IE4">
        <v>136193.63147184</v>
      </c>
      <c r="IF4">
        <v>210625.558926163</v>
      </c>
      <c r="IG4">
        <v>195780.90632267</v>
      </c>
      <c r="IH4">
        <v>142277.726315832</v>
      </c>
      <c r="II4">
        <v>189758.046656322</v>
      </c>
      <c r="IJ4">
        <v>136193.63147184</v>
      </c>
      <c r="IK4">
        <v>210625.558926163</v>
      </c>
      <c r="IL4">
        <v>195780.90632267</v>
      </c>
      <c r="IM4">
        <v>142277.726315832</v>
      </c>
      <c r="IN4">
        <v>189758.046656322</v>
      </c>
      <c r="IO4">
        <v>0</v>
      </c>
      <c r="IP4">
        <v>0</v>
      </c>
      <c r="IQ4">
        <v>0</v>
      </c>
      <c r="IR4">
        <v>0</v>
      </c>
      <c r="IS4">
        <v>0</v>
      </c>
      <c r="IT4">
        <v>0</v>
      </c>
      <c r="IU4">
        <v>0</v>
      </c>
      <c r="IV4">
        <v>0</v>
      </c>
      <c r="IW4">
        <v>0</v>
      </c>
      <c r="IX4">
        <v>0</v>
      </c>
      <c r="IY4">
        <v>590126.708779833</v>
      </c>
      <c r="IZ4">
        <v>392446.064374971</v>
      </c>
      <c r="JA4">
        <v>310544.824730319</v>
      </c>
      <c r="JB4">
        <v>398465.007002449</v>
      </c>
      <c r="JC4">
        <v>238291.198300028</v>
      </c>
      <c r="JD4">
        <v>131344.495141716</v>
      </c>
      <c r="JE4">
        <v>175104.378734694</v>
      </c>
      <c r="JF4">
        <v>54334.1778311133</v>
      </c>
      <c r="JG4">
        <v>0</v>
      </c>
      <c r="JH4">
        <v>322.628947806358</v>
      </c>
      <c r="JI4" t="s">
        <v>1900</v>
      </c>
      <c r="JJ4">
        <v>0</v>
      </c>
      <c r="JK4">
        <v>0</v>
      </c>
      <c r="JL4">
        <v>0</v>
      </c>
      <c r="JM4">
        <v>0</v>
      </c>
      <c r="JN4">
        <v>458782.213638117</v>
      </c>
      <c r="JO4">
        <v>217341.685640278</v>
      </c>
      <c r="JP4">
        <v>256210.646899205</v>
      </c>
      <c r="JQ4">
        <v>398465.007002449</v>
      </c>
      <c r="JR4">
        <v>237968.569352222</v>
      </c>
      <c r="JS4">
        <v>1153745.79188362</v>
      </c>
      <c r="JT4">
        <v>958559.5427397439</v>
      </c>
      <c r="JU4">
        <v>786822.442992032</v>
      </c>
      <c r="JV4">
        <v>672667.2356375461</v>
      </c>
      <c r="JW4">
        <v>539714.520402992</v>
      </c>
      <c r="JX4">
        <v>331635.651816298</v>
      </c>
      <c r="JY4">
        <v>191753.08970643</v>
      </c>
      <c r="JZ4">
        <v>171675.715224051</v>
      </c>
      <c r="KA4">
        <v>253159.398350644</v>
      </c>
      <c r="KB4">
        <v>120817.509674495</v>
      </c>
      <c r="KC4" t="s">
        <v>1900</v>
      </c>
      <c r="KD4" t="s">
        <v>1900</v>
      </c>
      <c r="KE4" t="s">
        <v>1900</v>
      </c>
      <c r="KF4" t="s">
        <v>1900</v>
      </c>
      <c r="KG4" t="s">
        <v>1900</v>
      </c>
      <c r="KH4" t="s">
        <v>1900</v>
      </c>
      <c r="KI4" t="s">
        <v>1900</v>
      </c>
      <c r="KJ4" t="s">
        <v>1900</v>
      </c>
      <c r="KK4" t="s">
        <v>1900</v>
      </c>
      <c r="KL4" t="s">
        <v>1900</v>
      </c>
      <c r="KM4">
        <v>20</v>
      </c>
      <c r="KN4">
        <v>23</v>
      </c>
      <c r="KO4">
        <v>19</v>
      </c>
      <c r="KP4">
        <v>16</v>
      </c>
      <c r="KQ4">
        <v>22</v>
      </c>
      <c r="KR4" t="s">
        <v>1900</v>
      </c>
      <c r="KS4" t="s">
        <v>1900</v>
      </c>
      <c r="KT4" t="s">
        <v>1900</v>
      </c>
      <c r="KU4" t="s">
        <v>1900</v>
      </c>
      <c r="KV4" t="s">
        <v>1900</v>
      </c>
      <c r="KW4" t="s">
        <v>1900</v>
      </c>
      <c r="KX4" t="s">
        <v>1900</v>
      </c>
      <c r="KY4" t="s">
        <v>1900</v>
      </c>
      <c r="KZ4" t="s">
        <v>1900</v>
      </c>
      <c r="LA4" t="s">
        <v>1900</v>
      </c>
      <c r="LB4" t="s">
        <v>1900</v>
      </c>
      <c r="LC4" t="s">
        <v>1900</v>
      </c>
      <c r="LD4" t="s">
        <v>1900</v>
      </c>
      <c r="LE4" t="s">
        <v>1900</v>
      </c>
      <c r="LF4" t="s">
        <v>1900</v>
      </c>
      <c r="LG4" t="s">
        <v>1900</v>
      </c>
      <c r="LH4" t="s">
        <v>1900</v>
      </c>
      <c r="LI4" t="s">
        <v>1900</v>
      </c>
      <c r="LJ4" t="s">
        <v>1900</v>
      </c>
      <c r="LK4" t="s">
        <v>1900</v>
      </c>
      <c r="LL4" t="s">
        <v>1900</v>
      </c>
      <c r="LM4" t="s">
        <v>1900</v>
      </c>
      <c r="LN4" t="s">
        <v>1900</v>
      </c>
      <c r="LO4" t="s">
        <v>1900</v>
      </c>
      <c r="LP4" t="s">
        <v>1900</v>
      </c>
      <c r="LQ4" t="s">
        <v>1900</v>
      </c>
      <c r="LR4" t="s">
        <v>1900</v>
      </c>
      <c r="LS4" t="s">
        <v>1900</v>
      </c>
      <c r="LT4" t="s">
        <v>1900</v>
      </c>
      <c r="LU4" t="s">
        <v>1900</v>
      </c>
      <c r="LV4" t="s">
        <v>1900</v>
      </c>
      <c r="LW4" t="s">
        <v>1900</v>
      </c>
      <c r="LX4" t="s">
        <v>1900</v>
      </c>
      <c r="LY4" t="s">
        <v>1900</v>
      </c>
      <c r="LZ4" t="s">
        <v>1900</v>
      </c>
      <c r="MA4" t="s">
        <v>1900</v>
      </c>
      <c r="MB4" t="s">
        <v>1900</v>
      </c>
      <c r="MC4" t="s">
        <v>1900</v>
      </c>
      <c r="MD4" t="s">
        <v>1900</v>
      </c>
      <c r="ME4" t="s">
        <v>1900</v>
      </c>
      <c r="MF4" t="s">
        <v>1900</v>
      </c>
      <c r="MG4" t="s">
        <v>1900</v>
      </c>
      <c r="MH4" t="s">
        <v>1900</v>
      </c>
      <c r="MI4" t="s">
        <v>1900</v>
      </c>
      <c r="MJ4" t="s">
        <v>1900</v>
      </c>
      <c r="MK4" t="s">
        <v>1900</v>
      </c>
      <c r="ML4" t="s">
        <v>1900</v>
      </c>
      <c r="MM4" t="s">
        <v>1900</v>
      </c>
      <c r="MN4" t="s">
        <v>1900</v>
      </c>
      <c r="MO4" t="s">
        <v>1900</v>
      </c>
      <c r="MP4">
        <v>124365.935772703</v>
      </c>
      <c r="MQ4">
        <v>47680.6498484898</v>
      </c>
      <c r="MR4">
        <v>66968.52873930339</v>
      </c>
      <c r="MS4">
        <v>350941.992855477</v>
      </c>
      <c r="MT4">
        <v>341625.046240205</v>
      </c>
      <c r="MU4" t="s">
        <v>1900</v>
      </c>
      <c r="MV4" t="s">
        <v>1900</v>
      </c>
      <c r="MW4" t="s">
        <v>1900</v>
      </c>
      <c r="MX4" t="s">
        <v>1900</v>
      </c>
      <c r="MY4" t="s">
        <v>1900</v>
      </c>
      <c r="MZ4" t="s">
        <v>1900</v>
      </c>
      <c r="NA4" t="s">
        <v>1900</v>
      </c>
      <c r="NB4" t="s">
        <v>1900</v>
      </c>
      <c r="NC4" t="s">
        <v>1900</v>
      </c>
      <c r="ND4" t="s">
        <v>1900</v>
      </c>
      <c r="NE4" t="s">
        <v>1900</v>
      </c>
      <c r="NF4" t="s">
        <v>1900</v>
      </c>
      <c r="NG4" t="s">
        <v>1900</v>
      </c>
      <c r="NH4" t="s">
        <v>1900</v>
      </c>
      <c r="NI4" t="s">
        <v>1900</v>
      </c>
      <c r="NJ4" t="s">
        <v>1900</v>
      </c>
      <c r="NK4" t="s">
        <v>1900</v>
      </c>
      <c r="NL4" t="s">
        <v>1900</v>
      </c>
      <c r="NM4" t="s">
        <v>1900</v>
      </c>
      <c r="NN4" t="s">
        <v>1900</v>
      </c>
      <c r="NO4" t="s">
        <v>1900</v>
      </c>
      <c r="NP4" t="s">
        <v>1900</v>
      </c>
      <c r="NQ4" t="s">
        <v>1900</v>
      </c>
      <c r="NR4" t="s">
        <v>1900</v>
      </c>
      <c r="NS4" t="s">
        <v>1900</v>
      </c>
      <c r="NT4">
        <v>697744.203255719</v>
      </c>
      <c r="NU4">
        <v>719125.8031848239</v>
      </c>
      <c r="NV4">
        <v>548178.199028677</v>
      </c>
      <c r="NW4">
        <v>68565.84443142411</v>
      </c>
      <c r="NX4">
        <v>77271.96448829171</v>
      </c>
      <c r="NY4" t="s">
        <v>1900</v>
      </c>
      <c r="NZ4" t="s">
        <v>1900</v>
      </c>
      <c r="OA4" t="s">
        <v>1900</v>
      </c>
      <c r="OB4" t="s">
        <v>1900</v>
      </c>
      <c r="OC4" t="s">
        <v>1900</v>
      </c>
      <c r="OD4" t="s">
        <v>1900</v>
      </c>
      <c r="OE4" t="s">
        <v>1900</v>
      </c>
      <c r="OF4" t="s">
        <v>1900</v>
      </c>
      <c r="OG4" t="s">
        <v>1900</v>
      </c>
      <c r="OH4" t="s">
        <v>1900</v>
      </c>
      <c r="OI4" t="s">
        <v>1900</v>
      </c>
      <c r="OJ4" t="s">
        <v>1900</v>
      </c>
      <c r="OK4" t="s">
        <v>1900</v>
      </c>
      <c r="OL4" t="s">
        <v>1900</v>
      </c>
      <c r="OM4" t="s">
        <v>1900</v>
      </c>
      <c r="ON4" t="s">
        <v>1900</v>
      </c>
      <c r="OO4" t="s">
        <v>1900</v>
      </c>
      <c r="OP4" t="s">
        <v>1900</v>
      </c>
      <c r="OQ4" t="s">
        <v>1900</v>
      </c>
      <c r="OR4" t="s">
        <v>1900</v>
      </c>
      <c r="OS4" t="s">
        <v>1900</v>
      </c>
      <c r="OT4" t="s">
        <v>1900</v>
      </c>
      <c r="OU4" t="s">
        <v>1900</v>
      </c>
      <c r="OV4" t="s">
        <v>1900</v>
      </c>
      <c r="OW4" t="s">
        <v>1900</v>
      </c>
      <c r="OX4" t="s">
        <v>1900</v>
      </c>
      <c r="OY4" t="s">
        <v>1900</v>
      </c>
      <c r="OZ4" t="s">
        <v>1900</v>
      </c>
      <c r="PA4" t="s">
        <v>1900</v>
      </c>
      <c r="PB4" t="s">
        <v>1900</v>
      </c>
      <c r="PC4" t="s">
        <v>1900</v>
      </c>
      <c r="PD4" t="s">
        <v>1900</v>
      </c>
      <c r="PE4" t="s">
        <v>1900</v>
      </c>
      <c r="PF4" t="s">
        <v>1900</v>
      </c>
      <c r="PG4" t="s">
        <v>1900</v>
      </c>
      <c r="PH4" t="s">
        <v>1900</v>
      </c>
      <c r="PI4" t="s">
        <v>1900</v>
      </c>
      <c r="PJ4" t="s">
        <v>1900</v>
      </c>
      <c r="PK4" t="s">
        <v>1900</v>
      </c>
      <c r="PL4" t="s">
        <v>1900</v>
      </c>
      <c r="PM4" t="s">
        <v>1900</v>
      </c>
      <c r="PN4" t="s">
        <v>1900</v>
      </c>
      <c r="PO4" t="s">
        <v>1900</v>
      </c>
      <c r="PP4" t="s">
        <v>1900</v>
      </c>
      <c r="PQ4" t="s">
        <v>1900</v>
      </c>
      <c r="PR4" t="s">
        <v>1900</v>
      </c>
      <c r="PS4" t="s">
        <v>1900</v>
      </c>
      <c r="PT4" t="s">
        <v>1900</v>
      </c>
      <c r="PU4" t="s">
        <v>1900</v>
      </c>
      <c r="PV4" t="s">
        <v>1900</v>
      </c>
      <c r="PW4" t="s">
        <v>1900</v>
      </c>
      <c r="PX4" t="s">
        <v>1900</v>
      </c>
      <c r="PY4" t="s">
        <v>1900</v>
      </c>
      <c r="PZ4" t="s">
        <v>1900</v>
      </c>
      <c r="QA4" t="s">
        <v>1900</v>
      </c>
      <c r="QB4" t="s">
        <v>1900</v>
      </c>
      <c r="QC4" t="s">
        <v>1900</v>
      </c>
      <c r="QD4" t="s">
        <v>1900</v>
      </c>
      <c r="QE4" t="s">
        <v>1900</v>
      </c>
      <c r="QF4" t="s">
        <v>1900</v>
      </c>
      <c r="QG4" t="s">
        <v>1900</v>
      </c>
      <c r="QH4" t="s">
        <v>1900</v>
      </c>
      <c r="QI4" t="s">
        <v>1900</v>
      </c>
      <c r="QJ4" t="s">
        <v>1900</v>
      </c>
      <c r="QK4" t="s">
        <v>1900</v>
      </c>
      <c r="QL4" t="s">
        <v>1900</v>
      </c>
      <c r="QM4" t="s">
        <v>1900</v>
      </c>
      <c r="QN4" t="s">
        <v>1900</v>
      </c>
      <c r="QO4" t="s">
        <v>1900</v>
      </c>
      <c r="QP4" t="s">
        <v>1900</v>
      </c>
      <c r="QQ4" t="s">
        <v>1900</v>
      </c>
      <c r="QR4" t="s">
        <v>1900</v>
      </c>
      <c r="QS4" t="s">
        <v>1900</v>
      </c>
      <c r="QT4" t="s">
        <v>1900</v>
      </c>
      <c r="QU4" t="s">
        <v>1900</v>
      </c>
      <c r="QV4" t="s">
        <v>1900</v>
      </c>
      <c r="QW4" t="s">
        <v>1900</v>
      </c>
      <c r="QX4" t="s">
        <v>1900</v>
      </c>
      <c r="QY4" t="s">
        <v>1900</v>
      </c>
      <c r="QZ4" t="s">
        <v>1900</v>
      </c>
      <c r="RA4" t="s">
        <v>1900</v>
      </c>
      <c r="RB4" t="s">
        <v>1900</v>
      </c>
      <c r="RC4" t="s">
        <v>1900</v>
      </c>
      <c r="RD4" t="s">
        <v>1900</v>
      </c>
      <c r="RE4" t="s">
        <v>1900</v>
      </c>
      <c r="RF4" t="s">
        <v>1900</v>
      </c>
      <c r="RG4" t="s">
        <v>1900</v>
      </c>
      <c r="RH4" t="s">
        <v>1900</v>
      </c>
      <c r="RI4" t="s">
        <v>1900</v>
      </c>
      <c r="RJ4" t="s">
        <v>1900</v>
      </c>
      <c r="RK4" t="s">
        <v>1900</v>
      </c>
      <c r="RL4" t="s">
        <v>1900</v>
      </c>
      <c r="RM4" t="s">
        <v>1900</v>
      </c>
      <c r="RN4" t="s">
        <v>1900</v>
      </c>
      <c r="RO4" t="s">
        <v>1900</v>
      </c>
      <c r="RP4" t="s">
        <v>1900</v>
      </c>
      <c r="RQ4" t="s">
        <v>1900</v>
      </c>
      <c r="RR4" t="s">
        <v>1900</v>
      </c>
      <c r="RS4" t="s">
        <v>1900</v>
      </c>
      <c r="RT4" t="s">
        <v>1900</v>
      </c>
      <c r="RU4" t="s">
        <v>1900</v>
      </c>
      <c r="RV4" t="s">
        <v>1900</v>
      </c>
      <c r="RW4" t="s">
        <v>1900</v>
      </c>
      <c r="RX4" t="s">
        <v>1900</v>
      </c>
      <c r="RY4" t="s">
        <v>1900</v>
      </c>
      <c r="RZ4" t="s">
        <v>1900</v>
      </c>
      <c r="SA4" t="s">
        <v>1900</v>
      </c>
      <c r="SB4" t="s">
        <v>1900</v>
      </c>
      <c r="SC4" t="s">
        <v>1900</v>
      </c>
      <c r="SD4" t="s">
        <v>1900</v>
      </c>
      <c r="SE4" t="s">
        <v>1900</v>
      </c>
      <c r="SF4" t="s">
        <v>1900</v>
      </c>
      <c r="SG4" t="s">
        <v>1900</v>
      </c>
      <c r="SH4" t="s">
        <v>1900</v>
      </c>
      <c r="SI4" t="s">
        <v>1900</v>
      </c>
      <c r="SJ4">
        <v>1338.28961059809</v>
      </c>
      <c r="SK4">
        <v>1352.45430696487</v>
      </c>
      <c r="SL4">
        <v>3790.63058530092</v>
      </c>
      <c r="SM4">
        <v>4025.19353671074</v>
      </c>
      <c r="SN4">
        <v>3611.77045198679</v>
      </c>
      <c r="SO4" t="s">
        <v>1900</v>
      </c>
      <c r="SP4" t="s">
        <v>1900</v>
      </c>
      <c r="SQ4" t="s">
        <v>1900</v>
      </c>
      <c r="SR4" t="s">
        <v>1900</v>
      </c>
      <c r="SS4" t="s">
        <v>1900</v>
      </c>
      <c r="ST4" t="s">
        <v>1900</v>
      </c>
      <c r="SU4" t="s">
        <v>1900</v>
      </c>
      <c r="SV4" t="s">
        <v>1900</v>
      </c>
      <c r="SW4" t="s">
        <v>1900</v>
      </c>
      <c r="SX4" t="s">
        <v>1900</v>
      </c>
      <c r="SY4" t="s">
        <v>1900</v>
      </c>
      <c r="SZ4" t="s">
        <v>1900</v>
      </c>
      <c r="TA4" t="s">
        <v>1900</v>
      </c>
      <c r="TB4" t="s">
        <v>1900</v>
      </c>
      <c r="TC4" t="s">
        <v>1900</v>
      </c>
      <c r="TD4" t="s">
        <v>1900</v>
      </c>
      <c r="TE4" t="s">
        <v>1900</v>
      </c>
      <c r="TF4" t="s">
        <v>1900</v>
      </c>
      <c r="TG4" t="s">
        <v>1900</v>
      </c>
      <c r="TH4" t="s">
        <v>1900</v>
      </c>
      <c r="TI4" t="s">
        <v>1900</v>
      </c>
      <c r="TJ4" t="s">
        <v>1900</v>
      </c>
      <c r="TK4" t="s">
        <v>1900</v>
      </c>
      <c r="TL4" t="s">
        <v>1900</v>
      </c>
      <c r="TM4" t="s">
        <v>1900</v>
      </c>
      <c r="TN4" t="s">
        <v>1900</v>
      </c>
      <c r="TO4" t="s">
        <v>1900</v>
      </c>
      <c r="TP4" t="s">
        <v>1900</v>
      </c>
      <c r="TQ4" t="s">
        <v>1900</v>
      </c>
      <c r="TR4" t="s">
        <v>1900</v>
      </c>
      <c r="TS4">
        <v>1153745.79188362</v>
      </c>
      <c r="TT4">
        <v>958559.5427397439</v>
      </c>
      <c r="TU4">
        <v>786822.442992032</v>
      </c>
      <c r="TV4">
        <v>672667.2356375461</v>
      </c>
      <c r="TW4">
        <v>539714.520402992</v>
      </c>
      <c r="TX4" t="s">
        <v>1900</v>
      </c>
      <c r="TY4" t="s">
        <v>1900</v>
      </c>
      <c r="TZ4" t="s">
        <v>1900</v>
      </c>
      <c r="UA4" t="s">
        <v>1900</v>
      </c>
      <c r="UB4" t="s">
        <v>1900</v>
      </c>
      <c r="UC4">
        <v>131344.495141716</v>
      </c>
      <c r="UD4">
        <v>175104.378734694</v>
      </c>
      <c r="UE4">
        <v>54334.1778311133</v>
      </c>
      <c r="UF4">
        <v>0</v>
      </c>
      <c r="UG4">
        <v>322.628947806358</v>
      </c>
      <c r="UH4" t="s">
        <v>1900</v>
      </c>
      <c r="UI4" t="s">
        <v>1900</v>
      </c>
      <c r="UJ4" t="s">
        <v>1900</v>
      </c>
      <c r="UK4" t="s">
        <v>1900</v>
      </c>
      <c r="UL4" t="s">
        <v>1900</v>
      </c>
      <c r="UM4" t="s">
        <v>1900</v>
      </c>
      <c r="UN4" t="s">
        <v>1900</v>
      </c>
      <c r="UO4" t="s">
        <v>1900</v>
      </c>
      <c r="UP4" t="s">
        <v>1900</v>
      </c>
      <c r="UQ4" t="s">
        <v>1900</v>
      </c>
      <c r="UR4" t="s">
        <v>1900</v>
      </c>
      <c r="US4" t="s">
        <v>1900</v>
      </c>
      <c r="UT4" t="s">
        <v>1900</v>
      </c>
      <c r="UU4" t="s">
        <v>1900</v>
      </c>
      <c r="UV4" t="s">
        <v>1900</v>
      </c>
      <c r="UW4" t="s">
        <v>1900</v>
      </c>
      <c r="UX4" t="s">
        <v>1900</v>
      </c>
      <c r="UY4" t="s">
        <v>1900</v>
      </c>
      <c r="UZ4" t="s">
        <v>1900</v>
      </c>
      <c r="VA4" t="s">
        <v>1900</v>
      </c>
      <c r="VB4" t="s">
        <v>1900</v>
      </c>
      <c r="VC4" t="s">
        <v>1900</v>
      </c>
      <c r="VD4" t="s">
        <v>1900</v>
      </c>
      <c r="VE4" t="s">
        <v>1900</v>
      </c>
      <c r="VF4" t="s">
        <v>1900</v>
      </c>
      <c r="VG4" t="s">
        <v>1900</v>
      </c>
      <c r="VH4" t="s">
        <v>1900</v>
      </c>
      <c r="VI4" t="s">
        <v>1900</v>
      </c>
      <c r="VJ4" t="s">
        <v>1900</v>
      </c>
      <c r="VK4" t="s">
        <v>1900</v>
      </c>
      <c r="VL4" t="s">
        <v>1900</v>
      </c>
      <c r="VM4" t="s">
        <v>1900</v>
      </c>
      <c r="VN4" t="s">
        <v>1900</v>
      </c>
      <c r="VO4" t="s">
        <v>1900</v>
      </c>
      <c r="VP4" t="s">
        <v>1900</v>
      </c>
      <c r="VQ4" t="s">
        <v>1900</v>
      </c>
      <c r="VR4" t="s">
        <v>1900</v>
      </c>
      <c r="VS4" t="s">
        <v>1900</v>
      </c>
      <c r="VT4" t="s">
        <v>1900</v>
      </c>
      <c r="VU4" t="s">
        <v>1900</v>
      </c>
      <c r="VV4" t="s">
        <v>1900</v>
      </c>
      <c r="VW4" t="s">
        <v>1900</v>
      </c>
      <c r="VX4" t="s">
        <v>1900</v>
      </c>
      <c r="VY4" t="s">
        <v>1900</v>
      </c>
      <c r="VZ4" t="s">
        <v>1900</v>
      </c>
      <c r="WA4">
        <v>458782.213638117</v>
      </c>
      <c r="WB4">
        <v>217341.685640278</v>
      </c>
      <c r="WC4">
        <v>256210.646899205</v>
      </c>
      <c r="WD4">
        <v>398465.007002449</v>
      </c>
      <c r="WE4">
        <v>237968.569352222</v>
      </c>
      <c r="WF4" t="s">
        <v>1900</v>
      </c>
      <c r="WG4" t="s">
        <v>1900</v>
      </c>
      <c r="WH4" t="s">
        <v>1900</v>
      </c>
      <c r="WI4" t="s">
        <v>1900</v>
      </c>
      <c r="WJ4" t="s">
        <v>1900</v>
      </c>
      <c r="WK4" t="s">
        <v>1900</v>
      </c>
      <c r="WL4" t="s">
        <v>1900</v>
      </c>
      <c r="WM4" t="s">
        <v>1900</v>
      </c>
      <c r="WN4" t="s">
        <v>1900</v>
      </c>
      <c r="WO4" t="s">
        <v>1900</v>
      </c>
      <c r="WP4" t="s">
        <v>1900</v>
      </c>
      <c r="WQ4" t="s">
        <v>1900</v>
      </c>
      <c r="WR4" t="s">
        <v>1900</v>
      </c>
      <c r="WS4" t="s">
        <v>1900</v>
      </c>
      <c r="WT4" t="s">
        <v>1900</v>
      </c>
      <c r="WU4" t="s">
        <v>1900</v>
      </c>
      <c r="WV4" t="s">
        <v>1900</v>
      </c>
      <c r="WW4" t="s">
        <v>1900</v>
      </c>
      <c r="WX4" t="s">
        <v>1900</v>
      </c>
      <c r="WY4" t="s">
        <v>1900</v>
      </c>
      <c r="WZ4" t="s">
        <v>1900</v>
      </c>
      <c r="XA4" t="s">
        <v>1900</v>
      </c>
      <c r="XB4" t="s">
        <v>1900</v>
      </c>
      <c r="XC4" t="s">
        <v>1900</v>
      </c>
      <c r="XD4" t="s">
        <v>1900</v>
      </c>
      <c r="XE4" t="s">
        <v>1900</v>
      </c>
      <c r="XF4" t="s">
        <v>1900</v>
      </c>
      <c r="XG4" t="s">
        <v>1900</v>
      </c>
      <c r="XH4" t="s">
        <v>1900</v>
      </c>
      <c r="XI4" t="s">
        <v>1900</v>
      </c>
      <c r="XJ4">
        <v>0</v>
      </c>
      <c r="XK4">
        <v>0</v>
      </c>
      <c r="XL4">
        <v>0</v>
      </c>
      <c r="XM4">
        <v>0</v>
      </c>
      <c r="XN4">
        <v>0</v>
      </c>
      <c r="XO4" t="s">
        <v>1900</v>
      </c>
      <c r="XP4" t="s">
        <v>1900</v>
      </c>
      <c r="XQ4" t="s">
        <v>1900</v>
      </c>
      <c r="XR4" t="s">
        <v>1900</v>
      </c>
      <c r="XS4" t="s">
        <v>1900</v>
      </c>
      <c r="XT4" t="s">
        <v>1900</v>
      </c>
      <c r="XU4" t="s">
        <v>1900</v>
      </c>
      <c r="XV4" t="s">
        <v>1900</v>
      </c>
      <c r="XW4" t="s">
        <v>1900</v>
      </c>
      <c r="XX4" t="s">
        <v>1900</v>
      </c>
      <c r="XY4">
        <v>0</v>
      </c>
      <c r="XZ4">
        <v>0</v>
      </c>
      <c r="YA4">
        <v>0</v>
      </c>
      <c r="YB4">
        <v>0</v>
      </c>
      <c r="YC4">
        <v>0</v>
      </c>
      <c r="YD4" t="s">
        <v>1900</v>
      </c>
      <c r="YE4" t="s">
        <v>1900</v>
      </c>
      <c r="YF4" t="s">
        <v>1900</v>
      </c>
      <c r="YG4" t="s">
        <v>1900</v>
      </c>
      <c r="YH4" t="s">
        <v>1900</v>
      </c>
      <c r="YI4" t="s">
        <v>1900</v>
      </c>
      <c r="YJ4" t="s">
        <v>1900</v>
      </c>
      <c r="YK4" t="s">
        <v>1900</v>
      </c>
      <c r="YL4" t="s">
        <v>1900</v>
      </c>
      <c r="YM4" t="s">
        <v>1900</v>
      </c>
      <c r="YN4" t="s">
        <v>1900</v>
      </c>
      <c r="YO4" t="s">
        <v>1900</v>
      </c>
      <c r="YP4" t="s">
        <v>1900</v>
      </c>
      <c r="YQ4" t="s">
        <v>1900</v>
      </c>
      <c r="YR4" t="s">
        <v>1900</v>
      </c>
      <c r="YS4" t="s">
        <v>1900</v>
      </c>
      <c r="YT4" t="s">
        <v>1900</v>
      </c>
      <c r="YU4" t="s">
        <v>1900</v>
      </c>
      <c r="YV4" t="s">
        <v>1900</v>
      </c>
      <c r="YW4" t="s">
        <v>1900</v>
      </c>
      <c r="YX4" t="s">
        <v>1900</v>
      </c>
      <c r="YY4" t="s">
        <v>1900</v>
      </c>
      <c r="YZ4" t="s">
        <v>1900</v>
      </c>
      <c r="ZA4" t="s">
        <v>1900</v>
      </c>
      <c r="ZB4" t="s">
        <v>1900</v>
      </c>
      <c r="ZC4" t="s">
        <v>1900</v>
      </c>
      <c r="ZD4" t="s">
        <v>1900</v>
      </c>
      <c r="ZE4" t="s">
        <v>1900</v>
      </c>
      <c r="ZF4" t="s">
        <v>1900</v>
      </c>
      <c r="ZG4" t="s">
        <v>1900</v>
      </c>
      <c r="ZH4" t="s">
        <v>1900</v>
      </c>
      <c r="ZI4" t="s">
        <v>1900</v>
      </c>
      <c r="ZJ4" t="s">
        <v>1900</v>
      </c>
      <c r="ZK4" t="s">
        <v>1900</v>
      </c>
      <c r="ZL4" t="s">
        <v>1900</v>
      </c>
      <c r="ZM4" t="s">
        <v>1900</v>
      </c>
      <c r="ZN4" t="s">
        <v>1900</v>
      </c>
      <c r="ZO4" t="s">
        <v>1900</v>
      </c>
      <c r="ZP4" t="s">
        <v>1900</v>
      </c>
      <c r="ZQ4" t="s">
        <v>1900</v>
      </c>
      <c r="ZR4" t="s">
        <v>1900</v>
      </c>
      <c r="ZS4" t="s">
        <v>1900</v>
      </c>
      <c r="ZT4" t="s">
        <v>1900</v>
      </c>
      <c r="ZU4" t="s">
        <v>1900</v>
      </c>
      <c r="ZV4" t="s">
        <v>1900</v>
      </c>
      <c r="ZW4" t="s">
        <v>1900</v>
      </c>
      <c r="ZX4" t="s">
        <v>1900</v>
      </c>
      <c r="ZY4" t="s">
        <v>1900</v>
      </c>
      <c r="ZZ4" t="s">
        <v>1900</v>
      </c>
      <c r="AAA4" t="s">
        <v>1900</v>
      </c>
      <c r="AAB4" t="s">
        <v>1900</v>
      </c>
      <c r="AAC4" t="s">
        <v>1900</v>
      </c>
      <c r="AAD4" t="s">
        <v>1900</v>
      </c>
      <c r="AAE4" t="s">
        <v>1900</v>
      </c>
      <c r="AAF4" t="s">
        <v>1900</v>
      </c>
      <c r="AAG4" t="s">
        <v>1900</v>
      </c>
      <c r="AAH4" t="s">
        <v>1900</v>
      </c>
      <c r="AAI4" t="s">
        <v>1900</v>
      </c>
      <c r="AAJ4" t="s">
        <v>1900</v>
      </c>
      <c r="AAK4" t="s">
        <v>1900</v>
      </c>
      <c r="AAL4" t="s">
        <v>1900</v>
      </c>
      <c r="AAM4" t="s">
        <v>1900</v>
      </c>
      <c r="AAN4" t="s">
        <v>1900</v>
      </c>
      <c r="AAO4" t="s">
        <v>1900</v>
      </c>
      <c r="AAP4" t="s">
        <v>1900</v>
      </c>
      <c r="AAQ4" t="s">
        <v>1900</v>
      </c>
      <c r="AAR4" t="s">
        <v>1900</v>
      </c>
      <c r="AAS4" t="s">
        <v>1900</v>
      </c>
      <c r="AAT4" t="s">
        <v>1900</v>
      </c>
      <c r="AAU4" t="s">
        <v>1900</v>
      </c>
      <c r="AAV4" t="s">
        <v>1900</v>
      </c>
      <c r="AAW4" t="s">
        <v>1900</v>
      </c>
      <c r="AAX4" t="s">
        <v>1900</v>
      </c>
      <c r="AAY4" t="s">
        <v>1900</v>
      </c>
      <c r="AAZ4" t="s">
        <v>1900</v>
      </c>
      <c r="ABA4" t="s">
        <v>1900</v>
      </c>
      <c r="ABB4" t="s">
        <v>1900</v>
      </c>
      <c r="ABC4" t="s">
        <v>1900</v>
      </c>
      <c r="ABD4" t="s">
        <v>1900</v>
      </c>
      <c r="ABE4" t="s">
        <v>1900</v>
      </c>
      <c r="ABF4" t="s">
        <v>1900</v>
      </c>
      <c r="ABG4" t="s">
        <v>1900</v>
      </c>
      <c r="ABH4" t="s">
        <v>1900</v>
      </c>
      <c r="ABI4" t="s">
        <v>1900</v>
      </c>
      <c r="ABJ4" t="s">
        <v>1900</v>
      </c>
      <c r="ABK4" t="s">
        <v>1900</v>
      </c>
      <c r="ABL4" t="s">
        <v>1900</v>
      </c>
      <c r="ABM4" t="s">
        <v>1900</v>
      </c>
      <c r="ABN4" t="s">
        <v>1900</v>
      </c>
      <c r="ABO4" t="s">
        <v>1900</v>
      </c>
      <c r="ABP4" t="s">
        <v>1900</v>
      </c>
      <c r="ABQ4" t="s">
        <v>1900</v>
      </c>
      <c r="ABR4" t="s">
        <v>1900</v>
      </c>
      <c r="ABS4" t="s">
        <v>1900</v>
      </c>
      <c r="ABT4" t="s">
        <v>1900</v>
      </c>
      <c r="ABU4" t="s">
        <v>1900</v>
      </c>
      <c r="ABV4" t="s">
        <v>1900</v>
      </c>
      <c r="ABW4" t="s">
        <v>1900</v>
      </c>
      <c r="ABX4" t="s">
        <v>1900</v>
      </c>
      <c r="ABY4" t="s">
        <v>1900</v>
      </c>
      <c r="ABZ4" t="s">
        <v>1900</v>
      </c>
      <c r="ACA4" t="s">
        <v>1900</v>
      </c>
      <c r="ACB4" t="s">
        <v>1900</v>
      </c>
      <c r="ACC4" t="s">
        <v>1900</v>
      </c>
      <c r="ACD4" t="s">
        <v>1900</v>
      </c>
      <c r="ACE4">
        <v>24.526</v>
      </c>
      <c r="ACF4">
        <v>20.632</v>
      </c>
      <c r="ACG4">
        <v>16.636</v>
      </c>
      <c r="ACH4">
        <v>109.622</v>
      </c>
      <c r="ACI4">
        <v>49.072</v>
      </c>
      <c r="ACJ4">
        <v>21.106</v>
      </c>
      <c r="ACK4">
        <v>14.802</v>
      </c>
      <c r="ACL4">
        <v>10.456</v>
      </c>
      <c r="ACM4">
        <v>53.848</v>
      </c>
      <c r="ACN4">
        <v>19.134</v>
      </c>
      <c r="ACO4">
        <v>9.086</v>
      </c>
      <c r="ACP4">
        <v>7.652</v>
      </c>
      <c r="ACQ4">
        <v>5.931</v>
      </c>
      <c r="ACR4">
        <v>21.499</v>
      </c>
      <c r="ACS4">
        <v>10.153</v>
      </c>
      <c r="ACT4">
        <v>21.806</v>
      </c>
      <c r="ACU4">
        <v>18.254</v>
      </c>
      <c r="ACV4">
        <v>12.5</v>
      </c>
      <c r="ACW4">
        <v>81.97199999999999</v>
      </c>
      <c r="ACX4">
        <v>36.358</v>
      </c>
      <c r="ACY4">
        <v>19.043</v>
      </c>
      <c r="ACZ4">
        <v>13.309</v>
      </c>
      <c r="ADA4">
        <v>8.02</v>
      </c>
      <c r="ADB4">
        <v>40.545</v>
      </c>
      <c r="ADC4">
        <v>14.424</v>
      </c>
      <c r="ADD4">
        <v>8.077999999999999</v>
      </c>
      <c r="ADE4">
        <v>6.77</v>
      </c>
      <c r="ADF4">
        <v>4.456</v>
      </c>
      <c r="ADG4">
        <v>16.076</v>
      </c>
      <c r="ADH4">
        <v>7.522</v>
      </c>
      <c r="ADI4">
        <v>8.907</v>
      </c>
      <c r="ADJ4">
        <v>7.272</v>
      </c>
      <c r="ADK4">
        <v>5.762</v>
      </c>
      <c r="ADL4">
        <v>12.05</v>
      </c>
      <c r="ADM4">
        <v>5.147</v>
      </c>
      <c r="ADN4">
        <v>96.505</v>
      </c>
      <c r="ADO4">
        <v>99.97799999999999</v>
      </c>
      <c r="ADP4">
        <v>98.89</v>
      </c>
      <c r="ADQ4">
        <v>98.575</v>
      </c>
      <c r="ADR4">
        <v>100</v>
      </c>
      <c r="ADS4">
        <v>10.106947544</v>
      </c>
      <c r="ADT4">
        <v>8.30813208</v>
      </c>
      <c r="ADU4">
        <v>6.149614041</v>
      </c>
      <c r="ADV4">
        <v>12.302660856</v>
      </c>
      <c r="ADW4">
        <v>5.417288172</v>
      </c>
      <c r="ADX4">
        <v>13.075</v>
      </c>
      <c r="ADY4">
        <v>11.489</v>
      </c>
      <c r="ADZ4">
        <v>7.661</v>
      </c>
      <c r="AEA4">
        <v>13.05</v>
      </c>
      <c r="AEB4">
        <v>6.813</v>
      </c>
      <c r="AEC4">
        <v>10.107</v>
      </c>
      <c r="AED4">
        <v>8.308</v>
      </c>
      <c r="AEE4">
        <v>6.15</v>
      </c>
      <c r="AEF4">
        <v>12.303</v>
      </c>
      <c r="AEG4">
        <v>5.417</v>
      </c>
      <c r="AEH4">
        <v>10.887</v>
      </c>
      <c r="AEI4">
        <v>9.615</v>
      </c>
      <c r="AEJ4">
        <v>5.841</v>
      </c>
      <c r="AEK4">
        <v>9.757999999999999</v>
      </c>
      <c r="AEL4">
        <v>5.209</v>
      </c>
      <c r="AEM4">
        <v>11.243302199</v>
      </c>
      <c r="AEN4">
        <v>9.06092576</v>
      </c>
      <c r="AEO4">
        <v>6.552571924</v>
      </c>
      <c r="AEP4">
        <v>14.028545194</v>
      </c>
      <c r="AEQ4">
        <v>5.727566981</v>
      </c>
      <c r="AER4">
        <v>1.116981714</v>
      </c>
      <c r="AES4">
        <v>1.090631431</v>
      </c>
      <c r="AET4">
        <v>1.066310051</v>
      </c>
      <c r="AEU4">
        <v>1.14260338</v>
      </c>
      <c r="AEV4" t="s">
        <v>1900</v>
      </c>
      <c r="AEW4" t="s">
        <v>1900</v>
      </c>
      <c r="AEX4" t="s">
        <v>1900</v>
      </c>
      <c r="AEY4" t="s">
        <v>1900</v>
      </c>
      <c r="AEZ4" t="s">
        <v>1900</v>
      </c>
      <c r="AFA4" t="s">
        <v>1900</v>
      </c>
      <c r="AFB4" t="s">
        <v>1900</v>
      </c>
      <c r="AFC4" t="s">
        <v>1900</v>
      </c>
      <c r="AFD4" t="s">
        <v>1900</v>
      </c>
      <c r="AFE4" t="s">
        <v>1900</v>
      </c>
      <c r="AFF4" t="s">
        <v>1900</v>
      </c>
      <c r="AFG4">
        <v>2.088</v>
      </c>
      <c r="AFH4">
        <v>1.782</v>
      </c>
      <c r="AFI4">
        <v>1.7</v>
      </c>
      <c r="AFJ4">
        <v>4.377</v>
      </c>
      <c r="AFK4">
        <v>3.532</v>
      </c>
      <c r="AFL4">
        <v>8.420999999999999</v>
      </c>
      <c r="AFM4">
        <v>8.019</v>
      </c>
      <c r="AFN4">
        <v>15.88</v>
      </c>
      <c r="AFO4">
        <v>48.647</v>
      </c>
      <c r="AFP4">
        <v>20.046</v>
      </c>
      <c r="AFQ4" t="s">
        <v>1901</v>
      </c>
      <c r="AFR4">
        <v>51.696</v>
      </c>
      <c r="AFS4">
        <v>41.182</v>
      </c>
      <c r="AFT4" t="s">
        <v>1901</v>
      </c>
      <c r="AFU4" t="s">
        <v>1901</v>
      </c>
      <c r="AFV4">
        <v>101.438</v>
      </c>
      <c r="AFW4">
        <v>61.479</v>
      </c>
      <c r="AFX4">
        <v>67.57599999999999</v>
      </c>
      <c r="AFY4">
        <v>75.937</v>
      </c>
      <c r="AFZ4">
        <v>40.855</v>
      </c>
      <c r="AGA4" t="s">
        <v>1900</v>
      </c>
      <c r="AGB4">
        <v>0</v>
      </c>
      <c r="AGC4">
        <v>0</v>
      </c>
      <c r="AGD4">
        <v>0</v>
      </c>
      <c r="AGE4">
        <v>0</v>
      </c>
      <c r="AGF4" t="s">
        <v>1900</v>
      </c>
      <c r="AGG4" t="s">
        <v>1900</v>
      </c>
      <c r="AGH4" t="s">
        <v>1900</v>
      </c>
      <c r="AGI4" t="s">
        <v>1900</v>
      </c>
      <c r="AGJ4" t="s">
        <v>1900</v>
      </c>
      <c r="AGK4" t="s">
        <v>1900</v>
      </c>
      <c r="AGL4" t="s">
        <v>1900</v>
      </c>
      <c r="AGM4" t="s">
        <v>1900</v>
      </c>
      <c r="AGN4" t="s">
        <v>1900</v>
      </c>
      <c r="AGO4" t="s">
        <v>1900</v>
      </c>
      <c r="AGP4" t="s">
        <v>1900</v>
      </c>
      <c r="AGQ4" t="s">
        <v>1900</v>
      </c>
      <c r="AGR4" t="s">
        <v>1900</v>
      </c>
      <c r="AGS4" t="s">
        <v>1900</v>
      </c>
      <c r="AGT4" t="s">
        <v>1900</v>
      </c>
      <c r="AGU4">
        <v>0</v>
      </c>
      <c r="AGV4">
        <v>0</v>
      </c>
      <c r="AGW4">
        <v>0</v>
      </c>
      <c r="AGX4">
        <v>0</v>
      </c>
      <c r="AGY4">
        <v>0</v>
      </c>
      <c r="AGZ4">
        <v>0.773</v>
      </c>
      <c r="AHA4">
        <v>0.61</v>
      </c>
      <c r="AHB4">
        <v>0.768</v>
      </c>
      <c r="AHC4">
        <v>1.516</v>
      </c>
      <c r="AHD4">
        <v>1.941</v>
      </c>
      <c r="AHE4">
        <v>0.773</v>
      </c>
      <c r="AHF4">
        <v>0.5600000000000001</v>
      </c>
      <c r="AHG4">
        <v>0.705</v>
      </c>
      <c r="AHH4">
        <v>1.516</v>
      </c>
      <c r="AHI4">
        <v>1.941</v>
      </c>
      <c r="AHJ4">
        <v>3.138</v>
      </c>
      <c r="AHK4">
        <v>1.688</v>
      </c>
      <c r="AHL4">
        <v>1.433</v>
      </c>
      <c r="AHM4">
        <v>0.927</v>
      </c>
      <c r="AHN4">
        <v>0.588</v>
      </c>
      <c r="AHO4">
        <v>37.047</v>
      </c>
      <c r="AHP4">
        <v>37.086</v>
      </c>
      <c r="AHQ4">
        <v>35.649</v>
      </c>
      <c r="AHR4">
        <v>19.612</v>
      </c>
      <c r="AHS4">
        <v>20.69</v>
      </c>
      <c r="AHT4">
        <v>58.848</v>
      </c>
      <c r="AHU4">
        <v>58.946</v>
      </c>
      <c r="AHV4">
        <v>55.398</v>
      </c>
      <c r="AHW4">
        <v>24.397</v>
      </c>
      <c r="AHX4">
        <v>26.087</v>
      </c>
      <c r="AHY4">
        <v>62.593</v>
      </c>
      <c r="AHZ4">
        <v>108.507</v>
      </c>
      <c r="AIA4">
        <v>89.169</v>
      </c>
      <c r="AIB4">
        <v>107.848</v>
      </c>
      <c r="AIC4">
        <v>170.224</v>
      </c>
      <c r="AID4">
        <v>0.115995189</v>
      </c>
      <c r="AIE4">
        <v>0.141092363</v>
      </c>
      <c r="AIF4">
        <v>0.481764421</v>
      </c>
      <c r="AIG4">
        <v>0.598392983</v>
      </c>
      <c r="AIH4">
        <v>0.669200163</v>
      </c>
      <c r="AII4">
        <v>10.779318689</v>
      </c>
      <c r="AIJ4">
        <v>4.974198026</v>
      </c>
      <c r="AIK4">
        <v>8.511263162000001</v>
      </c>
      <c r="AIL4">
        <v>52.171709021</v>
      </c>
      <c r="AIM4">
        <v>63.297360609</v>
      </c>
      <c r="AIN4">
        <v>39.76458392</v>
      </c>
      <c r="AIO4">
        <v>22.673780391</v>
      </c>
      <c r="AIP4">
        <v>32.562701939</v>
      </c>
      <c r="AIQ4">
        <v>59.236571352</v>
      </c>
      <c r="AIR4">
        <v>44.091563291</v>
      </c>
      <c r="AIS4">
        <v>0</v>
      </c>
      <c r="AIT4" t="s">
        <v>1901</v>
      </c>
      <c r="AIU4">
        <v>218.743622721</v>
      </c>
      <c r="AIV4">
        <v>0</v>
      </c>
      <c r="AIW4" t="s">
        <v>1900</v>
      </c>
      <c r="AIX4">
        <v>5.24143726356292</v>
      </c>
      <c r="AIY4">
        <v>3.18891872114754</v>
      </c>
      <c r="AIZ4">
        <v>2.45603091002583</v>
      </c>
      <c r="AJA4">
        <v>9.03861595229387</v>
      </c>
      <c r="AJB4">
        <v>2.49072934500575</v>
      </c>
      <c r="AJC4">
        <v>58.8479917950565</v>
      </c>
      <c r="AJD4">
        <v>43.8518109751539</v>
      </c>
      <c r="AJE4">
        <v>42.6220643036449</v>
      </c>
      <c r="AJF4">
        <v>75.01073998880629</v>
      </c>
      <c r="AJG4">
        <v>48.3914363998127</v>
      </c>
      <c r="AJH4">
        <v>71.941</v>
      </c>
      <c r="AJI4">
        <v>75.749</v>
      </c>
      <c r="AJJ4">
        <v>85.76600000000001</v>
      </c>
      <c r="AJK4">
        <v>59.503</v>
      </c>
      <c r="AJL4">
        <v>75.337</v>
      </c>
      <c r="AJM4">
        <v>42.3359229995844</v>
      </c>
      <c r="AJN4">
        <v>33.2174077525644</v>
      </c>
      <c r="AJO4">
        <v>36.555053359924</v>
      </c>
      <c r="AJP4">
        <v>44.6334687451529</v>
      </c>
      <c r="AJQ4">
        <v>36.4566477528602</v>
      </c>
      <c r="AJR4">
        <v>21.3712720621475</v>
      </c>
      <c r="AJS4">
        <v>15.4559966414614</v>
      </c>
      <c r="AJT4">
        <v>14.762984838897</v>
      </c>
      <c r="AJU4">
        <v>8.24528153652907</v>
      </c>
      <c r="AJV4">
        <v>5.07569378071129</v>
      </c>
      <c r="AJW4">
        <v>16.5817831102647</v>
      </c>
      <c r="AJX4">
        <v>8.33709061658382</v>
      </c>
      <c r="AJY4">
        <v>9.03556423984468</v>
      </c>
      <c r="AJZ4">
        <v>15.8224625384903</v>
      </c>
      <c r="AKA4">
        <v>5.49170498520434</v>
      </c>
      <c r="AKB4">
        <v>57.6872895941809</v>
      </c>
      <c r="AKC4">
        <v>41.6765014739017</v>
      </c>
      <c r="AKD4">
        <v>41.4117074697596</v>
      </c>
      <c r="AKE4">
        <v>42.0417020857716</v>
      </c>
      <c r="AKF4">
        <v>24.532478423245</v>
      </c>
      <c r="AKG4">
        <v>0</v>
      </c>
      <c r="AKH4" t="s">
        <v>1901</v>
      </c>
      <c r="AKI4">
        <v>218.743622721</v>
      </c>
      <c r="AKJ4">
        <v>0</v>
      </c>
      <c r="AKK4" t="s">
        <v>1900</v>
      </c>
      <c r="AKL4">
        <v>0</v>
      </c>
      <c r="AKM4">
        <v>1.934369439</v>
      </c>
      <c r="AKN4">
        <v>2.428240882</v>
      </c>
      <c r="AKO4">
        <v>0</v>
      </c>
      <c r="AKP4">
        <v>0</v>
      </c>
      <c r="AKQ4">
        <v>0</v>
      </c>
      <c r="AKR4">
        <v>2.035334049</v>
      </c>
      <c r="AKS4">
        <v>2.49921207</v>
      </c>
      <c r="AKT4">
        <v>0</v>
      </c>
      <c r="AKU4">
        <v>0</v>
      </c>
      <c r="AKV4">
        <v>11.316175182</v>
      </c>
      <c r="AKW4">
        <v>11.584152597</v>
      </c>
      <c r="AKX4">
        <v>6.315878703</v>
      </c>
      <c r="AKY4">
        <v>4.801500956</v>
      </c>
      <c r="AKZ4">
        <v>5.378502298</v>
      </c>
      <c r="ALA4">
        <v>11.543863386</v>
      </c>
      <c r="ALB4">
        <v>12.188788622</v>
      </c>
      <c r="ALC4">
        <v>6.500475469</v>
      </c>
      <c r="ALD4">
        <v>8.566830504</v>
      </c>
      <c r="ALE4">
        <v>10.609341974</v>
      </c>
      <c r="ALF4">
        <v>47.853720532</v>
      </c>
      <c r="ALG4">
        <v>59.58174936</v>
      </c>
      <c r="ALH4">
        <v>60.907466011</v>
      </c>
      <c r="ALI4">
        <v>0.576116585</v>
      </c>
      <c r="ALJ4">
        <v>1.540471187</v>
      </c>
      <c r="ALK4">
        <v>48.816565969</v>
      </c>
      <c r="ALL4">
        <v>62.691624839</v>
      </c>
      <c r="ALM4">
        <v>62.687633397</v>
      </c>
      <c r="ALN4">
        <v>1.027906311</v>
      </c>
      <c r="ALO4">
        <v>3.038649928</v>
      </c>
      <c r="ALP4">
        <v>28.177312324</v>
      </c>
      <c r="ALQ4">
        <v>17.077595276</v>
      </c>
      <c r="ALR4">
        <v>18.771023121</v>
      </c>
      <c r="ALS4">
        <v>21.093596089</v>
      </c>
      <c r="ALT4">
        <v>11.348505891</v>
      </c>
      <c r="ALU4" t="s">
        <v>1900</v>
      </c>
      <c r="ALV4">
        <v>0</v>
      </c>
      <c r="ALW4">
        <v>0</v>
      </c>
      <c r="ALX4">
        <v>0</v>
      </c>
      <c r="ALY4">
        <v>0</v>
      </c>
      <c r="ALZ4">
        <v>96.5046174657717</v>
      </c>
      <c r="AMA4">
        <v>99.9775667486188</v>
      </c>
      <c r="AMB4">
        <v>98.8899146627396</v>
      </c>
      <c r="AMC4">
        <v>98.5745349840909</v>
      </c>
      <c r="AMD4">
        <v>100</v>
      </c>
      <c r="AME4">
        <v>96.5046174657717</v>
      </c>
      <c r="AMF4" t="s">
        <v>1901</v>
      </c>
      <c r="AMG4">
        <v>99.1013647841844</v>
      </c>
      <c r="AMH4">
        <v>98.5745349840909</v>
      </c>
      <c r="AMI4" t="s">
        <v>1901</v>
      </c>
      <c r="AMJ4">
        <v>2760.9172660735</v>
      </c>
      <c r="AMK4">
        <v>445666.858761477</v>
      </c>
      <c r="AML4">
        <v>8908.316445904071</v>
      </c>
      <c r="AMM4">
        <v>6915.25459298819</v>
      </c>
      <c r="AMN4" t="s">
        <v>1900</v>
      </c>
      <c r="AMO4">
        <v>1.11698171321191</v>
      </c>
      <c r="AMP4">
        <v>1.09063143140291</v>
      </c>
      <c r="AMQ4">
        <v>1.06631005074703</v>
      </c>
      <c r="AMR4">
        <v>1.14260338007352</v>
      </c>
      <c r="AMS4">
        <v>1.05727566980985</v>
      </c>
      <c r="AMT4">
        <v>1.11698171423358</v>
      </c>
      <c r="AMU4">
        <v>1.09063143140291</v>
      </c>
      <c r="AMV4">
        <v>1.06631005074703</v>
      </c>
      <c r="AMW4">
        <v>1.14260338007352</v>
      </c>
      <c r="AMX4">
        <v>1.05727566980985</v>
      </c>
      <c r="AMY4">
        <v>1.11698171423358</v>
      </c>
      <c r="AMZ4">
        <v>1.09063143140291</v>
      </c>
      <c r="ANA4">
        <v>1.06631005074703</v>
      </c>
      <c r="ANB4">
        <v>1.14260338007352</v>
      </c>
      <c r="ANC4" t="s">
        <v>1900</v>
      </c>
      <c r="AND4">
        <v>10.1069475436077</v>
      </c>
      <c r="ANE4">
        <v>8.30813207991979</v>
      </c>
      <c r="ANF4">
        <v>6.149614040552</v>
      </c>
      <c r="ANG4">
        <v>12.3026608559504</v>
      </c>
      <c r="ANH4">
        <v>5.41728817236004</v>
      </c>
      <c r="ANI4">
        <v>10.1069475436077</v>
      </c>
      <c r="ANJ4">
        <v>8.37696481981563</v>
      </c>
      <c r="ANK4">
        <v>6.16276337575113</v>
      </c>
      <c r="ANL4">
        <v>12.3026608559504</v>
      </c>
      <c r="ANM4">
        <v>5.471786117385</v>
      </c>
      <c r="ANN4">
        <v>11.2433021990333</v>
      </c>
      <c r="ANO4">
        <v>9.06092575969906</v>
      </c>
      <c r="ANP4">
        <v>6.55257192358186</v>
      </c>
      <c r="ANQ4">
        <v>14.0285451942188</v>
      </c>
      <c r="ANR4">
        <v>5.72756698098494</v>
      </c>
      <c r="ANS4">
        <v>21.1055157356985</v>
      </c>
      <c r="ANT4">
        <v>14.8018250949027</v>
      </c>
      <c r="ANU4">
        <v>10.4562454305441</v>
      </c>
      <c r="ANV4">
        <v>53.8482384924593</v>
      </c>
      <c r="ANW4">
        <v>19.1335818553169</v>
      </c>
      <c r="ANX4">
        <v>96.5046175540414</v>
      </c>
      <c r="ANY4">
        <v>99.9775667486188</v>
      </c>
      <c r="ANZ4">
        <v>98.8899146627396</v>
      </c>
      <c r="AOA4">
        <v>98.5745349840909</v>
      </c>
      <c r="AOB4" t="s">
        <v>1900</v>
      </c>
      <c r="AOC4">
        <v>107.354923243469</v>
      </c>
      <c r="AOD4">
        <v>109.036459848065</v>
      </c>
      <c r="AOE4">
        <v>105.369747446184</v>
      </c>
      <c r="AOF4">
        <v>112.403108174325</v>
      </c>
      <c r="AOG4">
        <v>105.727566980985</v>
      </c>
      <c r="AOH4">
        <v>98.4463480064933</v>
      </c>
      <c r="AOI4" t="s">
        <v>1901</v>
      </c>
      <c r="AOJ4" t="s">
        <v>1901</v>
      </c>
      <c r="AOK4" t="s">
        <v>1901</v>
      </c>
      <c r="AOL4" t="s">
        <v>1901</v>
      </c>
      <c r="AOM4">
        <v>289.151407603298</v>
      </c>
      <c r="AON4">
        <v>37034.899394413</v>
      </c>
      <c r="AOO4">
        <v>553.976692974671</v>
      </c>
      <c r="AOP4">
        <v>863.062980756818</v>
      </c>
      <c r="AOQ4" t="s">
        <v>1900</v>
      </c>
      <c r="AOR4">
        <v>11.698171423358</v>
      </c>
      <c r="AOS4">
        <v>9.06314314029105</v>
      </c>
      <c r="AOT4">
        <v>6.63100507470292</v>
      </c>
      <c r="AOU4">
        <v>14.2603380073523</v>
      </c>
      <c r="AOV4">
        <v>5.72756698098494</v>
      </c>
      <c r="AOW4">
        <v>10.3103053645519</v>
      </c>
      <c r="AOX4">
        <v>8.7417758803716</v>
      </c>
      <c r="AOY4">
        <v>6.32935132185836</v>
      </c>
      <c r="AOZ4">
        <v>21.9503882758793</v>
      </c>
      <c r="APA4">
        <v>10.6858488859116</v>
      </c>
      <c r="APB4">
        <v>7.91894163931459</v>
      </c>
      <c r="APC4">
        <v>6.43396397326758</v>
      </c>
      <c r="APD4">
        <v>4.32966287642541</v>
      </c>
      <c r="APE4">
        <v>9.01042628256076</v>
      </c>
      <c r="APF4">
        <v>3.81352166631953</v>
      </c>
      <c r="APG4">
        <v>7.91894163931459</v>
      </c>
      <c r="APH4">
        <v>6.48726926071499</v>
      </c>
      <c r="API4">
        <v>4.33892072384249</v>
      </c>
      <c r="APJ4">
        <v>9.01042628256076</v>
      </c>
      <c r="APK4">
        <v>3.85188571259327</v>
      </c>
      <c r="APL4">
        <v>226.554368849414</v>
      </c>
      <c r="APM4">
        <v>28680.47909748</v>
      </c>
      <c r="APN4">
        <v>390.029732949233</v>
      </c>
      <c r="APO4">
        <v>632.104343635159</v>
      </c>
      <c r="APP4" t="s">
        <v>1900</v>
      </c>
      <c r="APQ4">
        <v>9.16568888762656</v>
      </c>
      <c r="APR4">
        <v>7.01865785091886</v>
      </c>
      <c r="APS4">
        <v>4.66858835627881</v>
      </c>
      <c r="APT4">
        <v>10.4442222608697</v>
      </c>
      <c r="APU4">
        <v>4.03194367409236</v>
      </c>
      <c r="APV4">
        <v>8.80929217878781</v>
      </c>
      <c r="APW4">
        <v>7.01694067229113</v>
      </c>
      <c r="APX4">
        <v>4.61336715045181</v>
      </c>
      <c r="APY4">
        <v>10.2744580058016</v>
      </c>
      <c r="APZ4">
        <v>4.03194367409236</v>
      </c>
      <c r="AQA4">
        <v>8.07827547467955</v>
      </c>
      <c r="AQB4">
        <v>6.76978537842809</v>
      </c>
      <c r="AQC4">
        <v>4.45620770171853</v>
      </c>
      <c r="AQD4">
        <v>16.0763884942611</v>
      </c>
      <c r="AQE4">
        <v>7.52234604342401</v>
      </c>
      <c r="AQF4">
        <v>0.11698171423358</v>
      </c>
      <c r="AQG4">
        <v>0.0906314314029105</v>
      </c>
      <c r="AQH4">
        <v>0.0663100507470292</v>
      </c>
      <c r="AQI4">
        <v>0.142603380073523</v>
      </c>
      <c r="AQJ4" t="s">
        <v>1900</v>
      </c>
      <c r="AQK4">
        <v>5</v>
      </c>
      <c r="AQO4" t="s">
        <v>1903</v>
      </c>
      <c r="AQP4">
        <v>4</v>
      </c>
      <c r="AQQ4">
        <v>0</v>
      </c>
      <c r="AQS4" t="s">
        <v>1905</v>
      </c>
      <c r="AQU4" t="s">
        <v>1906</v>
      </c>
      <c r="AQV4">
        <v>1176959.84629012</v>
      </c>
      <c r="AQW4">
        <v>1008591.65574354</v>
      </c>
      <c r="AQX4">
        <v>809819.223902452</v>
      </c>
      <c r="AQY4">
        <v>118954.714273869</v>
      </c>
      <c r="AQZ4">
        <v>83795.1269062233</v>
      </c>
      <c r="ARA4">
        <v>49800.7566961944</v>
      </c>
      <c r="ARB4">
        <v>2995370.725936112</v>
      </c>
      <c r="ARC4">
        <v>252550.5978762867</v>
      </c>
      <c r="ARD4">
        <v>0.09207698138591834</v>
      </c>
      <c r="ARE4">
        <v>0.09207698138591834</v>
      </c>
      <c r="ARF4">
        <v>0.09207698138591834</v>
      </c>
      <c r="ARG4">
        <v>0.09207698138591834</v>
      </c>
      <c r="ARH4">
        <v>0.09207698138591834</v>
      </c>
      <c r="ARI4">
        <v>0.09207698138591834</v>
      </c>
      <c r="ARJ4" t="s">
        <v>1165</v>
      </c>
      <c r="ARK4" t="s">
        <v>1503</v>
      </c>
      <c r="ARL4" t="s">
        <v>1908</v>
      </c>
      <c r="ARM4" t="s">
        <v>1908</v>
      </c>
      <c r="ARN4" t="s">
        <v>1909</v>
      </c>
      <c r="ARO4" t="s">
        <v>1908</v>
      </c>
      <c r="ARP4" t="s">
        <v>1907</v>
      </c>
      <c r="ARQ4" t="s">
        <v>1912</v>
      </c>
      <c r="ARR4">
        <f>HYPERLINK("C:\Users\Usuario\Documents\Proyectos\llmthon\evidence\acfyd_com_233102.png", "Ver Evidencia")</f>
        <v>0</v>
      </c>
      <c r="ARS4">
        <v>95</v>
      </c>
    </row>
    <row r="5" spans="1:1163">
      <c r="A5">
        <v>46</v>
      </c>
      <c r="B5" t="s">
        <v>1166</v>
      </c>
      <c r="C5" t="s">
        <v>1289</v>
      </c>
      <c r="D5" t="s">
        <v>1410</v>
      </c>
      <c r="E5" s="2">
        <v>36356</v>
      </c>
      <c r="F5" t="s">
        <v>1431</v>
      </c>
      <c r="G5" t="s">
        <v>1433</v>
      </c>
      <c r="H5" t="s">
        <v>1434</v>
      </c>
      <c r="I5" t="s">
        <v>1437</v>
      </c>
      <c r="J5" t="s">
        <v>1453</v>
      </c>
      <c r="L5" t="s">
        <v>1504</v>
      </c>
      <c r="N5" t="s">
        <v>1627</v>
      </c>
      <c r="O5" t="s">
        <v>1651</v>
      </c>
      <c r="P5">
        <v>6910</v>
      </c>
      <c r="Q5">
        <v>6910</v>
      </c>
      <c r="R5" t="s">
        <v>1675</v>
      </c>
      <c r="S5" t="s">
        <v>1792</v>
      </c>
      <c r="T5" t="s">
        <v>1847</v>
      </c>
      <c r="U5" t="s">
        <v>1873</v>
      </c>
      <c r="X5" t="s">
        <v>1874</v>
      </c>
      <c r="Z5" t="s">
        <v>1899</v>
      </c>
      <c r="AA5" s="2">
        <v>45657</v>
      </c>
      <c r="AB5">
        <v>2024</v>
      </c>
      <c r="AC5">
        <v>21282238.8691251</v>
      </c>
      <c r="AD5">
        <v>20715296.4256705</v>
      </c>
      <c r="AE5">
        <v>16156966.2780874</v>
      </c>
      <c r="AF5">
        <v>16678582.2672153</v>
      </c>
      <c r="AG5">
        <v>15765957.8396123</v>
      </c>
      <c r="AH5">
        <v>21250106.3307037</v>
      </c>
      <c r="AI5">
        <v>20715296.4256705</v>
      </c>
      <c r="AJ5">
        <v>16156966.2780874</v>
      </c>
      <c r="AK5">
        <v>16678582.2672153</v>
      </c>
      <c r="AL5">
        <v>15764369.776783</v>
      </c>
      <c r="AM5">
        <v>650876.421768003</v>
      </c>
      <c r="AN5">
        <v>463183.389371014</v>
      </c>
      <c r="AO5">
        <v>505621.594068825</v>
      </c>
      <c r="AP5">
        <v>709069.326647544</v>
      </c>
      <c r="AQ5">
        <v>742043.843523186</v>
      </c>
      <c r="AR5">
        <v>20631362.4473571</v>
      </c>
      <c r="AS5">
        <v>20252113.0362995</v>
      </c>
      <c r="AT5">
        <v>15651344.6840186</v>
      </c>
      <c r="AU5">
        <v>15969512.9405678</v>
      </c>
      <c r="AV5">
        <v>15023913.9960891</v>
      </c>
      <c r="AW5">
        <v>20528135.8212738</v>
      </c>
      <c r="AX5">
        <v>19863258.3892863</v>
      </c>
      <c r="AY5">
        <v>15266774.1537029</v>
      </c>
      <c r="AZ5">
        <v>15554473.0755818</v>
      </c>
      <c r="BA5">
        <v>14632819.8036726</v>
      </c>
      <c r="BB5">
        <v>103226.627122248</v>
      </c>
      <c r="BC5">
        <v>388854.647013187</v>
      </c>
      <c r="BD5">
        <v>384570.530315673</v>
      </c>
      <c r="BE5">
        <v>415039.864985991</v>
      </c>
      <c r="BF5">
        <v>391094.192416537</v>
      </c>
      <c r="BG5">
        <v>27145.6866070831</v>
      </c>
      <c r="BH5">
        <v>26509.5033471394</v>
      </c>
      <c r="BI5">
        <v>-2604.85993621945</v>
      </c>
      <c r="BJ5">
        <v>-701.827106523514</v>
      </c>
      <c r="BK5">
        <v>-7791.31974982023</v>
      </c>
      <c r="BL5">
        <v>33630.6637653148</v>
      </c>
      <c r="BM5">
        <v>26509.5033471394</v>
      </c>
      <c r="BN5" t="s">
        <v>1900</v>
      </c>
      <c r="BO5">
        <v>6932.2047678709</v>
      </c>
      <c r="BP5" t="s">
        <v>1900</v>
      </c>
      <c r="BQ5">
        <v>6484.97715823174</v>
      </c>
      <c r="BR5" t="s">
        <v>1900</v>
      </c>
      <c r="BS5">
        <v>2604.85993621945</v>
      </c>
      <c r="BT5">
        <v>7634.03187439442</v>
      </c>
      <c r="BU5">
        <v>7791.31974982023</v>
      </c>
      <c r="BV5">
        <v>130372.313729331</v>
      </c>
      <c r="BW5">
        <v>415364.150360327</v>
      </c>
      <c r="BX5">
        <v>381965.670379454</v>
      </c>
      <c r="BY5">
        <v>414338.037879467</v>
      </c>
      <c r="BZ5">
        <v>383302.872666717</v>
      </c>
      <c r="CA5">
        <v>29333.7752641475</v>
      </c>
      <c r="CB5">
        <v>96227.6753357983</v>
      </c>
      <c r="CC5">
        <v>88014.17920585271</v>
      </c>
      <c r="CD5">
        <v>96740.9759800672</v>
      </c>
      <c r="CE5">
        <v>86721.6843993068</v>
      </c>
      <c r="CF5">
        <v>101038.538465184</v>
      </c>
      <c r="CG5">
        <v>319136.475024528</v>
      </c>
      <c r="CH5">
        <v>293951.491173601</v>
      </c>
      <c r="CI5">
        <v>317597.0618994</v>
      </c>
      <c r="CJ5">
        <v>296581.18826741</v>
      </c>
      <c r="CK5" t="s">
        <v>1900</v>
      </c>
      <c r="CL5" t="s">
        <v>1900</v>
      </c>
      <c r="CM5" t="s">
        <v>1900</v>
      </c>
      <c r="CN5" t="s">
        <v>1900</v>
      </c>
      <c r="CO5" t="s">
        <v>1900</v>
      </c>
      <c r="CP5" t="s">
        <v>1900</v>
      </c>
      <c r="CQ5" t="s">
        <v>1900</v>
      </c>
      <c r="CR5" t="s">
        <v>1900</v>
      </c>
      <c r="CS5" t="s">
        <v>1900</v>
      </c>
      <c r="CT5" t="s">
        <v>1900</v>
      </c>
      <c r="CU5" t="s">
        <v>1900</v>
      </c>
      <c r="CV5" t="s">
        <v>1900</v>
      </c>
      <c r="CW5" t="s">
        <v>1900</v>
      </c>
      <c r="CX5" t="s">
        <v>1900</v>
      </c>
      <c r="CY5" t="s">
        <v>1900</v>
      </c>
      <c r="CZ5">
        <v>101038.538465184</v>
      </c>
      <c r="DA5">
        <v>319136.475024528</v>
      </c>
      <c r="DB5">
        <v>293951.491173601</v>
      </c>
      <c r="DC5">
        <v>317597.0618994</v>
      </c>
      <c r="DD5">
        <v>296581.18826741</v>
      </c>
      <c r="DE5" t="s">
        <v>1900</v>
      </c>
      <c r="DF5" t="s">
        <v>1900</v>
      </c>
      <c r="DG5" t="s">
        <v>1900</v>
      </c>
      <c r="DH5" t="s">
        <v>1900</v>
      </c>
      <c r="DI5" t="s">
        <v>1900</v>
      </c>
      <c r="DJ5">
        <v>650876.421768003</v>
      </c>
      <c r="DK5">
        <v>463183.389371014</v>
      </c>
      <c r="DL5">
        <v>505621.594068825</v>
      </c>
      <c r="DM5">
        <v>709069.326647544</v>
      </c>
      <c r="DN5">
        <v>742043.843523186</v>
      </c>
      <c r="DO5">
        <v>7516126.88256163</v>
      </c>
      <c r="DP5">
        <v>7048867.50219512</v>
      </c>
      <c r="DQ5">
        <v>5803945.82720842</v>
      </c>
      <c r="DR5">
        <v>5826737.78088813</v>
      </c>
      <c r="DS5">
        <v>5877871.22046032</v>
      </c>
      <c r="DT5">
        <v>265529.352017251</v>
      </c>
      <c r="DU5">
        <v>163452.888855648</v>
      </c>
      <c r="DV5">
        <v>83909.0937594235</v>
      </c>
      <c r="DW5">
        <v>81416.45210595131</v>
      </c>
      <c r="DX5">
        <v>111707.094990766</v>
      </c>
      <c r="DY5">
        <v>12746479.5866949</v>
      </c>
      <c r="DZ5">
        <v>12650937.9982355</v>
      </c>
      <c r="EA5">
        <v>9378919.232735069</v>
      </c>
      <c r="EB5">
        <v>9646318.842587691</v>
      </c>
      <c r="EC5">
        <v>8643241.4882215</v>
      </c>
      <c r="ED5">
        <v>3126.89022719979</v>
      </c>
      <c r="EE5" t="s">
        <v>1900</v>
      </c>
      <c r="EF5" t="s">
        <v>1900</v>
      </c>
      <c r="EG5" t="s">
        <v>1900</v>
      </c>
      <c r="EH5" t="s">
        <v>1900</v>
      </c>
      <c r="EI5" t="s">
        <v>1900</v>
      </c>
      <c r="EJ5" t="s">
        <v>1900</v>
      </c>
      <c r="EK5" t="s">
        <v>1900</v>
      </c>
      <c r="EL5" t="s">
        <v>1900</v>
      </c>
      <c r="EM5" t="s">
        <v>1900</v>
      </c>
      <c r="EN5">
        <v>366567.890482435</v>
      </c>
      <c r="EO5">
        <v>482589.363880177</v>
      </c>
      <c r="EP5">
        <v>377860.584933025</v>
      </c>
      <c r="EQ5">
        <v>399013.514005351</v>
      </c>
      <c r="ER5">
        <v>408288.283258176</v>
      </c>
      <c r="ES5">
        <v>7915155.43853541</v>
      </c>
      <c r="ET5">
        <v>7627684.54141109</v>
      </c>
      <c r="EU5">
        <v>6269820.5913473</v>
      </c>
      <c r="EV5">
        <v>6322492.27087355</v>
      </c>
      <c r="EW5">
        <v>6372881.1881178</v>
      </c>
      <c r="EX5">
        <v>368755.9791395</v>
      </c>
      <c r="EY5">
        <v>552307.5358688351</v>
      </c>
      <c r="EZ5">
        <v>468479.624075097</v>
      </c>
      <c r="FA5">
        <v>496456.315959342</v>
      </c>
      <c r="FB5">
        <v>502801.287407303</v>
      </c>
      <c r="FC5">
        <v>1106417.24702162</v>
      </c>
      <c r="FD5">
        <v>624025.01840476</v>
      </c>
      <c r="FE5">
        <v>639723.035860562</v>
      </c>
      <c r="FF5">
        <v>414304.739430428</v>
      </c>
      <c r="FG5">
        <v>482008.691057104</v>
      </c>
      <c r="FH5">
        <v>48974.7528686273</v>
      </c>
      <c r="FI5">
        <v>20447.1833264446</v>
      </c>
      <c r="FJ5">
        <v>0.0213319897651672</v>
      </c>
      <c r="FK5">
        <v>36.2658618450165</v>
      </c>
      <c r="FL5">
        <v>636.446095543504</v>
      </c>
      <c r="FM5">
        <v>904603.791888653</v>
      </c>
      <c r="FN5">
        <v>472468.244437943</v>
      </c>
      <c r="FO5">
        <v>370361.419925034</v>
      </c>
      <c r="FP5">
        <v>288498.509994078</v>
      </c>
      <c r="FQ5">
        <v>345108.609357387</v>
      </c>
      <c r="FR5">
        <v>152838.703303237</v>
      </c>
      <c r="FS5">
        <v>131109.590640373</v>
      </c>
      <c r="FT5">
        <v>269361.594603539</v>
      </c>
      <c r="FU5">
        <v>125769.963574505</v>
      </c>
      <c r="FV5">
        <v>136263.634377074</v>
      </c>
      <c r="FW5">
        <v>48974.7528686273</v>
      </c>
      <c r="FX5">
        <v>20447.1833264446</v>
      </c>
      <c r="FY5">
        <v>0.0213319897651672</v>
      </c>
      <c r="FZ5">
        <v>36.2658618450165</v>
      </c>
      <c r="GA5">
        <v>636.446095543504</v>
      </c>
      <c r="GB5">
        <v>904603.791888653</v>
      </c>
      <c r="GC5">
        <v>472468.244437943</v>
      </c>
      <c r="GD5">
        <v>370361.419925034</v>
      </c>
      <c r="GE5">
        <v>288498.509994078</v>
      </c>
      <c r="GF5">
        <v>345108.609357387</v>
      </c>
      <c r="GG5">
        <v>152838.703303237</v>
      </c>
      <c r="GH5">
        <v>131109.590640373</v>
      </c>
      <c r="GI5">
        <v>269361.594603539</v>
      </c>
      <c r="GJ5">
        <v>125769.963574505</v>
      </c>
      <c r="GK5">
        <v>136263.634377074</v>
      </c>
      <c r="GL5">
        <v>14646459.740012</v>
      </c>
      <c r="GM5">
        <v>14815349.3326467</v>
      </c>
      <c r="GN5">
        <v>10548049.5752184</v>
      </c>
      <c r="GO5">
        <v>11573778.7027391</v>
      </c>
      <c r="GP5">
        <v>10806646.8317074</v>
      </c>
      <c r="GQ5">
        <v>0</v>
      </c>
      <c r="GR5">
        <v>0</v>
      </c>
      <c r="GS5">
        <v>3728.02119534016</v>
      </c>
      <c r="GT5">
        <v>6257.95647883415</v>
      </c>
      <c r="GU5">
        <v>1229.9952537775</v>
      </c>
      <c r="GV5">
        <v>10945571.45968</v>
      </c>
      <c r="GW5">
        <v>10577865.7506662</v>
      </c>
      <c r="GX5">
        <v>6599350.80164066</v>
      </c>
      <c r="GY5">
        <v>6709161.85727792</v>
      </c>
      <c r="GZ5">
        <v>8531276.101099201</v>
      </c>
      <c r="HA5">
        <v>3700888.28033202</v>
      </c>
      <c r="HB5">
        <v>4237483.58198056</v>
      </c>
      <c r="HC5">
        <v>3944970.75238236</v>
      </c>
      <c r="HD5">
        <v>4858358.88898237</v>
      </c>
      <c r="HE5">
        <v>2274140.73535439</v>
      </c>
      <c r="HF5">
        <v>3519601.42206727</v>
      </c>
      <c r="HG5">
        <v>3005086.98219611</v>
      </c>
      <c r="HH5">
        <v>3841556.44446731</v>
      </c>
      <c r="HI5">
        <v>4746545.91369274</v>
      </c>
      <c r="HJ5">
        <v>2163132.09301387</v>
      </c>
      <c r="HK5">
        <v>15752876.9880725</v>
      </c>
      <c r="HL5">
        <v>15439374.3510515</v>
      </c>
      <c r="HM5">
        <v>11187772.6110789</v>
      </c>
      <c r="HN5">
        <v>11988083.4421695</v>
      </c>
      <c r="HO5">
        <v>11288655.5227645</v>
      </c>
      <c r="HP5">
        <v>5171017.84765187</v>
      </c>
      <c r="HQ5">
        <v>5339648.56926867</v>
      </c>
      <c r="HR5">
        <v>4846039.11974057</v>
      </c>
      <c r="HS5">
        <v>4790503.94152073</v>
      </c>
      <c r="HT5">
        <v>4846105.78419248</v>
      </c>
      <c r="HU5">
        <v>374003.834724426</v>
      </c>
      <c r="HV5">
        <v>397800.178527832</v>
      </c>
      <c r="HW5">
        <v>383975.81577301</v>
      </c>
      <c r="HX5">
        <v>407736.110687256</v>
      </c>
      <c r="HY5">
        <v>441755.747795105</v>
      </c>
      <c r="HZ5">
        <v>4797014.01292745</v>
      </c>
      <c r="IA5">
        <v>4941848.39074083</v>
      </c>
      <c r="IB5">
        <v>4462063.30396756</v>
      </c>
      <c r="IC5">
        <v>4382767.83309867</v>
      </c>
      <c r="ID5">
        <v>4404350.03639737</v>
      </c>
      <c r="IE5">
        <v>326837.795567513</v>
      </c>
      <c r="IF5">
        <v>0</v>
      </c>
      <c r="IG5">
        <v>0</v>
      </c>
      <c r="IH5">
        <v>0</v>
      </c>
      <c r="II5">
        <v>0</v>
      </c>
      <c r="IJ5">
        <v>0</v>
      </c>
      <c r="IK5" t="s">
        <v>1900</v>
      </c>
      <c r="IL5" t="s">
        <v>1900</v>
      </c>
      <c r="IM5" t="s">
        <v>1900</v>
      </c>
      <c r="IN5" t="s">
        <v>1900</v>
      </c>
      <c r="IO5">
        <v>326837.795567513</v>
      </c>
      <c r="IP5" t="s">
        <v>1900</v>
      </c>
      <c r="IQ5" t="s">
        <v>1900</v>
      </c>
      <c r="IR5" t="s">
        <v>1900</v>
      </c>
      <c r="IS5" t="s">
        <v>1900</v>
      </c>
      <c r="IT5">
        <v>326837.795567513</v>
      </c>
      <c r="IU5" t="s">
        <v>1900</v>
      </c>
      <c r="IV5" t="s">
        <v>1900</v>
      </c>
      <c r="IW5" t="s">
        <v>1900</v>
      </c>
      <c r="IX5" t="s">
        <v>1900</v>
      </c>
      <c r="IY5">
        <v>10255021.3448532</v>
      </c>
      <c r="IZ5">
        <v>10099725.7817828</v>
      </c>
      <c r="JA5">
        <v>6341733.49133835</v>
      </c>
      <c r="JB5">
        <v>7197579.49838362</v>
      </c>
      <c r="JC5">
        <v>6442549.73857199</v>
      </c>
      <c r="JD5">
        <v>0</v>
      </c>
      <c r="JE5">
        <v>0</v>
      </c>
      <c r="JF5">
        <v>0</v>
      </c>
      <c r="JG5">
        <v>0</v>
      </c>
      <c r="JH5">
        <v>0</v>
      </c>
      <c r="JI5">
        <v>566599.041768916</v>
      </c>
      <c r="JJ5">
        <v>456088.092786732</v>
      </c>
      <c r="JK5">
        <v>307830.638346553</v>
      </c>
      <c r="JL5">
        <v>267018.96035707</v>
      </c>
      <c r="JM5">
        <v>600737.420033115</v>
      </c>
      <c r="JN5">
        <v>9688422.30204534</v>
      </c>
      <c r="JO5">
        <v>9643637.688996101</v>
      </c>
      <c r="JP5">
        <v>6033902.8529918</v>
      </c>
      <c r="JQ5">
        <v>6930560.53802655</v>
      </c>
      <c r="JR5">
        <v>5841812.31853888</v>
      </c>
      <c r="JS5">
        <v>15752876.9880725</v>
      </c>
      <c r="JT5">
        <v>15439374.3510515</v>
      </c>
      <c r="JU5">
        <v>11187772.6110789</v>
      </c>
      <c r="JV5">
        <v>11988083.4421695</v>
      </c>
      <c r="JW5">
        <v>11288655.5227645</v>
      </c>
      <c r="JX5">
        <v>10378972.4179111</v>
      </c>
      <c r="JY5">
        <v>10121777.6578794</v>
      </c>
      <c r="JZ5">
        <v>6295248.18448945</v>
      </c>
      <c r="KA5">
        <v>6448400.85226708</v>
      </c>
      <c r="KB5">
        <v>7931768.67631986</v>
      </c>
      <c r="KC5" t="s">
        <v>1900</v>
      </c>
      <c r="KD5" t="s">
        <v>1900</v>
      </c>
      <c r="KE5" t="s">
        <v>1900</v>
      </c>
      <c r="KF5" t="s">
        <v>1900</v>
      </c>
      <c r="KG5" t="s">
        <v>1900</v>
      </c>
      <c r="KH5" t="s">
        <v>1900</v>
      </c>
      <c r="KI5" t="s">
        <v>1900</v>
      </c>
      <c r="KJ5" t="s">
        <v>1900</v>
      </c>
      <c r="KK5" t="s">
        <v>1900</v>
      </c>
      <c r="KL5" t="s">
        <v>1900</v>
      </c>
      <c r="KM5">
        <v>78</v>
      </c>
      <c r="KN5">
        <v>68</v>
      </c>
      <c r="KO5">
        <v>63</v>
      </c>
      <c r="KP5">
        <v>61</v>
      </c>
      <c r="KQ5">
        <v>59</v>
      </c>
      <c r="KR5" t="s">
        <v>1900</v>
      </c>
      <c r="KS5" t="s">
        <v>1900</v>
      </c>
      <c r="KT5" t="s">
        <v>1900</v>
      </c>
      <c r="KU5" t="s">
        <v>1900</v>
      </c>
      <c r="KV5" t="s">
        <v>1900</v>
      </c>
      <c r="KW5" t="s">
        <v>1900</v>
      </c>
      <c r="KX5" t="s">
        <v>1900</v>
      </c>
      <c r="KY5" t="s">
        <v>1900</v>
      </c>
      <c r="KZ5" t="s">
        <v>1900</v>
      </c>
      <c r="LA5" t="s">
        <v>1900</v>
      </c>
      <c r="LB5" t="s">
        <v>1900</v>
      </c>
      <c r="LC5" t="s">
        <v>1900</v>
      </c>
      <c r="LD5" t="s">
        <v>1900</v>
      </c>
      <c r="LE5" t="s">
        <v>1900</v>
      </c>
      <c r="LF5" t="s">
        <v>1900</v>
      </c>
      <c r="LG5" t="s">
        <v>1900</v>
      </c>
      <c r="LH5" t="s">
        <v>1900</v>
      </c>
      <c r="LI5" t="s">
        <v>1900</v>
      </c>
      <c r="LJ5" t="s">
        <v>1900</v>
      </c>
      <c r="LK5" t="s">
        <v>1900</v>
      </c>
      <c r="LL5" t="s">
        <v>1900</v>
      </c>
      <c r="LM5" t="s">
        <v>1900</v>
      </c>
      <c r="LN5" t="s">
        <v>1900</v>
      </c>
      <c r="LO5" t="s">
        <v>1900</v>
      </c>
      <c r="LP5" t="s">
        <v>1900</v>
      </c>
      <c r="LQ5" t="s">
        <v>1900</v>
      </c>
      <c r="LR5" t="s">
        <v>1900</v>
      </c>
      <c r="LS5" t="s">
        <v>1900</v>
      </c>
      <c r="LT5" t="s">
        <v>1900</v>
      </c>
      <c r="LU5" t="s">
        <v>1900</v>
      </c>
      <c r="LV5" t="s">
        <v>1900</v>
      </c>
      <c r="LW5" t="s">
        <v>1900</v>
      </c>
      <c r="LX5" t="s">
        <v>1900</v>
      </c>
      <c r="LY5" t="s">
        <v>1900</v>
      </c>
      <c r="LZ5" t="s">
        <v>1900</v>
      </c>
      <c r="MA5" t="s">
        <v>1900</v>
      </c>
      <c r="MB5" t="s">
        <v>1900</v>
      </c>
      <c r="MC5" t="s">
        <v>1900</v>
      </c>
      <c r="MD5" t="s">
        <v>1900</v>
      </c>
      <c r="ME5" t="s">
        <v>1900</v>
      </c>
      <c r="MF5" t="s">
        <v>1900</v>
      </c>
      <c r="MG5" t="s">
        <v>1900</v>
      </c>
      <c r="MH5" t="s">
        <v>1900</v>
      </c>
      <c r="MI5" t="s">
        <v>1900</v>
      </c>
      <c r="MJ5" t="s">
        <v>1900</v>
      </c>
      <c r="MK5" t="s">
        <v>1900</v>
      </c>
      <c r="ML5" t="s">
        <v>1900</v>
      </c>
      <c r="MM5" t="s">
        <v>1900</v>
      </c>
      <c r="MN5" t="s">
        <v>1900</v>
      </c>
      <c r="MO5" t="s">
        <v>1900</v>
      </c>
      <c r="MP5">
        <v>3700888.28033202</v>
      </c>
      <c r="MQ5">
        <v>4237483.58198056</v>
      </c>
      <c r="MR5">
        <v>3944970.75238236</v>
      </c>
      <c r="MS5">
        <v>4858358.88898237</v>
      </c>
      <c r="MT5">
        <v>2274140.73535439</v>
      </c>
      <c r="MU5" t="s">
        <v>1900</v>
      </c>
      <c r="MV5" t="s">
        <v>1900</v>
      </c>
      <c r="MW5" t="s">
        <v>1900</v>
      </c>
      <c r="MX5" t="s">
        <v>1900</v>
      </c>
      <c r="MY5" t="s">
        <v>1900</v>
      </c>
      <c r="MZ5" t="s">
        <v>1900</v>
      </c>
      <c r="NA5" t="s">
        <v>1900</v>
      </c>
      <c r="NB5" t="s">
        <v>1900</v>
      </c>
      <c r="NC5" t="s">
        <v>1900</v>
      </c>
      <c r="ND5" t="s">
        <v>1900</v>
      </c>
      <c r="NE5" t="s">
        <v>1900</v>
      </c>
      <c r="NF5" t="s">
        <v>1900</v>
      </c>
      <c r="NG5" t="s">
        <v>1900</v>
      </c>
      <c r="NH5" t="s">
        <v>1900</v>
      </c>
      <c r="NI5" t="s">
        <v>1900</v>
      </c>
      <c r="NJ5" t="s">
        <v>1900</v>
      </c>
      <c r="NK5" t="s">
        <v>1900</v>
      </c>
      <c r="NL5" t="s">
        <v>1900</v>
      </c>
      <c r="NM5" t="s">
        <v>1900</v>
      </c>
      <c r="NN5" t="s">
        <v>1900</v>
      </c>
      <c r="NO5" t="s">
        <v>1900</v>
      </c>
      <c r="NP5" t="s">
        <v>1900</v>
      </c>
      <c r="NQ5" t="s">
        <v>1900</v>
      </c>
      <c r="NR5" t="s">
        <v>1900</v>
      </c>
      <c r="NS5" t="s">
        <v>1900</v>
      </c>
      <c r="NT5">
        <v>1106417.24702162</v>
      </c>
      <c r="NU5">
        <v>624025.01840476</v>
      </c>
      <c r="NV5">
        <v>639723.035860562</v>
      </c>
      <c r="NW5">
        <v>414304.739430428</v>
      </c>
      <c r="NX5">
        <v>482008.691057104</v>
      </c>
      <c r="NY5" t="s">
        <v>1900</v>
      </c>
      <c r="NZ5" t="s">
        <v>1900</v>
      </c>
      <c r="OA5" t="s">
        <v>1900</v>
      </c>
      <c r="OB5" t="s">
        <v>1900</v>
      </c>
      <c r="OC5" t="s">
        <v>1900</v>
      </c>
      <c r="OD5" t="s">
        <v>1900</v>
      </c>
      <c r="OE5" t="s">
        <v>1900</v>
      </c>
      <c r="OF5" t="s">
        <v>1900</v>
      </c>
      <c r="OG5" t="s">
        <v>1900</v>
      </c>
      <c r="OH5" t="s">
        <v>1900</v>
      </c>
      <c r="OI5" t="s">
        <v>1900</v>
      </c>
      <c r="OJ5" t="s">
        <v>1900</v>
      </c>
      <c r="OK5" t="s">
        <v>1900</v>
      </c>
      <c r="OL5" t="s">
        <v>1900</v>
      </c>
      <c r="OM5" t="s">
        <v>1900</v>
      </c>
      <c r="ON5" t="s">
        <v>1900</v>
      </c>
      <c r="OO5" t="s">
        <v>1900</v>
      </c>
      <c r="OP5" t="s">
        <v>1900</v>
      </c>
      <c r="OQ5" t="s">
        <v>1900</v>
      </c>
      <c r="OR5" t="s">
        <v>1900</v>
      </c>
      <c r="OS5" t="s">
        <v>1900</v>
      </c>
      <c r="OT5" t="s">
        <v>1900</v>
      </c>
      <c r="OU5" t="s">
        <v>1900</v>
      </c>
      <c r="OV5" t="s">
        <v>1900</v>
      </c>
      <c r="OW5" t="s">
        <v>1900</v>
      </c>
      <c r="OX5" t="s">
        <v>1900</v>
      </c>
      <c r="OY5" t="s">
        <v>1900</v>
      </c>
      <c r="OZ5" t="s">
        <v>1900</v>
      </c>
      <c r="PA5" t="s">
        <v>1900</v>
      </c>
      <c r="PB5" t="s">
        <v>1900</v>
      </c>
      <c r="PC5" t="s">
        <v>1900</v>
      </c>
      <c r="PD5" t="s">
        <v>1900</v>
      </c>
      <c r="PE5" t="s">
        <v>1900</v>
      </c>
      <c r="PF5" t="s">
        <v>1900</v>
      </c>
      <c r="PG5" t="s">
        <v>1900</v>
      </c>
      <c r="PH5" t="s">
        <v>1900</v>
      </c>
      <c r="PI5" t="s">
        <v>1900</v>
      </c>
      <c r="PJ5" t="s">
        <v>1900</v>
      </c>
      <c r="PK5" t="s">
        <v>1900</v>
      </c>
      <c r="PL5" t="s">
        <v>1900</v>
      </c>
      <c r="PM5" t="s">
        <v>1900</v>
      </c>
      <c r="PN5" t="s">
        <v>1900</v>
      </c>
      <c r="PO5" t="s">
        <v>1900</v>
      </c>
      <c r="PP5" t="s">
        <v>1900</v>
      </c>
      <c r="PQ5" t="s">
        <v>1900</v>
      </c>
      <c r="PR5" t="s">
        <v>1900</v>
      </c>
      <c r="PS5" t="s">
        <v>1900</v>
      </c>
      <c r="PT5" t="s">
        <v>1900</v>
      </c>
      <c r="PU5" t="s">
        <v>1900</v>
      </c>
      <c r="PV5" t="s">
        <v>1900</v>
      </c>
      <c r="PW5" t="s">
        <v>1900</v>
      </c>
      <c r="PX5" t="s">
        <v>1900</v>
      </c>
      <c r="PY5" t="s">
        <v>1900</v>
      </c>
      <c r="PZ5" t="s">
        <v>1900</v>
      </c>
      <c r="QA5" t="s">
        <v>1900</v>
      </c>
      <c r="QB5" t="s">
        <v>1900</v>
      </c>
      <c r="QC5" t="s">
        <v>1900</v>
      </c>
      <c r="QD5" t="s">
        <v>1900</v>
      </c>
      <c r="QE5" t="s">
        <v>1900</v>
      </c>
      <c r="QF5" t="s">
        <v>1900</v>
      </c>
      <c r="QG5" t="s">
        <v>1900</v>
      </c>
      <c r="QH5" t="s">
        <v>1900</v>
      </c>
      <c r="QI5" t="s">
        <v>1900</v>
      </c>
      <c r="QJ5" t="s">
        <v>1900</v>
      </c>
      <c r="QK5" t="s">
        <v>1900</v>
      </c>
      <c r="QL5" t="s">
        <v>1900</v>
      </c>
      <c r="QM5" t="s">
        <v>1900</v>
      </c>
      <c r="QN5" t="s">
        <v>1900</v>
      </c>
      <c r="QO5" t="s">
        <v>1900</v>
      </c>
      <c r="QP5" t="s">
        <v>1900</v>
      </c>
      <c r="QQ5" t="s">
        <v>1900</v>
      </c>
      <c r="QR5" t="s">
        <v>1900</v>
      </c>
      <c r="QS5" t="s">
        <v>1900</v>
      </c>
      <c r="QT5" t="s">
        <v>1900</v>
      </c>
      <c r="QU5" t="s">
        <v>1900</v>
      </c>
      <c r="QV5" t="s">
        <v>1900</v>
      </c>
      <c r="QW5" t="s">
        <v>1900</v>
      </c>
      <c r="QX5" t="s">
        <v>1900</v>
      </c>
      <c r="QY5" t="s">
        <v>1900</v>
      </c>
      <c r="QZ5" t="s">
        <v>1900</v>
      </c>
      <c r="RA5" t="s">
        <v>1900</v>
      </c>
      <c r="RB5" t="s">
        <v>1900</v>
      </c>
      <c r="RC5" t="s">
        <v>1900</v>
      </c>
      <c r="RD5" t="s">
        <v>1900</v>
      </c>
      <c r="RE5" t="s">
        <v>1900</v>
      </c>
      <c r="RF5" t="s">
        <v>1900</v>
      </c>
      <c r="RG5" t="s">
        <v>1900</v>
      </c>
      <c r="RH5" t="s">
        <v>1900</v>
      </c>
      <c r="RI5" t="s">
        <v>1900</v>
      </c>
      <c r="RJ5" t="s">
        <v>1900</v>
      </c>
      <c r="RK5" t="s">
        <v>1900</v>
      </c>
      <c r="RL5" t="s">
        <v>1900</v>
      </c>
      <c r="RM5" t="s">
        <v>1900</v>
      </c>
      <c r="RN5" t="s">
        <v>1900</v>
      </c>
      <c r="RO5" t="s">
        <v>1900</v>
      </c>
      <c r="RP5" t="s">
        <v>1900</v>
      </c>
      <c r="RQ5" t="s">
        <v>1900</v>
      </c>
      <c r="RR5" t="s">
        <v>1900</v>
      </c>
      <c r="RS5" t="s">
        <v>1900</v>
      </c>
      <c r="RT5" t="s">
        <v>1900</v>
      </c>
      <c r="RU5" t="s">
        <v>1900</v>
      </c>
      <c r="RV5" t="s">
        <v>1900</v>
      </c>
      <c r="RW5" t="s">
        <v>1900</v>
      </c>
      <c r="RX5" t="s">
        <v>1900</v>
      </c>
      <c r="RY5" t="s">
        <v>1900</v>
      </c>
      <c r="RZ5" t="s">
        <v>1900</v>
      </c>
      <c r="SA5" t="s">
        <v>1900</v>
      </c>
      <c r="SB5" t="s">
        <v>1900</v>
      </c>
      <c r="SC5" t="s">
        <v>1900</v>
      </c>
      <c r="SD5" t="s">
        <v>1900</v>
      </c>
      <c r="SE5" t="s">
        <v>1900</v>
      </c>
      <c r="SF5" t="s">
        <v>1900</v>
      </c>
      <c r="SG5" t="s">
        <v>1900</v>
      </c>
      <c r="SH5" t="s">
        <v>1900</v>
      </c>
      <c r="SI5" t="s">
        <v>1900</v>
      </c>
      <c r="SJ5">
        <v>152838.703303237</v>
      </c>
      <c r="SK5">
        <v>131109.590640373</v>
      </c>
      <c r="SL5">
        <v>269361.594603539</v>
      </c>
      <c r="SM5">
        <v>125769.963574505</v>
      </c>
      <c r="SN5">
        <v>136263.634377074</v>
      </c>
      <c r="SO5" t="s">
        <v>1900</v>
      </c>
      <c r="SP5" t="s">
        <v>1900</v>
      </c>
      <c r="SQ5" t="s">
        <v>1900</v>
      </c>
      <c r="SR5" t="s">
        <v>1900</v>
      </c>
      <c r="SS5" t="s">
        <v>1900</v>
      </c>
      <c r="ST5" t="s">
        <v>1900</v>
      </c>
      <c r="SU5" t="s">
        <v>1900</v>
      </c>
      <c r="SV5" t="s">
        <v>1900</v>
      </c>
      <c r="SW5" t="s">
        <v>1900</v>
      </c>
      <c r="SX5" t="s">
        <v>1900</v>
      </c>
      <c r="SY5" t="s">
        <v>1900</v>
      </c>
      <c r="SZ5" t="s">
        <v>1900</v>
      </c>
      <c r="TA5" t="s">
        <v>1900</v>
      </c>
      <c r="TB5" t="s">
        <v>1900</v>
      </c>
      <c r="TC5" t="s">
        <v>1900</v>
      </c>
      <c r="TD5" t="s">
        <v>1900</v>
      </c>
      <c r="TE5" t="s">
        <v>1900</v>
      </c>
      <c r="TF5" t="s">
        <v>1900</v>
      </c>
      <c r="TG5" t="s">
        <v>1900</v>
      </c>
      <c r="TH5" t="s">
        <v>1900</v>
      </c>
      <c r="TI5" t="s">
        <v>1900</v>
      </c>
      <c r="TJ5" t="s">
        <v>1900</v>
      </c>
      <c r="TK5" t="s">
        <v>1900</v>
      </c>
      <c r="TL5" t="s">
        <v>1900</v>
      </c>
      <c r="TM5" t="s">
        <v>1900</v>
      </c>
      <c r="TN5" t="s">
        <v>1900</v>
      </c>
      <c r="TO5" t="s">
        <v>1900</v>
      </c>
      <c r="TP5" t="s">
        <v>1900</v>
      </c>
      <c r="TQ5" t="s">
        <v>1900</v>
      </c>
      <c r="TR5" t="s">
        <v>1900</v>
      </c>
      <c r="TS5">
        <v>15752876.9880725</v>
      </c>
      <c r="TT5">
        <v>15439374.3510515</v>
      </c>
      <c r="TU5">
        <v>11187772.6110789</v>
      </c>
      <c r="TV5">
        <v>11988083.4421695</v>
      </c>
      <c r="TW5">
        <v>11288655.5227645</v>
      </c>
      <c r="TX5" t="s">
        <v>1900</v>
      </c>
      <c r="TY5" t="s">
        <v>1900</v>
      </c>
      <c r="TZ5" t="s">
        <v>1900</v>
      </c>
      <c r="UA5" t="s">
        <v>1900</v>
      </c>
      <c r="UB5" t="s">
        <v>1900</v>
      </c>
      <c r="UC5">
        <v>0</v>
      </c>
      <c r="UD5">
        <v>0</v>
      </c>
      <c r="UE5">
        <v>0</v>
      </c>
      <c r="UF5">
        <v>0</v>
      </c>
      <c r="UG5">
        <v>0</v>
      </c>
      <c r="UH5" t="s">
        <v>1900</v>
      </c>
      <c r="UI5" t="s">
        <v>1900</v>
      </c>
      <c r="UJ5" t="s">
        <v>1900</v>
      </c>
      <c r="UK5" t="s">
        <v>1900</v>
      </c>
      <c r="UL5" t="s">
        <v>1900</v>
      </c>
      <c r="UM5" t="s">
        <v>1900</v>
      </c>
      <c r="UN5" t="s">
        <v>1900</v>
      </c>
      <c r="UO5" t="s">
        <v>1900</v>
      </c>
      <c r="UP5" t="s">
        <v>1900</v>
      </c>
      <c r="UQ5" t="s">
        <v>1900</v>
      </c>
      <c r="UR5" t="s">
        <v>1900</v>
      </c>
      <c r="US5" t="s">
        <v>1900</v>
      </c>
      <c r="UT5" t="s">
        <v>1900</v>
      </c>
      <c r="UU5" t="s">
        <v>1900</v>
      </c>
      <c r="UV5" t="s">
        <v>1900</v>
      </c>
      <c r="UW5" t="s">
        <v>1900</v>
      </c>
      <c r="UX5" t="s">
        <v>1900</v>
      </c>
      <c r="UY5" t="s">
        <v>1900</v>
      </c>
      <c r="UZ5" t="s">
        <v>1900</v>
      </c>
      <c r="VA5" t="s">
        <v>1900</v>
      </c>
      <c r="VB5" t="s">
        <v>1900</v>
      </c>
      <c r="VC5" t="s">
        <v>1900</v>
      </c>
      <c r="VD5" t="s">
        <v>1900</v>
      </c>
      <c r="VE5" t="s">
        <v>1900</v>
      </c>
      <c r="VF5" t="s">
        <v>1900</v>
      </c>
      <c r="VG5" t="s">
        <v>1900</v>
      </c>
      <c r="VH5" t="s">
        <v>1900</v>
      </c>
      <c r="VI5" t="s">
        <v>1900</v>
      </c>
      <c r="VJ5" t="s">
        <v>1900</v>
      </c>
      <c r="VK5" t="s">
        <v>1900</v>
      </c>
      <c r="VL5" t="s">
        <v>1900</v>
      </c>
      <c r="VM5" t="s">
        <v>1900</v>
      </c>
      <c r="VN5" t="s">
        <v>1900</v>
      </c>
      <c r="VO5" t="s">
        <v>1900</v>
      </c>
      <c r="VP5" t="s">
        <v>1900</v>
      </c>
      <c r="VQ5" t="s">
        <v>1900</v>
      </c>
      <c r="VR5" t="s">
        <v>1900</v>
      </c>
      <c r="VS5" t="s">
        <v>1900</v>
      </c>
      <c r="VT5" t="s">
        <v>1900</v>
      </c>
      <c r="VU5" t="s">
        <v>1900</v>
      </c>
      <c r="VV5" t="s">
        <v>1900</v>
      </c>
      <c r="VW5" t="s">
        <v>1900</v>
      </c>
      <c r="VX5" t="s">
        <v>1900</v>
      </c>
      <c r="VY5" t="s">
        <v>1900</v>
      </c>
      <c r="VZ5" t="s">
        <v>1900</v>
      </c>
      <c r="WA5">
        <v>9688422.30204534</v>
      </c>
      <c r="WB5">
        <v>9643637.688996101</v>
      </c>
      <c r="WC5">
        <v>6033902.8529918</v>
      </c>
      <c r="WD5">
        <v>6930560.53802655</v>
      </c>
      <c r="WE5">
        <v>5841812.31853888</v>
      </c>
      <c r="WF5" t="s">
        <v>1900</v>
      </c>
      <c r="WG5" t="s">
        <v>1900</v>
      </c>
      <c r="WH5" t="s">
        <v>1900</v>
      </c>
      <c r="WI5" t="s">
        <v>1900</v>
      </c>
      <c r="WJ5" t="s">
        <v>1900</v>
      </c>
      <c r="WK5" t="s">
        <v>1900</v>
      </c>
      <c r="WL5" t="s">
        <v>1900</v>
      </c>
      <c r="WM5" t="s">
        <v>1900</v>
      </c>
      <c r="WN5" t="s">
        <v>1900</v>
      </c>
      <c r="WO5" t="s">
        <v>1900</v>
      </c>
      <c r="WP5" t="s">
        <v>1900</v>
      </c>
      <c r="WQ5" t="s">
        <v>1900</v>
      </c>
      <c r="WR5" t="s">
        <v>1900</v>
      </c>
      <c r="WS5" t="s">
        <v>1900</v>
      </c>
      <c r="WT5" t="s">
        <v>1900</v>
      </c>
      <c r="WU5" t="s">
        <v>1900</v>
      </c>
      <c r="WV5" t="s">
        <v>1900</v>
      </c>
      <c r="WW5" t="s">
        <v>1900</v>
      </c>
      <c r="WX5" t="s">
        <v>1900</v>
      </c>
      <c r="WY5" t="s">
        <v>1900</v>
      </c>
      <c r="WZ5" t="s">
        <v>1900</v>
      </c>
      <c r="XA5" t="s">
        <v>1900</v>
      </c>
      <c r="XB5" t="s">
        <v>1900</v>
      </c>
      <c r="XC5" t="s">
        <v>1900</v>
      </c>
      <c r="XD5" t="s">
        <v>1900</v>
      </c>
      <c r="XE5" t="s">
        <v>1900</v>
      </c>
      <c r="XF5" t="s">
        <v>1900</v>
      </c>
      <c r="XG5" t="s">
        <v>1900</v>
      </c>
      <c r="XH5" t="s">
        <v>1900</v>
      </c>
      <c r="XI5" t="s">
        <v>1900</v>
      </c>
      <c r="XJ5">
        <v>326837.795567513</v>
      </c>
      <c r="XK5" t="s">
        <v>1900</v>
      </c>
      <c r="XL5" t="s">
        <v>1900</v>
      </c>
      <c r="XM5" t="s">
        <v>1900</v>
      </c>
      <c r="XN5" t="s">
        <v>1900</v>
      </c>
      <c r="XO5" t="s">
        <v>1900</v>
      </c>
      <c r="XP5" t="s">
        <v>1900</v>
      </c>
      <c r="XQ5" t="s">
        <v>1900</v>
      </c>
      <c r="XR5" t="s">
        <v>1900</v>
      </c>
      <c r="XS5" t="s">
        <v>1900</v>
      </c>
      <c r="XT5" t="s">
        <v>1900</v>
      </c>
      <c r="XU5" t="s">
        <v>1900</v>
      </c>
      <c r="XV5" t="s">
        <v>1900</v>
      </c>
      <c r="XW5" t="s">
        <v>1900</v>
      </c>
      <c r="XX5" t="s">
        <v>1900</v>
      </c>
      <c r="XY5">
        <v>326837.795567513</v>
      </c>
      <c r="XZ5" t="s">
        <v>1900</v>
      </c>
      <c r="YA5" t="s">
        <v>1900</v>
      </c>
      <c r="YB5" t="s">
        <v>1900</v>
      </c>
      <c r="YC5" t="s">
        <v>1900</v>
      </c>
      <c r="YD5" t="s">
        <v>1900</v>
      </c>
      <c r="YE5" t="s">
        <v>1900</v>
      </c>
      <c r="YF5" t="s">
        <v>1900</v>
      </c>
      <c r="YG5" t="s">
        <v>1900</v>
      </c>
      <c r="YH5" t="s">
        <v>1900</v>
      </c>
      <c r="YI5" t="s">
        <v>1900</v>
      </c>
      <c r="YJ5" t="s">
        <v>1900</v>
      </c>
      <c r="YK5" t="s">
        <v>1900</v>
      </c>
      <c r="YL5" t="s">
        <v>1900</v>
      </c>
      <c r="YM5" t="s">
        <v>1900</v>
      </c>
      <c r="YN5" t="s">
        <v>1900</v>
      </c>
      <c r="YO5" t="s">
        <v>1900</v>
      </c>
      <c r="YP5" t="s">
        <v>1900</v>
      </c>
      <c r="YQ5" t="s">
        <v>1900</v>
      </c>
      <c r="YR5" t="s">
        <v>1900</v>
      </c>
      <c r="YS5" t="s">
        <v>1900</v>
      </c>
      <c r="YT5" t="s">
        <v>1900</v>
      </c>
      <c r="YU5" t="s">
        <v>1900</v>
      </c>
      <c r="YV5" t="s">
        <v>1900</v>
      </c>
      <c r="YW5" t="s">
        <v>1900</v>
      </c>
      <c r="YX5" t="s">
        <v>1900</v>
      </c>
      <c r="YY5" t="s">
        <v>1900</v>
      </c>
      <c r="YZ5" t="s">
        <v>1900</v>
      </c>
      <c r="ZA5" t="s">
        <v>1900</v>
      </c>
      <c r="ZB5" t="s">
        <v>1900</v>
      </c>
      <c r="ZC5" t="s">
        <v>1900</v>
      </c>
      <c r="ZD5" t="s">
        <v>1900</v>
      </c>
      <c r="ZE5" t="s">
        <v>1900</v>
      </c>
      <c r="ZF5" t="s">
        <v>1900</v>
      </c>
      <c r="ZG5" t="s">
        <v>1900</v>
      </c>
      <c r="ZH5" t="s">
        <v>1900</v>
      </c>
      <c r="ZI5" t="s">
        <v>1900</v>
      </c>
      <c r="ZJ5" t="s">
        <v>1900</v>
      </c>
      <c r="ZK5" t="s">
        <v>1900</v>
      </c>
      <c r="ZL5" t="s">
        <v>1900</v>
      </c>
      <c r="ZM5" t="s">
        <v>1900</v>
      </c>
      <c r="ZN5" t="s">
        <v>1900</v>
      </c>
      <c r="ZO5" t="s">
        <v>1900</v>
      </c>
      <c r="ZP5" t="s">
        <v>1900</v>
      </c>
      <c r="ZQ5" t="s">
        <v>1900</v>
      </c>
      <c r="ZR5" t="s">
        <v>1900</v>
      </c>
      <c r="ZS5" t="s">
        <v>1900</v>
      </c>
      <c r="ZT5" t="s">
        <v>1900</v>
      </c>
      <c r="ZU5" t="s">
        <v>1900</v>
      </c>
      <c r="ZV5" t="s">
        <v>1900</v>
      </c>
      <c r="ZW5" t="s">
        <v>1900</v>
      </c>
      <c r="ZX5" t="s">
        <v>1900</v>
      </c>
      <c r="ZY5" t="s">
        <v>1900</v>
      </c>
      <c r="ZZ5" t="s">
        <v>1900</v>
      </c>
      <c r="AAA5" t="s">
        <v>1900</v>
      </c>
      <c r="AAB5" t="s">
        <v>1900</v>
      </c>
      <c r="AAC5" t="s">
        <v>1900</v>
      </c>
      <c r="AAD5" t="s">
        <v>1900</v>
      </c>
      <c r="AAE5" t="s">
        <v>1900</v>
      </c>
      <c r="AAF5" t="s">
        <v>1900</v>
      </c>
      <c r="AAG5" t="s">
        <v>1900</v>
      </c>
      <c r="AAH5" t="s">
        <v>1900</v>
      </c>
      <c r="AAI5" t="s">
        <v>1900</v>
      </c>
      <c r="AAJ5" t="s">
        <v>1900</v>
      </c>
      <c r="AAK5" t="s">
        <v>1900</v>
      </c>
      <c r="AAL5" t="s">
        <v>1900</v>
      </c>
      <c r="AAM5" t="s">
        <v>1900</v>
      </c>
      <c r="AAN5" t="s">
        <v>1900</v>
      </c>
      <c r="AAO5" t="s">
        <v>1900</v>
      </c>
      <c r="AAP5" t="s">
        <v>1900</v>
      </c>
      <c r="AAQ5" t="s">
        <v>1900</v>
      </c>
      <c r="AAR5" t="s">
        <v>1900</v>
      </c>
      <c r="AAS5" t="s">
        <v>1900</v>
      </c>
      <c r="AAT5" t="s">
        <v>1900</v>
      </c>
      <c r="AAU5" t="s">
        <v>1900</v>
      </c>
      <c r="AAV5" t="s">
        <v>1900</v>
      </c>
      <c r="AAW5" t="s">
        <v>1900</v>
      </c>
      <c r="AAX5" t="s">
        <v>1900</v>
      </c>
      <c r="AAY5" t="s">
        <v>1900</v>
      </c>
      <c r="AAZ5" t="s">
        <v>1900</v>
      </c>
      <c r="ABA5" t="s">
        <v>1900</v>
      </c>
      <c r="ABB5" t="s">
        <v>1900</v>
      </c>
      <c r="ABC5" t="s">
        <v>1900</v>
      </c>
      <c r="ABD5" t="s">
        <v>1900</v>
      </c>
      <c r="ABE5" t="s">
        <v>1900</v>
      </c>
      <c r="ABF5" t="s">
        <v>1900</v>
      </c>
      <c r="ABG5" t="s">
        <v>1900</v>
      </c>
      <c r="ABH5" t="s">
        <v>1900</v>
      </c>
      <c r="ABI5" t="s">
        <v>1900</v>
      </c>
      <c r="ABJ5" t="s">
        <v>1900</v>
      </c>
      <c r="ABK5" t="s">
        <v>1900</v>
      </c>
      <c r="ABL5" t="s">
        <v>1900</v>
      </c>
      <c r="ABM5" t="s">
        <v>1900</v>
      </c>
      <c r="ABN5" t="s">
        <v>1900</v>
      </c>
      <c r="ABO5" t="s">
        <v>1900</v>
      </c>
      <c r="ABP5" t="s">
        <v>1900</v>
      </c>
      <c r="ABQ5" t="s">
        <v>1900</v>
      </c>
      <c r="ABR5" t="s">
        <v>1900</v>
      </c>
      <c r="ABS5" t="s">
        <v>1900</v>
      </c>
      <c r="ABT5" t="s">
        <v>1900</v>
      </c>
      <c r="ABU5" t="s">
        <v>1900</v>
      </c>
      <c r="ABV5" t="s">
        <v>1900</v>
      </c>
      <c r="ABW5" t="s">
        <v>1900</v>
      </c>
      <c r="ABX5" t="s">
        <v>1900</v>
      </c>
      <c r="ABY5" t="s">
        <v>1900</v>
      </c>
      <c r="ABZ5" t="s">
        <v>1900</v>
      </c>
      <c r="ACA5" t="s">
        <v>1900</v>
      </c>
      <c r="ACB5" t="s">
        <v>1900</v>
      </c>
      <c r="ACC5" t="s">
        <v>1900</v>
      </c>
      <c r="ACD5" t="s">
        <v>1900</v>
      </c>
      <c r="ACE5">
        <v>2.521</v>
      </c>
      <c r="ACF5">
        <v>7.779</v>
      </c>
      <c r="ACG5">
        <v>7.882</v>
      </c>
      <c r="ACH5">
        <v>8.648999999999999</v>
      </c>
      <c r="ACI5">
        <v>7.91</v>
      </c>
      <c r="ACJ5">
        <v>2.428</v>
      </c>
      <c r="ACK5" t="s">
        <v>1900</v>
      </c>
      <c r="ACL5" t="s">
        <v>1900</v>
      </c>
      <c r="ACM5" t="s">
        <v>1900</v>
      </c>
      <c r="ACN5" t="s">
        <v>1900</v>
      </c>
      <c r="ACO5">
        <v>0.828</v>
      </c>
      <c r="ACP5">
        <v>2.69</v>
      </c>
      <c r="ACQ5">
        <v>3.414</v>
      </c>
      <c r="ACR5">
        <v>3.456</v>
      </c>
      <c r="ACS5">
        <v>3.395</v>
      </c>
      <c r="ACT5">
        <v>1.954</v>
      </c>
      <c r="ACU5">
        <v>5.977</v>
      </c>
      <c r="ACV5">
        <v>6.066</v>
      </c>
      <c r="ACW5">
        <v>6.63</v>
      </c>
      <c r="ACX5">
        <v>6.12</v>
      </c>
      <c r="ACY5">
        <v>1.895</v>
      </c>
      <c r="ACZ5" t="s">
        <v>1900</v>
      </c>
      <c r="ADA5" t="s">
        <v>1900</v>
      </c>
      <c r="ADB5" t="s">
        <v>1900</v>
      </c>
      <c r="ADC5" t="s">
        <v>1900</v>
      </c>
      <c r="ADD5">
        <v>0.641</v>
      </c>
      <c r="ADE5">
        <v>2.067</v>
      </c>
      <c r="ADF5">
        <v>2.627</v>
      </c>
      <c r="ADG5">
        <v>2.649</v>
      </c>
      <c r="ADH5">
        <v>2.627</v>
      </c>
      <c r="ADI5">
        <v>0.613</v>
      </c>
      <c r="ADJ5">
        <v>2.005</v>
      </c>
      <c r="ADK5">
        <v>2.364</v>
      </c>
      <c r="ADL5">
        <v>2.484</v>
      </c>
      <c r="ADM5">
        <v>2.431</v>
      </c>
      <c r="ADN5">
        <v>96.94199999999999</v>
      </c>
      <c r="ADO5">
        <v>97.764</v>
      </c>
      <c r="ADP5">
        <v>96.871</v>
      </c>
      <c r="ADQ5">
        <v>95.749</v>
      </c>
      <c r="ADR5">
        <v>95.29300000000001</v>
      </c>
      <c r="ADS5">
        <v>0.485036503</v>
      </c>
      <c r="ADT5">
        <v>1.877137739</v>
      </c>
      <c r="ADU5">
        <v>2.380214972</v>
      </c>
      <c r="ADV5">
        <v>2.4884601</v>
      </c>
      <c r="ADW5">
        <v>2.480624371</v>
      </c>
      <c r="ADX5">
        <v>1.733</v>
      </c>
      <c r="ADY5">
        <v>2.666</v>
      </c>
      <c r="ADZ5">
        <v>2.9</v>
      </c>
      <c r="AEA5">
        <v>2.977</v>
      </c>
      <c r="AEB5">
        <v>3.189</v>
      </c>
      <c r="AEC5">
        <v>0.485</v>
      </c>
      <c r="AED5">
        <v>1.877</v>
      </c>
      <c r="AEE5">
        <v>2.38</v>
      </c>
      <c r="AEF5">
        <v>2.488</v>
      </c>
      <c r="AEG5">
        <v>2.481</v>
      </c>
      <c r="AEH5">
        <v>1.722</v>
      </c>
      <c r="AEI5">
        <v>2.33</v>
      </c>
      <c r="AEJ5">
        <v>2.339</v>
      </c>
      <c r="AEK5">
        <v>2.392</v>
      </c>
      <c r="AEL5">
        <v>2.59</v>
      </c>
      <c r="AEM5">
        <v>0.487400573</v>
      </c>
      <c r="AEN5">
        <v>1.913048291</v>
      </c>
      <c r="AEO5">
        <v>2.438250577</v>
      </c>
      <c r="AEP5">
        <v>2.551964724</v>
      </c>
      <c r="AEQ5">
        <v>2.543724623</v>
      </c>
      <c r="AER5">
        <v>1.005028544</v>
      </c>
      <c r="AES5">
        <v>1.019576579</v>
      </c>
      <c r="AET5">
        <v>1.025190032</v>
      </c>
      <c r="AEU5">
        <v>1.026682991</v>
      </c>
      <c r="AEV5">
        <v>1.026727193</v>
      </c>
      <c r="AEW5" t="s">
        <v>1900</v>
      </c>
      <c r="AEX5" t="s">
        <v>1900</v>
      </c>
      <c r="AEY5" t="s">
        <v>1900</v>
      </c>
      <c r="AEZ5" t="s">
        <v>1900</v>
      </c>
      <c r="AFA5" t="s">
        <v>1900</v>
      </c>
      <c r="AFB5" t="s">
        <v>1900</v>
      </c>
      <c r="AFC5" t="s">
        <v>1900</v>
      </c>
      <c r="AFD5" t="s">
        <v>1900</v>
      </c>
      <c r="AFE5" t="s">
        <v>1900</v>
      </c>
      <c r="AFF5" t="s">
        <v>1900</v>
      </c>
      <c r="AFG5">
        <v>3.871</v>
      </c>
      <c r="AFH5">
        <v>3.88</v>
      </c>
      <c r="AFI5">
        <v>3.334</v>
      </c>
      <c r="AFJ5">
        <v>3.482</v>
      </c>
      <c r="AFK5">
        <v>3.253</v>
      </c>
      <c r="AFL5">
        <v>33.013</v>
      </c>
      <c r="AFM5" t="s">
        <v>1900</v>
      </c>
      <c r="AFN5" t="s">
        <v>1900</v>
      </c>
      <c r="AFO5" t="s">
        <v>1900</v>
      </c>
      <c r="AFP5" t="s">
        <v>1900</v>
      </c>
      <c r="AFQ5" t="s">
        <v>1901</v>
      </c>
      <c r="AFR5" t="s">
        <v>1901</v>
      </c>
      <c r="AFS5" t="s">
        <v>1901</v>
      </c>
      <c r="AFT5" t="s">
        <v>1901</v>
      </c>
      <c r="AFU5" t="s">
        <v>1901</v>
      </c>
      <c r="AFV5">
        <v>185.15</v>
      </c>
      <c r="AFW5">
        <v>183.827</v>
      </c>
      <c r="AFX5">
        <v>147.043</v>
      </c>
      <c r="AFY5">
        <v>144.814</v>
      </c>
      <c r="AFZ5">
        <v>194.803</v>
      </c>
      <c r="AGA5">
        <v>9.584</v>
      </c>
      <c r="AGB5">
        <v>7.926</v>
      </c>
      <c r="AGC5">
        <v>6.859</v>
      </c>
      <c r="AGD5">
        <v>5.763</v>
      </c>
      <c r="AGE5">
        <v>13.717</v>
      </c>
      <c r="AGF5" t="s">
        <v>1900</v>
      </c>
      <c r="AGG5" t="s">
        <v>1900</v>
      </c>
      <c r="AGH5" t="s">
        <v>1900</v>
      </c>
      <c r="AGI5" t="s">
        <v>1900</v>
      </c>
      <c r="AGJ5" t="s">
        <v>1900</v>
      </c>
      <c r="AGK5" t="s">
        <v>1900</v>
      </c>
      <c r="AGL5" t="s">
        <v>1900</v>
      </c>
      <c r="AGM5" t="s">
        <v>1900</v>
      </c>
      <c r="AGN5" t="s">
        <v>1900</v>
      </c>
      <c r="AGO5" t="s">
        <v>1900</v>
      </c>
      <c r="AGP5" t="s">
        <v>1900</v>
      </c>
      <c r="AGQ5" t="s">
        <v>1900</v>
      </c>
      <c r="AGR5" t="s">
        <v>1900</v>
      </c>
      <c r="AGS5" t="s">
        <v>1900</v>
      </c>
      <c r="AGT5" t="s">
        <v>1900</v>
      </c>
      <c r="AGU5">
        <v>0</v>
      </c>
      <c r="AGV5">
        <v>0</v>
      </c>
      <c r="AGW5">
        <v>0</v>
      </c>
      <c r="AGX5">
        <v>0</v>
      </c>
      <c r="AGY5">
        <v>0</v>
      </c>
      <c r="AGZ5">
        <v>1.428</v>
      </c>
      <c r="AHA5">
        <v>1.467</v>
      </c>
      <c r="AHB5">
        <v>1.663</v>
      </c>
      <c r="AHC5">
        <v>1.608</v>
      </c>
      <c r="AHD5">
        <v>1.677</v>
      </c>
      <c r="AHE5">
        <v>1.428</v>
      </c>
      <c r="AHF5">
        <v>1.467</v>
      </c>
      <c r="AHG5">
        <v>1.663</v>
      </c>
      <c r="AHH5">
        <v>1.607</v>
      </c>
      <c r="AHI5">
        <v>1.677</v>
      </c>
      <c r="AHJ5">
        <v>15.821</v>
      </c>
      <c r="AHK5" t="s">
        <v>1901</v>
      </c>
      <c r="AHL5" t="s">
        <v>1901</v>
      </c>
      <c r="AHM5" t="s">
        <v>1901</v>
      </c>
      <c r="AHN5" t="s">
        <v>1901</v>
      </c>
      <c r="AHO5">
        <v>32.826</v>
      </c>
      <c r="AHP5">
        <v>34.585</v>
      </c>
      <c r="AHQ5">
        <v>43.315</v>
      </c>
      <c r="AHR5">
        <v>39.961</v>
      </c>
      <c r="AHS5">
        <v>42.929</v>
      </c>
      <c r="AHT5">
        <v>48.867</v>
      </c>
      <c r="AHU5">
        <v>52.869</v>
      </c>
      <c r="AHV5">
        <v>76.41500000000001</v>
      </c>
      <c r="AHW5">
        <v>66.557</v>
      </c>
      <c r="AHX5">
        <v>75.22</v>
      </c>
      <c r="AHY5">
        <v>6.321</v>
      </c>
      <c r="AHZ5">
        <v>0</v>
      </c>
      <c r="AIA5">
        <v>0</v>
      </c>
      <c r="AIB5">
        <v>0</v>
      </c>
      <c r="AIC5">
        <v>0</v>
      </c>
      <c r="AID5">
        <v>0.970227238</v>
      </c>
      <c r="AIE5">
        <v>0.8491897900000001</v>
      </c>
      <c r="AIF5">
        <v>2.407642736</v>
      </c>
      <c r="AIG5">
        <v>1.04912486</v>
      </c>
      <c r="AIH5">
        <v>1.207084706</v>
      </c>
      <c r="AII5">
        <v>23.493411922</v>
      </c>
      <c r="AIJ5">
        <v>27.445953998</v>
      </c>
      <c r="AIK5">
        <v>35.261449169</v>
      </c>
      <c r="AIL5">
        <v>40.526568842</v>
      </c>
      <c r="AIM5">
        <v>20.145363908</v>
      </c>
      <c r="AIN5">
        <v>61.502557973</v>
      </c>
      <c r="AIO5">
        <v>62.461324337</v>
      </c>
      <c r="AIP5">
        <v>53.933012966</v>
      </c>
      <c r="AIQ5">
        <v>57.812081234</v>
      </c>
      <c r="AIR5">
        <v>51.749407241</v>
      </c>
      <c r="AIS5">
        <v>0</v>
      </c>
      <c r="AIT5">
        <v>0</v>
      </c>
      <c r="AIU5">
        <v>0.7373144740000001</v>
      </c>
      <c r="AIV5">
        <v>0.8825591860000001</v>
      </c>
      <c r="AIW5">
        <v>0.16575776</v>
      </c>
      <c r="AIX5">
        <v>1.67143975977612</v>
      </c>
      <c r="AIY5">
        <v>6.10829688132858</v>
      </c>
      <c r="AIZ5">
        <v>6.06294719967067</v>
      </c>
      <c r="AJA5">
        <v>6.79242716612577</v>
      </c>
      <c r="AJB5">
        <v>6.49665881716132</v>
      </c>
      <c r="AJC5">
        <v>272.849215857939</v>
      </c>
      <c r="AJD5">
        <v>304.636712662213</v>
      </c>
      <c r="AJE5">
        <v>256.459782141073</v>
      </c>
      <c r="AJF5">
        <v>273.419380965579</v>
      </c>
      <c r="AJG5">
        <v>267.219624982561</v>
      </c>
      <c r="AJH5">
        <v>35.316</v>
      </c>
      <c r="AJI5">
        <v>34.027</v>
      </c>
      <c r="AJJ5">
        <v>35.922</v>
      </c>
      <c r="AJK5">
        <v>34.935</v>
      </c>
      <c r="AJL5">
        <v>37.282</v>
      </c>
      <c r="AJM5">
        <v>96.36060135150539</v>
      </c>
      <c r="AJN5">
        <v>103.659815851252</v>
      </c>
      <c r="AJO5">
        <v>92.12612395359101</v>
      </c>
      <c r="AJP5">
        <v>95.5202910814905</v>
      </c>
      <c r="AJQ5">
        <v>99.62493539924979</v>
      </c>
      <c r="AJR5">
        <v>66.2951010904136</v>
      </c>
      <c r="AJS5">
        <v>78.52424360071559</v>
      </c>
      <c r="AJT5">
        <v>76.9212554795045</v>
      </c>
      <c r="AJU5">
        <v>78.53285172314639</v>
      </c>
      <c r="AJV5">
        <v>82.1373862143505</v>
      </c>
      <c r="AJW5">
        <v>133.063749213963</v>
      </c>
      <c r="AJX5">
        <v>148.849671926904</v>
      </c>
      <c r="AJY5">
        <v>99.9245746447879</v>
      </c>
      <c r="AJZ5">
        <v>105.711489808474</v>
      </c>
      <c r="AKA5">
        <v>134.436757163365</v>
      </c>
      <c r="AKB5">
        <v>201.959961785122</v>
      </c>
      <c r="AKC5">
        <v>227.049623297081</v>
      </c>
      <c r="AKD5">
        <v>177.583691917675</v>
      </c>
      <c r="AKE5">
        <v>196.525957994084</v>
      </c>
      <c r="AKF5">
        <v>191.333143954476</v>
      </c>
      <c r="AKG5">
        <v>0</v>
      </c>
      <c r="AKH5">
        <v>0</v>
      </c>
      <c r="AKI5">
        <v>0.7373144740000001</v>
      </c>
      <c r="AKJ5">
        <v>0.8825591860000001</v>
      </c>
      <c r="AKK5">
        <v>0.16575776</v>
      </c>
      <c r="AKL5">
        <v>0</v>
      </c>
      <c r="AKM5">
        <v>0</v>
      </c>
      <c r="AKN5">
        <v>0.02307377</v>
      </c>
      <c r="AKO5">
        <v>0.037520914</v>
      </c>
      <c r="AKP5">
        <v>0.007801589</v>
      </c>
      <c r="AKQ5">
        <v>0</v>
      </c>
      <c r="AKR5">
        <v>0</v>
      </c>
      <c r="AKS5">
        <v>0.033322283</v>
      </c>
      <c r="AKT5">
        <v>0.052201476</v>
      </c>
      <c r="AKU5">
        <v>0.010895852</v>
      </c>
      <c r="AKV5">
        <v>0.230120304</v>
      </c>
      <c r="AKW5">
        <v>0.09870572399999999</v>
      </c>
      <c r="AKX5">
        <v>1.32E-07</v>
      </c>
      <c r="AKY5">
        <v>0.00021744</v>
      </c>
      <c r="AKZ5">
        <v>0.004036837</v>
      </c>
      <c r="ALA5">
        <v>0.310894022</v>
      </c>
      <c r="ALB5">
        <v>0.13243531</v>
      </c>
      <c r="ALC5">
        <v>1.91E-07</v>
      </c>
      <c r="ALD5">
        <v>0.000302516</v>
      </c>
      <c r="ALE5">
        <v>0.005637926</v>
      </c>
      <c r="ALF5">
        <v>4.250510472</v>
      </c>
      <c r="ALG5">
        <v>2.280769895</v>
      </c>
      <c r="ALH5">
        <v>2.292270799</v>
      </c>
      <c r="ALI5">
        <v>1.729754396</v>
      </c>
      <c r="ALJ5">
        <v>2.18894794</v>
      </c>
      <c r="ALK5">
        <v>5.742467186</v>
      </c>
      <c r="ALL5">
        <v>3.060151491</v>
      </c>
      <c r="ALM5">
        <v>3.310412473</v>
      </c>
      <c r="ALN5">
        <v>2.40654406</v>
      </c>
      <c r="ALO5">
        <v>3.057127651</v>
      </c>
      <c r="ALP5">
        <v>51.430545099</v>
      </c>
      <c r="ALQ5">
        <v>51.063067278</v>
      </c>
      <c r="ALR5">
        <v>40.845234731</v>
      </c>
      <c r="ALS5">
        <v>40.226211975</v>
      </c>
      <c r="ALT5">
        <v>54.112006311</v>
      </c>
      <c r="ALU5">
        <v>5.176514025</v>
      </c>
      <c r="ALV5">
        <v>4.31172132</v>
      </c>
      <c r="ALW5">
        <v>4.664559403</v>
      </c>
      <c r="ALX5">
        <v>3.979915316</v>
      </c>
      <c r="ALY5">
        <v>7.041589241</v>
      </c>
      <c r="ALZ5">
        <v>96.9416919630939</v>
      </c>
      <c r="AMA5">
        <v>97.7640513567692</v>
      </c>
      <c r="AMB5">
        <v>96.8705660124168</v>
      </c>
      <c r="AMC5">
        <v>95.74862350236241</v>
      </c>
      <c r="AMD5">
        <v>95.2933792474138</v>
      </c>
      <c r="AME5">
        <v>97.08827864803411</v>
      </c>
      <c r="AMF5">
        <v>97.7640513567692</v>
      </c>
      <c r="AMG5">
        <v>96.8705660124168</v>
      </c>
      <c r="AMH5">
        <v>95.74862350236241</v>
      </c>
      <c r="AMI5">
        <v>95.3029788619628</v>
      </c>
      <c r="AMJ5">
        <v>3169.78181377585</v>
      </c>
      <c r="AMK5">
        <v>4372.37463627552</v>
      </c>
      <c r="AML5">
        <v>3095.46602985634</v>
      </c>
      <c r="AMM5">
        <v>2252.17934839617</v>
      </c>
      <c r="AMN5">
        <v>2024.66661872112</v>
      </c>
      <c r="AMO5">
        <v>1.00502854360387</v>
      </c>
      <c r="AMP5">
        <v>1.01957657899788</v>
      </c>
      <c r="AMQ5">
        <v>1.02519003205549</v>
      </c>
      <c r="AMR5">
        <v>1.0266829909936</v>
      </c>
      <c r="AMS5">
        <v>1.02672719254825</v>
      </c>
      <c r="AMT5">
        <v>1.00502854365447</v>
      </c>
      <c r="AMU5">
        <v>1.01957657899788</v>
      </c>
      <c r="AMV5">
        <v>1.02519003205549</v>
      </c>
      <c r="AMW5">
        <v>1.0266829909936</v>
      </c>
      <c r="AMX5">
        <v>1.02672719254825</v>
      </c>
      <c r="AMY5">
        <v>1.00502854365473</v>
      </c>
      <c r="AMZ5">
        <v>1.01957657899788</v>
      </c>
      <c r="ANA5">
        <v>1.02519003205549</v>
      </c>
      <c r="ANB5">
        <v>1.0266829909936</v>
      </c>
      <c r="ANC5">
        <v>1.02672719254825</v>
      </c>
      <c r="AND5">
        <v>0.485036502771345</v>
      </c>
      <c r="ANE5">
        <v>1.87713773929548</v>
      </c>
      <c r="ANF5">
        <v>2.38021497165121</v>
      </c>
      <c r="ANG5">
        <v>2.48846010012389</v>
      </c>
      <c r="ANH5">
        <v>2.48062437052765</v>
      </c>
      <c r="ANI5">
        <v>0.485769932233699</v>
      </c>
      <c r="ANJ5">
        <v>1.87713773929548</v>
      </c>
      <c r="ANK5">
        <v>2.38021497165121</v>
      </c>
      <c r="ANL5">
        <v>2.48846010012389</v>
      </c>
      <c r="ANM5">
        <v>2.48087426236679</v>
      </c>
      <c r="ANN5">
        <v>0.487400573467379</v>
      </c>
      <c r="ANO5">
        <v>1.91304829073175</v>
      </c>
      <c r="ANP5">
        <v>2.43825057692966</v>
      </c>
      <c r="ANQ5">
        <v>2.55196472405113</v>
      </c>
      <c r="ANR5">
        <v>2.54372462345621</v>
      </c>
      <c r="ANS5">
        <v>1.87757980240096</v>
      </c>
      <c r="ANT5">
        <v>7.28240149082407</v>
      </c>
      <c r="ANU5">
        <v>7.93577024067154</v>
      </c>
      <c r="ANV5">
        <v>8.66380384728344</v>
      </c>
      <c r="ANW5">
        <v>8.070277658656311</v>
      </c>
      <c r="ANX5">
        <v>96.9416919630939</v>
      </c>
      <c r="ANY5">
        <v>97.7640513567692</v>
      </c>
      <c r="ANZ5">
        <v>96.8705660124168</v>
      </c>
      <c r="AOA5">
        <v>95.74862350236241</v>
      </c>
      <c r="AOB5">
        <v>95.2933792474138</v>
      </c>
      <c r="AOC5">
        <v>97.4141863256511</v>
      </c>
      <c r="AOD5">
        <v>99.6343248702</v>
      </c>
      <c r="AOE5">
        <v>99.23251314708961</v>
      </c>
      <c r="AOF5">
        <v>98.1920945979072</v>
      </c>
      <c r="AOG5">
        <v>97.71738039985379</v>
      </c>
      <c r="AOH5" t="s">
        <v>1901</v>
      </c>
      <c r="AOI5" t="s">
        <v>1901</v>
      </c>
      <c r="AOJ5" t="s">
        <v>1901</v>
      </c>
      <c r="AOK5" t="s">
        <v>1901</v>
      </c>
      <c r="AOL5" t="s">
        <v>1901</v>
      </c>
      <c r="AOM5">
        <v>15.8596353577918</v>
      </c>
      <c r="AON5">
        <v>83.9526321402065</v>
      </c>
      <c r="AOO5">
        <v>76.058960856669</v>
      </c>
      <c r="AOP5">
        <v>58.5330445681927</v>
      </c>
      <c r="AOQ5">
        <v>52.7049979364618</v>
      </c>
      <c r="AOR5">
        <v>0.502854365447408</v>
      </c>
      <c r="AOS5">
        <v>1.95765789978811</v>
      </c>
      <c r="AOT5">
        <v>2.51900320554881</v>
      </c>
      <c r="AOU5">
        <v>2.66829909936031</v>
      </c>
      <c r="AOV5">
        <v>2.67271925482455</v>
      </c>
      <c r="AOW5">
        <v>0.6552874576523871</v>
      </c>
      <c r="AOX5">
        <v>2.5185907030404</v>
      </c>
      <c r="AOY5">
        <v>3.43741818576867</v>
      </c>
      <c r="AOZ5">
        <v>3.46210357133516</v>
      </c>
      <c r="APA5">
        <v>3.46448867739709</v>
      </c>
      <c r="APB5">
        <v>0.474755212957242</v>
      </c>
      <c r="APC5">
        <v>1.54058367530311</v>
      </c>
      <c r="APD5">
        <v>1.81934829914368</v>
      </c>
      <c r="APE5">
        <v>1.90422097520659</v>
      </c>
      <c r="APF5">
        <v>1.88114919045542</v>
      </c>
      <c r="APG5">
        <v>0.475473095959036</v>
      </c>
      <c r="APH5">
        <v>1.54058367530311</v>
      </c>
      <c r="API5">
        <v>1.81934829914368</v>
      </c>
      <c r="APJ5">
        <v>1.90422097520659</v>
      </c>
      <c r="APK5">
        <v>1.88133869267772</v>
      </c>
      <c r="APL5">
        <v>15.5234596132287</v>
      </c>
      <c r="APM5">
        <v>68.9006735448575</v>
      </c>
      <c r="APN5">
        <v>58.1366568639053</v>
      </c>
      <c r="APO5">
        <v>44.7906925266374</v>
      </c>
      <c r="APP5">
        <v>39.9681488979489</v>
      </c>
      <c r="APQ5">
        <v>0.492195391461096</v>
      </c>
      <c r="APR5">
        <v>1.60666728877001</v>
      </c>
      <c r="APS5">
        <v>1.92543289246408</v>
      </c>
      <c r="APT5">
        <v>2.0418374853082</v>
      </c>
      <c r="APU5">
        <v>2.0268218446384</v>
      </c>
      <c r="APV5">
        <v>0.477069172587762</v>
      </c>
      <c r="APW5">
        <v>1.57005578497079</v>
      </c>
      <c r="APX5">
        <v>1.86370856954391</v>
      </c>
      <c r="APY5">
        <v>1.95281602276184</v>
      </c>
      <c r="APZ5">
        <v>1.92900044561698</v>
      </c>
      <c r="AQA5">
        <v>0.641397368504092</v>
      </c>
      <c r="AQB5">
        <v>2.0670298405116</v>
      </c>
      <c r="AQC5">
        <v>2.62743533849186</v>
      </c>
      <c r="AQD5">
        <v>2.6492730337713</v>
      </c>
      <c r="AQE5">
        <v>2.62724987638546</v>
      </c>
      <c r="AQF5">
        <v>0.00502854365472857</v>
      </c>
      <c r="AQG5">
        <v>0.0195765789978811</v>
      </c>
      <c r="AQH5">
        <v>0.0251900320554881</v>
      </c>
      <c r="AQI5">
        <v>0.0266829909936031</v>
      </c>
      <c r="AQJ5">
        <v>0.0267271925482455</v>
      </c>
      <c r="AQK5">
        <v>16</v>
      </c>
      <c r="AQO5" t="s">
        <v>1903</v>
      </c>
      <c r="AQP5">
        <v>11</v>
      </c>
      <c r="AQQ5">
        <v>0</v>
      </c>
      <c r="AQS5" t="s">
        <v>1905</v>
      </c>
      <c r="AQU5" t="s">
        <v>1906</v>
      </c>
      <c r="AQV5">
        <v>21282238.8691251</v>
      </c>
      <c r="AQW5">
        <v>20715296.4256705</v>
      </c>
      <c r="AQX5">
        <v>16156966.2780874</v>
      </c>
      <c r="AQY5">
        <v>103226.627122248</v>
      </c>
      <c r="AQZ5">
        <v>388854.647013187</v>
      </c>
      <c r="ARA5">
        <v>384570.530315673</v>
      </c>
      <c r="ARB5">
        <v>58154501.572883</v>
      </c>
      <c r="ARC5">
        <v>876651.804451108</v>
      </c>
      <c r="ARD5">
        <v>0.01530524990018508</v>
      </c>
      <c r="ARE5">
        <v>0.01530524990018508</v>
      </c>
      <c r="ARF5">
        <v>0.01530524990018508</v>
      </c>
      <c r="ARG5">
        <v>0.01530524990018508</v>
      </c>
      <c r="ARH5">
        <v>0.01530524990018508</v>
      </c>
      <c r="ARI5">
        <v>0.01530524990018508</v>
      </c>
      <c r="ARJ5" t="s">
        <v>1166</v>
      </c>
      <c r="ARK5" t="s">
        <v>1504</v>
      </c>
      <c r="ARL5" t="s">
        <v>1909</v>
      </c>
      <c r="ARP5" t="s">
        <v>1907</v>
      </c>
      <c r="ARQ5" t="s">
        <v>1911</v>
      </c>
    </row>
    <row r="6" spans="1:1163">
      <c r="A6">
        <v>300</v>
      </c>
      <c r="B6" t="s">
        <v>1167</v>
      </c>
      <c r="C6" t="s">
        <v>1290</v>
      </c>
      <c r="E6" s="2">
        <v>31516</v>
      </c>
      <c r="F6" t="s">
        <v>1431</v>
      </c>
      <c r="G6" t="s">
        <v>1433</v>
      </c>
      <c r="H6" t="s">
        <v>1434</v>
      </c>
      <c r="I6" t="s">
        <v>1437</v>
      </c>
      <c r="J6" t="s">
        <v>1453</v>
      </c>
      <c r="L6" t="s">
        <v>1505</v>
      </c>
      <c r="N6" t="s">
        <v>1628</v>
      </c>
      <c r="O6" t="s">
        <v>1652</v>
      </c>
      <c r="P6">
        <v>7490</v>
      </c>
      <c r="Q6">
        <v>7490</v>
      </c>
      <c r="R6" t="s">
        <v>1676</v>
      </c>
      <c r="S6" t="s">
        <v>1793</v>
      </c>
      <c r="T6" t="s">
        <v>1848</v>
      </c>
      <c r="U6" t="s">
        <v>1873</v>
      </c>
      <c r="X6" t="s">
        <v>1875</v>
      </c>
      <c r="Z6" t="s">
        <v>1899</v>
      </c>
      <c r="AA6" s="2">
        <v>45657</v>
      </c>
      <c r="AB6">
        <v>2024</v>
      </c>
      <c r="AC6">
        <v>2524531.0269426</v>
      </c>
      <c r="AD6">
        <v>1659313.43087948</v>
      </c>
      <c r="AE6">
        <v>3922744.67493017</v>
      </c>
      <c r="AF6">
        <v>2690344.76969018</v>
      </c>
      <c r="AG6">
        <v>2679440.03786802</v>
      </c>
      <c r="AH6">
        <v>2524531.0269426</v>
      </c>
      <c r="AI6">
        <v>1659313.43087948</v>
      </c>
      <c r="AJ6">
        <v>3905382.5684603</v>
      </c>
      <c r="AK6">
        <v>2672260.85770898</v>
      </c>
      <c r="AL6">
        <v>2647970.07011269</v>
      </c>
      <c r="AM6" t="s">
        <v>1900</v>
      </c>
      <c r="AN6" t="s">
        <v>1900</v>
      </c>
      <c r="AO6" t="s">
        <v>1900</v>
      </c>
      <c r="AP6" t="s">
        <v>1900</v>
      </c>
      <c r="AQ6" t="s">
        <v>1900</v>
      </c>
      <c r="AR6">
        <v>2524531.0269426</v>
      </c>
      <c r="AS6">
        <v>1659313.43087948</v>
      </c>
      <c r="AT6">
        <v>3922744.67493017</v>
      </c>
      <c r="AU6">
        <v>2690344.76969018</v>
      </c>
      <c r="AV6">
        <v>2679440.03786802</v>
      </c>
      <c r="AW6">
        <v>2513376.237904</v>
      </c>
      <c r="AX6">
        <v>1652714.71046805</v>
      </c>
      <c r="AY6">
        <v>3909701.1444603</v>
      </c>
      <c r="AZ6">
        <v>2662458.16806986</v>
      </c>
      <c r="BA6">
        <v>2650884.65182672</v>
      </c>
      <c r="BB6">
        <v>11154.7890386009</v>
      </c>
      <c r="BC6">
        <v>6598.72041142464</v>
      </c>
      <c r="BD6">
        <v>13043.5304698706</v>
      </c>
      <c r="BE6">
        <v>27886.6016203165</v>
      </c>
      <c r="BF6">
        <v>28555.3860413074</v>
      </c>
      <c r="BG6">
        <v>0</v>
      </c>
      <c r="BH6">
        <v>0</v>
      </c>
      <c r="BI6">
        <v>13332.4936032295</v>
      </c>
      <c r="BJ6">
        <v>0</v>
      </c>
      <c r="BK6">
        <v>-989.4837910890579</v>
      </c>
      <c r="BL6" t="s">
        <v>1900</v>
      </c>
      <c r="BM6" t="s">
        <v>1900</v>
      </c>
      <c r="BN6">
        <v>13332.4936032295</v>
      </c>
      <c r="BO6" t="s">
        <v>1900</v>
      </c>
      <c r="BP6" t="s">
        <v>1900</v>
      </c>
      <c r="BQ6" t="s">
        <v>1900</v>
      </c>
      <c r="BR6" t="s">
        <v>1900</v>
      </c>
      <c r="BS6" t="s">
        <v>1900</v>
      </c>
      <c r="BT6" t="s">
        <v>1900</v>
      </c>
      <c r="BU6">
        <v>989.4837910890579</v>
      </c>
      <c r="BV6">
        <v>11154.7890386009</v>
      </c>
      <c r="BW6">
        <v>6598.72041142464</v>
      </c>
      <c r="BX6">
        <v>26376.0240731001</v>
      </c>
      <c r="BY6">
        <v>27886.6016203165</v>
      </c>
      <c r="BZ6">
        <v>27565.9022502184</v>
      </c>
      <c r="CA6">
        <v>2565.60397223711</v>
      </c>
      <c r="CB6">
        <v>1649.67734035492</v>
      </c>
      <c r="CC6">
        <v>6594.00601827502</v>
      </c>
      <c r="CD6">
        <v>6971.65323657989</v>
      </c>
      <c r="CE6">
        <v>7835.09038183093</v>
      </c>
      <c r="CF6">
        <v>8589.185066363811</v>
      </c>
      <c r="CG6">
        <v>4949.04196606922</v>
      </c>
      <c r="CH6">
        <v>19782.0180548251</v>
      </c>
      <c r="CI6">
        <v>20914.9483837366</v>
      </c>
      <c r="CJ6">
        <v>19730.8118683875</v>
      </c>
      <c r="CK6" t="s">
        <v>1900</v>
      </c>
      <c r="CL6" t="s">
        <v>1900</v>
      </c>
      <c r="CM6" t="s">
        <v>1900</v>
      </c>
      <c r="CN6" t="s">
        <v>1900</v>
      </c>
      <c r="CO6" t="s">
        <v>1900</v>
      </c>
      <c r="CP6" t="s">
        <v>1900</v>
      </c>
      <c r="CQ6" t="s">
        <v>1900</v>
      </c>
      <c r="CR6" t="s">
        <v>1900</v>
      </c>
      <c r="CS6" t="s">
        <v>1900</v>
      </c>
      <c r="CT6" t="s">
        <v>1900</v>
      </c>
      <c r="CU6" t="s">
        <v>1900</v>
      </c>
      <c r="CV6" t="s">
        <v>1900</v>
      </c>
      <c r="CW6" t="s">
        <v>1900</v>
      </c>
      <c r="CX6" t="s">
        <v>1900</v>
      </c>
      <c r="CY6" t="s">
        <v>1900</v>
      </c>
      <c r="CZ6">
        <v>8589.185066363811</v>
      </c>
      <c r="DA6">
        <v>4949.04196606922</v>
      </c>
      <c r="DB6">
        <v>19782.0180548251</v>
      </c>
      <c r="DC6">
        <v>20914.9483837366</v>
      </c>
      <c r="DD6">
        <v>19730.8118683875</v>
      </c>
      <c r="DE6" t="s">
        <v>1900</v>
      </c>
      <c r="DF6" t="s">
        <v>1900</v>
      </c>
      <c r="DG6" t="s">
        <v>1900</v>
      </c>
      <c r="DH6" t="s">
        <v>1900</v>
      </c>
      <c r="DI6" t="s">
        <v>1900</v>
      </c>
      <c r="DJ6" t="s">
        <v>1900</v>
      </c>
      <c r="DK6" t="s">
        <v>1900</v>
      </c>
      <c r="DL6" t="s">
        <v>1900</v>
      </c>
      <c r="DM6" t="s">
        <v>1900</v>
      </c>
      <c r="DN6" t="s">
        <v>1900</v>
      </c>
      <c r="DO6">
        <v>379169.357520736</v>
      </c>
      <c r="DP6">
        <v>393895.880275631</v>
      </c>
      <c r="DQ6">
        <v>371846.617048454</v>
      </c>
      <c r="DR6">
        <v>370662.602888989</v>
      </c>
      <c r="DS6">
        <v>369529.308851248</v>
      </c>
      <c r="DT6">
        <v>23273.5833501995</v>
      </c>
      <c r="DU6">
        <v>31146.1738280201</v>
      </c>
      <c r="DV6">
        <v>39369.2217131197</v>
      </c>
      <c r="DW6">
        <v>38700.5787479639</v>
      </c>
      <c r="DX6">
        <v>36999.4121794879</v>
      </c>
      <c r="DY6">
        <v>2110933.29703307</v>
      </c>
      <c r="DZ6">
        <v>1227672.6563644</v>
      </c>
      <c r="EA6">
        <v>3498485.30569872</v>
      </c>
      <c r="EB6">
        <v>2253094.98643291</v>
      </c>
      <c r="EC6">
        <v>2244355.93079598</v>
      </c>
      <c r="ED6" t="s">
        <v>1900</v>
      </c>
      <c r="EE6" t="s">
        <v>1900</v>
      </c>
      <c r="EF6" t="s">
        <v>1900</v>
      </c>
      <c r="EG6" t="s">
        <v>1900</v>
      </c>
      <c r="EH6">
        <v>989.4837910890579</v>
      </c>
      <c r="EI6" t="s">
        <v>1900</v>
      </c>
      <c r="EJ6" t="s">
        <v>1900</v>
      </c>
      <c r="EK6" t="s">
        <v>1900</v>
      </c>
      <c r="EL6" t="s">
        <v>1900</v>
      </c>
      <c r="EM6" t="s">
        <v>1900</v>
      </c>
      <c r="EN6">
        <v>31862.7684165633</v>
      </c>
      <c r="EO6">
        <v>36095.2168990898</v>
      </c>
      <c r="EP6">
        <v>59151.2397679448</v>
      </c>
      <c r="EQ6">
        <v>59615.5259991002</v>
      </c>
      <c r="ER6">
        <v>56730.2240478754</v>
      </c>
      <c r="ES6">
        <v>413597.729909537</v>
      </c>
      <c r="ET6">
        <v>431640.774515076</v>
      </c>
      <c r="EU6">
        <v>437591.861768075</v>
      </c>
      <c r="EV6">
        <v>437249.78212467</v>
      </c>
      <c r="EW6">
        <v>435084.107072043</v>
      </c>
      <c r="EX6">
        <v>34428.3723888004</v>
      </c>
      <c r="EY6">
        <v>37744.8942394447</v>
      </c>
      <c r="EZ6">
        <v>52412.7521829903</v>
      </c>
      <c r="FA6">
        <v>66587.1803682804</v>
      </c>
      <c r="FB6">
        <v>65554.7982207954</v>
      </c>
      <c r="FC6">
        <v>901298.0447164919</v>
      </c>
      <c r="FD6">
        <v>976595.2503339479</v>
      </c>
      <c r="FE6">
        <v>972737.9226760149</v>
      </c>
      <c r="FF6">
        <v>1066226.76949232</v>
      </c>
      <c r="FG6">
        <v>1176570.55300946</v>
      </c>
      <c r="FH6">
        <v>13186.9908195531</v>
      </c>
      <c r="FI6">
        <v>18436.6349241352</v>
      </c>
      <c r="FJ6">
        <v>31207.0584632278</v>
      </c>
      <c r="FK6">
        <v>50639.3978709698</v>
      </c>
      <c r="FL6">
        <v>60094.5867391109</v>
      </c>
      <c r="FM6">
        <v>840893.745047681</v>
      </c>
      <c r="FN6">
        <v>907937.061120996</v>
      </c>
      <c r="FO6">
        <v>890160.926349467</v>
      </c>
      <c r="FP6">
        <v>961121.3590255741</v>
      </c>
      <c r="FQ6">
        <v>1057465.55857526</v>
      </c>
      <c r="FR6">
        <v>47217.3088492572</v>
      </c>
      <c r="FS6">
        <v>50221.5542888165</v>
      </c>
      <c r="FT6">
        <v>51369.9378633201</v>
      </c>
      <c r="FU6">
        <v>54466.0125957728</v>
      </c>
      <c r="FV6">
        <v>59010.4076950848</v>
      </c>
      <c r="FW6">
        <v>13186.9908195531</v>
      </c>
      <c r="FX6">
        <v>18436.6349241352</v>
      </c>
      <c r="FY6">
        <v>31207.0584632278</v>
      </c>
      <c r="FZ6">
        <v>50639.3978709698</v>
      </c>
      <c r="GA6">
        <v>60094.5867391109</v>
      </c>
      <c r="GB6">
        <v>840893.745047681</v>
      </c>
      <c r="GC6">
        <v>907937.061120996</v>
      </c>
      <c r="GD6">
        <v>890160.926349467</v>
      </c>
      <c r="GE6">
        <v>961121.3590255741</v>
      </c>
      <c r="GF6">
        <v>1057465.55857526</v>
      </c>
      <c r="GG6">
        <v>47217.3088492572</v>
      </c>
      <c r="GH6">
        <v>50221.5542888165</v>
      </c>
      <c r="GI6">
        <v>51369.9378633201</v>
      </c>
      <c r="GJ6">
        <v>54466.0125957728</v>
      </c>
      <c r="GK6">
        <v>59010.4076950848</v>
      </c>
      <c r="GL6">
        <v>1756402.97969612</v>
      </c>
      <c r="GM6">
        <v>721274.631349192</v>
      </c>
      <c r="GN6">
        <v>2709818.0722318</v>
      </c>
      <c r="GO6">
        <v>1332610.85074704</v>
      </c>
      <c r="GP6">
        <v>1247205.77547876</v>
      </c>
      <c r="GQ6">
        <v>0</v>
      </c>
      <c r="GR6">
        <v>0</v>
      </c>
      <c r="GS6">
        <v>0</v>
      </c>
      <c r="GT6">
        <v>0</v>
      </c>
      <c r="GU6">
        <v>0</v>
      </c>
      <c r="GV6">
        <v>1493846.88544196</v>
      </c>
      <c r="GW6">
        <v>477628.994554024</v>
      </c>
      <c r="GX6">
        <v>2160338.82448135</v>
      </c>
      <c r="GY6">
        <v>1009843.94413619</v>
      </c>
      <c r="GZ6">
        <v>904183.063136506</v>
      </c>
      <c r="HA6">
        <v>262556.09425416</v>
      </c>
      <c r="HB6">
        <v>243645.636795168</v>
      </c>
      <c r="HC6">
        <v>549479.247750449</v>
      </c>
      <c r="HD6">
        <v>322766.906610846</v>
      </c>
      <c r="HE6">
        <v>343022.712342256</v>
      </c>
      <c r="HF6">
        <v>237619.149627014</v>
      </c>
      <c r="HG6">
        <v>217952.529914417</v>
      </c>
      <c r="HH6">
        <v>524652.88607384</v>
      </c>
      <c r="HI6">
        <v>322766.906610846</v>
      </c>
      <c r="HJ6">
        <v>343022.712342256</v>
      </c>
      <c r="HK6">
        <v>2657701.02441262</v>
      </c>
      <c r="HL6">
        <v>1697869.88168314</v>
      </c>
      <c r="HM6">
        <v>3682555.99490781</v>
      </c>
      <c r="HN6">
        <v>2398837.61910675</v>
      </c>
      <c r="HO6">
        <v>2423776.32848822</v>
      </c>
      <c r="HP6">
        <v>1143600.15869206</v>
      </c>
      <c r="HQ6">
        <v>1208464.36644396</v>
      </c>
      <c r="HR6">
        <v>1166636.22757193</v>
      </c>
      <c r="HS6">
        <v>1217821.16400332</v>
      </c>
      <c r="HT6">
        <v>1296770.59858747</v>
      </c>
      <c r="HU6">
        <v>334611.278270342</v>
      </c>
      <c r="HV6">
        <v>355901.233824101</v>
      </c>
      <c r="HW6">
        <v>343532.944349015</v>
      </c>
      <c r="HX6">
        <v>364790.647920942</v>
      </c>
      <c r="HY6">
        <v>395227.111940992</v>
      </c>
      <c r="HZ6">
        <v>808988.880421721</v>
      </c>
      <c r="IA6">
        <v>852563.132619858</v>
      </c>
      <c r="IB6">
        <v>823103.28322292</v>
      </c>
      <c r="IC6">
        <v>853030.5160823819</v>
      </c>
      <c r="ID6">
        <v>901543.48541938</v>
      </c>
      <c r="IE6">
        <v>0</v>
      </c>
      <c r="IF6">
        <v>0</v>
      </c>
      <c r="IG6">
        <v>2893.68441164494</v>
      </c>
      <c r="IH6">
        <v>2990.06481170654</v>
      </c>
      <c r="II6">
        <v>3239.54215049744</v>
      </c>
      <c r="IJ6" t="s">
        <v>1900</v>
      </c>
      <c r="IK6" t="s">
        <v>1900</v>
      </c>
      <c r="IL6">
        <v>2893.68441164494</v>
      </c>
      <c r="IM6">
        <v>2990.06481170654</v>
      </c>
      <c r="IN6">
        <v>3239.54215049744</v>
      </c>
      <c r="IO6" t="s">
        <v>1900</v>
      </c>
      <c r="IP6" t="s">
        <v>1900</v>
      </c>
      <c r="IQ6">
        <v>0</v>
      </c>
      <c r="IR6">
        <v>0</v>
      </c>
      <c r="IS6">
        <v>0</v>
      </c>
      <c r="IT6" t="s">
        <v>1900</v>
      </c>
      <c r="IU6" t="s">
        <v>1900</v>
      </c>
      <c r="IV6">
        <v>0</v>
      </c>
      <c r="IW6">
        <v>0</v>
      </c>
      <c r="IX6">
        <v>0</v>
      </c>
      <c r="IY6">
        <v>1514100.86572055</v>
      </c>
      <c r="IZ6">
        <v>489405.515239182</v>
      </c>
      <c r="JA6">
        <v>2513026.08292423</v>
      </c>
      <c r="JB6">
        <v>1178026.39142432</v>
      </c>
      <c r="JC6">
        <v>1123766.18775025</v>
      </c>
      <c r="JD6">
        <v>108931.640061153</v>
      </c>
      <c r="JE6">
        <v>6133.92405282974</v>
      </c>
      <c r="JF6">
        <v>9675.91324161291</v>
      </c>
      <c r="JG6">
        <v>1663.07631347179</v>
      </c>
      <c r="JH6">
        <v>2749.30370938182</v>
      </c>
      <c r="JI6" t="s">
        <v>1900</v>
      </c>
      <c r="JJ6">
        <v>0</v>
      </c>
      <c r="JK6" t="s">
        <v>1900</v>
      </c>
      <c r="JL6" t="s">
        <v>1900</v>
      </c>
      <c r="JM6">
        <v>0</v>
      </c>
      <c r="JN6">
        <v>1405169.2256594</v>
      </c>
      <c r="JO6">
        <v>483271.591186352</v>
      </c>
      <c r="JP6">
        <v>2503350.16968262</v>
      </c>
      <c r="JQ6">
        <v>1176363.31397825</v>
      </c>
      <c r="JR6">
        <v>1121016.88404087</v>
      </c>
      <c r="JS6">
        <v>2657701.02441262</v>
      </c>
      <c r="JT6">
        <v>1697869.88168314</v>
      </c>
      <c r="JU6">
        <v>3682555.99490781</v>
      </c>
      <c r="JV6">
        <v>2398837.61910675</v>
      </c>
      <c r="JW6">
        <v>2423776.32848822</v>
      </c>
      <c r="JX6">
        <v>1493846.88544196</v>
      </c>
      <c r="JY6">
        <v>477628.994554024</v>
      </c>
      <c r="JZ6">
        <v>2160338.82448135</v>
      </c>
      <c r="KA6">
        <v>1009843.94413619</v>
      </c>
      <c r="KB6">
        <v>904183.063136506</v>
      </c>
      <c r="KC6" t="s">
        <v>1900</v>
      </c>
      <c r="KD6" t="s">
        <v>1900</v>
      </c>
      <c r="KE6" t="s">
        <v>1900</v>
      </c>
      <c r="KF6" t="s">
        <v>1900</v>
      </c>
      <c r="KG6" t="s">
        <v>1900</v>
      </c>
      <c r="KH6" t="s">
        <v>1900</v>
      </c>
      <c r="KI6" t="s">
        <v>1900</v>
      </c>
      <c r="KJ6" t="s">
        <v>1900</v>
      </c>
      <c r="KK6" t="s">
        <v>1900</v>
      </c>
      <c r="KL6" t="s">
        <v>1900</v>
      </c>
      <c r="KM6">
        <v>6</v>
      </c>
      <c r="KN6">
        <v>6</v>
      </c>
      <c r="KO6">
        <v>6</v>
      </c>
      <c r="KP6">
        <v>6</v>
      </c>
      <c r="KQ6">
        <v>6</v>
      </c>
      <c r="KR6" t="s">
        <v>1900</v>
      </c>
      <c r="KS6" t="s">
        <v>1900</v>
      </c>
      <c r="KT6" t="s">
        <v>1900</v>
      </c>
      <c r="KU6" t="s">
        <v>1900</v>
      </c>
      <c r="KV6" t="s">
        <v>1900</v>
      </c>
      <c r="KW6" t="s">
        <v>1900</v>
      </c>
      <c r="KX6" t="s">
        <v>1900</v>
      </c>
      <c r="KY6" t="s">
        <v>1900</v>
      </c>
      <c r="KZ6" t="s">
        <v>1900</v>
      </c>
      <c r="LA6" t="s">
        <v>1900</v>
      </c>
      <c r="LB6" t="s">
        <v>1900</v>
      </c>
      <c r="LC6" t="s">
        <v>1900</v>
      </c>
      <c r="LD6" t="s">
        <v>1900</v>
      </c>
      <c r="LE6" t="s">
        <v>1900</v>
      </c>
      <c r="LF6" t="s">
        <v>1900</v>
      </c>
      <c r="LG6" t="s">
        <v>1900</v>
      </c>
      <c r="LH6" t="s">
        <v>1900</v>
      </c>
      <c r="LI6" t="s">
        <v>1900</v>
      </c>
      <c r="LJ6" t="s">
        <v>1900</v>
      </c>
      <c r="LK6" t="s">
        <v>1900</v>
      </c>
      <c r="LL6" t="s">
        <v>1900</v>
      </c>
      <c r="LM6" t="s">
        <v>1900</v>
      </c>
      <c r="LN6" t="s">
        <v>1900</v>
      </c>
      <c r="LO6" t="s">
        <v>1900</v>
      </c>
      <c r="LP6" t="s">
        <v>1900</v>
      </c>
      <c r="LQ6" t="s">
        <v>1900</v>
      </c>
      <c r="LR6" t="s">
        <v>1900</v>
      </c>
      <c r="LS6" t="s">
        <v>1900</v>
      </c>
      <c r="LT6" t="s">
        <v>1900</v>
      </c>
      <c r="LU6" t="s">
        <v>1900</v>
      </c>
      <c r="LV6" t="s">
        <v>1900</v>
      </c>
      <c r="LW6" t="s">
        <v>1900</v>
      </c>
      <c r="LX6" t="s">
        <v>1900</v>
      </c>
      <c r="LY6" t="s">
        <v>1900</v>
      </c>
      <c r="LZ6" t="s">
        <v>1900</v>
      </c>
      <c r="MA6" t="s">
        <v>1900</v>
      </c>
      <c r="MB6" t="s">
        <v>1900</v>
      </c>
      <c r="MC6" t="s">
        <v>1900</v>
      </c>
      <c r="MD6" t="s">
        <v>1900</v>
      </c>
      <c r="ME6" t="s">
        <v>1900</v>
      </c>
      <c r="MF6" t="s">
        <v>1900</v>
      </c>
      <c r="MG6" t="s">
        <v>1900</v>
      </c>
      <c r="MH6" t="s">
        <v>1900</v>
      </c>
      <c r="MI6" t="s">
        <v>1900</v>
      </c>
      <c r="MJ6" t="s">
        <v>1900</v>
      </c>
      <c r="MK6" t="s">
        <v>1900</v>
      </c>
      <c r="ML6" t="s">
        <v>1900</v>
      </c>
      <c r="MM6" t="s">
        <v>1900</v>
      </c>
      <c r="MN6" t="s">
        <v>1900</v>
      </c>
      <c r="MO6" t="s">
        <v>1900</v>
      </c>
      <c r="MP6">
        <v>262556.09425416</v>
      </c>
      <c r="MQ6">
        <v>243645.636795168</v>
      </c>
      <c r="MR6">
        <v>549479.247750449</v>
      </c>
      <c r="MS6">
        <v>322766.906610846</v>
      </c>
      <c r="MT6">
        <v>343022.712342256</v>
      </c>
      <c r="MU6" t="s">
        <v>1900</v>
      </c>
      <c r="MV6" t="s">
        <v>1900</v>
      </c>
      <c r="MW6" t="s">
        <v>1900</v>
      </c>
      <c r="MX6" t="s">
        <v>1900</v>
      </c>
      <c r="MY6" t="s">
        <v>1900</v>
      </c>
      <c r="MZ6" t="s">
        <v>1900</v>
      </c>
      <c r="NA6" t="s">
        <v>1900</v>
      </c>
      <c r="NB6" t="s">
        <v>1900</v>
      </c>
      <c r="NC6" t="s">
        <v>1900</v>
      </c>
      <c r="ND6" t="s">
        <v>1900</v>
      </c>
      <c r="NE6" t="s">
        <v>1900</v>
      </c>
      <c r="NF6" t="s">
        <v>1900</v>
      </c>
      <c r="NG6" t="s">
        <v>1900</v>
      </c>
      <c r="NH6" t="s">
        <v>1900</v>
      </c>
      <c r="NI6" t="s">
        <v>1900</v>
      </c>
      <c r="NJ6" t="s">
        <v>1900</v>
      </c>
      <c r="NK6" t="s">
        <v>1900</v>
      </c>
      <c r="NL6" t="s">
        <v>1900</v>
      </c>
      <c r="NM6" t="s">
        <v>1900</v>
      </c>
      <c r="NN6" t="s">
        <v>1900</v>
      </c>
      <c r="NO6" t="s">
        <v>1900</v>
      </c>
      <c r="NP6" t="s">
        <v>1900</v>
      </c>
      <c r="NQ6" t="s">
        <v>1900</v>
      </c>
      <c r="NR6" t="s">
        <v>1900</v>
      </c>
      <c r="NS6" t="s">
        <v>1900</v>
      </c>
      <c r="NT6">
        <v>901298.0447164919</v>
      </c>
      <c r="NU6">
        <v>976595.2503339479</v>
      </c>
      <c r="NV6">
        <v>972737.9226760149</v>
      </c>
      <c r="NW6">
        <v>1066226.76949232</v>
      </c>
      <c r="NX6">
        <v>1176570.55300946</v>
      </c>
      <c r="NY6" t="s">
        <v>1900</v>
      </c>
      <c r="NZ6" t="s">
        <v>1900</v>
      </c>
      <c r="OA6" t="s">
        <v>1900</v>
      </c>
      <c r="OB6" t="s">
        <v>1900</v>
      </c>
      <c r="OC6" t="s">
        <v>1900</v>
      </c>
      <c r="OD6" t="s">
        <v>1900</v>
      </c>
      <c r="OE6" t="s">
        <v>1900</v>
      </c>
      <c r="OF6" t="s">
        <v>1900</v>
      </c>
      <c r="OG6" t="s">
        <v>1900</v>
      </c>
      <c r="OH6" t="s">
        <v>1900</v>
      </c>
      <c r="OI6" t="s">
        <v>1900</v>
      </c>
      <c r="OJ6" t="s">
        <v>1900</v>
      </c>
      <c r="OK6" t="s">
        <v>1900</v>
      </c>
      <c r="OL6" t="s">
        <v>1900</v>
      </c>
      <c r="OM6" t="s">
        <v>1900</v>
      </c>
      <c r="ON6" t="s">
        <v>1900</v>
      </c>
      <c r="OO6" t="s">
        <v>1900</v>
      </c>
      <c r="OP6" t="s">
        <v>1900</v>
      </c>
      <c r="OQ6" t="s">
        <v>1900</v>
      </c>
      <c r="OR6" t="s">
        <v>1900</v>
      </c>
      <c r="OS6" t="s">
        <v>1900</v>
      </c>
      <c r="OT6" t="s">
        <v>1900</v>
      </c>
      <c r="OU6" t="s">
        <v>1900</v>
      </c>
      <c r="OV6" t="s">
        <v>1900</v>
      </c>
      <c r="OW6" t="s">
        <v>1900</v>
      </c>
      <c r="OX6" t="s">
        <v>1900</v>
      </c>
      <c r="OY6" t="s">
        <v>1900</v>
      </c>
      <c r="OZ6" t="s">
        <v>1900</v>
      </c>
      <c r="PA6" t="s">
        <v>1900</v>
      </c>
      <c r="PB6" t="s">
        <v>1900</v>
      </c>
      <c r="PC6" t="s">
        <v>1900</v>
      </c>
      <c r="PD6" t="s">
        <v>1900</v>
      </c>
      <c r="PE6" t="s">
        <v>1900</v>
      </c>
      <c r="PF6" t="s">
        <v>1900</v>
      </c>
      <c r="PG6" t="s">
        <v>1900</v>
      </c>
      <c r="PH6" t="s">
        <v>1900</v>
      </c>
      <c r="PI6" t="s">
        <v>1900</v>
      </c>
      <c r="PJ6" t="s">
        <v>1900</v>
      </c>
      <c r="PK6" t="s">
        <v>1900</v>
      </c>
      <c r="PL6" t="s">
        <v>1900</v>
      </c>
      <c r="PM6" t="s">
        <v>1900</v>
      </c>
      <c r="PN6" t="s">
        <v>1900</v>
      </c>
      <c r="PO6" t="s">
        <v>1900</v>
      </c>
      <c r="PP6" t="s">
        <v>1900</v>
      </c>
      <c r="PQ6" t="s">
        <v>1900</v>
      </c>
      <c r="PR6" t="s">
        <v>1900</v>
      </c>
      <c r="PS6" t="s">
        <v>1900</v>
      </c>
      <c r="PT6" t="s">
        <v>1900</v>
      </c>
      <c r="PU6" t="s">
        <v>1900</v>
      </c>
      <c r="PV6" t="s">
        <v>1900</v>
      </c>
      <c r="PW6" t="s">
        <v>1900</v>
      </c>
      <c r="PX6" t="s">
        <v>1900</v>
      </c>
      <c r="PY6" t="s">
        <v>1900</v>
      </c>
      <c r="PZ6" t="s">
        <v>1900</v>
      </c>
      <c r="QA6" t="s">
        <v>1900</v>
      </c>
      <c r="QB6" t="s">
        <v>1900</v>
      </c>
      <c r="QC6" t="s">
        <v>1900</v>
      </c>
      <c r="QD6" t="s">
        <v>1900</v>
      </c>
      <c r="QE6" t="s">
        <v>1900</v>
      </c>
      <c r="QF6" t="s">
        <v>1900</v>
      </c>
      <c r="QG6" t="s">
        <v>1900</v>
      </c>
      <c r="QH6" t="s">
        <v>1900</v>
      </c>
      <c r="QI6" t="s">
        <v>1900</v>
      </c>
      <c r="QJ6" t="s">
        <v>1900</v>
      </c>
      <c r="QK6" t="s">
        <v>1900</v>
      </c>
      <c r="QL6" t="s">
        <v>1900</v>
      </c>
      <c r="QM6" t="s">
        <v>1900</v>
      </c>
      <c r="QN6" t="s">
        <v>1900</v>
      </c>
      <c r="QO6" t="s">
        <v>1900</v>
      </c>
      <c r="QP6" t="s">
        <v>1900</v>
      </c>
      <c r="QQ6" t="s">
        <v>1900</v>
      </c>
      <c r="QR6" t="s">
        <v>1900</v>
      </c>
      <c r="QS6" t="s">
        <v>1900</v>
      </c>
      <c r="QT6" t="s">
        <v>1900</v>
      </c>
      <c r="QU6" t="s">
        <v>1900</v>
      </c>
      <c r="QV6" t="s">
        <v>1900</v>
      </c>
      <c r="QW6" t="s">
        <v>1900</v>
      </c>
      <c r="QX6" t="s">
        <v>1900</v>
      </c>
      <c r="QY6" t="s">
        <v>1900</v>
      </c>
      <c r="QZ6" t="s">
        <v>1900</v>
      </c>
      <c r="RA6" t="s">
        <v>1900</v>
      </c>
      <c r="RB6" t="s">
        <v>1900</v>
      </c>
      <c r="RC6" t="s">
        <v>1900</v>
      </c>
      <c r="RD6" t="s">
        <v>1900</v>
      </c>
      <c r="RE6" t="s">
        <v>1900</v>
      </c>
      <c r="RF6" t="s">
        <v>1900</v>
      </c>
      <c r="RG6" t="s">
        <v>1900</v>
      </c>
      <c r="RH6" t="s">
        <v>1900</v>
      </c>
      <c r="RI6" t="s">
        <v>1900</v>
      </c>
      <c r="RJ6" t="s">
        <v>1900</v>
      </c>
      <c r="RK6" t="s">
        <v>1900</v>
      </c>
      <c r="RL6" t="s">
        <v>1900</v>
      </c>
      <c r="RM6" t="s">
        <v>1900</v>
      </c>
      <c r="RN6" t="s">
        <v>1900</v>
      </c>
      <c r="RO6" t="s">
        <v>1900</v>
      </c>
      <c r="RP6" t="s">
        <v>1900</v>
      </c>
      <c r="RQ6" t="s">
        <v>1900</v>
      </c>
      <c r="RR6" t="s">
        <v>1900</v>
      </c>
      <c r="RS6" t="s">
        <v>1900</v>
      </c>
      <c r="RT6" t="s">
        <v>1900</v>
      </c>
      <c r="RU6" t="s">
        <v>1900</v>
      </c>
      <c r="RV6" t="s">
        <v>1900</v>
      </c>
      <c r="RW6" t="s">
        <v>1900</v>
      </c>
      <c r="RX6" t="s">
        <v>1900</v>
      </c>
      <c r="RY6" t="s">
        <v>1900</v>
      </c>
      <c r="RZ6" t="s">
        <v>1900</v>
      </c>
      <c r="SA6" t="s">
        <v>1900</v>
      </c>
      <c r="SB6" t="s">
        <v>1900</v>
      </c>
      <c r="SC6" t="s">
        <v>1900</v>
      </c>
      <c r="SD6" t="s">
        <v>1900</v>
      </c>
      <c r="SE6" t="s">
        <v>1900</v>
      </c>
      <c r="SF6" t="s">
        <v>1900</v>
      </c>
      <c r="SG6" t="s">
        <v>1900</v>
      </c>
      <c r="SH6" t="s">
        <v>1900</v>
      </c>
      <c r="SI6" t="s">
        <v>1900</v>
      </c>
      <c r="SJ6">
        <v>47217.3088492572</v>
      </c>
      <c r="SK6">
        <v>50221.5542888165</v>
      </c>
      <c r="SL6">
        <v>51369.9378633201</v>
      </c>
      <c r="SM6">
        <v>54466.0125957728</v>
      </c>
      <c r="SN6">
        <v>59010.4076950848</v>
      </c>
      <c r="SO6" t="s">
        <v>1900</v>
      </c>
      <c r="SP6" t="s">
        <v>1900</v>
      </c>
      <c r="SQ6" t="s">
        <v>1900</v>
      </c>
      <c r="SR6" t="s">
        <v>1900</v>
      </c>
      <c r="SS6" t="s">
        <v>1900</v>
      </c>
      <c r="ST6" t="s">
        <v>1900</v>
      </c>
      <c r="SU6" t="s">
        <v>1900</v>
      </c>
      <c r="SV6" t="s">
        <v>1900</v>
      </c>
      <c r="SW6" t="s">
        <v>1900</v>
      </c>
      <c r="SX6" t="s">
        <v>1900</v>
      </c>
      <c r="SY6" t="s">
        <v>1900</v>
      </c>
      <c r="SZ6" t="s">
        <v>1900</v>
      </c>
      <c r="TA6" t="s">
        <v>1900</v>
      </c>
      <c r="TB6" t="s">
        <v>1900</v>
      </c>
      <c r="TC6" t="s">
        <v>1900</v>
      </c>
      <c r="TD6" t="s">
        <v>1900</v>
      </c>
      <c r="TE6" t="s">
        <v>1900</v>
      </c>
      <c r="TF6" t="s">
        <v>1900</v>
      </c>
      <c r="TG6" t="s">
        <v>1900</v>
      </c>
      <c r="TH6" t="s">
        <v>1900</v>
      </c>
      <c r="TI6" t="s">
        <v>1900</v>
      </c>
      <c r="TJ6" t="s">
        <v>1900</v>
      </c>
      <c r="TK6" t="s">
        <v>1900</v>
      </c>
      <c r="TL6" t="s">
        <v>1900</v>
      </c>
      <c r="TM6" t="s">
        <v>1900</v>
      </c>
      <c r="TN6" t="s">
        <v>1900</v>
      </c>
      <c r="TO6" t="s">
        <v>1900</v>
      </c>
      <c r="TP6" t="s">
        <v>1900</v>
      </c>
      <c r="TQ6" t="s">
        <v>1900</v>
      </c>
      <c r="TR6" t="s">
        <v>1900</v>
      </c>
      <c r="TS6">
        <v>2657701.02441262</v>
      </c>
      <c r="TT6">
        <v>1697869.88168314</v>
      </c>
      <c r="TU6">
        <v>3682555.99490781</v>
      </c>
      <c r="TV6">
        <v>2398837.61910675</v>
      </c>
      <c r="TW6">
        <v>2423776.32848822</v>
      </c>
      <c r="TX6" t="s">
        <v>1900</v>
      </c>
      <c r="TY6" t="s">
        <v>1900</v>
      </c>
      <c r="TZ6" t="s">
        <v>1900</v>
      </c>
      <c r="UA6" t="s">
        <v>1900</v>
      </c>
      <c r="UB6" t="s">
        <v>1900</v>
      </c>
      <c r="UC6">
        <v>108931.640061153</v>
      </c>
      <c r="UD6">
        <v>6133.92405282974</v>
      </c>
      <c r="UE6">
        <v>9675.91324161291</v>
      </c>
      <c r="UF6">
        <v>1663.07631347179</v>
      </c>
      <c r="UG6">
        <v>2749.30370938182</v>
      </c>
      <c r="UH6" t="s">
        <v>1900</v>
      </c>
      <c r="UI6" t="s">
        <v>1900</v>
      </c>
      <c r="UJ6" t="s">
        <v>1900</v>
      </c>
      <c r="UK6" t="s">
        <v>1900</v>
      </c>
      <c r="UL6" t="s">
        <v>1900</v>
      </c>
      <c r="UM6" t="s">
        <v>1900</v>
      </c>
      <c r="UN6" t="s">
        <v>1900</v>
      </c>
      <c r="UO6" t="s">
        <v>1900</v>
      </c>
      <c r="UP6" t="s">
        <v>1900</v>
      </c>
      <c r="UQ6" t="s">
        <v>1900</v>
      </c>
      <c r="UR6" t="s">
        <v>1900</v>
      </c>
      <c r="US6" t="s">
        <v>1900</v>
      </c>
      <c r="UT6" t="s">
        <v>1900</v>
      </c>
      <c r="UU6" t="s">
        <v>1900</v>
      </c>
      <c r="UV6" t="s">
        <v>1900</v>
      </c>
      <c r="UW6" t="s">
        <v>1900</v>
      </c>
      <c r="UX6" t="s">
        <v>1900</v>
      </c>
      <c r="UY6" t="s">
        <v>1900</v>
      </c>
      <c r="UZ6" t="s">
        <v>1900</v>
      </c>
      <c r="VA6" t="s">
        <v>1900</v>
      </c>
      <c r="VB6" t="s">
        <v>1900</v>
      </c>
      <c r="VC6" t="s">
        <v>1900</v>
      </c>
      <c r="VD6" t="s">
        <v>1900</v>
      </c>
      <c r="VE6" t="s">
        <v>1900</v>
      </c>
      <c r="VF6" t="s">
        <v>1900</v>
      </c>
      <c r="VG6" t="s">
        <v>1900</v>
      </c>
      <c r="VH6" t="s">
        <v>1900</v>
      </c>
      <c r="VI6" t="s">
        <v>1900</v>
      </c>
      <c r="VJ6" t="s">
        <v>1900</v>
      </c>
      <c r="VK6" t="s">
        <v>1900</v>
      </c>
      <c r="VL6" t="s">
        <v>1900</v>
      </c>
      <c r="VM6" t="s">
        <v>1900</v>
      </c>
      <c r="VN6" t="s">
        <v>1900</v>
      </c>
      <c r="VO6" t="s">
        <v>1900</v>
      </c>
      <c r="VP6" t="s">
        <v>1900</v>
      </c>
      <c r="VQ6" t="s">
        <v>1900</v>
      </c>
      <c r="VR6" t="s">
        <v>1900</v>
      </c>
      <c r="VS6" t="s">
        <v>1900</v>
      </c>
      <c r="VT6" t="s">
        <v>1900</v>
      </c>
      <c r="VU6" t="s">
        <v>1900</v>
      </c>
      <c r="VV6" t="s">
        <v>1900</v>
      </c>
      <c r="VW6" t="s">
        <v>1900</v>
      </c>
      <c r="VX6" t="s">
        <v>1900</v>
      </c>
      <c r="VY6" t="s">
        <v>1900</v>
      </c>
      <c r="VZ6" t="s">
        <v>1900</v>
      </c>
      <c r="WA6">
        <v>1405169.2256594</v>
      </c>
      <c r="WB6">
        <v>483271.591186352</v>
      </c>
      <c r="WC6">
        <v>2503350.16968262</v>
      </c>
      <c r="WD6">
        <v>1176363.31397825</v>
      </c>
      <c r="WE6">
        <v>1121016.88404087</v>
      </c>
      <c r="WF6" t="s">
        <v>1900</v>
      </c>
      <c r="WG6" t="s">
        <v>1900</v>
      </c>
      <c r="WH6" t="s">
        <v>1900</v>
      </c>
      <c r="WI6" t="s">
        <v>1900</v>
      </c>
      <c r="WJ6" t="s">
        <v>1900</v>
      </c>
      <c r="WK6" t="s">
        <v>1900</v>
      </c>
      <c r="WL6" t="s">
        <v>1900</v>
      </c>
      <c r="WM6" t="s">
        <v>1900</v>
      </c>
      <c r="WN6" t="s">
        <v>1900</v>
      </c>
      <c r="WO6" t="s">
        <v>1900</v>
      </c>
      <c r="WP6" t="s">
        <v>1900</v>
      </c>
      <c r="WQ6" t="s">
        <v>1900</v>
      </c>
      <c r="WR6" t="s">
        <v>1900</v>
      </c>
      <c r="WS6" t="s">
        <v>1900</v>
      </c>
      <c r="WT6" t="s">
        <v>1900</v>
      </c>
      <c r="WU6" t="s">
        <v>1900</v>
      </c>
      <c r="WV6" t="s">
        <v>1900</v>
      </c>
      <c r="WW6" t="s">
        <v>1900</v>
      </c>
      <c r="WX6" t="s">
        <v>1900</v>
      </c>
      <c r="WY6" t="s">
        <v>1900</v>
      </c>
      <c r="WZ6" t="s">
        <v>1900</v>
      </c>
      <c r="XA6" t="s">
        <v>1900</v>
      </c>
      <c r="XB6" t="s">
        <v>1900</v>
      </c>
      <c r="XC6" t="s">
        <v>1900</v>
      </c>
      <c r="XD6" t="s">
        <v>1900</v>
      </c>
      <c r="XE6" t="s">
        <v>1900</v>
      </c>
      <c r="XF6" t="s">
        <v>1900</v>
      </c>
      <c r="XG6" t="s">
        <v>1900</v>
      </c>
      <c r="XH6" t="s">
        <v>1900</v>
      </c>
      <c r="XI6" t="s">
        <v>1900</v>
      </c>
      <c r="XJ6" t="s">
        <v>1900</v>
      </c>
      <c r="XK6" t="s">
        <v>1900</v>
      </c>
      <c r="XL6">
        <v>0</v>
      </c>
      <c r="XM6">
        <v>0</v>
      </c>
      <c r="XN6">
        <v>0</v>
      </c>
      <c r="XO6" t="s">
        <v>1900</v>
      </c>
      <c r="XP6" t="s">
        <v>1900</v>
      </c>
      <c r="XQ6" t="s">
        <v>1900</v>
      </c>
      <c r="XR6" t="s">
        <v>1900</v>
      </c>
      <c r="XS6" t="s">
        <v>1900</v>
      </c>
      <c r="XT6" t="s">
        <v>1900</v>
      </c>
      <c r="XU6" t="s">
        <v>1900</v>
      </c>
      <c r="XV6" t="s">
        <v>1900</v>
      </c>
      <c r="XW6" t="s">
        <v>1900</v>
      </c>
      <c r="XX6" t="s">
        <v>1900</v>
      </c>
      <c r="XY6" t="s">
        <v>1900</v>
      </c>
      <c r="XZ6" t="s">
        <v>1900</v>
      </c>
      <c r="YA6">
        <v>0</v>
      </c>
      <c r="YB6">
        <v>0</v>
      </c>
      <c r="YC6">
        <v>0</v>
      </c>
      <c r="YD6" t="s">
        <v>1900</v>
      </c>
      <c r="YE6" t="s">
        <v>1900</v>
      </c>
      <c r="YF6" t="s">
        <v>1900</v>
      </c>
      <c r="YG6" t="s">
        <v>1900</v>
      </c>
      <c r="YH6" t="s">
        <v>1900</v>
      </c>
      <c r="YI6" t="s">
        <v>1900</v>
      </c>
      <c r="YJ6" t="s">
        <v>1900</v>
      </c>
      <c r="YK6" t="s">
        <v>1900</v>
      </c>
      <c r="YL6" t="s">
        <v>1900</v>
      </c>
      <c r="YM6" t="s">
        <v>1900</v>
      </c>
      <c r="YN6" t="s">
        <v>1900</v>
      </c>
      <c r="YO6" t="s">
        <v>1900</v>
      </c>
      <c r="YP6" t="s">
        <v>1900</v>
      </c>
      <c r="YQ6" t="s">
        <v>1900</v>
      </c>
      <c r="YR6" t="s">
        <v>1900</v>
      </c>
      <c r="YS6" t="s">
        <v>1900</v>
      </c>
      <c r="YT6" t="s">
        <v>1900</v>
      </c>
      <c r="YU6" t="s">
        <v>1900</v>
      </c>
      <c r="YV6" t="s">
        <v>1900</v>
      </c>
      <c r="YW6" t="s">
        <v>1900</v>
      </c>
      <c r="YX6" t="s">
        <v>1900</v>
      </c>
      <c r="YY6" t="s">
        <v>1900</v>
      </c>
      <c r="YZ6" t="s">
        <v>1900</v>
      </c>
      <c r="ZA6" t="s">
        <v>1900</v>
      </c>
      <c r="ZB6" t="s">
        <v>1900</v>
      </c>
      <c r="ZC6" t="s">
        <v>1900</v>
      </c>
      <c r="ZD6" t="s">
        <v>1900</v>
      </c>
      <c r="ZE6" t="s">
        <v>1900</v>
      </c>
      <c r="ZF6" t="s">
        <v>1900</v>
      </c>
      <c r="ZG6" t="s">
        <v>1900</v>
      </c>
      <c r="ZH6" t="s">
        <v>1900</v>
      </c>
      <c r="ZI6" t="s">
        <v>1900</v>
      </c>
      <c r="ZJ6" t="s">
        <v>1900</v>
      </c>
      <c r="ZK6" t="s">
        <v>1900</v>
      </c>
      <c r="ZL6" t="s">
        <v>1900</v>
      </c>
      <c r="ZM6" t="s">
        <v>1900</v>
      </c>
      <c r="ZN6" t="s">
        <v>1900</v>
      </c>
      <c r="ZO6" t="s">
        <v>1900</v>
      </c>
      <c r="ZP6" t="s">
        <v>1900</v>
      </c>
      <c r="ZQ6" t="s">
        <v>1900</v>
      </c>
      <c r="ZR6" t="s">
        <v>1900</v>
      </c>
      <c r="ZS6" t="s">
        <v>1900</v>
      </c>
      <c r="ZT6" t="s">
        <v>1900</v>
      </c>
      <c r="ZU6" t="s">
        <v>1900</v>
      </c>
      <c r="ZV6" t="s">
        <v>1900</v>
      </c>
      <c r="ZW6" t="s">
        <v>1900</v>
      </c>
      <c r="ZX6" t="s">
        <v>1900</v>
      </c>
      <c r="ZY6" t="s">
        <v>1900</v>
      </c>
      <c r="ZZ6" t="s">
        <v>1900</v>
      </c>
      <c r="AAA6" t="s">
        <v>1900</v>
      </c>
      <c r="AAB6" t="s">
        <v>1900</v>
      </c>
      <c r="AAC6" t="s">
        <v>1900</v>
      </c>
      <c r="AAD6" t="s">
        <v>1900</v>
      </c>
      <c r="AAE6" t="s">
        <v>1900</v>
      </c>
      <c r="AAF6" t="s">
        <v>1900</v>
      </c>
      <c r="AAG6" t="s">
        <v>1900</v>
      </c>
      <c r="AAH6" t="s">
        <v>1900</v>
      </c>
      <c r="AAI6" t="s">
        <v>1900</v>
      </c>
      <c r="AAJ6" t="s">
        <v>1900</v>
      </c>
      <c r="AAK6" t="s">
        <v>1900</v>
      </c>
      <c r="AAL6" t="s">
        <v>1900</v>
      </c>
      <c r="AAM6" t="s">
        <v>1900</v>
      </c>
      <c r="AAN6" t="s">
        <v>1900</v>
      </c>
      <c r="AAO6" t="s">
        <v>1900</v>
      </c>
      <c r="AAP6" t="s">
        <v>1900</v>
      </c>
      <c r="AAQ6" t="s">
        <v>1900</v>
      </c>
      <c r="AAR6" t="s">
        <v>1900</v>
      </c>
      <c r="AAS6" t="s">
        <v>1900</v>
      </c>
      <c r="AAT6" t="s">
        <v>1900</v>
      </c>
      <c r="AAU6" t="s">
        <v>1900</v>
      </c>
      <c r="AAV6" t="s">
        <v>1900</v>
      </c>
      <c r="AAW6" t="s">
        <v>1900</v>
      </c>
      <c r="AAX6" t="s">
        <v>1900</v>
      </c>
      <c r="AAY6" t="s">
        <v>1900</v>
      </c>
      <c r="AAZ6" t="s">
        <v>1900</v>
      </c>
      <c r="ABA6" t="s">
        <v>1900</v>
      </c>
      <c r="ABB6" t="s">
        <v>1900</v>
      </c>
      <c r="ABC6" t="s">
        <v>1900</v>
      </c>
      <c r="ABD6" t="s">
        <v>1900</v>
      </c>
      <c r="ABE6" t="s">
        <v>1900</v>
      </c>
      <c r="ABF6" t="s">
        <v>1900</v>
      </c>
      <c r="ABG6" t="s">
        <v>1900</v>
      </c>
      <c r="ABH6" t="s">
        <v>1900</v>
      </c>
      <c r="ABI6" t="s">
        <v>1900</v>
      </c>
      <c r="ABJ6" t="s">
        <v>1900</v>
      </c>
      <c r="ABK6" t="s">
        <v>1900</v>
      </c>
      <c r="ABL6" t="s">
        <v>1900</v>
      </c>
      <c r="ABM6" t="s">
        <v>1900</v>
      </c>
      <c r="ABN6" t="s">
        <v>1900</v>
      </c>
      <c r="ABO6" t="s">
        <v>1900</v>
      </c>
      <c r="ABP6" t="s">
        <v>1900</v>
      </c>
      <c r="ABQ6" t="s">
        <v>1900</v>
      </c>
      <c r="ABR6" t="s">
        <v>1900</v>
      </c>
      <c r="ABS6" t="s">
        <v>1900</v>
      </c>
      <c r="ABT6" t="s">
        <v>1900</v>
      </c>
      <c r="ABU6" t="s">
        <v>1900</v>
      </c>
      <c r="ABV6" t="s">
        <v>1900</v>
      </c>
      <c r="ABW6" t="s">
        <v>1900</v>
      </c>
      <c r="ABX6" t="s">
        <v>1900</v>
      </c>
      <c r="ABY6" t="s">
        <v>1900</v>
      </c>
      <c r="ABZ6" t="s">
        <v>1900</v>
      </c>
      <c r="ACA6" t="s">
        <v>1900</v>
      </c>
      <c r="ACB6" t="s">
        <v>1900</v>
      </c>
      <c r="ACC6" t="s">
        <v>1900</v>
      </c>
      <c r="ACD6" t="s">
        <v>1900</v>
      </c>
      <c r="ACE6">
        <v>0.975</v>
      </c>
      <c r="ACF6">
        <v>0.546</v>
      </c>
      <c r="ACG6">
        <v>2.261</v>
      </c>
      <c r="ACH6">
        <v>2.29</v>
      </c>
      <c r="ACI6">
        <v>2.126</v>
      </c>
      <c r="ACJ6" t="s">
        <v>1900</v>
      </c>
      <c r="ACK6" t="s">
        <v>1900</v>
      </c>
      <c r="ACL6" t="s">
        <v>1900</v>
      </c>
      <c r="ACM6" t="s">
        <v>1900</v>
      </c>
      <c r="ACN6">
        <v>2.197</v>
      </c>
      <c r="ACO6">
        <v>0.42</v>
      </c>
      <c r="ACP6">
        <v>0.389</v>
      </c>
      <c r="ACQ6">
        <v>0.716</v>
      </c>
      <c r="ACR6">
        <v>1.163</v>
      </c>
      <c r="ACS6">
        <v>1.137</v>
      </c>
      <c r="ACT6">
        <v>0.751</v>
      </c>
      <c r="ACU6">
        <v>0.41</v>
      </c>
      <c r="ACV6">
        <v>1.696</v>
      </c>
      <c r="ACW6">
        <v>1.717</v>
      </c>
      <c r="ACX6">
        <v>1.522</v>
      </c>
      <c r="ACY6" t="s">
        <v>1900</v>
      </c>
      <c r="ACZ6" t="s">
        <v>1900</v>
      </c>
      <c r="ADA6" t="s">
        <v>1900</v>
      </c>
      <c r="ADB6" t="s">
        <v>1900</v>
      </c>
      <c r="ADC6">
        <v>1.594</v>
      </c>
      <c r="ADD6">
        <v>0.323</v>
      </c>
      <c r="ADE6">
        <v>0.291</v>
      </c>
      <c r="ADF6">
        <v>0.537</v>
      </c>
      <c r="ADG6">
        <v>0.872</v>
      </c>
      <c r="ADH6">
        <v>0.8139999999999999</v>
      </c>
      <c r="ADI6">
        <v>0.442</v>
      </c>
      <c r="ADJ6">
        <v>0.398</v>
      </c>
      <c r="ADK6">
        <v>0.672</v>
      </c>
      <c r="ADL6">
        <v>1.037</v>
      </c>
      <c r="ADM6">
        <v>1.029</v>
      </c>
      <c r="ADN6">
        <v>100</v>
      </c>
      <c r="ADO6">
        <v>100</v>
      </c>
      <c r="ADP6">
        <v>100</v>
      </c>
      <c r="ADQ6">
        <v>100</v>
      </c>
      <c r="ADR6">
        <v>100</v>
      </c>
      <c r="ADS6">
        <v>0.44185589</v>
      </c>
      <c r="ADT6">
        <v>0.397677756</v>
      </c>
      <c r="ADU6">
        <v>0.33251031</v>
      </c>
      <c r="ADV6">
        <v>1.036543789</v>
      </c>
      <c r="ADW6">
        <v>1.065722152</v>
      </c>
      <c r="ADX6">
        <v>1.364</v>
      </c>
      <c r="ADY6">
        <v>2.275</v>
      </c>
      <c r="ADZ6">
        <v>1.336</v>
      </c>
      <c r="AEA6">
        <v>2.475</v>
      </c>
      <c r="AEB6">
        <v>2.447</v>
      </c>
      <c r="AEC6">
        <v>0.442</v>
      </c>
      <c r="AED6">
        <v>0.398</v>
      </c>
      <c r="AEE6">
        <v>0.333</v>
      </c>
      <c r="AEF6">
        <v>1.037</v>
      </c>
      <c r="AEG6">
        <v>1.066</v>
      </c>
      <c r="AEH6">
        <v>1.262</v>
      </c>
      <c r="AEI6">
        <v>2.175</v>
      </c>
      <c r="AEJ6">
        <v>1.508</v>
      </c>
      <c r="AEK6">
        <v>2.216</v>
      </c>
      <c r="AEL6">
        <v>2.117</v>
      </c>
      <c r="AEM6">
        <v>0.443816921</v>
      </c>
      <c r="AEN6">
        <v>0.399265546</v>
      </c>
      <c r="AEO6">
        <v>0.333619629</v>
      </c>
      <c r="AEP6">
        <v>1.047400555</v>
      </c>
      <c r="AEQ6">
        <v>1.077202134</v>
      </c>
      <c r="AER6" t="s">
        <v>1900</v>
      </c>
      <c r="AES6" t="s">
        <v>1900</v>
      </c>
      <c r="AET6" t="s">
        <v>1900</v>
      </c>
      <c r="AEU6" t="s">
        <v>1900</v>
      </c>
      <c r="AEV6" t="s">
        <v>1900</v>
      </c>
      <c r="AEW6" t="s">
        <v>1900</v>
      </c>
      <c r="AEX6" t="s">
        <v>1900</v>
      </c>
      <c r="AEY6" t="s">
        <v>1900</v>
      </c>
      <c r="AEZ6" t="s">
        <v>1900</v>
      </c>
      <c r="AFA6" t="s">
        <v>1900</v>
      </c>
      <c r="AFB6" t="s">
        <v>1900</v>
      </c>
      <c r="AFC6" t="s">
        <v>1900</v>
      </c>
      <c r="AFD6" t="s">
        <v>1900</v>
      </c>
      <c r="AFE6" t="s">
        <v>1900</v>
      </c>
      <c r="AFF6" t="s">
        <v>1900</v>
      </c>
      <c r="AFG6">
        <v>2.208</v>
      </c>
      <c r="AFH6">
        <v>1.373</v>
      </c>
      <c r="AFI6">
        <v>3.354</v>
      </c>
      <c r="AFJ6">
        <v>2.204</v>
      </c>
      <c r="AFK6">
        <v>2.061</v>
      </c>
      <c r="AFL6" t="s">
        <v>1900</v>
      </c>
      <c r="AFM6" t="s">
        <v>1900</v>
      </c>
      <c r="AFN6" t="s">
        <v>1900</v>
      </c>
      <c r="AFO6" t="s">
        <v>1900</v>
      </c>
      <c r="AFP6">
        <v>28.859</v>
      </c>
      <c r="AFQ6" t="s">
        <v>1901</v>
      </c>
      <c r="AFR6" t="s">
        <v>1901</v>
      </c>
      <c r="AFS6" t="s">
        <v>1901</v>
      </c>
      <c r="AFT6" t="s">
        <v>1901</v>
      </c>
      <c r="AFU6" t="s">
        <v>1901</v>
      </c>
      <c r="AFV6">
        <v>213.024</v>
      </c>
      <c r="AFW6">
        <v>103.625</v>
      </c>
      <c r="AFX6">
        <v>198.26</v>
      </c>
      <c r="AFY6">
        <v>135.129</v>
      </c>
      <c r="AFZ6">
        <v>121.483</v>
      </c>
      <c r="AGA6" t="s">
        <v>1900</v>
      </c>
      <c r="AGB6">
        <v>0</v>
      </c>
      <c r="AGC6" t="s">
        <v>1900</v>
      </c>
      <c r="AGD6" t="s">
        <v>1900</v>
      </c>
      <c r="AGE6">
        <v>0</v>
      </c>
      <c r="AGF6" t="s">
        <v>1900</v>
      </c>
      <c r="AGG6" t="s">
        <v>1900</v>
      </c>
      <c r="AGH6" t="s">
        <v>1900</v>
      </c>
      <c r="AGI6" t="s">
        <v>1900</v>
      </c>
      <c r="AGJ6" t="s">
        <v>1900</v>
      </c>
      <c r="AGK6" t="s">
        <v>1900</v>
      </c>
      <c r="AGL6" t="s">
        <v>1900</v>
      </c>
      <c r="AGM6" t="s">
        <v>1900</v>
      </c>
      <c r="AGN6" t="s">
        <v>1900</v>
      </c>
      <c r="AGO6" t="s">
        <v>1900</v>
      </c>
      <c r="AGP6" t="s">
        <v>1900</v>
      </c>
      <c r="AGQ6" t="s">
        <v>1900</v>
      </c>
      <c r="AGR6" t="s">
        <v>1900</v>
      </c>
      <c r="AGS6" t="s">
        <v>1900</v>
      </c>
      <c r="AGT6" t="s">
        <v>1900</v>
      </c>
      <c r="AGU6">
        <v>0</v>
      </c>
      <c r="AGV6">
        <v>0</v>
      </c>
      <c r="AGW6">
        <v>0</v>
      </c>
      <c r="AGX6">
        <v>0</v>
      </c>
      <c r="AGY6">
        <v>0</v>
      </c>
      <c r="AGZ6">
        <v>1.16</v>
      </c>
      <c r="AHA6">
        <v>1.474</v>
      </c>
      <c r="AHB6">
        <v>1.078</v>
      </c>
      <c r="AHC6">
        <v>1.131</v>
      </c>
      <c r="AHD6">
        <v>1.11</v>
      </c>
      <c r="AHE6">
        <v>1.16</v>
      </c>
      <c r="AHF6">
        <v>1.474</v>
      </c>
      <c r="AHG6">
        <v>1.078</v>
      </c>
      <c r="AHH6">
        <v>1.131</v>
      </c>
      <c r="AHI6">
        <v>1.11</v>
      </c>
      <c r="AHJ6" t="s">
        <v>1901</v>
      </c>
      <c r="AHK6" t="s">
        <v>1901</v>
      </c>
      <c r="AHL6">
        <v>403.166</v>
      </c>
      <c r="AHM6">
        <v>407.289</v>
      </c>
      <c r="AHN6">
        <v>400.294</v>
      </c>
      <c r="AHO6">
        <v>43.03</v>
      </c>
      <c r="AHP6">
        <v>71.175</v>
      </c>
      <c r="AHQ6">
        <v>31.68</v>
      </c>
      <c r="AHR6">
        <v>50.767</v>
      </c>
      <c r="AHS6">
        <v>53.502</v>
      </c>
      <c r="AHT6">
        <v>75.53</v>
      </c>
      <c r="AHU6" t="s">
        <v>1901</v>
      </c>
      <c r="AHV6">
        <v>46.37</v>
      </c>
      <c r="AHW6" t="s">
        <v>1901</v>
      </c>
      <c r="AHX6" t="s">
        <v>1901</v>
      </c>
      <c r="AHY6">
        <v>9.525</v>
      </c>
      <c r="AHZ6">
        <v>0.508</v>
      </c>
      <c r="AIA6">
        <v>1.077</v>
      </c>
      <c r="AIB6">
        <v>0.382</v>
      </c>
      <c r="AIC6">
        <v>0.462</v>
      </c>
      <c r="AID6">
        <v>1.776622292</v>
      </c>
      <c r="AIE6">
        <v>2.957915376</v>
      </c>
      <c r="AIF6">
        <v>1.39495334</v>
      </c>
      <c r="AIG6">
        <v>2.27051686</v>
      </c>
      <c r="AIH6">
        <v>2.434647414</v>
      </c>
      <c r="AII6">
        <v>9.879068106</v>
      </c>
      <c r="AIJ6">
        <v>14.350077083</v>
      </c>
      <c r="AIK6">
        <v>14.921137615</v>
      </c>
      <c r="AIL6">
        <v>13.455137773</v>
      </c>
      <c r="AIM6">
        <v>14.15240789</v>
      </c>
      <c r="AIN6">
        <v>52.871606428</v>
      </c>
      <c r="AIO6">
        <v>28.463405612</v>
      </c>
      <c r="AIP6">
        <v>67.978604348</v>
      </c>
      <c r="AIQ6">
        <v>49.038888861</v>
      </c>
      <c r="AIR6">
        <v>46.250838861</v>
      </c>
      <c r="AIS6" t="s">
        <v>1900</v>
      </c>
      <c r="AIT6" t="s">
        <v>1900</v>
      </c>
      <c r="AIU6" t="s">
        <v>1900</v>
      </c>
      <c r="AIV6" t="s">
        <v>1900</v>
      </c>
      <c r="AIW6" t="s">
        <v>1900</v>
      </c>
      <c r="AIX6">
        <v>1.85913150643349</v>
      </c>
      <c r="AIY6">
        <v>1.09978710357094</v>
      </c>
      <c r="AIZ6">
        <v>4.39600365665019</v>
      </c>
      <c r="AJA6">
        <v>4.64776693671942</v>
      </c>
      <c r="AJB6">
        <v>4.59431745073617</v>
      </c>
      <c r="AJC6">
        <v>420.755171157101</v>
      </c>
      <c r="AJD6">
        <v>276.552238848247</v>
      </c>
      <c r="AJE6">
        <v>653.790779155028</v>
      </c>
      <c r="AJF6">
        <v>448.390795325897</v>
      </c>
      <c r="AJG6">
        <v>446.573339644671</v>
      </c>
      <c r="AJH6">
        <v>15.019</v>
      </c>
      <c r="AJI6">
        <v>23.738</v>
      </c>
      <c r="AJJ6">
        <v>9.478999999999999</v>
      </c>
      <c r="AJK6">
        <v>13.778</v>
      </c>
      <c r="AJL6">
        <v>13.791</v>
      </c>
      <c r="AJM6">
        <v>63.1948929201227</v>
      </c>
      <c r="AJN6">
        <v>65.64931374760531</v>
      </c>
      <c r="AJO6">
        <v>61.9744358192092</v>
      </c>
      <c r="AJP6">
        <v>61.7771004814982</v>
      </c>
      <c r="AJQ6">
        <v>61.5882181418747</v>
      </c>
      <c r="AJR6">
        <v>190.600026448677</v>
      </c>
      <c r="AJS6">
        <v>201.41072774066</v>
      </c>
      <c r="AJT6">
        <v>194.439371617522</v>
      </c>
      <c r="AJU6">
        <v>202.970194378088</v>
      </c>
      <c r="AJV6">
        <v>216.128432688879</v>
      </c>
      <c r="AJW6">
        <v>248.974480560694</v>
      </c>
      <c r="AJX6">
        <v>79.60483242567059</v>
      </c>
      <c r="AJY6">
        <v>360.056471102425</v>
      </c>
      <c r="AJZ6">
        <v>168.307324400232</v>
      </c>
      <c r="AKA6">
        <v>150.697177598451</v>
      </c>
      <c r="AKB6">
        <v>442.950171081736</v>
      </c>
      <c r="AKC6">
        <v>282.97831398219</v>
      </c>
      <c r="AKD6">
        <v>613.759332484636</v>
      </c>
      <c r="AKE6">
        <v>399.806269662359</v>
      </c>
      <c r="AKF6">
        <v>403.962721414703</v>
      </c>
      <c r="AKG6" t="s">
        <v>1900</v>
      </c>
      <c r="AKH6" t="s">
        <v>1900</v>
      </c>
      <c r="AKI6" t="s">
        <v>1900</v>
      </c>
      <c r="AKJ6" t="s">
        <v>1900</v>
      </c>
      <c r="AKK6" t="s">
        <v>1900</v>
      </c>
      <c r="AKL6">
        <v>0</v>
      </c>
      <c r="AKM6">
        <v>0</v>
      </c>
      <c r="AKN6">
        <v>0</v>
      </c>
      <c r="AKO6">
        <v>0</v>
      </c>
      <c r="AKP6">
        <v>0</v>
      </c>
      <c r="AKQ6">
        <v>0</v>
      </c>
      <c r="AKR6">
        <v>0</v>
      </c>
      <c r="AKS6">
        <v>0</v>
      </c>
      <c r="AKT6">
        <v>0</v>
      </c>
      <c r="AKU6">
        <v>0</v>
      </c>
      <c r="AKV6">
        <v>0.5223540800000001</v>
      </c>
      <c r="AKW6">
        <v>1.111100205</v>
      </c>
      <c r="AKX6">
        <v>0.795541414</v>
      </c>
      <c r="AKY6">
        <v>1.882264253</v>
      </c>
      <c r="AKZ6">
        <v>2.24280394</v>
      </c>
      <c r="ALA6">
        <v>0.496180372</v>
      </c>
      <c r="ALB6">
        <v>1.085868542</v>
      </c>
      <c r="ALC6">
        <v>0.847429299</v>
      </c>
      <c r="ALD6">
        <v>2.110997321</v>
      </c>
      <c r="ALE6">
        <v>2.479378399</v>
      </c>
      <c r="ALF6">
        <v>33.308909103</v>
      </c>
      <c r="ALG6">
        <v>54.717634669</v>
      </c>
      <c r="ALH6">
        <v>22.692298381</v>
      </c>
      <c r="ALI6">
        <v>35.724839799</v>
      </c>
      <c r="ALJ6">
        <v>39.465916148</v>
      </c>
      <c r="ALK6">
        <v>31.639892423</v>
      </c>
      <c r="ALL6">
        <v>53.475067254</v>
      </c>
      <c r="ALM6">
        <v>24.172366356</v>
      </c>
      <c r="ALN6">
        <v>40.066128335</v>
      </c>
      <c r="ALO6">
        <v>43.628842569</v>
      </c>
      <c r="ALP6">
        <v>59.173243248</v>
      </c>
      <c r="ALQ6">
        <v>28.784736245</v>
      </c>
      <c r="ALR6">
        <v>55.072124329</v>
      </c>
      <c r="ALS6">
        <v>37.535856204</v>
      </c>
      <c r="ALT6">
        <v>33.745224762</v>
      </c>
      <c r="ALU6" t="s">
        <v>1900</v>
      </c>
      <c r="ALV6">
        <v>0</v>
      </c>
      <c r="ALW6" t="s">
        <v>1900</v>
      </c>
      <c r="ALX6" t="s">
        <v>1900</v>
      </c>
      <c r="ALY6">
        <v>0</v>
      </c>
      <c r="ALZ6">
        <v>100</v>
      </c>
      <c r="AMA6">
        <v>100</v>
      </c>
      <c r="AMB6">
        <v>100</v>
      </c>
      <c r="AMC6">
        <v>100</v>
      </c>
      <c r="AMD6">
        <v>100</v>
      </c>
      <c r="AME6">
        <v>100</v>
      </c>
      <c r="AMF6">
        <v>100</v>
      </c>
      <c r="AMG6" t="s">
        <v>1901</v>
      </c>
      <c r="AMH6" t="s">
        <v>1901</v>
      </c>
      <c r="AMI6" t="s">
        <v>1901</v>
      </c>
      <c r="AMJ6" t="s">
        <v>1900</v>
      </c>
      <c r="AMK6" t="s">
        <v>1900</v>
      </c>
      <c r="AML6" t="s">
        <v>1900</v>
      </c>
      <c r="AMM6" t="s">
        <v>1900</v>
      </c>
      <c r="AMN6" t="s">
        <v>1900</v>
      </c>
      <c r="AMO6">
        <v>1.00443816921254</v>
      </c>
      <c r="AMP6">
        <v>1.00399265545931</v>
      </c>
      <c r="AMQ6">
        <v>1.00333619629427</v>
      </c>
      <c r="AMR6">
        <v>1.01047400554674</v>
      </c>
      <c r="AMS6">
        <v>1.01077202134074</v>
      </c>
      <c r="AMT6">
        <v>1.00443816921254</v>
      </c>
      <c r="AMU6">
        <v>1.00399265545931</v>
      </c>
      <c r="AMV6">
        <v>1.00333619629427</v>
      </c>
      <c r="AMW6">
        <v>1.01047400554674</v>
      </c>
      <c r="AMX6">
        <v>1.01077202134074</v>
      </c>
      <c r="AMY6" t="s">
        <v>1900</v>
      </c>
      <c r="AMZ6" t="s">
        <v>1900</v>
      </c>
      <c r="ANA6" t="s">
        <v>1900</v>
      </c>
      <c r="ANB6" t="s">
        <v>1900</v>
      </c>
      <c r="ANC6" t="s">
        <v>1900</v>
      </c>
      <c r="AND6">
        <v>0.441855890046644</v>
      </c>
      <c r="ANE6">
        <v>0.397677755668328</v>
      </c>
      <c r="ANF6">
        <v>0.332510309764241</v>
      </c>
      <c r="ANG6">
        <v>1.0365437892753</v>
      </c>
      <c r="ANH6">
        <v>1.06572215230569</v>
      </c>
      <c r="ANI6">
        <v>0.441855890046644</v>
      </c>
      <c r="ANJ6">
        <v>0.397677755668328</v>
      </c>
      <c r="ANK6">
        <v>0.333988546351632</v>
      </c>
      <c r="ANL6">
        <v>1.04355836144772</v>
      </c>
      <c r="ANM6">
        <v>1.07838779462081</v>
      </c>
      <c r="ANN6">
        <v>0.443816921254229</v>
      </c>
      <c r="ANO6">
        <v>0.399265545930541</v>
      </c>
      <c r="ANP6">
        <v>0.333619629427485</v>
      </c>
      <c r="ANQ6">
        <v>1.04740055467361</v>
      </c>
      <c r="ANR6">
        <v>1.07720213407362</v>
      </c>
      <c r="ANS6">
        <v>0.975409889008643</v>
      </c>
      <c r="ANT6">
        <v>0.546041786142368</v>
      </c>
      <c r="ANU6">
        <v>1.11527976635913</v>
      </c>
      <c r="ANV6">
        <v>2.28426811516601</v>
      </c>
      <c r="ANW6">
        <v>2.19655102267876</v>
      </c>
      <c r="ANX6" t="s">
        <v>1900</v>
      </c>
      <c r="ANY6" t="s">
        <v>1900</v>
      </c>
      <c r="ANZ6" t="s">
        <v>1900</v>
      </c>
      <c r="AOA6" t="s">
        <v>1900</v>
      </c>
      <c r="AOB6" t="s">
        <v>1900</v>
      </c>
      <c r="AOC6">
        <v>100.443816921254</v>
      </c>
      <c r="AOD6">
        <v>100.399265545931</v>
      </c>
      <c r="AOE6">
        <v>100.333619629427</v>
      </c>
      <c r="AOF6">
        <v>101.047400554674</v>
      </c>
      <c r="AOG6">
        <v>101.077202134074</v>
      </c>
      <c r="AOH6">
        <v>94.9892784686177</v>
      </c>
      <c r="AOI6">
        <v>97.7291280551228</v>
      </c>
      <c r="AOJ6" t="s">
        <v>1901</v>
      </c>
      <c r="AOK6" t="s">
        <v>1901</v>
      </c>
      <c r="AOL6" t="s">
        <v>1901</v>
      </c>
      <c r="AOM6" t="s">
        <v>1900</v>
      </c>
      <c r="AON6" t="s">
        <v>1900</v>
      </c>
      <c r="AOO6" t="s">
        <v>1900</v>
      </c>
      <c r="AOP6" t="s">
        <v>1900</v>
      </c>
      <c r="AOQ6" t="s">
        <v>1900</v>
      </c>
      <c r="AOR6">
        <v>0.443816921254229</v>
      </c>
      <c r="AOS6">
        <v>0.399265545930541</v>
      </c>
      <c r="AOT6">
        <v>0.333619629427485</v>
      </c>
      <c r="AOU6">
        <v>1.04740055467361</v>
      </c>
      <c r="AOV6">
        <v>1.07720213407362</v>
      </c>
      <c r="AOW6">
        <v>0.419715721826396</v>
      </c>
      <c r="AOX6">
        <v>0.388647003083838</v>
      </c>
      <c r="AOY6">
        <v>0.354197749821238</v>
      </c>
      <c r="AOZ6">
        <v>1.1625047647327</v>
      </c>
      <c r="APA6">
        <v>1.17813618796741</v>
      </c>
      <c r="APB6">
        <v>0.340228936570685</v>
      </c>
      <c r="APC6">
        <v>0.298258416642003</v>
      </c>
      <c r="APD6">
        <v>0.504290227739006</v>
      </c>
      <c r="APE6">
        <v>0.777407736709715</v>
      </c>
      <c r="APF6">
        <v>0.736378183110486</v>
      </c>
      <c r="APG6">
        <v>0.340228936570685</v>
      </c>
      <c r="APH6">
        <v>0.298258416642003</v>
      </c>
      <c r="API6">
        <v>0.506532143984658</v>
      </c>
      <c r="APJ6">
        <v>0.782668665126791</v>
      </c>
      <c r="APK6">
        <v>0.7451297161960651</v>
      </c>
      <c r="APL6" t="s">
        <v>1900</v>
      </c>
      <c r="APM6" t="s">
        <v>1900</v>
      </c>
      <c r="APN6" t="s">
        <v>1900</v>
      </c>
      <c r="APO6" t="s">
        <v>1900</v>
      </c>
      <c r="APP6" t="s">
        <v>1900</v>
      </c>
      <c r="APQ6">
        <v>0.341738930162189</v>
      </c>
      <c r="APR6">
        <v>0.299449259737492</v>
      </c>
      <c r="APS6">
        <v>0.505972638928028</v>
      </c>
      <c r="APT6">
        <v>0.785550309656088</v>
      </c>
      <c r="APU6">
        <v>0.744310464613805</v>
      </c>
      <c r="APV6">
        <v>0.341738930162189</v>
      </c>
      <c r="APW6">
        <v>0.299449259737492</v>
      </c>
      <c r="APX6">
        <v>0.505972638928028</v>
      </c>
      <c r="APY6">
        <v>0.785550309656088</v>
      </c>
      <c r="APZ6">
        <v>0.744310464613805</v>
      </c>
      <c r="AQA6">
        <v>0.323181011989944</v>
      </c>
      <c r="AQB6">
        <v>0.291485349935244</v>
      </c>
      <c r="AQC6">
        <v>0.5371817314435779</v>
      </c>
      <c r="AQD6">
        <v>0.87187845551316</v>
      </c>
      <c r="AQE6">
        <v>0.814052502967308</v>
      </c>
      <c r="AQF6" t="s">
        <v>1900</v>
      </c>
      <c r="AQG6" t="s">
        <v>1900</v>
      </c>
      <c r="AQH6" t="s">
        <v>1900</v>
      </c>
      <c r="AQI6" t="s">
        <v>1900</v>
      </c>
      <c r="AQJ6" t="s">
        <v>1900</v>
      </c>
      <c r="AQK6">
        <v>22</v>
      </c>
      <c r="AQO6" t="s">
        <v>1904</v>
      </c>
      <c r="AQP6">
        <v>5</v>
      </c>
      <c r="AQQ6">
        <v>1</v>
      </c>
      <c r="AQS6" t="s">
        <v>1905</v>
      </c>
      <c r="AQU6" t="s">
        <v>1906</v>
      </c>
      <c r="AQV6">
        <v>2524531.0269426</v>
      </c>
      <c r="AQW6">
        <v>1659313.43087948</v>
      </c>
      <c r="AQX6">
        <v>3922744.67493017</v>
      </c>
      <c r="AQY6">
        <v>11154.7890386009</v>
      </c>
      <c r="AQZ6">
        <v>6598.72041142464</v>
      </c>
      <c r="ARA6">
        <v>13043.5304698706</v>
      </c>
      <c r="ARB6">
        <v>8106589.13275225</v>
      </c>
      <c r="ARC6">
        <v>30797.03991989614</v>
      </c>
      <c r="ARD6">
        <v>0.003813500838788304</v>
      </c>
      <c r="ARE6">
        <v>0.003813500838788304</v>
      </c>
      <c r="ARF6">
        <v>0.003813500838788304</v>
      </c>
      <c r="ARG6">
        <v>0.003813500838788304</v>
      </c>
      <c r="ARH6">
        <v>0.003813500838788304</v>
      </c>
      <c r="ARI6">
        <v>0.003813500838788304</v>
      </c>
      <c r="ARJ6" t="s">
        <v>1167</v>
      </c>
      <c r="ARK6" t="s">
        <v>1505</v>
      </c>
      <c r="ARL6" t="s">
        <v>1908</v>
      </c>
      <c r="ARM6" t="s">
        <v>1908</v>
      </c>
      <c r="ARN6" t="s">
        <v>1909</v>
      </c>
      <c r="ARO6" t="s">
        <v>1908</v>
      </c>
      <c r="ARP6" t="s">
        <v>1907</v>
      </c>
      <c r="ARQ6" t="s">
        <v>1913</v>
      </c>
      <c r="ARR6">
        <f>HYPERLINK("C:\Users\Usuario\Documents\Proyectos\llmthon\evidence\expert_es_233144.png", "Ver Evidencia")</f>
        <v>0</v>
      </c>
      <c r="ARS6">
        <v>100</v>
      </c>
    </row>
    <row r="7" spans="1:1163">
      <c r="A7">
        <v>592</v>
      </c>
      <c r="B7" t="s">
        <v>1168</v>
      </c>
      <c r="C7" t="s">
        <v>1291</v>
      </c>
      <c r="E7" s="2">
        <v>43819</v>
      </c>
      <c r="F7" t="s">
        <v>1431</v>
      </c>
      <c r="G7" t="s">
        <v>1433</v>
      </c>
      <c r="H7" t="s">
        <v>1434</v>
      </c>
      <c r="I7" t="s">
        <v>1437</v>
      </c>
      <c r="J7" t="s">
        <v>1454</v>
      </c>
      <c r="L7" t="s">
        <v>1506</v>
      </c>
      <c r="N7" t="s">
        <v>1629</v>
      </c>
      <c r="O7" t="s">
        <v>1653</v>
      </c>
      <c r="P7">
        <v>7022</v>
      </c>
      <c r="Q7">
        <v>7022</v>
      </c>
      <c r="R7" t="s">
        <v>1677</v>
      </c>
      <c r="Z7" t="s">
        <v>1899</v>
      </c>
      <c r="AA7" s="2">
        <v>45291</v>
      </c>
      <c r="AB7">
        <v>2023</v>
      </c>
      <c r="AC7" t="s">
        <v>1900</v>
      </c>
      <c r="AD7">
        <v>1118220.03674341</v>
      </c>
      <c r="AE7">
        <v>3389907.54593043</v>
      </c>
      <c r="AF7">
        <v>1253040.32194819</v>
      </c>
      <c r="AG7">
        <v>36978.6373883486</v>
      </c>
      <c r="AH7" t="s">
        <v>1900</v>
      </c>
      <c r="AI7">
        <v>1037507.72862072</v>
      </c>
      <c r="AJ7">
        <v>3292409.48512143</v>
      </c>
      <c r="AK7">
        <v>1253040.32194819</v>
      </c>
      <c r="AL7">
        <v>36978.6373883486</v>
      </c>
      <c r="AM7" t="s">
        <v>1900</v>
      </c>
      <c r="AN7">
        <v>-2210.00099182129</v>
      </c>
      <c r="AO7">
        <v>-75813.8916254044</v>
      </c>
      <c r="AP7">
        <v>-76926.21288299561</v>
      </c>
      <c r="AQ7">
        <v>-36812.9789829254</v>
      </c>
      <c r="AR7" t="s">
        <v>1900</v>
      </c>
      <c r="AS7">
        <v>1120430.03773523</v>
      </c>
      <c r="AT7">
        <v>3465721.43755583</v>
      </c>
      <c r="AU7">
        <v>1329966.53483119</v>
      </c>
      <c r="AV7">
        <v>73791.61637127399</v>
      </c>
      <c r="AW7" t="s">
        <v>1900</v>
      </c>
      <c r="AX7">
        <v>1059895.34806801</v>
      </c>
      <c r="AY7">
        <v>3398900.97522409</v>
      </c>
      <c r="AZ7">
        <v>1297210.29440432</v>
      </c>
      <c r="BA7">
        <v>63141.1920667589</v>
      </c>
      <c r="BB7" t="s">
        <v>1900</v>
      </c>
      <c r="BC7">
        <v>60534.6896672249</v>
      </c>
      <c r="BD7">
        <v>66820.4633983433</v>
      </c>
      <c r="BE7">
        <v>32756.2392942667</v>
      </c>
      <c r="BF7">
        <v>10650.4243045151</v>
      </c>
      <c r="BG7" t="s">
        <v>1900</v>
      </c>
      <c r="BH7">
        <v>-41500.8682750797</v>
      </c>
      <c r="BI7">
        <v>-37670.8540159762</v>
      </c>
      <c r="BJ7">
        <v>-16503.2210140944</v>
      </c>
      <c r="BK7">
        <v>0</v>
      </c>
      <c r="BL7" t="s">
        <v>1900</v>
      </c>
      <c r="BM7">
        <v>2.32050104141235</v>
      </c>
      <c r="BN7">
        <v>7999.49616193771</v>
      </c>
      <c r="BO7" t="s">
        <v>1900</v>
      </c>
      <c r="BP7" t="s">
        <v>1900</v>
      </c>
      <c r="BQ7" t="s">
        <v>1900</v>
      </c>
      <c r="BR7">
        <v>41503.1887761211</v>
      </c>
      <c r="BS7">
        <v>45670.3501779139</v>
      </c>
      <c r="BT7">
        <v>16503.2210140944</v>
      </c>
      <c r="BU7" t="s">
        <v>1900</v>
      </c>
      <c r="BV7" t="s">
        <v>1900</v>
      </c>
      <c r="BW7">
        <v>19033.8213921452</v>
      </c>
      <c r="BX7">
        <v>29149.6093823671</v>
      </c>
      <c r="BY7">
        <v>16253.0182801723</v>
      </c>
      <c r="BZ7">
        <v>10650.4243045151</v>
      </c>
      <c r="CA7" t="s">
        <v>1900</v>
      </c>
      <c r="CB7">
        <v>4758.45258553505</v>
      </c>
      <c r="CC7">
        <v>7287.40234559178</v>
      </c>
      <c r="CD7">
        <v>4063.26023304462</v>
      </c>
      <c r="CE7">
        <v>1597.56057792902</v>
      </c>
      <c r="CF7" t="s">
        <v>1900</v>
      </c>
      <c r="CG7">
        <v>14275.3677016096</v>
      </c>
      <c r="CH7">
        <v>21862.2070367753</v>
      </c>
      <c r="CI7">
        <v>12189.7580471277</v>
      </c>
      <c r="CJ7">
        <v>9052.8637265861</v>
      </c>
      <c r="CK7" t="s">
        <v>1900</v>
      </c>
      <c r="CL7" t="s">
        <v>1900</v>
      </c>
      <c r="CM7" t="s">
        <v>1900</v>
      </c>
      <c r="CN7" t="s">
        <v>1900</v>
      </c>
      <c r="CO7" t="s">
        <v>1900</v>
      </c>
      <c r="CP7" t="s">
        <v>1900</v>
      </c>
      <c r="CQ7" t="s">
        <v>1900</v>
      </c>
      <c r="CR7" t="s">
        <v>1900</v>
      </c>
      <c r="CS7" t="s">
        <v>1900</v>
      </c>
      <c r="CT7" t="s">
        <v>1900</v>
      </c>
      <c r="CU7" t="s">
        <v>1900</v>
      </c>
      <c r="CV7" t="s">
        <v>1900</v>
      </c>
      <c r="CW7" t="s">
        <v>1900</v>
      </c>
      <c r="CX7" t="s">
        <v>1900</v>
      </c>
      <c r="CY7" t="s">
        <v>1900</v>
      </c>
      <c r="CZ7" t="s">
        <v>1900</v>
      </c>
      <c r="DA7">
        <v>14275.3677016096</v>
      </c>
      <c r="DB7">
        <v>21862.2070367753</v>
      </c>
      <c r="DC7">
        <v>12189.7580471277</v>
      </c>
      <c r="DD7">
        <v>9052.8637265861</v>
      </c>
      <c r="DE7" t="s">
        <v>1900</v>
      </c>
      <c r="DF7" t="s">
        <v>1900</v>
      </c>
      <c r="DG7" t="s">
        <v>1900</v>
      </c>
      <c r="DH7" t="s">
        <v>1900</v>
      </c>
      <c r="DI7" t="s">
        <v>1900</v>
      </c>
      <c r="DJ7" t="s">
        <v>1900</v>
      </c>
      <c r="DK7">
        <v>-2210.00099182129</v>
      </c>
      <c r="DL7">
        <v>-75813.8916254044</v>
      </c>
      <c r="DM7">
        <v>-76926.21288299561</v>
      </c>
      <c r="DN7">
        <v>-36812.9789829254</v>
      </c>
      <c r="DO7" t="s">
        <v>1900</v>
      </c>
      <c r="DP7">
        <v>630204.269577932</v>
      </c>
      <c r="DQ7">
        <v>1303362.47471032</v>
      </c>
      <c r="DR7">
        <v>477845.576077724</v>
      </c>
      <c r="DS7">
        <v>30095.3465781212</v>
      </c>
      <c r="DT7" t="s">
        <v>1900</v>
      </c>
      <c r="DU7">
        <v>40899.56015522</v>
      </c>
      <c r="DV7">
        <v>116127.875167239</v>
      </c>
      <c r="DW7">
        <v>55116.5782123804</v>
      </c>
      <c r="DX7" t="s">
        <v>1900</v>
      </c>
      <c r="DY7" t="s">
        <v>1900</v>
      </c>
      <c r="DZ7">
        <v>388791.518334856</v>
      </c>
      <c r="EA7">
        <v>1979410.62427993</v>
      </c>
      <c r="EB7">
        <v>764248.14124682</v>
      </c>
      <c r="EC7">
        <v>33045.8454886377</v>
      </c>
      <c r="ED7" t="s">
        <v>1900</v>
      </c>
      <c r="EE7">
        <v>41501.597575407</v>
      </c>
      <c r="EF7">
        <v>45670.3501779139</v>
      </c>
      <c r="EG7">
        <v>16503.2210140944</v>
      </c>
      <c r="EH7" t="s">
        <v>1900</v>
      </c>
      <c r="EI7" t="s">
        <v>1900</v>
      </c>
      <c r="EJ7" t="s">
        <v>1900</v>
      </c>
      <c r="EK7" t="s">
        <v>1900</v>
      </c>
      <c r="EL7" t="s">
        <v>1900</v>
      </c>
      <c r="EM7" t="s">
        <v>1900</v>
      </c>
      <c r="EN7" t="s">
        <v>1900</v>
      </c>
      <c r="EO7">
        <v>55174.9289618301</v>
      </c>
      <c r="EP7">
        <v>137990.082204014</v>
      </c>
      <c r="EQ7">
        <v>67306.3362595081</v>
      </c>
      <c r="ER7" t="s">
        <v>1900</v>
      </c>
      <c r="ES7" t="s">
        <v>1900</v>
      </c>
      <c r="ET7">
        <v>731639.248700705</v>
      </c>
      <c r="EU7">
        <v>1494310.30943784</v>
      </c>
      <c r="EV7">
        <v>565718.393584371</v>
      </c>
      <c r="EW7">
        <v>40745.769655537</v>
      </c>
      <c r="EX7" t="s">
        <v>1900</v>
      </c>
      <c r="EY7">
        <v>101434.249822445</v>
      </c>
      <c r="EZ7">
        <v>182948.338565582</v>
      </c>
      <c r="FA7">
        <v>87872.8175066471</v>
      </c>
      <c r="FB7">
        <v>10650.4243045151</v>
      </c>
      <c r="FC7" t="s">
        <v>1900</v>
      </c>
      <c r="FD7">
        <v>146199.344812469</v>
      </c>
      <c r="FE7">
        <v>859472.90719521</v>
      </c>
      <c r="FF7">
        <v>1096474.31043155</v>
      </c>
      <c r="FG7">
        <v>319200.346466798</v>
      </c>
      <c r="FH7" t="s">
        <v>1900</v>
      </c>
      <c r="FI7">
        <v>0</v>
      </c>
      <c r="FJ7">
        <v>0</v>
      </c>
      <c r="FK7">
        <v>198205.053806305</v>
      </c>
      <c r="FL7">
        <v>214742.377400398</v>
      </c>
      <c r="FM7" t="s">
        <v>1900</v>
      </c>
      <c r="FN7">
        <v>0</v>
      </c>
      <c r="FO7">
        <v>718354.286038232</v>
      </c>
      <c r="FP7">
        <v>759291.225393176</v>
      </c>
      <c r="FQ7">
        <v>104236.686249733</v>
      </c>
      <c r="FR7" t="s">
        <v>1900</v>
      </c>
      <c r="FS7">
        <v>146199.344812469</v>
      </c>
      <c r="FT7">
        <v>141118.621156979</v>
      </c>
      <c r="FU7">
        <v>138978.031232071</v>
      </c>
      <c r="FV7">
        <v>221.282816666365</v>
      </c>
      <c r="FW7" t="s">
        <v>1900</v>
      </c>
      <c r="FX7">
        <v>0</v>
      </c>
      <c r="FY7">
        <v>0</v>
      </c>
      <c r="FZ7">
        <v>198205.053806305</v>
      </c>
      <c r="GA7">
        <v>214742.377400398</v>
      </c>
      <c r="GB7" t="s">
        <v>1900</v>
      </c>
      <c r="GC7">
        <v>0</v>
      </c>
      <c r="GD7">
        <v>718354.286038232</v>
      </c>
      <c r="GE7">
        <v>759291.225393176</v>
      </c>
      <c r="GF7">
        <v>104236.686249733</v>
      </c>
      <c r="GG7" t="s">
        <v>1900</v>
      </c>
      <c r="GH7">
        <v>146199.344812469</v>
      </c>
      <c r="GI7">
        <v>141118.621156979</v>
      </c>
      <c r="GJ7">
        <v>138978.031232071</v>
      </c>
      <c r="GK7">
        <v>221.282816666365</v>
      </c>
      <c r="GL7" t="s">
        <v>1900</v>
      </c>
      <c r="GM7">
        <v>590585.946447716</v>
      </c>
      <c r="GN7">
        <v>910338.5461544869</v>
      </c>
      <c r="GO7">
        <v>981799.877095127</v>
      </c>
      <c r="GP7">
        <v>216804.763192952</v>
      </c>
      <c r="GQ7" t="s">
        <v>1900</v>
      </c>
      <c r="GR7">
        <v>188955.08480072</v>
      </c>
      <c r="GS7">
        <v>180255.313515663</v>
      </c>
      <c r="GT7">
        <v>110904.222106934</v>
      </c>
      <c r="GU7">
        <v>36812.9789829254</v>
      </c>
      <c r="GV7" t="s">
        <v>1900</v>
      </c>
      <c r="GW7">
        <v>91093.01428142549</v>
      </c>
      <c r="GX7">
        <v>368670.39043237</v>
      </c>
      <c r="GY7">
        <v>91204.57650511261</v>
      </c>
      <c r="GZ7">
        <v>39201.6750211835</v>
      </c>
      <c r="HA7" t="s">
        <v>1900</v>
      </c>
      <c r="HB7">
        <v>310537.84736557</v>
      </c>
      <c r="HC7">
        <v>361412.842206454</v>
      </c>
      <c r="HD7">
        <v>779691.078483081</v>
      </c>
      <c r="HE7">
        <v>140790.109188843</v>
      </c>
      <c r="HF7" t="s">
        <v>1900</v>
      </c>
      <c r="HG7">
        <v>11397.1187648869</v>
      </c>
      <c r="HH7">
        <v>120041.665995449</v>
      </c>
      <c r="HI7">
        <v>440380.426419139</v>
      </c>
      <c r="HJ7">
        <v>35601.5865545273</v>
      </c>
      <c r="HK7" t="s">
        <v>1900</v>
      </c>
      <c r="HL7">
        <v>736785.291260185</v>
      </c>
      <c r="HM7">
        <v>1769811.4533497</v>
      </c>
      <c r="HN7">
        <v>2078274.18752668</v>
      </c>
      <c r="HO7">
        <v>536005.109659749</v>
      </c>
      <c r="HP7" t="s">
        <v>1900</v>
      </c>
      <c r="HQ7">
        <v>182611.619503851</v>
      </c>
      <c r="HR7">
        <v>161778.813234466</v>
      </c>
      <c r="HS7">
        <v>148551.945802481</v>
      </c>
      <c r="HT7">
        <v>12734.1616248786</v>
      </c>
      <c r="HU7" t="s">
        <v>1900</v>
      </c>
      <c r="HV7">
        <v>124887.156047821</v>
      </c>
      <c r="HW7">
        <v>120568.406152725</v>
      </c>
      <c r="HX7">
        <v>128006.486749649</v>
      </c>
      <c r="HY7">
        <v>3681.29789829254</v>
      </c>
      <c r="HZ7" t="s">
        <v>1900</v>
      </c>
      <c r="IA7">
        <v>57724.4634560299</v>
      </c>
      <c r="IB7">
        <v>41210.4070817411</v>
      </c>
      <c r="IC7">
        <v>20545.4590528321</v>
      </c>
      <c r="ID7">
        <v>9052.8637265861</v>
      </c>
      <c r="IE7" t="s">
        <v>1900</v>
      </c>
      <c r="IF7">
        <v>52343.1773409748</v>
      </c>
      <c r="IG7">
        <v>1018527.23069485</v>
      </c>
      <c r="IH7">
        <v>1421456.78711185</v>
      </c>
      <c r="II7">
        <v>202471.38440609</v>
      </c>
      <c r="IJ7" t="s">
        <v>1900</v>
      </c>
      <c r="IK7">
        <v>52343.1773409748</v>
      </c>
      <c r="IL7">
        <v>1017798.4872605</v>
      </c>
      <c r="IM7">
        <v>1421456.78711185</v>
      </c>
      <c r="IN7">
        <v>202471.38440609</v>
      </c>
      <c r="IO7" t="s">
        <v>1900</v>
      </c>
      <c r="IP7">
        <v>0</v>
      </c>
      <c r="IQ7">
        <v>728.743434357643</v>
      </c>
      <c r="IR7">
        <v>0</v>
      </c>
      <c r="IS7">
        <v>0</v>
      </c>
      <c r="IT7" t="s">
        <v>1900</v>
      </c>
      <c r="IU7">
        <v>0</v>
      </c>
      <c r="IV7" t="s">
        <v>1900</v>
      </c>
      <c r="IW7">
        <v>0</v>
      </c>
      <c r="IX7">
        <v>0</v>
      </c>
      <c r="IY7" t="s">
        <v>1900</v>
      </c>
      <c r="IZ7">
        <v>501830.494415359</v>
      </c>
      <c r="JA7">
        <v>589505.409420377</v>
      </c>
      <c r="JB7">
        <v>508265.453479743</v>
      </c>
      <c r="JC7">
        <v>320799.563628781</v>
      </c>
      <c r="JD7" t="s">
        <v>1900</v>
      </c>
      <c r="JE7">
        <v>444730.765089703</v>
      </c>
      <c r="JF7">
        <v>302418.403229278</v>
      </c>
      <c r="JG7">
        <v>357668.834535599</v>
      </c>
      <c r="JH7">
        <v>137312.411606312</v>
      </c>
      <c r="JI7" t="s">
        <v>1900</v>
      </c>
      <c r="JJ7">
        <v>0</v>
      </c>
      <c r="JK7">
        <v>137425.947068679</v>
      </c>
      <c r="JL7">
        <v>107440.764344716</v>
      </c>
      <c r="JM7">
        <v>143509.447133332</v>
      </c>
      <c r="JN7" t="s">
        <v>1900</v>
      </c>
      <c r="JO7">
        <v>57099.7293256569</v>
      </c>
      <c r="JP7">
        <v>149661.059122419</v>
      </c>
      <c r="JQ7">
        <v>43155.8545994282</v>
      </c>
      <c r="JR7">
        <v>39977.7048891365</v>
      </c>
      <c r="JS7" t="s">
        <v>1900</v>
      </c>
      <c r="JT7">
        <v>736785.291260185</v>
      </c>
      <c r="JU7">
        <v>1769811.4533497</v>
      </c>
      <c r="JV7">
        <v>2078274.18752668</v>
      </c>
      <c r="JW7">
        <v>536005.109659749</v>
      </c>
      <c r="JX7" t="s">
        <v>1900</v>
      </c>
      <c r="JY7">
        <v>280048.099082146</v>
      </c>
      <c r="JZ7">
        <v>411499.756879354</v>
      </c>
      <c r="KA7">
        <v>94668.03426733019</v>
      </c>
      <c r="KB7">
        <v>-67494.7931292236</v>
      </c>
      <c r="KC7" t="s">
        <v>1900</v>
      </c>
      <c r="KD7" t="s">
        <v>1900</v>
      </c>
      <c r="KE7" t="s">
        <v>1900</v>
      </c>
      <c r="KF7" t="s">
        <v>1900</v>
      </c>
      <c r="KG7" t="s">
        <v>1900</v>
      </c>
      <c r="KH7" t="s">
        <v>1900</v>
      </c>
      <c r="KI7" t="s">
        <v>1900</v>
      </c>
      <c r="KJ7" t="s">
        <v>1900</v>
      </c>
      <c r="KK7" t="s">
        <v>1900</v>
      </c>
      <c r="KL7" t="s">
        <v>1900</v>
      </c>
      <c r="KM7" t="s">
        <v>1900</v>
      </c>
      <c r="KN7">
        <v>13</v>
      </c>
      <c r="KO7">
        <v>34</v>
      </c>
      <c r="KP7">
        <v>13</v>
      </c>
      <c r="KQ7" t="s">
        <v>1900</v>
      </c>
      <c r="KR7" t="s">
        <v>1900</v>
      </c>
      <c r="KS7" t="s">
        <v>1900</v>
      </c>
      <c r="KT7" t="s">
        <v>1900</v>
      </c>
      <c r="KU7" t="s">
        <v>1900</v>
      </c>
      <c r="KV7" t="s">
        <v>1900</v>
      </c>
      <c r="KW7" t="s">
        <v>1900</v>
      </c>
      <c r="KX7" t="s">
        <v>1900</v>
      </c>
      <c r="KY7" t="s">
        <v>1900</v>
      </c>
      <c r="KZ7" t="s">
        <v>1900</v>
      </c>
      <c r="LA7" t="s">
        <v>1900</v>
      </c>
      <c r="LB7" t="s">
        <v>1900</v>
      </c>
      <c r="LC7" t="s">
        <v>1900</v>
      </c>
      <c r="LD7" t="s">
        <v>1900</v>
      </c>
      <c r="LE7" t="s">
        <v>1900</v>
      </c>
      <c r="LF7" t="s">
        <v>1900</v>
      </c>
      <c r="LG7" t="s">
        <v>1900</v>
      </c>
      <c r="LH7" t="s">
        <v>1900</v>
      </c>
      <c r="LI7" t="s">
        <v>1900</v>
      </c>
      <c r="LJ7" t="s">
        <v>1900</v>
      </c>
      <c r="LK7" t="s">
        <v>1900</v>
      </c>
      <c r="LL7" t="s">
        <v>1900</v>
      </c>
      <c r="LM7" t="s">
        <v>1900</v>
      </c>
      <c r="LN7" t="s">
        <v>1900</v>
      </c>
      <c r="LO7" t="s">
        <v>1900</v>
      </c>
      <c r="LP7" t="s">
        <v>1900</v>
      </c>
      <c r="LQ7" t="s">
        <v>1900</v>
      </c>
      <c r="LR7" t="s">
        <v>1900</v>
      </c>
      <c r="LS7" t="s">
        <v>1900</v>
      </c>
      <c r="LT7" t="s">
        <v>1900</v>
      </c>
      <c r="LU7" t="s">
        <v>1900</v>
      </c>
      <c r="LV7" t="s">
        <v>1900</v>
      </c>
      <c r="LW7" t="s">
        <v>1900</v>
      </c>
      <c r="LX7" t="s">
        <v>1900</v>
      </c>
      <c r="LY7" t="s">
        <v>1900</v>
      </c>
      <c r="LZ7" t="s">
        <v>1900</v>
      </c>
      <c r="MA7" t="s">
        <v>1900</v>
      </c>
      <c r="MB7" t="s">
        <v>1900</v>
      </c>
      <c r="MC7" t="s">
        <v>1900</v>
      </c>
      <c r="MD7" t="s">
        <v>1900</v>
      </c>
      <c r="ME7" t="s">
        <v>1900</v>
      </c>
      <c r="MF7" t="s">
        <v>1900</v>
      </c>
      <c r="MG7" t="s">
        <v>1900</v>
      </c>
      <c r="MH7" t="s">
        <v>1900</v>
      </c>
      <c r="MI7" t="s">
        <v>1900</v>
      </c>
      <c r="MJ7" t="s">
        <v>1900</v>
      </c>
      <c r="MK7" t="s">
        <v>1900</v>
      </c>
      <c r="ML7" t="s">
        <v>1900</v>
      </c>
      <c r="MM7" t="s">
        <v>1900</v>
      </c>
      <c r="MN7" t="s">
        <v>1900</v>
      </c>
      <c r="MO7" t="s">
        <v>1900</v>
      </c>
      <c r="MP7" t="s">
        <v>1900</v>
      </c>
      <c r="MQ7">
        <v>310537.84736557</v>
      </c>
      <c r="MR7">
        <v>361412.842206454</v>
      </c>
      <c r="MS7">
        <v>779691.078483081</v>
      </c>
      <c r="MT7">
        <v>140790.109188843</v>
      </c>
      <c r="MU7" t="s">
        <v>1900</v>
      </c>
      <c r="MV7" t="s">
        <v>1900</v>
      </c>
      <c r="MW7" t="s">
        <v>1900</v>
      </c>
      <c r="MX7" t="s">
        <v>1900</v>
      </c>
      <c r="MY7" t="s">
        <v>1900</v>
      </c>
      <c r="MZ7" t="s">
        <v>1900</v>
      </c>
      <c r="NA7" t="s">
        <v>1900</v>
      </c>
      <c r="NB7" t="s">
        <v>1900</v>
      </c>
      <c r="NC7" t="s">
        <v>1900</v>
      </c>
      <c r="ND7" t="s">
        <v>1900</v>
      </c>
      <c r="NE7" t="s">
        <v>1900</v>
      </c>
      <c r="NF7" t="s">
        <v>1900</v>
      </c>
      <c r="NG7" t="s">
        <v>1900</v>
      </c>
      <c r="NH7" t="s">
        <v>1900</v>
      </c>
      <c r="NI7" t="s">
        <v>1900</v>
      </c>
      <c r="NJ7" t="s">
        <v>1900</v>
      </c>
      <c r="NK7" t="s">
        <v>1900</v>
      </c>
      <c r="NL7" t="s">
        <v>1900</v>
      </c>
      <c r="NM7" t="s">
        <v>1900</v>
      </c>
      <c r="NN7" t="s">
        <v>1900</v>
      </c>
      <c r="NO7" t="s">
        <v>1900</v>
      </c>
      <c r="NP7" t="s">
        <v>1900</v>
      </c>
      <c r="NQ7" t="s">
        <v>1900</v>
      </c>
      <c r="NR7" t="s">
        <v>1900</v>
      </c>
      <c r="NS7" t="s">
        <v>1900</v>
      </c>
      <c r="NT7" t="s">
        <v>1900</v>
      </c>
      <c r="NU7">
        <v>146199.344812469</v>
      </c>
      <c r="NV7">
        <v>859472.90719521</v>
      </c>
      <c r="NW7">
        <v>1096474.31043155</v>
      </c>
      <c r="NX7">
        <v>319200.346466798</v>
      </c>
      <c r="NY7" t="s">
        <v>1900</v>
      </c>
      <c r="NZ7" t="s">
        <v>1900</v>
      </c>
      <c r="OA7" t="s">
        <v>1900</v>
      </c>
      <c r="OB7" t="s">
        <v>1900</v>
      </c>
      <c r="OC7" t="s">
        <v>1900</v>
      </c>
      <c r="OD7" t="s">
        <v>1900</v>
      </c>
      <c r="OE7" t="s">
        <v>1900</v>
      </c>
      <c r="OF7" t="s">
        <v>1900</v>
      </c>
      <c r="OG7" t="s">
        <v>1900</v>
      </c>
      <c r="OH7" t="s">
        <v>1900</v>
      </c>
      <c r="OI7" t="s">
        <v>1900</v>
      </c>
      <c r="OJ7" t="s">
        <v>1900</v>
      </c>
      <c r="OK7" t="s">
        <v>1900</v>
      </c>
      <c r="OL7" t="s">
        <v>1900</v>
      </c>
      <c r="OM7" t="s">
        <v>1900</v>
      </c>
      <c r="ON7" t="s">
        <v>1900</v>
      </c>
      <c r="OO7" t="s">
        <v>1900</v>
      </c>
      <c r="OP7" t="s">
        <v>1900</v>
      </c>
      <c r="OQ7" t="s">
        <v>1900</v>
      </c>
      <c r="OR7" t="s">
        <v>1900</v>
      </c>
      <c r="OS7" t="s">
        <v>1900</v>
      </c>
      <c r="OT7" t="s">
        <v>1900</v>
      </c>
      <c r="OU7" t="s">
        <v>1900</v>
      </c>
      <c r="OV7" t="s">
        <v>1900</v>
      </c>
      <c r="OW7" t="s">
        <v>1900</v>
      </c>
      <c r="OX7" t="s">
        <v>1900</v>
      </c>
      <c r="OY7" t="s">
        <v>1900</v>
      </c>
      <c r="OZ7" t="s">
        <v>1900</v>
      </c>
      <c r="PA7" t="s">
        <v>1900</v>
      </c>
      <c r="PB7" t="s">
        <v>1900</v>
      </c>
      <c r="PC7" t="s">
        <v>1900</v>
      </c>
      <c r="PD7" t="s">
        <v>1900</v>
      </c>
      <c r="PE7" t="s">
        <v>1900</v>
      </c>
      <c r="PF7" t="s">
        <v>1900</v>
      </c>
      <c r="PG7" t="s">
        <v>1900</v>
      </c>
      <c r="PH7" t="s">
        <v>1900</v>
      </c>
      <c r="PI7" t="s">
        <v>1900</v>
      </c>
      <c r="PJ7" t="s">
        <v>1900</v>
      </c>
      <c r="PK7" t="s">
        <v>1900</v>
      </c>
      <c r="PL7" t="s">
        <v>1900</v>
      </c>
      <c r="PM7" t="s">
        <v>1900</v>
      </c>
      <c r="PN7" t="s">
        <v>1900</v>
      </c>
      <c r="PO7" t="s">
        <v>1900</v>
      </c>
      <c r="PP7" t="s">
        <v>1900</v>
      </c>
      <c r="PQ7" t="s">
        <v>1900</v>
      </c>
      <c r="PR7" t="s">
        <v>1900</v>
      </c>
      <c r="PS7" t="s">
        <v>1900</v>
      </c>
      <c r="PT7" t="s">
        <v>1900</v>
      </c>
      <c r="PU7" t="s">
        <v>1900</v>
      </c>
      <c r="PV7" t="s">
        <v>1900</v>
      </c>
      <c r="PW7" t="s">
        <v>1900</v>
      </c>
      <c r="PX7" t="s">
        <v>1900</v>
      </c>
      <c r="PY7" t="s">
        <v>1900</v>
      </c>
      <c r="PZ7" t="s">
        <v>1900</v>
      </c>
      <c r="QA7" t="s">
        <v>1900</v>
      </c>
      <c r="QB7" t="s">
        <v>1900</v>
      </c>
      <c r="QC7" t="s">
        <v>1900</v>
      </c>
      <c r="QD7" t="s">
        <v>1900</v>
      </c>
      <c r="QE7" t="s">
        <v>1900</v>
      </c>
      <c r="QF7" t="s">
        <v>1900</v>
      </c>
      <c r="QG7" t="s">
        <v>1900</v>
      </c>
      <c r="QH7" t="s">
        <v>1900</v>
      </c>
      <c r="QI7" t="s">
        <v>1900</v>
      </c>
      <c r="QJ7" t="s">
        <v>1900</v>
      </c>
      <c r="QK7" t="s">
        <v>1900</v>
      </c>
      <c r="QL7" t="s">
        <v>1900</v>
      </c>
      <c r="QM7" t="s">
        <v>1900</v>
      </c>
      <c r="QN7" t="s">
        <v>1900</v>
      </c>
      <c r="QO7" t="s">
        <v>1900</v>
      </c>
      <c r="QP7" t="s">
        <v>1900</v>
      </c>
      <c r="QQ7" t="s">
        <v>1900</v>
      </c>
      <c r="QR7" t="s">
        <v>1900</v>
      </c>
      <c r="QS7" t="s">
        <v>1900</v>
      </c>
      <c r="QT7" t="s">
        <v>1900</v>
      </c>
      <c r="QU7" t="s">
        <v>1900</v>
      </c>
      <c r="QV7" t="s">
        <v>1900</v>
      </c>
      <c r="QW7" t="s">
        <v>1900</v>
      </c>
      <c r="QX7" t="s">
        <v>1900</v>
      </c>
      <c r="QY7" t="s">
        <v>1900</v>
      </c>
      <c r="QZ7" t="s">
        <v>1900</v>
      </c>
      <c r="RA7" t="s">
        <v>1900</v>
      </c>
      <c r="RB7" t="s">
        <v>1900</v>
      </c>
      <c r="RC7" t="s">
        <v>1900</v>
      </c>
      <c r="RD7" t="s">
        <v>1900</v>
      </c>
      <c r="RE7" t="s">
        <v>1900</v>
      </c>
      <c r="RF7" t="s">
        <v>1900</v>
      </c>
      <c r="RG7" t="s">
        <v>1900</v>
      </c>
      <c r="RH7" t="s">
        <v>1900</v>
      </c>
      <c r="RI7" t="s">
        <v>1900</v>
      </c>
      <c r="RJ7" t="s">
        <v>1900</v>
      </c>
      <c r="RK7" t="s">
        <v>1900</v>
      </c>
      <c r="RL7" t="s">
        <v>1900</v>
      </c>
      <c r="RM7" t="s">
        <v>1900</v>
      </c>
      <c r="RN7" t="s">
        <v>1900</v>
      </c>
      <c r="RO7" t="s">
        <v>1900</v>
      </c>
      <c r="RP7" t="s">
        <v>1900</v>
      </c>
      <c r="RQ7" t="s">
        <v>1900</v>
      </c>
      <c r="RR7" t="s">
        <v>1900</v>
      </c>
      <c r="RS7" t="s">
        <v>1900</v>
      </c>
      <c r="RT7" t="s">
        <v>1900</v>
      </c>
      <c r="RU7" t="s">
        <v>1900</v>
      </c>
      <c r="RV7" t="s">
        <v>1900</v>
      </c>
      <c r="RW7" t="s">
        <v>1900</v>
      </c>
      <c r="RX7" t="s">
        <v>1900</v>
      </c>
      <c r="RY7" t="s">
        <v>1900</v>
      </c>
      <c r="RZ7" t="s">
        <v>1900</v>
      </c>
      <c r="SA7" t="s">
        <v>1900</v>
      </c>
      <c r="SB7" t="s">
        <v>1900</v>
      </c>
      <c r="SC7" t="s">
        <v>1900</v>
      </c>
      <c r="SD7" t="s">
        <v>1900</v>
      </c>
      <c r="SE7" t="s">
        <v>1900</v>
      </c>
      <c r="SF7" t="s">
        <v>1900</v>
      </c>
      <c r="SG7" t="s">
        <v>1900</v>
      </c>
      <c r="SH7" t="s">
        <v>1900</v>
      </c>
      <c r="SI7" t="s">
        <v>1900</v>
      </c>
      <c r="SJ7" t="s">
        <v>1900</v>
      </c>
      <c r="SK7">
        <v>146199.344812469</v>
      </c>
      <c r="SL7">
        <v>141118.621156979</v>
      </c>
      <c r="SM7">
        <v>138978.031232071</v>
      </c>
      <c r="SN7">
        <v>221.282816666365</v>
      </c>
      <c r="SO7" t="s">
        <v>1900</v>
      </c>
      <c r="SP7" t="s">
        <v>1900</v>
      </c>
      <c r="SQ7" t="s">
        <v>1900</v>
      </c>
      <c r="SR7" t="s">
        <v>1900</v>
      </c>
      <c r="SS7" t="s">
        <v>1900</v>
      </c>
      <c r="ST7" t="s">
        <v>1900</v>
      </c>
      <c r="SU7" t="s">
        <v>1900</v>
      </c>
      <c r="SV7" t="s">
        <v>1900</v>
      </c>
      <c r="SW7" t="s">
        <v>1900</v>
      </c>
      <c r="SX7" t="s">
        <v>1900</v>
      </c>
      <c r="SY7" t="s">
        <v>1900</v>
      </c>
      <c r="SZ7" t="s">
        <v>1900</v>
      </c>
      <c r="TA7" t="s">
        <v>1900</v>
      </c>
      <c r="TB7" t="s">
        <v>1900</v>
      </c>
      <c r="TC7" t="s">
        <v>1900</v>
      </c>
      <c r="TD7" t="s">
        <v>1900</v>
      </c>
      <c r="TE7" t="s">
        <v>1900</v>
      </c>
      <c r="TF7" t="s">
        <v>1900</v>
      </c>
      <c r="TG7" t="s">
        <v>1900</v>
      </c>
      <c r="TH7" t="s">
        <v>1900</v>
      </c>
      <c r="TI7" t="s">
        <v>1900</v>
      </c>
      <c r="TJ7" t="s">
        <v>1900</v>
      </c>
      <c r="TK7" t="s">
        <v>1900</v>
      </c>
      <c r="TL7" t="s">
        <v>1900</v>
      </c>
      <c r="TM7" t="s">
        <v>1900</v>
      </c>
      <c r="TN7" t="s">
        <v>1900</v>
      </c>
      <c r="TO7" t="s">
        <v>1900</v>
      </c>
      <c r="TP7" t="s">
        <v>1900</v>
      </c>
      <c r="TQ7" t="s">
        <v>1900</v>
      </c>
      <c r="TR7" t="s">
        <v>1900</v>
      </c>
      <c r="TS7" t="s">
        <v>1900</v>
      </c>
      <c r="TT7">
        <v>736785.291260185</v>
      </c>
      <c r="TU7">
        <v>1769811.4533497</v>
      </c>
      <c r="TV7">
        <v>2078274.18752668</v>
      </c>
      <c r="TW7">
        <v>536005.109659749</v>
      </c>
      <c r="TX7" t="s">
        <v>1900</v>
      </c>
      <c r="TY7" t="s">
        <v>1900</v>
      </c>
      <c r="TZ7" t="s">
        <v>1900</v>
      </c>
      <c r="UA7" t="s">
        <v>1900</v>
      </c>
      <c r="UB7" t="s">
        <v>1900</v>
      </c>
      <c r="UC7" t="s">
        <v>1900</v>
      </c>
      <c r="UD7">
        <v>444730.765089703</v>
      </c>
      <c r="UE7">
        <v>302418.403229278</v>
      </c>
      <c r="UF7">
        <v>357668.834535599</v>
      </c>
      <c r="UG7">
        <v>137312.411606312</v>
      </c>
      <c r="UH7" t="s">
        <v>1900</v>
      </c>
      <c r="UI7" t="s">
        <v>1900</v>
      </c>
      <c r="UJ7" t="s">
        <v>1900</v>
      </c>
      <c r="UK7" t="s">
        <v>1900</v>
      </c>
      <c r="UL7" t="s">
        <v>1900</v>
      </c>
      <c r="UM7" t="s">
        <v>1900</v>
      </c>
      <c r="UN7" t="s">
        <v>1900</v>
      </c>
      <c r="UO7" t="s">
        <v>1900</v>
      </c>
      <c r="UP7" t="s">
        <v>1900</v>
      </c>
      <c r="UQ7" t="s">
        <v>1900</v>
      </c>
      <c r="UR7" t="s">
        <v>1900</v>
      </c>
      <c r="US7" t="s">
        <v>1900</v>
      </c>
      <c r="UT7" t="s">
        <v>1900</v>
      </c>
      <c r="UU7" t="s">
        <v>1900</v>
      </c>
      <c r="UV7" t="s">
        <v>1900</v>
      </c>
      <c r="UW7" t="s">
        <v>1900</v>
      </c>
      <c r="UX7" t="s">
        <v>1900</v>
      </c>
      <c r="UY7" t="s">
        <v>1900</v>
      </c>
      <c r="UZ7" t="s">
        <v>1900</v>
      </c>
      <c r="VA7" t="s">
        <v>1900</v>
      </c>
      <c r="VB7" t="s">
        <v>1900</v>
      </c>
      <c r="VC7" t="s">
        <v>1900</v>
      </c>
      <c r="VD7" t="s">
        <v>1900</v>
      </c>
      <c r="VE7" t="s">
        <v>1900</v>
      </c>
      <c r="VF7" t="s">
        <v>1900</v>
      </c>
      <c r="VG7" t="s">
        <v>1900</v>
      </c>
      <c r="VH7" t="s">
        <v>1900</v>
      </c>
      <c r="VI7" t="s">
        <v>1900</v>
      </c>
      <c r="VJ7" t="s">
        <v>1900</v>
      </c>
      <c r="VK7" t="s">
        <v>1900</v>
      </c>
      <c r="VL7" t="s">
        <v>1900</v>
      </c>
      <c r="VM7" t="s">
        <v>1900</v>
      </c>
      <c r="VN7" t="s">
        <v>1900</v>
      </c>
      <c r="VO7" t="s">
        <v>1900</v>
      </c>
      <c r="VP7" t="s">
        <v>1900</v>
      </c>
      <c r="VQ7" t="s">
        <v>1900</v>
      </c>
      <c r="VR7" t="s">
        <v>1900</v>
      </c>
      <c r="VS7" t="s">
        <v>1900</v>
      </c>
      <c r="VT7" t="s">
        <v>1900</v>
      </c>
      <c r="VU7" t="s">
        <v>1900</v>
      </c>
      <c r="VV7" t="s">
        <v>1900</v>
      </c>
      <c r="VW7" t="s">
        <v>1900</v>
      </c>
      <c r="VX7" t="s">
        <v>1900</v>
      </c>
      <c r="VY7" t="s">
        <v>1900</v>
      </c>
      <c r="VZ7" t="s">
        <v>1900</v>
      </c>
      <c r="WA7" t="s">
        <v>1900</v>
      </c>
      <c r="WB7">
        <v>57099.7293256569</v>
      </c>
      <c r="WC7">
        <v>149661.059122419</v>
      </c>
      <c r="WD7">
        <v>43155.8545994282</v>
      </c>
      <c r="WE7">
        <v>39977.7048891365</v>
      </c>
      <c r="WF7" t="s">
        <v>1900</v>
      </c>
      <c r="WG7" t="s">
        <v>1900</v>
      </c>
      <c r="WH7" t="s">
        <v>1900</v>
      </c>
      <c r="WI7" t="s">
        <v>1900</v>
      </c>
      <c r="WJ7" t="s">
        <v>1900</v>
      </c>
      <c r="WK7" t="s">
        <v>1900</v>
      </c>
      <c r="WL7" t="s">
        <v>1900</v>
      </c>
      <c r="WM7" t="s">
        <v>1900</v>
      </c>
      <c r="WN7" t="s">
        <v>1900</v>
      </c>
      <c r="WO7" t="s">
        <v>1900</v>
      </c>
      <c r="WP7" t="s">
        <v>1900</v>
      </c>
      <c r="WQ7" t="s">
        <v>1900</v>
      </c>
      <c r="WR7" t="s">
        <v>1900</v>
      </c>
      <c r="WS7" t="s">
        <v>1900</v>
      </c>
      <c r="WT7" t="s">
        <v>1900</v>
      </c>
      <c r="WU7" t="s">
        <v>1900</v>
      </c>
      <c r="WV7" t="s">
        <v>1900</v>
      </c>
      <c r="WW7" t="s">
        <v>1900</v>
      </c>
      <c r="WX7" t="s">
        <v>1900</v>
      </c>
      <c r="WY7" t="s">
        <v>1900</v>
      </c>
      <c r="WZ7" t="s">
        <v>1900</v>
      </c>
      <c r="XA7" t="s">
        <v>1900</v>
      </c>
      <c r="XB7" t="s">
        <v>1900</v>
      </c>
      <c r="XC7" t="s">
        <v>1900</v>
      </c>
      <c r="XD7" t="s">
        <v>1900</v>
      </c>
      <c r="XE7" t="s">
        <v>1900</v>
      </c>
      <c r="XF7" t="s">
        <v>1900</v>
      </c>
      <c r="XG7" t="s">
        <v>1900</v>
      </c>
      <c r="XH7" t="s">
        <v>1900</v>
      </c>
      <c r="XI7" t="s">
        <v>1900</v>
      </c>
      <c r="XJ7" t="s">
        <v>1900</v>
      </c>
      <c r="XK7">
        <v>0</v>
      </c>
      <c r="XL7">
        <v>728.743434357643</v>
      </c>
      <c r="XM7">
        <v>0</v>
      </c>
      <c r="XN7">
        <v>0</v>
      </c>
      <c r="XO7" t="s">
        <v>1900</v>
      </c>
      <c r="XP7" t="s">
        <v>1900</v>
      </c>
      <c r="XQ7" t="s">
        <v>1900</v>
      </c>
      <c r="XR7" t="s">
        <v>1900</v>
      </c>
      <c r="XS7" t="s">
        <v>1900</v>
      </c>
      <c r="XT7" t="s">
        <v>1900</v>
      </c>
      <c r="XU7" t="s">
        <v>1900</v>
      </c>
      <c r="XV7" t="s">
        <v>1900</v>
      </c>
      <c r="XW7" t="s">
        <v>1900</v>
      </c>
      <c r="XX7" t="s">
        <v>1900</v>
      </c>
      <c r="XY7" t="s">
        <v>1900</v>
      </c>
      <c r="XZ7">
        <v>0</v>
      </c>
      <c r="YA7" t="s">
        <v>1900</v>
      </c>
      <c r="YB7">
        <v>0</v>
      </c>
      <c r="YC7">
        <v>0</v>
      </c>
      <c r="YD7" t="s">
        <v>1900</v>
      </c>
      <c r="YE7" t="s">
        <v>1900</v>
      </c>
      <c r="YF7" t="s">
        <v>1900</v>
      </c>
      <c r="YG7" t="s">
        <v>1900</v>
      </c>
      <c r="YH7" t="s">
        <v>1900</v>
      </c>
      <c r="YI7" t="s">
        <v>1900</v>
      </c>
      <c r="YJ7" t="s">
        <v>1900</v>
      </c>
      <c r="YK7" t="s">
        <v>1900</v>
      </c>
      <c r="YL7" t="s">
        <v>1900</v>
      </c>
      <c r="YM7" t="s">
        <v>1900</v>
      </c>
      <c r="YN7" t="s">
        <v>1900</v>
      </c>
      <c r="YO7" t="s">
        <v>1900</v>
      </c>
      <c r="YP7" t="s">
        <v>1900</v>
      </c>
      <c r="YQ7" t="s">
        <v>1900</v>
      </c>
      <c r="YR7" t="s">
        <v>1900</v>
      </c>
      <c r="YS7" t="s">
        <v>1900</v>
      </c>
      <c r="YT7" t="s">
        <v>1900</v>
      </c>
      <c r="YU7" t="s">
        <v>1900</v>
      </c>
      <c r="YV7" t="s">
        <v>1900</v>
      </c>
      <c r="YW7" t="s">
        <v>1900</v>
      </c>
      <c r="YX7" t="s">
        <v>1900</v>
      </c>
      <c r="YY7" t="s">
        <v>1900</v>
      </c>
      <c r="YZ7" t="s">
        <v>1900</v>
      </c>
      <c r="ZA7" t="s">
        <v>1900</v>
      </c>
      <c r="ZB7" t="s">
        <v>1900</v>
      </c>
      <c r="ZC7" t="s">
        <v>1900</v>
      </c>
      <c r="ZD7" t="s">
        <v>1900</v>
      </c>
      <c r="ZE7" t="s">
        <v>1900</v>
      </c>
      <c r="ZF7" t="s">
        <v>1900</v>
      </c>
      <c r="ZG7" t="s">
        <v>1900</v>
      </c>
      <c r="ZH7" t="s">
        <v>1900</v>
      </c>
      <c r="ZI7" t="s">
        <v>1900</v>
      </c>
      <c r="ZJ7" t="s">
        <v>1900</v>
      </c>
      <c r="ZK7" t="s">
        <v>1900</v>
      </c>
      <c r="ZL7" t="s">
        <v>1900</v>
      </c>
      <c r="ZM7" t="s">
        <v>1900</v>
      </c>
      <c r="ZN7" t="s">
        <v>1900</v>
      </c>
      <c r="ZO7" t="s">
        <v>1900</v>
      </c>
      <c r="ZP7" t="s">
        <v>1900</v>
      </c>
      <c r="ZQ7" t="s">
        <v>1900</v>
      </c>
      <c r="ZR7" t="s">
        <v>1900</v>
      </c>
      <c r="ZS7" t="s">
        <v>1900</v>
      </c>
      <c r="ZT7" t="s">
        <v>1900</v>
      </c>
      <c r="ZU7" t="s">
        <v>1900</v>
      </c>
      <c r="ZV7" t="s">
        <v>1900</v>
      </c>
      <c r="ZW7" t="s">
        <v>1900</v>
      </c>
      <c r="ZX7" t="s">
        <v>1900</v>
      </c>
      <c r="ZY7" t="s">
        <v>1900</v>
      </c>
      <c r="ZZ7" t="s">
        <v>1900</v>
      </c>
      <c r="AAA7" t="s">
        <v>1900</v>
      </c>
      <c r="AAB7" t="s">
        <v>1900</v>
      </c>
      <c r="AAC7" t="s">
        <v>1900</v>
      </c>
      <c r="AAD7" t="s">
        <v>1900</v>
      </c>
      <c r="AAE7" t="s">
        <v>1900</v>
      </c>
      <c r="AAF7" t="s">
        <v>1900</v>
      </c>
      <c r="AAG7" t="s">
        <v>1900</v>
      </c>
      <c r="AAH7" t="s">
        <v>1900</v>
      </c>
      <c r="AAI7" t="s">
        <v>1900</v>
      </c>
      <c r="AAJ7" t="s">
        <v>1900</v>
      </c>
      <c r="AAK7" t="s">
        <v>1900</v>
      </c>
      <c r="AAL7" t="s">
        <v>1900</v>
      </c>
      <c r="AAM7" t="s">
        <v>1900</v>
      </c>
      <c r="AAN7" t="s">
        <v>1900</v>
      </c>
      <c r="AAO7" t="s">
        <v>1900</v>
      </c>
      <c r="AAP7" t="s">
        <v>1900</v>
      </c>
      <c r="AAQ7" t="s">
        <v>1900</v>
      </c>
      <c r="AAR7" t="s">
        <v>1900</v>
      </c>
      <c r="AAS7" t="s">
        <v>1900</v>
      </c>
      <c r="AAT7" t="s">
        <v>1900</v>
      </c>
      <c r="AAU7" t="s">
        <v>1900</v>
      </c>
      <c r="AAV7" t="s">
        <v>1900</v>
      </c>
      <c r="AAW7" t="s">
        <v>1900</v>
      </c>
      <c r="AAX7" t="s">
        <v>1900</v>
      </c>
      <c r="AAY7" t="s">
        <v>1900</v>
      </c>
      <c r="AAZ7" t="s">
        <v>1900</v>
      </c>
      <c r="ABA7" t="s">
        <v>1900</v>
      </c>
      <c r="ABB7" t="s">
        <v>1900</v>
      </c>
      <c r="ABC7" t="s">
        <v>1900</v>
      </c>
      <c r="ABD7" t="s">
        <v>1900</v>
      </c>
      <c r="ABE7" t="s">
        <v>1900</v>
      </c>
      <c r="ABF7" t="s">
        <v>1900</v>
      </c>
      <c r="ABG7" t="s">
        <v>1900</v>
      </c>
      <c r="ABH7" t="s">
        <v>1900</v>
      </c>
      <c r="ABI7" t="s">
        <v>1900</v>
      </c>
      <c r="ABJ7" t="s">
        <v>1900</v>
      </c>
      <c r="ABK7" t="s">
        <v>1900</v>
      </c>
      <c r="ABL7" t="s">
        <v>1900</v>
      </c>
      <c r="ABM7" t="s">
        <v>1900</v>
      </c>
      <c r="ABN7" t="s">
        <v>1900</v>
      </c>
      <c r="ABO7" t="s">
        <v>1900</v>
      </c>
      <c r="ABP7" t="s">
        <v>1900</v>
      </c>
      <c r="ABQ7" t="s">
        <v>1900</v>
      </c>
      <c r="ABR7" t="s">
        <v>1900</v>
      </c>
      <c r="ABS7" t="s">
        <v>1900</v>
      </c>
      <c r="ABT7" t="s">
        <v>1900</v>
      </c>
      <c r="ABU7" t="s">
        <v>1900</v>
      </c>
      <c r="ABV7" t="s">
        <v>1900</v>
      </c>
      <c r="ABW7" t="s">
        <v>1900</v>
      </c>
      <c r="ABX7" t="s">
        <v>1900</v>
      </c>
      <c r="ABY7" t="s">
        <v>1900</v>
      </c>
      <c r="ABZ7" t="s">
        <v>1900</v>
      </c>
      <c r="ACA7" t="s">
        <v>1900</v>
      </c>
      <c r="ACB7" t="s">
        <v>1900</v>
      </c>
      <c r="ACC7" t="s">
        <v>1900</v>
      </c>
      <c r="ACD7" t="s">
        <v>1900</v>
      </c>
      <c r="ACE7" t="s">
        <v>1900</v>
      </c>
      <c r="ACF7">
        <v>10.423</v>
      </c>
      <c r="ACG7">
        <v>18.018</v>
      </c>
      <c r="ACH7">
        <v>10.941</v>
      </c>
      <c r="ACI7">
        <v>83.637</v>
      </c>
      <c r="ACJ7" t="s">
        <v>1900</v>
      </c>
      <c r="ACK7">
        <v>25.765</v>
      </c>
      <c r="ACL7">
        <v>6.339</v>
      </c>
      <c r="ACM7">
        <v>2.086</v>
      </c>
      <c r="ACN7" t="s">
        <v>1900</v>
      </c>
      <c r="ACO7" t="s">
        <v>1900</v>
      </c>
      <c r="ACP7">
        <v>2.583</v>
      </c>
      <c r="ACQ7">
        <v>1.647</v>
      </c>
      <c r="ACR7">
        <v>0.782</v>
      </c>
      <c r="ACS7">
        <v>1.987</v>
      </c>
      <c r="ACT7" t="s">
        <v>1900</v>
      </c>
      <c r="ACU7">
        <v>7.817</v>
      </c>
      <c r="ACV7">
        <v>13.514</v>
      </c>
      <c r="ACW7">
        <v>8.206</v>
      </c>
      <c r="ACX7">
        <v>71.09099999999999</v>
      </c>
      <c r="ACY7" t="s">
        <v>1900</v>
      </c>
      <c r="ACZ7">
        <v>23.739</v>
      </c>
      <c r="ADA7">
        <v>5.722</v>
      </c>
      <c r="ADB7">
        <v>1.828</v>
      </c>
      <c r="ADC7" t="s">
        <v>1900</v>
      </c>
      <c r="ADD7" t="s">
        <v>1900</v>
      </c>
      <c r="ADE7">
        <v>1.938</v>
      </c>
      <c r="ADF7">
        <v>1.235</v>
      </c>
      <c r="ADG7">
        <v>0.587</v>
      </c>
      <c r="ADH7">
        <v>1.689</v>
      </c>
      <c r="ADI7" t="s">
        <v>1900</v>
      </c>
      <c r="ADJ7">
        <v>1.702</v>
      </c>
      <c r="ADK7">
        <v>0.86</v>
      </c>
      <c r="ADL7">
        <v>1.297</v>
      </c>
      <c r="ADM7">
        <v>28.802</v>
      </c>
      <c r="ADN7" t="s">
        <v>1900</v>
      </c>
      <c r="ADO7" t="s">
        <v>1901</v>
      </c>
      <c r="ADP7" t="s">
        <v>1901</v>
      </c>
      <c r="ADQ7" t="s">
        <v>1901</v>
      </c>
      <c r="ADR7" t="s">
        <v>1901</v>
      </c>
      <c r="ADS7" t="s">
        <v>1900</v>
      </c>
      <c r="ADT7">
        <v>5.413486405</v>
      </c>
      <c r="ADU7">
        <v>1.971158874</v>
      </c>
      <c r="ADV7">
        <v>2.61414088</v>
      </c>
      <c r="ADW7">
        <v>28.801559648</v>
      </c>
      <c r="ADX7" t="s">
        <v>1900</v>
      </c>
      <c r="ADY7">
        <v>9.071</v>
      </c>
      <c r="ADZ7">
        <v>5.397</v>
      </c>
      <c r="AEA7">
        <v>7.013</v>
      </c>
      <c r="AEB7">
        <v>28.802</v>
      </c>
      <c r="AEC7" t="s">
        <v>1900</v>
      </c>
      <c r="AED7">
        <v>5.413</v>
      </c>
      <c r="AEE7">
        <v>1.971</v>
      </c>
      <c r="AEF7">
        <v>2.614</v>
      </c>
      <c r="AEG7">
        <v>28.802</v>
      </c>
      <c r="AEH7" t="s">
        <v>1900</v>
      </c>
      <c r="AEI7">
        <v>4.934</v>
      </c>
      <c r="AEJ7">
        <v>4.071</v>
      </c>
      <c r="AEK7">
        <v>5.371</v>
      </c>
      <c r="AEL7" t="s">
        <v>1900</v>
      </c>
      <c r="AEM7" t="s">
        <v>1900</v>
      </c>
      <c r="AEN7">
        <v>5.723317415</v>
      </c>
      <c r="AEO7">
        <v>2.010794834</v>
      </c>
      <c r="AEP7">
        <v>2.684312592</v>
      </c>
      <c r="AEQ7">
        <v>40.452514839</v>
      </c>
      <c r="AER7" t="s">
        <v>1900</v>
      </c>
      <c r="AES7">
        <v>1.057113837</v>
      </c>
      <c r="AET7">
        <v>1.019659432</v>
      </c>
      <c r="AEU7">
        <v>1.025251295</v>
      </c>
      <c r="AEV7">
        <v>1.168676326</v>
      </c>
      <c r="AEW7" t="s">
        <v>1900</v>
      </c>
      <c r="AEX7" t="s">
        <v>1900</v>
      </c>
      <c r="AEY7" t="s">
        <v>1900</v>
      </c>
      <c r="AEZ7" t="s">
        <v>1900</v>
      </c>
      <c r="AFA7" t="s">
        <v>1900</v>
      </c>
      <c r="AFB7" t="s">
        <v>1900</v>
      </c>
      <c r="AFC7" t="s">
        <v>1900</v>
      </c>
      <c r="AFD7" t="s">
        <v>1900</v>
      </c>
      <c r="AFE7" t="s">
        <v>1900</v>
      </c>
      <c r="AFF7" t="s">
        <v>1900</v>
      </c>
      <c r="AFG7" t="s">
        <v>1900</v>
      </c>
      <c r="AFH7">
        <v>4.759</v>
      </c>
      <c r="AFI7">
        <v>2.872</v>
      </c>
      <c r="AFJ7">
        <v>0.798</v>
      </c>
      <c r="AFK7">
        <v>0.172</v>
      </c>
      <c r="AFL7" t="s">
        <v>1900</v>
      </c>
      <c r="AFM7">
        <v>1.459</v>
      </c>
      <c r="AFN7">
        <v>1.463</v>
      </c>
      <c r="AFO7">
        <v>1.985</v>
      </c>
      <c r="AFP7" t="s">
        <v>1900</v>
      </c>
      <c r="AFQ7" t="s">
        <v>1900</v>
      </c>
      <c r="AFR7">
        <v>5.918</v>
      </c>
      <c r="AFS7">
        <v>18.806</v>
      </c>
      <c r="AFT7">
        <v>11.298</v>
      </c>
      <c r="AFU7">
        <v>1.005</v>
      </c>
      <c r="AFV7" t="s">
        <v>1900</v>
      </c>
      <c r="AFW7">
        <v>29.327</v>
      </c>
      <c r="AFX7">
        <v>39.152</v>
      </c>
      <c r="AFY7">
        <v>26.203</v>
      </c>
      <c r="AFZ7">
        <v>381.642</v>
      </c>
      <c r="AGA7" t="s">
        <v>1900</v>
      </c>
      <c r="AGB7">
        <v>0</v>
      </c>
      <c r="AGC7">
        <v>14.594</v>
      </c>
      <c r="AGD7">
        <v>30.868</v>
      </c>
      <c r="AGE7" t="s">
        <v>1901</v>
      </c>
      <c r="AGF7" t="s">
        <v>1900</v>
      </c>
      <c r="AGG7" t="s">
        <v>1900</v>
      </c>
      <c r="AGH7" t="s">
        <v>1900</v>
      </c>
      <c r="AGI7" t="s">
        <v>1900</v>
      </c>
      <c r="AGJ7" t="s">
        <v>1900</v>
      </c>
      <c r="AGK7" t="s">
        <v>1900</v>
      </c>
      <c r="AGL7" t="s">
        <v>1900</v>
      </c>
      <c r="AGM7" t="s">
        <v>1900</v>
      </c>
      <c r="AGN7" t="s">
        <v>1900</v>
      </c>
      <c r="AGO7" t="s">
        <v>1900</v>
      </c>
      <c r="AGP7" t="s">
        <v>1900</v>
      </c>
      <c r="AGQ7" t="s">
        <v>1900</v>
      </c>
      <c r="AGR7" t="s">
        <v>1900</v>
      </c>
      <c r="AGS7" t="s">
        <v>1900</v>
      </c>
      <c r="AGT7" t="s">
        <v>1900</v>
      </c>
      <c r="AGU7">
        <v>0</v>
      </c>
      <c r="AGV7">
        <v>0</v>
      </c>
      <c r="AGW7">
        <v>0</v>
      </c>
      <c r="AGX7">
        <v>0</v>
      </c>
      <c r="AGY7">
        <v>0</v>
      </c>
      <c r="AGZ7" t="s">
        <v>1900</v>
      </c>
      <c r="AHA7">
        <v>1.177</v>
      </c>
      <c r="AHB7">
        <v>1.544</v>
      </c>
      <c r="AHC7">
        <v>1.932</v>
      </c>
      <c r="AHD7">
        <v>0.676</v>
      </c>
      <c r="AHE7" t="s">
        <v>1900</v>
      </c>
      <c r="AHF7">
        <v>0.8</v>
      </c>
      <c r="AHG7">
        <v>1.238</v>
      </c>
      <c r="AHH7">
        <v>1.713</v>
      </c>
      <c r="AHI7">
        <v>0.5610000000000001</v>
      </c>
      <c r="AHJ7" t="s">
        <v>1900</v>
      </c>
      <c r="AHK7">
        <v>3.489</v>
      </c>
      <c r="AHL7">
        <v>0.159</v>
      </c>
      <c r="AHM7">
        <v>0.105</v>
      </c>
      <c r="AHN7">
        <v>0.063</v>
      </c>
      <c r="AHO7" t="s">
        <v>1900</v>
      </c>
      <c r="AHP7">
        <v>24.785</v>
      </c>
      <c r="AHQ7">
        <v>9.141</v>
      </c>
      <c r="AHR7">
        <v>7.148</v>
      </c>
      <c r="AHS7">
        <v>2.376</v>
      </c>
      <c r="AHT7" t="s">
        <v>1900</v>
      </c>
      <c r="AHU7">
        <v>32.952</v>
      </c>
      <c r="AHV7">
        <v>10.061</v>
      </c>
      <c r="AHW7">
        <v>7.698</v>
      </c>
      <c r="AHX7">
        <v>2.434</v>
      </c>
      <c r="AHY7" t="s">
        <v>1900</v>
      </c>
      <c r="AHZ7">
        <v>272.203</v>
      </c>
      <c r="AIA7">
        <v>816.513</v>
      </c>
      <c r="AIB7" t="s">
        <v>1901</v>
      </c>
      <c r="AIC7" t="s">
        <v>1901</v>
      </c>
      <c r="AID7" t="s">
        <v>1900</v>
      </c>
      <c r="AIE7">
        <v>19.842869632</v>
      </c>
      <c r="AIF7">
        <v>7.973652837</v>
      </c>
      <c r="AIG7">
        <v>6.687184591</v>
      </c>
      <c r="AIH7">
        <v>0.041283714</v>
      </c>
      <c r="AII7" t="s">
        <v>1900</v>
      </c>
      <c r="AIJ7">
        <v>42.147671927</v>
      </c>
      <c r="AIK7">
        <v>20.420979959</v>
      </c>
      <c r="AIL7">
        <v>37.516275916</v>
      </c>
      <c r="AIM7">
        <v>26.266561018</v>
      </c>
      <c r="AIN7" t="s">
        <v>1900</v>
      </c>
      <c r="AIO7">
        <v>7.74984653</v>
      </c>
      <c r="AIP7">
        <v>8.456327867000001</v>
      </c>
      <c r="AIQ7">
        <v>2.07652363</v>
      </c>
      <c r="AIR7">
        <v>7.45845593</v>
      </c>
      <c r="AIS7" t="s">
        <v>1900</v>
      </c>
      <c r="AIT7" t="s">
        <v>1901</v>
      </c>
      <c r="AIU7">
        <v>-237.760270118</v>
      </c>
      <c r="AIV7">
        <v>-144.169611307</v>
      </c>
      <c r="AIW7">
        <v>-100</v>
      </c>
      <c r="AIX7" t="s">
        <v>1900</v>
      </c>
      <c r="AIY7">
        <v>1.46414002208805</v>
      </c>
      <c r="AIZ7">
        <v>0.857341201457977</v>
      </c>
      <c r="AJA7">
        <v>1.25023217539787</v>
      </c>
      <c r="AJB7" t="s">
        <v>1900</v>
      </c>
      <c r="AJC7" t="s">
        <v>1900</v>
      </c>
      <c r="AJD7">
        <v>86.01692598833939</v>
      </c>
      <c r="AJE7">
        <v>99.7031635234183</v>
      </c>
      <c r="AJF7">
        <v>96.38771681156879</v>
      </c>
      <c r="AJG7" t="s">
        <v>1900</v>
      </c>
      <c r="AJH7" t="s">
        <v>1900</v>
      </c>
      <c r="AJI7">
        <v>56.358</v>
      </c>
      <c r="AJJ7">
        <v>38.448</v>
      </c>
      <c r="AJK7">
        <v>38.135</v>
      </c>
      <c r="AJL7">
        <v>81.386</v>
      </c>
      <c r="AJM7" t="s">
        <v>1900</v>
      </c>
      <c r="AJN7">
        <v>48.4772513359947</v>
      </c>
      <c r="AJO7">
        <v>38.3341903699154</v>
      </c>
      <c r="AJP7">
        <v>36.7573514832401</v>
      </c>
      <c r="AJQ7" t="s">
        <v>1900</v>
      </c>
      <c r="AJR7" t="s">
        <v>1900</v>
      </c>
      <c r="AJS7">
        <v>14.0470480791426</v>
      </c>
      <c r="AJT7">
        <v>4.75820057747245</v>
      </c>
      <c r="AJU7">
        <v>11.4270729282832</v>
      </c>
      <c r="AJV7" t="s">
        <v>1900</v>
      </c>
      <c r="AJW7" t="s">
        <v>1900</v>
      </c>
      <c r="AJX7">
        <v>21.5421614678574</v>
      </c>
      <c r="AJY7">
        <v>12.1029337121576</v>
      </c>
      <c r="AJZ7">
        <v>7.28215674347162</v>
      </c>
      <c r="AKA7" t="s">
        <v>1900</v>
      </c>
      <c r="AKB7" t="s">
        <v>1900</v>
      </c>
      <c r="AKC7">
        <v>56.6757914653988</v>
      </c>
      <c r="AKD7">
        <v>52.0532782906616</v>
      </c>
      <c r="AKE7">
        <v>159.867244671621</v>
      </c>
      <c r="AKF7" t="s">
        <v>1900</v>
      </c>
      <c r="AKG7" t="s">
        <v>1900</v>
      </c>
      <c r="AKH7" t="s">
        <v>1901</v>
      </c>
      <c r="AKI7">
        <v>-237.760270118</v>
      </c>
      <c r="AKJ7">
        <v>-144.169611307</v>
      </c>
      <c r="AKK7">
        <v>-100</v>
      </c>
      <c r="AKL7" t="s">
        <v>1900</v>
      </c>
      <c r="AKM7">
        <v>16.897844663</v>
      </c>
      <c r="AKN7">
        <v>5.317410905</v>
      </c>
      <c r="AKO7">
        <v>8.850810318000001</v>
      </c>
      <c r="AKP7">
        <v>99.552015928</v>
      </c>
      <c r="AKQ7" t="s">
        <v>1900</v>
      </c>
      <c r="AKR7">
        <v>25.645881784</v>
      </c>
      <c r="AKS7">
        <v>10.18500096</v>
      </c>
      <c r="AKT7">
        <v>5.336361428</v>
      </c>
      <c r="AKU7">
        <v>6.868027621</v>
      </c>
      <c r="AKV7" t="s">
        <v>1900</v>
      </c>
      <c r="AKW7">
        <v>0</v>
      </c>
      <c r="AKX7">
        <v>0</v>
      </c>
      <c r="AKY7">
        <v>15.817931022</v>
      </c>
      <c r="AKZ7">
        <v>580.720092915</v>
      </c>
      <c r="ALA7" t="s">
        <v>1900</v>
      </c>
      <c r="ALB7">
        <v>0</v>
      </c>
      <c r="ALC7">
        <v>0</v>
      </c>
      <c r="ALD7">
        <v>9.537002143</v>
      </c>
      <c r="ALE7">
        <v>40.063494457</v>
      </c>
      <c r="ALF7" t="s">
        <v>1900</v>
      </c>
      <c r="ALG7">
        <v>0</v>
      </c>
      <c r="ALH7">
        <v>21.190969851</v>
      </c>
      <c r="ALI7">
        <v>60.595913164</v>
      </c>
      <c r="ALJ7">
        <v>281.883524141</v>
      </c>
      <c r="ALK7" t="s">
        <v>1900</v>
      </c>
      <c r="ALL7">
        <v>0</v>
      </c>
      <c r="ALM7">
        <v>40.589311629</v>
      </c>
      <c r="ALN7">
        <v>36.534699317</v>
      </c>
      <c r="ALO7">
        <v>19.44695757</v>
      </c>
      <c r="ALP7" t="s">
        <v>1900</v>
      </c>
      <c r="ALQ7">
        <v>8.146251299999999</v>
      </c>
      <c r="ALR7">
        <v>10.87552936</v>
      </c>
      <c r="ALS7">
        <v>7.278662538</v>
      </c>
      <c r="ALT7">
        <v>106.01168077</v>
      </c>
      <c r="ALU7" t="s">
        <v>1900</v>
      </c>
      <c r="ALV7">
        <v>0</v>
      </c>
      <c r="ALW7">
        <v>37.276100993</v>
      </c>
      <c r="ALX7">
        <v>117.801944224</v>
      </c>
      <c r="ALY7">
        <v>366.079885759</v>
      </c>
      <c r="ALZ7" t="s">
        <v>1900</v>
      </c>
      <c r="AMA7" t="s">
        <v>1901</v>
      </c>
      <c r="AMB7" t="s">
        <v>1901</v>
      </c>
      <c r="AMC7" t="s">
        <v>1901</v>
      </c>
      <c r="AMD7" t="s">
        <v>1901</v>
      </c>
      <c r="AME7" t="s">
        <v>1900</v>
      </c>
      <c r="AMF7" t="s">
        <v>1901</v>
      </c>
      <c r="AMG7" t="s">
        <v>1901</v>
      </c>
      <c r="AMH7" t="s">
        <v>1901</v>
      </c>
      <c r="AMI7" t="s">
        <v>1901</v>
      </c>
      <c r="AMJ7" t="s">
        <v>1900</v>
      </c>
      <c r="AMK7" t="s">
        <v>1901</v>
      </c>
      <c r="AML7" t="s">
        <v>1901</v>
      </c>
      <c r="AMM7" t="s">
        <v>1901</v>
      </c>
      <c r="AMN7" t="s">
        <v>1901</v>
      </c>
      <c r="AMO7" t="s">
        <v>1900</v>
      </c>
      <c r="AMP7">
        <v>1.0571138365477</v>
      </c>
      <c r="AMQ7">
        <v>1.01965943192191</v>
      </c>
      <c r="AMR7">
        <v>1.02525129546702</v>
      </c>
      <c r="AMS7">
        <v>1.16867632611773</v>
      </c>
      <c r="AMT7" t="s">
        <v>1900</v>
      </c>
      <c r="AMU7">
        <v>1.0571138365477</v>
      </c>
      <c r="AMV7">
        <v>1.01965943223572</v>
      </c>
      <c r="AMW7">
        <v>1.02525129459392</v>
      </c>
      <c r="AMX7">
        <v>1.16867632611773</v>
      </c>
      <c r="AMY7" t="s">
        <v>1900</v>
      </c>
      <c r="AMZ7">
        <v>1.0571138365477</v>
      </c>
      <c r="ANA7">
        <v>1.01965943224189</v>
      </c>
      <c r="ANB7">
        <v>1.02525129457187</v>
      </c>
      <c r="ANC7">
        <v>1.16867632611773</v>
      </c>
      <c r="AND7" t="s">
        <v>1900</v>
      </c>
      <c r="ANE7">
        <v>5.41348640501201</v>
      </c>
      <c r="ANF7">
        <v>1.97115887359704</v>
      </c>
      <c r="ANG7">
        <v>2.61414087962773</v>
      </c>
      <c r="ANH7">
        <v>28.8015596482495</v>
      </c>
      <c r="ANI7" t="s">
        <v>1900</v>
      </c>
      <c r="ANJ7">
        <v>5.83462541987043</v>
      </c>
      <c r="ANK7">
        <v>2.02953076463631</v>
      </c>
      <c r="ANL7">
        <v>2.61414087962773</v>
      </c>
      <c r="ANM7">
        <v>28.8015596482495</v>
      </c>
      <c r="ANN7" t="s">
        <v>1900</v>
      </c>
      <c r="ANO7">
        <v>5.72331741519952</v>
      </c>
      <c r="ANP7">
        <v>2.01079483440525</v>
      </c>
      <c r="ANQ7">
        <v>2.6843125924438</v>
      </c>
      <c r="ANR7">
        <v>40.4525148387488</v>
      </c>
      <c r="ANS7" t="s">
        <v>1900</v>
      </c>
      <c r="ANT7">
        <v>25.7643982928361</v>
      </c>
      <c r="ANU7">
        <v>5.66128282931547</v>
      </c>
      <c r="ANV7">
        <v>2.08637306174931</v>
      </c>
      <c r="ANW7">
        <v>4.94895438381616</v>
      </c>
      <c r="ANX7" t="s">
        <v>1900</v>
      </c>
      <c r="ANY7">
        <v>100.197635610095</v>
      </c>
      <c r="ANZ7">
        <v>102.236458977072</v>
      </c>
      <c r="AOA7">
        <v>106.139165000165</v>
      </c>
      <c r="AOB7">
        <v>199.552015928323</v>
      </c>
      <c r="AOC7" t="s">
        <v>1900</v>
      </c>
      <c r="AOD7">
        <v>105.932264338586</v>
      </c>
      <c r="AOE7">
        <v>104.292224413062</v>
      </c>
      <c r="AOF7">
        <v>108.988271971779</v>
      </c>
      <c r="AOG7">
        <v>280.27582478275</v>
      </c>
      <c r="AOH7" t="s">
        <v>1900</v>
      </c>
      <c r="AOI7" t="s">
        <v>1901</v>
      </c>
      <c r="AOJ7" t="s">
        <v>1901</v>
      </c>
      <c r="AOK7">
        <v>63.993795564288</v>
      </c>
      <c r="AOL7">
        <v>13.7669613668639</v>
      </c>
      <c r="AOM7" t="s">
        <v>1900</v>
      </c>
      <c r="AON7" t="s">
        <v>1901</v>
      </c>
      <c r="AOO7" t="s">
        <v>1901</v>
      </c>
      <c r="AOP7" t="s">
        <v>1901</v>
      </c>
      <c r="AOQ7" t="s">
        <v>1901</v>
      </c>
      <c r="AOR7" t="s">
        <v>1900</v>
      </c>
      <c r="AOS7">
        <v>5.7113836547701</v>
      </c>
      <c r="AOT7">
        <v>1.96594322357208</v>
      </c>
      <c r="AOU7">
        <v>2.5251294593918</v>
      </c>
      <c r="AOV7">
        <v>16.8676326117734</v>
      </c>
      <c r="AOW7" t="s">
        <v>1900</v>
      </c>
      <c r="AOX7">
        <v>8.216055665781189</v>
      </c>
      <c r="AOY7">
        <v>3.7755696106426</v>
      </c>
      <c r="AOZ7">
        <v>1.57612693699715</v>
      </c>
      <c r="APA7">
        <v>1.98700051782639</v>
      </c>
      <c r="APB7" t="s">
        <v>1900</v>
      </c>
      <c r="APC7">
        <v>1.27661526645361</v>
      </c>
      <c r="APD7">
        <v>0.644920451090793</v>
      </c>
      <c r="APE7">
        <v>0.972814508329261</v>
      </c>
      <c r="APF7">
        <v>24.4813339970134</v>
      </c>
      <c r="APG7" t="s">
        <v>1900</v>
      </c>
      <c r="APH7">
        <v>1.37592880590755</v>
      </c>
      <c r="API7">
        <v>0.664018468406552</v>
      </c>
      <c r="APJ7">
        <v>0.972814508329261</v>
      </c>
      <c r="APK7">
        <v>24.4813339970134</v>
      </c>
      <c r="APL7" t="s">
        <v>1900</v>
      </c>
      <c r="APM7" t="s">
        <v>1901</v>
      </c>
      <c r="APN7" t="s">
        <v>1901</v>
      </c>
      <c r="APO7" t="s">
        <v>1901</v>
      </c>
      <c r="APP7" t="s">
        <v>1901</v>
      </c>
      <c r="APQ7" t="s">
        <v>1900</v>
      </c>
      <c r="APR7">
        <v>1.34686577572314</v>
      </c>
      <c r="APS7">
        <v>0.643214003471636</v>
      </c>
      <c r="APT7">
        <v>0.939690202869169</v>
      </c>
      <c r="APU7">
        <v>14.3374925785604</v>
      </c>
      <c r="APV7" t="s">
        <v>1900</v>
      </c>
      <c r="APW7">
        <v>1.34968001032365</v>
      </c>
      <c r="APX7">
        <v>0.657888478207349</v>
      </c>
      <c r="APY7">
        <v>0.998927890677464</v>
      </c>
      <c r="APZ7">
        <v>34.3846492648789</v>
      </c>
      <c r="AQA7" t="s">
        <v>1900</v>
      </c>
      <c r="AQB7">
        <v>1.93752072292231</v>
      </c>
      <c r="AQC7">
        <v>1.2352845268007</v>
      </c>
      <c r="AQD7">
        <v>0.58653271643789</v>
      </c>
      <c r="AQE7">
        <v>1.68895101248807</v>
      </c>
      <c r="AQF7" t="s">
        <v>1900</v>
      </c>
      <c r="AQG7">
        <v>0.057113836547701</v>
      </c>
      <c r="AQH7">
        <v>0.0196594322418901</v>
      </c>
      <c r="AQI7">
        <v>0.025251294571871</v>
      </c>
      <c r="AQJ7">
        <v>0.168676326117734</v>
      </c>
      <c r="AQK7">
        <v>1</v>
      </c>
      <c r="AQO7" t="s">
        <v>1902</v>
      </c>
      <c r="AQP7">
        <v>1</v>
      </c>
      <c r="AQQ7">
        <v>0</v>
      </c>
      <c r="AQS7" t="s">
        <v>1905</v>
      </c>
      <c r="AQU7" t="s">
        <v>1906</v>
      </c>
      <c r="AQV7" t="s">
        <v>1900</v>
      </c>
      <c r="AQW7">
        <v>1118220.03674341</v>
      </c>
      <c r="AQX7">
        <v>3389907.54593043</v>
      </c>
      <c r="AQY7" t="s">
        <v>1900</v>
      </c>
      <c r="AQZ7">
        <v>60534.6896672249</v>
      </c>
      <c r="ARA7">
        <v>66820.4633983433</v>
      </c>
      <c r="ARB7">
        <v>4508127.58267384</v>
      </c>
      <c r="ARC7">
        <v>127355.1530655682</v>
      </c>
      <c r="ARD7">
        <v>0.02907139211450805</v>
      </c>
      <c r="ARE7">
        <v>0.02907139211450805</v>
      </c>
      <c r="ARF7">
        <v>0.02907139211450805</v>
      </c>
      <c r="ARG7">
        <v>0.02907139211450805</v>
      </c>
      <c r="ARH7">
        <v>0.02907139211450805</v>
      </c>
      <c r="ARI7">
        <v>0.02907139211450805</v>
      </c>
      <c r="ARJ7" t="s">
        <v>1168</v>
      </c>
      <c r="ARK7" t="s">
        <v>1506</v>
      </c>
      <c r="ARL7" t="s">
        <v>1908</v>
      </c>
      <c r="ARM7" t="s">
        <v>1908</v>
      </c>
      <c r="ARN7" t="s">
        <v>1909</v>
      </c>
      <c r="ARO7" t="s">
        <v>1908</v>
      </c>
      <c r="ARP7" t="s">
        <v>1907</v>
      </c>
      <c r="ARQ7" t="s">
        <v>1914</v>
      </c>
      <c r="ARR7">
        <f>HYPERLINK("C:\Users\Usuario\Documents\Proyectos\llmthon\evidence\maestrans_com_233203.png", "Ver Evidencia")</f>
        <v>0</v>
      </c>
      <c r="ARS7">
        <v>100</v>
      </c>
    </row>
    <row r="8" spans="1:1163">
      <c r="A8">
        <v>492</v>
      </c>
      <c r="B8" t="s">
        <v>1169</v>
      </c>
      <c r="C8" t="s">
        <v>1292</v>
      </c>
      <c r="E8" s="2">
        <v>43399</v>
      </c>
      <c r="F8" t="s">
        <v>1431</v>
      </c>
      <c r="G8" t="s">
        <v>1433</v>
      </c>
      <c r="H8" t="s">
        <v>1434</v>
      </c>
      <c r="I8" t="s">
        <v>1438</v>
      </c>
      <c r="J8" t="s">
        <v>1455</v>
      </c>
      <c r="L8" t="s">
        <v>1507</v>
      </c>
      <c r="N8" t="s">
        <v>1624</v>
      </c>
      <c r="O8" t="s">
        <v>1648</v>
      </c>
      <c r="P8">
        <v>6209</v>
      </c>
      <c r="Q8">
        <v>6209</v>
      </c>
      <c r="R8" t="s">
        <v>1678</v>
      </c>
      <c r="S8" t="s">
        <v>1794</v>
      </c>
      <c r="T8" t="s">
        <v>1849</v>
      </c>
      <c r="U8" t="s">
        <v>1873</v>
      </c>
      <c r="X8" t="s">
        <v>1876</v>
      </c>
      <c r="Z8" t="s">
        <v>1899</v>
      </c>
      <c r="AA8" s="2">
        <v>45657</v>
      </c>
      <c r="AB8">
        <v>2024</v>
      </c>
      <c r="AC8">
        <v>1394225.28128262</v>
      </c>
      <c r="AD8">
        <v>1744440.64693353</v>
      </c>
      <c r="AE8">
        <v>779140.260177851</v>
      </c>
      <c r="AF8">
        <v>519810.546757865</v>
      </c>
      <c r="AG8">
        <v>663639.387864351</v>
      </c>
      <c r="AH8">
        <v>1394225.28128262</v>
      </c>
      <c r="AI8">
        <v>1744440.64693353</v>
      </c>
      <c r="AJ8">
        <v>779140.260177851</v>
      </c>
      <c r="AK8">
        <v>515636.676778793</v>
      </c>
      <c r="AL8">
        <v>623018.954131257</v>
      </c>
      <c r="AM8">
        <v>7982.49890146375</v>
      </c>
      <c r="AN8">
        <v>8670.839441366201</v>
      </c>
      <c r="AO8">
        <v>75633.4443239808</v>
      </c>
      <c r="AP8">
        <v>15058.6799299479</v>
      </c>
      <c r="AQ8">
        <v>9224.20360176563</v>
      </c>
      <c r="AR8">
        <v>1386242.78238116</v>
      </c>
      <c r="AS8">
        <v>1735769.80749216</v>
      </c>
      <c r="AT8">
        <v>703506.81478727</v>
      </c>
      <c r="AU8">
        <v>504751.866827917</v>
      </c>
      <c r="AV8">
        <v>654415.184262585</v>
      </c>
      <c r="AW8">
        <v>1425556.37208114</v>
      </c>
      <c r="AX8">
        <v>1694577.1459554</v>
      </c>
      <c r="AY8">
        <v>863063.187732637</v>
      </c>
      <c r="AZ8">
        <v>487822.843595631</v>
      </c>
      <c r="BA8">
        <v>529743.749587452</v>
      </c>
      <c r="BB8">
        <v>-39313.58969998</v>
      </c>
      <c r="BC8">
        <v>41192.6615367603</v>
      </c>
      <c r="BD8">
        <v>-159556.371878767</v>
      </c>
      <c r="BE8">
        <v>16929.0220996857</v>
      </c>
      <c r="BF8">
        <v>124671.435902232</v>
      </c>
      <c r="BG8">
        <v>1409.37111718655</v>
      </c>
      <c r="BH8">
        <v>-7797.7232995224</v>
      </c>
      <c r="BI8">
        <v>-5455.60305246711</v>
      </c>
      <c r="BJ8">
        <v>-4049.5557693243</v>
      </c>
      <c r="BK8">
        <v>-4141.96324629188</v>
      </c>
      <c r="BL8">
        <v>1409.37111718655</v>
      </c>
      <c r="BM8" t="s">
        <v>1900</v>
      </c>
      <c r="BN8" t="s">
        <v>1900</v>
      </c>
      <c r="BO8" t="s">
        <v>1900</v>
      </c>
      <c r="BP8" t="s">
        <v>1900</v>
      </c>
      <c r="BQ8" t="s">
        <v>1900</v>
      </c>
      <c r="BR8">
        <v>7797.7232995224</v>
      </c>
      <c r="BS8">
        <v>5455.60305246711</v>
      </c>
      <c r="BT8">
        <v>4049.5557693243</v>
      </c>
      <c r="BU8">
        <v>4141.96324629188</v>
      </c>
      <c r="BV8">
        <v>-37904.2185827935</v>
      </c>
      <c r="BW8">
        <v>33394.9382372379</v>
      </c>
      <c r="BX8">
        <v>-165011.974931234</v>
      </c>
      <c r="BY8">
        <v>12879.4663303614</v>
      </c>
      <c r="BZ8">
        <v>120529.47265594</v>
      </c>
      <c r="CA8">
        <v>-9476.052048449519</v>
      </c>
      <c r="CB8" t="s">
        <v>1900</v>
      </c>
      <c r="CC8" t="s">
        <v>1900</v>
      </c>
      <c r="CD8">
        <v>3219.86941409111</v>
      </c>
      <c r="CE8">
        <v>4491.72335960865</v>
      </c>
      <c r="CF8">
        <v>-28428.166534344</v>
      </c>
      <c r="CG8">
        <v>33394.9382372379</v>
      </c>
      <c r="CH8">
        <v>-165011.974931234</v>
      </c>
      <c r="CI8">
        <v>9659.59691627026</v>
      </c>
      <c r="CJ8">
        <v>116037.749296331</v>
      </c>
      <c r="CK8" t="s">
        <v>1900</v>
      </c>
      <c r="CL8" t="s">
        <v>1900</v>
      </c>
      <c r="CM8" t="s">
        <v>1900</v>
      </c>
      <c r="CN8" t="s">
        <v>1900</v>
      </c>
      <c r="CO8" t="s">
        <v>1900</v>
      </c>
      <c r="CP8" t="s">
        <v>1900</v>
      </c>
      <c r="CQ8" t="s">
        <v>1900</v>
      </c>
      <c r="CR8" t="s">
        <v>1900</v>
      </c>
      <c r="CS8" t="s">
        <v>1900</v>
      </c>
      <c r="CT8" t="s">
        <v>1900</v>
      </c>
      <c r="CU8" t="s">
        <v>1900</v>
      </c>
      <c r="CV8" t="s">
        <v>1900</v>
      </c>
      <c r="CW8" t="s">
        <v>1900</v>
      </c>
      <c r="CX8" t="s">
        <v>1900</v>
      </c>
      <c r="CY8" t="s">
        <v>1900</v>
      </c>
      <c r="CZ8">
        <v>-28428.166534344</v>
      </c>
      <c r="DA8">
        <v>33394.9382372379</v>
      </c>
      <c r="DB8">
        <v>-165011.974931234</v>
      </c>
      <c r="DC8">
        <v>9659.59691627026</v>
      </c>
      <c r="DD8">
        <v>116037.749296331</v>
      </c>
      <c r="DE8" t="s">
        <v>1900</v>
      </c>
      <c r="DF8" t="s">
        <v>1900</v>
      </c>
      <c r="DG8" t="s">
        <v>1900</v>
      </c>
      <c r="DH8" t="s">
        <v>1900</v>
      </c>
      <c r="DI8" t="s">
        <v>1900</v>
      </c>
      <c r="DJ8">
        <v>7982.49890146375</v>
      </c>
      <c r="DK8">
        <v>8670.839441366201</v>
      </c>
      <c r="DL8">
        <v>75633.4443239808</v>
      </c>
      <c r="DM8">
        <v>15058.6799299479</v>
      </c>
      <c r="DN8">
        <v>9224.20360176563</v>
      </c>
      <c r="DO8">
        <v>944832.73519613</v>
      </c>
      <c r="DP8">
        <v>1177067.61165348</v>
      </c>
      <c r="DQ8">
        <v>734164.618244624</v>
      </c>
      <c r="DR8">
        <v>528138.522840643</v>
      </c>
      <c r="DS8">
        <v>502744.337728816</v>
      </c>
      <c r="DT8">
        <v>4604.76638011336</v>
      </c>
      <c r="DU8">
        <v>6769.57558810234</v>
      </c>
      <c r="DV8">
        <v>7254.64707530737</v>
      </c>
      <c r="DW8">
        <v>6786.0880022049</v>
      </c>
      <c r="DX8">
        <v>5059.75989630818</v>
      </c>
      <c r="DY8">
        <v>476118.870504897</v>
      </c>
      <c r="DZ8">
        <v>510739.958713818</v>
      </c>
      <c r="EA8">
        <v>121643.922412705</v>
      </c>
      <c r="EB8">
        <v>-47101.7661146164</v>
      </c>
      <c r="EC8">
        <v>21939.651962328</v>
      </c>
      <c r="ED8" t="s">
        <v>1900</v>
      </c>
      <c r="EE8">
        <v>7797.7232995224</v>
      </c>
      <c r="EF8">
        <v>5455.60305246711</v>
      </c>
      <c r="EG8">
        <v>4049.5557693243</v>
      </c>
      <c r="EH8">
        <v>4141.96324629188</v>
      </c>
      <c r="EI8" t="s">
        <v>1900</v>
      </c>
      <c r="EJ8" t="s">
        <v>1900</v>
      </c>
      <c r="EK8" t="s">
        <v>1900</v>
      </c>
      <c r="EL8" t="s">
        <v>1900</v>
      </c>
      <c r="EM8" t="s">
        <v>1900</v>
      </c>
      <c r="EN8">
        <v>-23823.4001542306</v>
      </c>
      <c r="EO8">
        <v>40164.5138253403</v>
      </c>
      <c r="EP8">
        <v>-157757.327855927</v>
      </c>
      <c r="EQ8">
        <v>16445.6849184752</v>
      </c>
      <c r="ER8">
        <v>121097.50919264</v>
      </c>
      <c r="ES8">
        <v>911533.2829934499</v>
      </c>
      <c r="ET8">
        <v>1225029.84877834</v>
      </c>
      <c r="EU8">
        <v>581862.893441165</v>
      </c>
      <c r="EV8">
        <v>551853.632942533</v>
      </c>
      <c r="EW8">
        <v>632475.532300257</v>
      </c>
      <c r="EX8">
        <v>-34708.8233198666</v>
      </c>
      <c r="EY8">
        <v>47962.2371248627</v>
      </c>
      <c r="EZ8">
        <v>-152301.72480346</v>
      </c>
      <c r="FA8">
        <v>23715.1101018906</v>
      </c>
      <c r="FB8">
        <v>129731.19579854</v>
      </c>
      <c r="FC8">
        <v>14957.9509219503</v>
      </c>
      <c r="FD8">
        <v>71095.72085688591</v>
      </c>
      <c r="FE8">
        <v>141879.191920066</v>
      </c>
      <c r="FF8">
        <v>151600.88431077</v>
      </c>
      <c r="FG8">
        <v>104564.395388639</v>
      </c>
      <c r="FH8">
        <v>1008.68834225178</v>
      </c>
      <c r="FI8">
        <v>62441.0475727749</v>
      </c>
      <c r="FJ8">
        <v>131800.818693548</v>
      </c>
      <c r="FK8">
        <v>140768.389168096</v>
      </c>
      <c r="FL8">
        <v>86813.913182652</v>
      </c>
      <c r="FM8">
        <v>3607.18387395382</v>
      </c>
      <c r="FN8">
        <v>7733.54487071991</v>
      </c>
      <c r="FO8">
        <v>10078.3732265174</v>
      </c>
      <c r="FP8">
        <v>10832.4951426744</v>
      </c>
      <c r="FQ8">
        <v>17750.482205987</v>
      </c>
      <c r="FR8">
        <v>10342.0787057447</v>
      </c>
      <c r="FS8">
        <v>921.128413391113</v>
      </c>
      <c r="FT8">
        <v>0</v>
      </c>
      <c r="FU8">
        <v>0</v>
      </c>
      <c r="FV8">
        <v>0</v>
      </c>
      <c r="FW8">
        <v>1008.68834225178</v>
      </c>
      <c r="FX8">
        <v>62441.0475727749</v>
      </c>
      <c r="FY8">
        <v>131800.818693548</v>
      </c>
      <c r="FZ8">
        <v>140768.389168096</v>
      </c>
      <c r="GA8">
        <v>86813.913182652</v>
      </c>
      <c r="GB8">
        <v>3607.18387395382</v>
      </c>
      <c r="GC8">
        <v>7733.54487071991</v>
      </c>
      <c r="GD8">
        <v>10078.3732265174</v>
      </c>
      <c r="GE8">
        <v>10832.4951426744</v>
      </c>
      <c r="GF8">
        <v>17750.482205987</v>
      </c>
      <c r="GG8">
        <v>10342.0787057447</v>
      </c>
      <c r="GH8">
        <v>921.128413391113</v>
      </c>
      <c r="GI8">
        <v>0</v>
      </c>
      <c r="GJ8">
        <v>0</v>
      </c>
      <c r="GK8">
        <v>0</v>
      </c>
      <c r="GL8">
        <v>545774.787715436</v>
      </c>
      <c r="GM8">
        <v>349218.235024853</v>
      </c>
      <c r="GN8">
        <v>546275.972171342</v>
      </c>
      <c r="GO8">
        <v>117316.302835608</v>
      </c>
      <c r="GP8">
        <v>266582.095358336</v>
      </c>
      <c r="GQ8">
        <v>0</v>
      </c>
      <c r="GR8">
        <v>0</v>
      </c>
      <c r="GS8">
        <v>0</v>
      </c>
      <c r="GT8">
        <v>0</v>
      </c>
      <c r="GU8">
        <v>0</v>
      </c>
      <c r="GV8">
        <v>272014.973293198</v>
      </c>
      <c r="GW8">
        <v>342043.809355059</v>
      </c>
      <c r="GX8">
        <v>512920.750340778</v>
      </c>
      <c r="GY8">
        <v>91103.1521475792</v>
      </c>
      <c r="GZ8">
        <v>222564.104670858</v>
      </c>
      <c r="HA8">
        <v>273759.814422238</v>
      </c>
      <c r="HB8">
        <v>7174.42566979408</v>
      </c>
      <c r="HC8">
        <v>33355.2218305647</v>
      </c>
      <c r="HD8">
        <v>26213.1506880283</v>
      </c>
      <c r="HE8">
        <v>44017.9906874776</v>
      </c>
      <c r="HF8">
        <v>20632.2124344444</v>
      </c>
      <c r="HG8">
        <v>7174.42566979408</v>
      </c>
      <c r="HH8">
        <v>33355.2218305647</v>
      </c>
      <c r="HI8">
        <v>26213.1506880283</v>
      </c>
      <c r="HJ8">
        <v>44017.9906874776</v>
      </c>
      <c r="HK8">
        <v>560732.739676286</v>
      </c>
      <c r="HL8">
        <v>420313.955881739</v>
      </c>
      <c r="HM8">
        <v>688155.164091408</v>
      </c>
      <c r="HN8">
        <v>268917.187146378</v>
      </c>
      <c r="HO8">
        <v>371146.490746975</v>
      </c>
      <c r="HP8">
        <v>191969.051902193</v>
      </c>
      <c r="HQ8">
        <v>-88374.4036613464</v>
      </c>
      <c r="HR8">
        <v>-117537.610376865</v>
      </c>
      <c r="HS8">
        <v>50412.0623372555</v>
      </c>
      <c r="HT8">
        <v>44152.6648355901</v>
      </c>
      <c r="HU8">
        <v>25972.4885225296</v>
      </c>
      <c r="HV8">
        <v>27625.0123977661</v>
      </c>
      <c r="HW8">
        <v>26664.987206459</v>
      </c>
      <c r="HX8">
        <v>28315.007686615</v>
      </c>
      <c r="HY8">
        <v>30677.4824857712</v>
      </c>
      <c r="HZ8">
        <v>165996.563379663</v>
      </c>
      <c r="IA8">
        <v>-115999.416059113</v>
      </c>
      <c r="IB8">
        <v>-144202.597583324</v>
      </c>
      <c r="IC8">
        <v>22097.0546506405</v>
      </c>
      <c r="ID8">
        <v>13475.1823498189</v>
      </c>
      <c r="IE8">
        <v>0</v>
      </c>
      <c r="IF8">
        <v>0</v>
      </c>
      <c r="IG8">
        <v>0</v>
      </c>
      <c r="IH8">
        <v>0</v>
      </c>
      <c r="II8">
        <v>0</v>
      </c>
      <c r="IJ8" t="s">
        <v>1900</v>
      </c>
      <c r="IK8" t="s">
        <v>1900</v>
      </c>
      <c r="IL8" t="s">
        <v>1900</v>
      </c>
      <c r="IM8" t="s">
        <v>1900</v>
      </c>
      <c r="IN8" t="s">
        <v>1900</v>
      </c>
      <c r="IO8" t="s">
        <v>1900</v>
      </c>
      <c r="IP8" t="s">
        <v>1900</v>
      </c>
      <c r="IQ8" t="s">
        <v>1900</v>
      </c>
      <c r="IR8" t="s">
        <v>1900</v>
      </c>
      <c r="IS8" t="s">
        <v>1900</v>
      </c>
      <c r="IT8" t="s">
        <v>1900</v>
      </c>
      <c r="IU8" t="s">
        <v>1900</v>
      </c>
      <c r="IV8" t="s">
        <v>1900</v>
      </c>
      <c r="IW8" t="s">
        <v>1900</v>
      </c>
      <c r="IX8" t="s">
        <v>1900</v>
      </c>
      <c r="IY8">
        <v>368763.687774093</v>
      </c>
      <c r="IZ8">
        <v>508688.359543085</v>
      </c>
      <c r="JA8">
        <v>805692.774468273</v>
      </c>
      <c r="JB8">
        <v>218505.124809122</v>
      </c>
      <c r="JC8">
        <v>326993.825911385</v>
      </c>
      <c r="JD8">
        <v>0</v>
      </c>
      <c r="JE8">
        <v>0</v>
      </c>
      <c r="JF8">
        <v>0</v>
      </c>
      <c r="JG8">
        <v>0</v>
      </c>
      <c r="JH8">
        <v>0</v>
      </c>
      <c r="JI8">
        <v>286290.845110565</v>
      </c>
      <c r="JJ8">
        <v>90004.95344311711</v>
      </c>
      <c r="JK8">
        <v>34232.3719177187</v>
      </c>
      <c r="JL8">
        <v>0</v>
      </c>
      <c r="JM8">
        <v>0</v>
      </c>
      <c r="JN8">
        <v>82472.8426635277</v>
      </c>
      <c r="JO8">
        <v>418683.404994968</v>
      </c>
      <c r="JP8">
        <v>771460.402550554</v>
      </c>
      <c r="JQ8">
        <v>218505.124809122</v>
      </c>
      <c r="JR8">
        <v>326993.825911385</v>
      </c>
      <c r="JS8">
        <v>560732.739676286</v>
      </c>
      <c r="JT8">
        <v>420313.955881739</v>
      </c>
      <c r="JU8">
        <v>688155.164091408</v>
      </c>
      <c r="JV8">
        <v>268917.187146378</v>
      </c>
      <c r="JW8">
        <v>371146.490746975</v>
      </c>
      <c r="JX8">
        <v>-14275.8707784675</v>
      </c>
      <c r="JY8">
        <v>252038.855911942</v>
      </c>
      <c r="JZ8">
        <v>478688.378423059</v>
      </c>
      <c r="KA8">
        <v>91103.1521475792</v>
      </c>
      <c r="KB8">
        <v>222564.104670858</v>
      </c>
      <c r="KC8" t="s">
        <v>1900</v>
      </c>
      <c r="KD8" t="s">
        <v>1900</v>
      </c>
      <c r="KE8" t="s">
        <v>1900</v>
      </c>
      <c r="KF8" t="s">
        <v>1900</v>
      </c>
      <c r="KG8" t="s">
        <v>1900</v>
      </c>
      <c r="KH8" t="s">
        <v>1900</v>
      </c>
      <c r="KI8" t="s">
        <v>1900</v>
      </c>
      <c r="KJ8" t="s">
        <v>1900</v>
      </c>
      <c r="KK8" t="s">
        <v>1900</v>
      </c>
      <c r="KL8" t="s">
        <v>1900</v>
      </c>
      <c r="KM8">
        <v>30</v>
      </c>
      <c r="KN8">
        <v>33</v>
      </c>
      <c r="KO8">
        <v>22</v>
      </c>
      <c r="KP8">
        <v>15</v>
      </c>
      <c r="KQ8">
        <v>17</v>
      </c>
      <c r="KR8" t="s">
        <v>1900</v>
      </c>
      <c r="KS8" t="s">
        <v>1900</v>
      </c>
      <c r="KT8" t="s">
        <v>1900</v>
      </c>
      <c r="KU8" t="s">
        <v>1900</v>
      </c>
      <c r="KV8" t="s">
        <v>1900</v>
      </c>
      <c r="KW8" t="s">
        <v>1900</v>
      </c>
      <c r="KX8" t="s">
        <v>1900</v>
      </c>
      <c r="KY8" t="s">
        <v>1900</v>
      </c>
      <c r="KZ8" t="s">
        <v>1900</v>
      </c>
      <c r="LA8" t="s">
        <v>1900</v>
      </c>
      <c r="LB8" t="s">
        <v>1900</v>
      </c>
      <c r="LC8" t="s">
        <v>1900</v>
      </c>
      <c r="LD8" t="s">
        <v>1900</v>
      </c>
      <c r="LE8" t="s">
        <v>1900</v>
      </c>
      <c r="LF8" t="s">
        <v>1900</v>
      </c>
      <c r="LG8" t="s">
        <v>1900</v>
      </c>
      <c r="LH8" t="s">
        <v>1900</v>
      </c>
      <c r="LI8" t="s">
        <v>1900</v>
      </c>
      <c r="LJ8" t="s">
        <v>1900</v>
      </c>
      <c r="LK8" t="s">
        <v>1900</v>
      </c>
      <c r="LL8" t="s">
        <v>1900</v>
      </c>
      <c r="LM8" t="s">
        <v>1900</v>
      </c>
      <c r="LN8" t="s">
        <v>1900</v>
      </c>
      <c r="LO8" t="s">
        <v>1900</v>
      </c>
      <c r="LP8" t="s">
        <v>1900</v>
      </c>
      <c r="LQ8" t="s">
        <v>1900</v>
      </c>
      <c r="LR8" t="s">
        <v>1900</v>
      </c>
      <c r="LS8" t="s">
        <v>1900</v>
      </c>
      <c r="LT8" t="s">
        <v>1900</v>
      </c>
      <c r="LU8" t="s">
        <v>1900</v>
      </c>
      <c r="LV8" t="s">
        <v>1900</v>
      </c>
      <c r="LW8" t="s">
        <v>1900</v>
      </c>
      <c r="LX8" t="s">
        <v>1900</v>
      </c>
      <c r="LY8" t="s">
        <v>1900</v>
      </c>
      <c r="LZ8" t="s">
        <v>1900</v>
      </c>
      <c r="MA8" t="s">
        <v>1900</v>
      </c>
      <c r="MB8" t="s">
        <v>1900</v>
      </c>
      <c r="MC8" t="s">
        <v>1900</v>
      </c>
      <c r="MD8" t="s">
        <v>1900</v>
      </c>
      <c r="ME8" t="s">
        <v>1900</v>
      </c>
      <c r="MF8" t="s">
        <v>1900</v>
      </c>
      <c r="MG8" t="s">
        <v>1900</v>
      </c>
      <c r="MH8" t="s">
        <v>1900</v>
      </c>
      <c r="MI8" t="s">
        <v>1900</v>
      </c>
      <c r="MJ8" t="s">
        <v>1900</v>
      </c>
      <c r="MK8" t="s">
        <v>1900</v>
      </c>
      <c r="ML8" t="s">
        <v>1900</v>
      </c>
      <c r="MM8" t="s">
        <v>1900</v>
      </c>
      <c r="MN8" t="s">
        <v>1900</v>
      </c>
      <c r="MO8" t="s">
        <v>1900</v>
      </c>
      <c r="MP8">
        <v>273759.814422238</v>
      </c>
      <c r="MQ8">
        <v>7174.42566979408</v>
      </c>
      <c r="MR8">
        <v>33355.2218305647</v>
      </c>
      <c r="MS8">
        <v>26213.1506880283</v>
      </c>
      <c r="MT8">
        <v>44017.9906874776</v>
      </c>
      <c r="MU8" t="s">
        <v>1900</v>
      </c>
      <c r="MV8" t="s">
        <v>1900</v>
      </c>
      <c r="MW8" t="s">
        <v>1900</v>
      </c>
      <c r="MX8" t="s">
        <v>1900</v>
      </c>
      <c r="MY8" t="s">
        <v>1900</v>
      </c>
      <c r="MZ8" t="s">
        <v>1900</v>
      </c>
      <c r="NA8" t="s">
        <v>1900</v>
      </c>
      <c r="NB8" t="s">
        <v>1900</v>
      </c>
      <c r="NC8" t="s">
        <v>1900</v>
      </c>
      <c r="ND8" t="s">
        <v>1900</v>
      </c>
      <c r="NE8" t="s">
        <v>1900</v>
      </c>
      <c r="NF8" t="s">
        <v>1900</v>
      </c>
      <c r="NG8" t="s">
        <v>1900</v>
      </c>
      <c r="NH8" t="s">
        <v>1900</v>
      </c>
      <c r="NI8" t="s">
        <v>1900</v>
      </c>
      <c r="NJ8" t="s">
        <v>1900</v>
      </c>
      <c r="NK8" t="s">
        <v>1900</v>
      </c>
      <c r="NL8" t="s">
        <v>1900</v>
      </c>
      <c r="NM8" t="s">
        <v>1900</v>
      </c>
      <c r="NN8" t="s">
        <v>1900</v>
      </c>
      <c r="NO8" t="s">
        <v>1900</v>
      </c>
      <c r="NP8" t="s">
        <v>1900</v>
      </c>
      <c r="NQ8" t="s">
        <v>1900</v>
      </c>
      <c r="NR8" t="s">
        <v>1900</v>
      </c>
      <c r="NS8" t="s">
        <v>1900</v>
      </c>
      <c r="NT8">
        <v>14957.9509219503</v>
      </c>
      <c r="NU8">
        <v>71095.72085688591</v>
      </c>
      <c r="NV8">
        <v>141879.191920066</v>
      </c>
      <c r="NW8">
        <v>151600.88431077</v>
      </c>
      <c r="NX8">
        <v>104564.395388639</v>
      </c>
      <c r="NY8" t="s">
        <v>1900</v>
      </c>
      <c r="NZ8" t="s">
        <v>1900</v>
      </c>
      <c r="OA8" t="s">
        <v>1900</v>
      </c>
      <c r="OB8" t="s">
        <v>1900</v>
      </c>
      <c r="OC8" t="s">
        <v>1900</v>
      </c>
      <c r="OD8" t="s">
        <v>1900</v>
      </c>
      <c r="OE8" t="s">
        <v>1900</v>
      </c>
      <c r="OF8" t="s">
        <v>1900</v>
      </c>
      <c r="OG8" t="s">
        <v>1900</v>
      </c>
      <c r="OH8" t="s">
        <v>1900</v>
      </c>
      <c r="OI8" t="s">
        <v>1900</v>
      </c>
      <c r="OJ8" t="s">
        <v>1900</v>
      </c>
      <c r="OK8" t="s">
        <v>1900</v>
      </c>
      <c r="OL8" t="s">
        <v>1900</v>
      </c>
      <c r="OM8" t="s">
        <v>1900</v>
      </c>
      <c r="ON8" t="s">
        <v>1900</v>
      </c>
      <c r="OO8" t="s">
        <v>1900</v>
      </c>
      <c r="OP8" t="s">
        <v>1900</v>
      </c>
      <c r="OQ8" t="s">
        <v>1900</v>
      </c>
      <c r="OR8" t="s">
        <v>1900</v>
      </c>
      <c r="OS8" t="s">
        <v>1900</v>
      </c>
      <c r="OT8" t="s">
        <v>1900</v>
      </c>
      <c r="OU8" t="s">
        <v>1900</v>
      </c>
      <c r="OV8" t="s">
        <v>1900</v>
      </c>
      <c r="OW8" t="s">
        <v>1900</v>
      </c>
      <c r="OX8" t="s">
        <v>1900</v>
      </c>
      <c r="OY8" t="s">
        <v>1900</v>
      </c>
      <c r="OZ8" t="s">
        <v>1900</v>
      </c>
      <c r="PA8" t="s">
        <v>1900</v>
      </c>
      <c r="PB8" t="s">
        <v>1900</v>
      </c>
      <c r="PC8" t="s">
        <v>1900</v>
      </c>
      <c r="PD8" t="s">
        <v>1900</v>
      </c>
      <c r="PE8" t="s">
        <v>1900</v>
      </c>
      <c r="PF8" t="s">
        <v>1900</v>
      </c>
      <c r="PG8" t="s">
        <v>1900</v>
      </c>
      <c r="PH8" t="s">
        <v>1900</v>
      </c>
      <c r="PI8" t="s">
        <v>1900</v>
      </c>
      <c r="PJ8" t="s">
        <v>1900</v>
      </c>
      <c r="PK8" t="s">
        <v>1900</v>
      </c>
      <c r="PL8" t="s">
        <v>1900</v>
      </c>
      <c r="PM8" t="s">
        <v>1900</v>
      </c>
      <c r="PN8" t="s">
        <v>1900</v>
      </c>
      <c r="PO8" t="s">
        <v>1900</v>
      </c>
      <c r="PP8" t="s">
        <v>1900</v>
      </c>
      <c r="PQ8" t="s">
        <v>1900</v>
      </c>
      <c r="PR8" t="s">
        <v>1900</v>
      </c>
      <c r="PS8" t="s">
        <v>1900</v>
      </c>
      <c r="PT8" t="s">
        <v>1900</v>
      </c>
      <c r="PU8" t="s">
        <v>1900</v>
      </c>
      <c r="PV8" t="s">
        <v>1900</v>
      </c>
      <c r="PW8" t="s">
        <v>1900</v>
      </c>
      <c r="PX8" t="s">
        <v>1900</v>
      </c>
      <c r="PY8" t="s">
        <v>1900</v>
      </c>
      <c r="PZ8" t="s">
        <v>1900</v>
      </c>
      <c r="QA8" t="s">
        <v>1900</v>
      </c>
      <c r="QB8" t="s">
        <v>1900</v>
      </c>
      <c r="QC8" t="s">
        <v>1900</v>
      </c>
      <c r="QD8" t="s">
        <v>1900</v>
      </c>
      <c r="QE8" t="s">
        <v>1900</v>
      </c>
      <c r="QF8" t="s">
        <v>1900</v>
      </c>
      <c r="QG8" t="s">
        <v>1900</v>
      </c>
      <c r="QH8" t="s">
        <v>1900</v>
      </c>
      <c r="QI8" t="s">
        <v>1900</v>
      </c>
      <c r="QJ8" t="s">
        <v>1900</v>
      </c>
      <c r="QK8" t="s">
        <v>1900</v>
      </c>
      <c r="QL8" t="s">
        <v>1900</v>
      </c>
      <c r="QM8" t="s">
        <v>1900</v>
      </c>
      <c r="QN8" t="s">
        <v>1900</v>
      </c>
      <c r="QO8" t="s">
        <v>1900</v>
      </c>
      <c r="QP8" t="s">
        <v>1900</v>
      </c>
      <c r="QQ8" t="s">
        <v>1900</v>
      </c>
      <c r="QR8" t="s">
        <v>1900</v>
      </c>
      <c r="QS8" t="s">
        <v>1900</v>
      </c>
      <c r="QT8" t="s">
        <v>1900</v>
      </c>
      <c r="QU8" t="s">
        <v>1900</v>
      </c>
      <c r="QV8" t="s">
        <v>1900</v>
      </c>
      <c r="QW8" t="s">
        <v>1900</v>
      </c>
      <c r="QX8" t="s">
        <v>1900</v>
      </c>
      <c r="QY8" t="s">
        <v>1900</v>
      </c>
      <c r="QZ8" t="s">
        <v>1900</v>
      </c>
      <c r="RA8" t="s">
        <v>1900</v>
      </c>
      <c r="RB8" t="s">
        <v>1900</v>
      </c>
      <c r="RC8" t="s">
        <v>1900</v>
      </c>
      <c r="RD8" t="s">
        <v>1900</v>
      </c>
      <c r="RE8" t="s">
        <v>1900</v>
      </c>
      <c r="RF8" t="s">
        <v>1900</v>
      </c>
      <c r="RG8" t="s">
        <v>1900</v>
      </c>
      <c r="RH8" t="s">
        <v>1900</v>
      </c>
      <c r="RI8" t="s">
        <v>1900</v>
      </c>
      <c r="RJ8" t="s">
        <v>1900</v>
      </c>
      <c r="RK8" t="s">
        <v>1900</v>
      </c>
      <c r="RL8" t="s">
        <v>1900</v>
      </c>
      <c r="RM8" t="s">
        <v>1900</v>
      </c>
      <c r="RN8" t="s">
        <v>1900</v>
      </c>
      <c r="RO8" t="s">
        <v>1900</v>
      </c>
      <c r="RP8" t="s">
        <v>1900</v>
      </c>
      <c r="RQ8" t="s">
        <v>1900</v>
      </c>
      <c r="RR8" t="s">
        <v>1900</v>
      </c>
      <c r="RS8" t="s">
        <v>1900</v>
      </c>
      <c r="RT8" t="s">
        <v>1900</v>
      </c>
      <c r="RU8" t="s">
        <v>1900</v>
      </c>
      <c r="RV8" t="s">
        <v>1900</v>
      </c>
      <c r="RW8" t="s">
        <v>1900</v>
      </c>
      <c r="RX8" t="s">
        <v>1900</v>
      </c>
      <c r="RY8" t="s">
        <v>1900</v>
      </c>
      <c r="RZ8" t="s">
        <v>1900</v>
      </c>
      <c r="SA8" t="s">
        <v>1900</v>
      </c>
      <c r="SB8" t="s">
        <v>1900</v>
      </c>
      <c r="SC8" t="s">
        <v>1900</v>
      </c>
      <c r="SD8" t="s">
        <v>1900</v>
      </c>
      <c r="SE8" t="s">
        <v>1900</v>
      </c>
      <c r="SF8" t="s">
        <v>1900</v>
      </c>
      <c r="SG8" t="s">
        <v>1900</v>
      </c>
      <c r="SH8" t="s">
        <v>1900</v>
      </c>
      <c r="SI8" t="s">
        <v>1900</v>
      </c>
      <c r="SJ8">
        <v>10342.0787057447</v>
      </c>
      <c r="SK8">
        <v>921.128413391113</v>
      </c>
      <c r="SL8">
        <v>0</v>
      </c>
      <c r="SM8">
        <v>0</v>
      </c>
      <c r="SN8">
        <v>0</v>
      </c>
      <c r="SO8" t="s">
        <v>1900</v>
      </c>
      <c r="SP8" t="s">
        <v>1900</v>
      </c>
      <c r="SQ8" t="s">
        <v>1900</v>
      </c>
      <c r="SR8" t="s">
        <v>1900</v>
      </c>
      <c r="SS8" t="s">
        <v>1900</v>
      </c>
      <c r="ST8" t="s">
        <v>1900</v>
      </c>
      <c r="SU8" t="s">
        <v>1900</v>
      </c>
      <c r="SV8" t="s">
        <v>1900</v>
      </c>
      <c r="SW8" t="s">
        <v>1900</v>
      </c>
      <c r="SX8" t="s">
        <v>1900</v>
      </c>
      <c r="SY8" t="s">
        <v>1900</v>
      </c>
      <c r="SZ8" t="s">
        <v>1900</v>
      </c>
      <c r="TA8" t="s">
        <v>1900</v>
      </c>
      <c r="TB8" t="s">
        <v>1900</v>
      </c>
      <c r="TC8" t="s">
        <v>1900</v>
      </c>
      <c r="TD8" t="s">
        <v>1900</v>
      </c>
      <c r="TE8" t="s">
        <v>1900</v>
      </c>
      <c r="TF8" t="s">
        <v>1900</v>
      </c>
      <c r="TG8" t="s">
        <v>1900</v>
      </c>
      <c r="TH8" t="s">
        <v>1900</v>
      </c>
      <c r="TI8" t="s">
        <v>1900</v>
      </c>
      <c r="TJ8" t="s">
        <v>1900</v>
      </c>
      <c r="TK8" t="s">
        <v>1900</v>
      </c>
      <c r="TL8" t="s">
        <v>1900</v>
      </c>
      <c r="TM8" t="s">
        <v>1900</v>
      </c>
      <c r="TN8" t="s">
        <v>1900</v>
      </c>
      <c r="TO8" t="s">
        <v>1900</v>
      </c>
      <c r="TP8" t="s">
        <v>1900</v>
      </c>
      <c r="TQ8" t="s">
        <v>1900</v>
      </c>
      <c r="TR8" t="s">
        <v>1900</v>
      </c>
      <c r="TS8">
        <v>560732.739676286</v>
      </c>
      <c r="TT8">
        <v>420313.955881739</v>
      </c>
      <c r="TU8">
        <v>688155.164091408</v>
      </c>
      <c r="TV8">
        <v>268917.187146378</v>
      </c>
      <c r="TW8">
        <v>371146.490746975</v>
      </c>
      <c r="TX8" t="s">
        <v>1900</v>
      </c>
      <c r="TY8" t="s">
        <v>1900</v>
      </c>
      <c r="TZ8" t="s">
        <v>1900</v>
      </c>
      <c r="UA8" t="s">
        <v>1900</v>
      </c>
      <c r="UB8" t="s">
        <v>1900</v>
      </c>
      <c r="UC8">
        <v>0</v>
      </c>
      <c r="UD8">
        <v>0</v>
      </c>
      <c r="UE8">
        <v>0</v>
      </c>
      <c r="UF8">
        <v>0</v>
      </c>
      <c r="UG8">
        <v>0</v>
      </c>
      <c r="UH8" t="s">
        <v>1900</v>
      </c>
      <c r="UI8" t="s">
        <v>1900</v>
      </c>
      <c r="UJ8" t="s">
        <v>1900</v>
      </c>
      <c r="UK8" t="s">
        <v>1900</v>
      </c>
      <c r="UL8" t="s">
        <v>1900</v>
      </c>
      <c r="UM8" t="s">
        <v>1900</v>
      </c>
      <c r="UN8" t="s">
        <v>1900</v>
      </c>
      <c r="UO8" t="s">
        <v>1900</v>
      </c>
      <c r="UP8" t="s">
        <v>1900</v>
      </c>
      <c r="UQ8" t="s">
        <v>1900</v>
      </c>
      <c r="UR8" t="s">
        <v>1900</v>
      </c>
      <c r="US8" t="s">
        <v>1900</v>
      </c>
      <c r="UT8" t="s">
        <v>1900</v>
      </c>
      <c r="UU8" t="s">
        <v>1900</v>
      </c>
      <c r="UV8" t="s">
        <v>1900</v>
      </c>
      <c r="UW8" t="s">
        <v>1900</v>
      </c>
      <c r="UX8" t="s">
        <v>1900</v>
      </c>
      <c r="UY8" t="s">
        <v>1900</v>
      </c>
      <c r="UZ8" t="s">
        <v>1900</v>
      </c>
      <c r="VA8" t="s">
        <v>1900</v>
      </c>
      <c r="VB8" t="s">
        <v>1900</v>
      </c>
      <c r="VC8" t="s">
        <v>1900</v>
      </c>
      <c r="VD8" t="s">
        <v>1900</v>
      </c>
      <c r="VE8" t="s">
        <v>1900</v>
      </c>
      <c r="VF8" t="s">
        <v>1900</v>
      </c>
      <c r="VG8" t="s">
        <v>1900</v>
      </c>
      <c r="VH8" t="s">
        <v>1900</v>
      </c>
      <c r="VI8" t="s">
        <v>1900</v>
      </c>
      <c r="VJ8" t="s">
        <v>1900</v>
      </c>
      <c r="VK8" t="s">
        <v>1900</v>
      </c>
      <c r="VL8" t="s">
        <v>1900</v>
      </c>
      <c r="VM8" t="s">
        <v>1900</v>
      </c>
      <c r="VN8" t="s">
        <v>1900</v>
      </c>
      <c r="VO8" t="s">
        <v>1900</v>
      </c>
      <c r="VP8" t="s">
        <v>1900</v>
      </c>
      <c r="VQ8" t="s">
        <v>1900</v>
      </c>
      <c r="VR8" t="s">
        <v>1900</v>
      </c>
      <c r="VS8" t="s">
        <v>1900</v>
      </c>
      <c r="VT8" t="s">
        <v>1900</v>
      </c>
      <c r="VU8" t="s">
        <v>1900</v>
      </c>
      <c r="VV8" t="s">
        <v>1900</v>
      </c>
      <c r="VW8" t="s">
        <v>1900</v>
      </c>
      <c r="VX8" t="s">
        <v>1900</v>
      </c>
      <c r="VY8" t="s">
        <v>1900</v>
      </c>
      <c r="VZ8" t="s">
        <v>1900</v>
      </c>
      <c r="WA8">
        <v>82472.8426635277</v>
      </c>
      <c r="WB8">
        <v>418683.404994968</v>
      </c>
      <c r="WC8">
        <v>771460.402550554</v>
      </c>
      <c r="WD8">
        <v>218505.124809122</v>
      </c>
      <c r="WE8">
        <v>326993.825911385</v>
      </c>
      <c r="WF8" t="s">
        <v>1900</v>
      </c>
      <c r="WG8" t="s">
        <v>1900</v>
      </c>
      <c r="WH8" t="s">
        <v>1900</v>
      </c>
      <c r="WI8" t="s">
        <v>1900</v>
      </c>
      <c r="WJ8" t="s">
        <v>1900</v>
      </c>
      <c r="WK8" t="s">
        <v>1900</v>
      </c>
      <c r="WL8" t="s">
        <v>1900</v>
      </c>
      <c r="WM8" t="s">
        <v>1900</v>
      </c>
      <c r="WN8" t="s">
        <v>1900</v>
      </c>
      <c r="WO8" t="s">
        <v>1900</v>
      </c>
      <c r="WP8" t="s">
        <v>1900</v>
      </c>
      <c r="WQ8" t="s">
        <v>1900</v>
      </c>
      <c r="WR8" t="s">
        <v>1900</v>
      </c>
      <c r="WS8" t="s">
        <v>1900</v>
      </c>
      <c r="WT8" t="s">
        <v>1900</v>
      </c>
      <c r="WU8" t="s">
        <v>1900</v>
      </c>
      <c r="WV8" t="s">
        <v>1900</v>
      </c>
      <c r="WW8" t="s">
        <v>1900</v>
      </c>
      <c r="WX8" t="s">
        <v>1900</v>
      </c>
      <c r="WY8" t="s">
        <v>1900</v>
      </c>
      <c r="WZ8" t="s">
        <v>1900</v>
      </c>
      <c r="XA8" t="s">
        <v>1900</v>
      </c>
      <c r="XB8" t="s">
        <v>1900</v>
      </c>
      <c r="XC8" t="s">
        <v>1900</v>
      </c>
      <c r="XD8" t="s">
        <v>1900</v>
      </c>
      <c r="XE8" t="s">
        <v>1900</v>
      </c>
      <c r="XF8" t="s">
        <v>1900</v>
      </c>
      <c r="XG8" t="s">
        <v>1900</v>
      </c>
      <c r="XH8" t="s">
        <v>1900</v>
      </c>
      <c r="XI8" t="s">
        <v>1900</v>
      </c>
      <c r="XJ8" t="s">
        <v>1900</v>
      </c>
      <c r="XK8" t="s">
        <v>1900</v>
      </c>
      <c r="XL8" t="s">
        <v>1900</v>
      </c>
      <c r="XM8" t="s">
        <v>1900</v>
      </c>
      <c r="XN8" t="s">
        <v>1900</v>
      </c>
      <c r="XO8" t="s">
        <v>1900</v>
      </c>
      <c r="XP8" t="s">
        <v>1900</v>
      </c>
      <c r="XQ8" t="s">
        <v>1900</v>
      </c>
      <c r="XR8" t="s">
        <v>1900</v>
      </c>
      <c r="XS8" t="s">
        <v>1900</v>
      </c>
      <c r="XT8" t="s">
        <v>1900</v>
      </c>
      <c r="XU8" t="s">
        <v>1900</v>
      </c>
      <c r="XV8" t="s">
        <v>1900</v>
      </c>
      <c r="XW8" t="s">
        <v>1900</v>
      </c>
      <c r="XX8" t="s">
        <v>1900</v>
      </c>
      <c r="XY8" t="s">
        <v>1900</v>
      </c>
      <c r="XZ8" t="s">
        <v>1900</v>
      </c>
      <c r="YA8" t="s">
        <v>1900</v>
      </c>
      <c r="YB8" t="s">
        <v>1900</v>
      </c>
      <c r="YC8" t="s">
        <v>1900</v>
      </c>
      <c r="YD8" t="s">
        <v>1900</v>
      </c>
      <c r="YE8" t="s">
        <v>1900</v>
      </c>
      <c r="YF8" t="s">
        <v>1900</v>
      </c>
      <c r="YG8" t="s">
        <v>1900</v>
      </c>
      <c r="YH8" t="s">
        <v>1900</v>
      </c>
      <c r="YI8" t="s">
        <v>1900</v>
      </c>
      <c r="YJ8" t="s">
        <v>1900</v>
      </c>
      <c r="YK8" t="s">
        <v>1900</v>
      </c>
      <c r="YL8" t="s">
        <v>1900</v>
      </c>
      <c r="YM8" t="s">
        <v>1900</v>
      </c>
      <c r="YN8" t="s">
        <v>1900</v>
      </c>
      <c r="YO8" t="s">
        <v>1900</v>
      </c>
      <c r="YP8" t="s">
        <v>1900</v>
      </c>
      <c r="YQ8" t="s">
        <v>1900</v>
      </c>
      <c r="YR8" t="s">
        <v>1900</v>
      </c>
      <c r="YS8" t="s">
        <v>1900</v>
      </c>
      <c r="YT8" t="s">
        <v>1900</v>
      </c>
      <c r="YU8" t="s">
        <v>1900</v>
      </c>
      <c r="YV8" t="s">
        <v>1900</v>
      </c>
      <c r="YW8" t="s">
        <v>1900</v>
      </c>
      <c r="YX8" t="s">
        <v>1900</v>
      </c>
      <c r="YY8" t="s">
        <v>1900</v>
      </c>
      <c r="YZ8" t="s">
        <v>1900</v>
      </c>
      <c r="ZA8" t="s">
        <v>1900</v>
      </c>
      <c r="ZB8" t="s">
        <v>1900</v>
      </c>
      <c r="ZC8" t="s">
        <v>1900</v>
      </c>
      <c r="ZD8" t="s">
        <v>1900</v>
      </c>
      <c r="ZE8" t="s">
        <v>1900</v>
      </c>
      <c r="ZF8" t="s">
        <v>1900</v>
      </c>
      <c r="ZG8" t="s">
        <v>1900</v>
      </c>
      <c r="ZH8" t="s">
        <v>1900</v>
      </c>
      <c r="ZI8" t="s">
        <v>1900</v>
      </c>
      <c r="ZJ8" t="s">
        <v>1900</v>
      </c>
      <c r="ZK8" t="s">
        <v>1900</v>
      </c>
      <c r="ZL8" t="s">
        <v>1900</v>
      </c>
      <c r="ZM8" t="s">
        <v>1900</v>
      </c>
      <c r="ZN8" t="s">
        <v>1900</v>
      </c>
      <c r="ZO8" t="s">
        <v>1900</v>
      </c>
      <c r="ZP8" t="s">
        <v>1900</v>
      </c>
      <c r="ZQ8" t="s">
        <v>1900</v>
      </c>
      <c r="ZR8" t="s">
        <v>1900</v>
      </c>
      <c r="ZS8" t="s">
        <v>1900</v>
      </c>
      <c r="ZT8" t="s">
        <v>1900</v>
      </c>
      <c r="ZU8" t="s">
        <v>1900</v>
      </c>
      <c r="ZV8" t="s">
        <v>1900</v>
      </c>
      <c r="ZW8" t="s">
        <v>1900</v>
      </c>
      <c r="ZX8" t="s">
        <v>1900</v>
      </c>
      <c r="ZY8" t="s">
        <v>1900</v>
      </c>
      <c r="ZZ8" t="s">
        <v>1900</v>
      </c>
      <c r="AAA8" t="s">
        <v>1900</v>
      </c>
      <c r="AAB8" t="s">
        <v>1900</v>
      </c>
      <c r="AAC8" t="s">
        <v>1900</v>
      </c>
      <c r="AAD8" t="s">
        <v>1900</v>
      </c>
      <c r="AAE8" t="s">
        <v>1900</v>
      </c>
      <c r="AAF8" t="s">
        <v>1900</v>
      </c>
      <c r="AAG8" t="s">
        <v>1900</v>
      </c>
      <c r="AAH8" t="s">
        <v>1900</v>
      </c>
      <c r="AAI8" t="s">
        <v>1900</v>
      </c>
      <c r="AAJ8" t="s">
        <v>1900</v>
      </c>
      <c r="AAK8" t="s">
        <v>1900</v>
      </c>
      <c r="AAL8" t="s">
        <v>1900</v>
      </c>
      <c r="AAM8" t="s">
        <v>1900</v>
      </c>
      <c r="AAN8" t="s">
        <v>1900</v>
      </c>
      <c r="AAO8" t="s">
        <v>1900</v>
      </c>
      <c r="AAP8" t="s">
        <v>1900</v>
      </c>
      <c r="AAQ8" t="s">
        <v>1900</v>
      </c>
      <c r="AAR8" t="s">
        <v>1900</v>
      </c>
      <c r="AAS8" t="s">
        <v>1900</v>
      </c>
      <c r="AAT8" t="s">
        <v>1900</v>
      </c>
      <c r="AAU8" t="s">
        <v>1900</v>
      </c>
      <c r="AAV8" t="s">
        <v>1900</v>
      </c>
      <c r="AAW8" t="s">
        <v>1900</v>
      </c>
      <c r="AAX8" t="s">
        <v>1900</v>
      </c>
      <c r="AAY8" t="s">
        <v>1900</v>
      </c>
      <c r="AAZ8" t="s">
        <v>1900</v>
      </c>
      <c r="ABA8" t="s">
        <v>1900</v>
      </c>
      <c r="ABB8" t="s">
        <v>1900</v>
      </c>
      <c r="ABC8" t="s">
        <v>1900</v>
      </c>
      <c r="ABD8" t="s">
        <v>1900</v>
      </c>
      <c r="ABE8" t="s">
        <v>1900</v>
      </c>
      <c r="ABF8" t="s">
        <v>1900</v>
      </c>
      <c r="ABG8" t="s">
        <v>1900</v>
      </c>
      <c r="ABH8" t="s">
        <v>1900</v>
      </c>
      <c r="ABI8" t="s">
        <v>1900</v>
      </c>
      <c r="ABJ8" t="s">
        <v>1900</v>
      </c>
      <c r="ABK8" t="s">
        <v>1900</v>
      </c>
      <c r="ABL8" t="s">
        <v>1900</v>
      </c>
      <c r="ABM8" t="s">
        <v>1900</v>
      </c>
      <c r="ABN8" t="s">
        <v>1900</v>
      </c>
      <c r="ABO8" t="s">
        <v>1900</v>
      </c>
      <c r="ABP8" t="s">
        <v>1900</v>
      </c>
      <c r="ABQ8" t="s">
        <v>1900</v>
      </c>
      <c r="ABR8" t="s">
        <v>1900</v>
      </c>
      <c r="ABS8" t="s">
        <v>1900</v>
      </c>
      <c r="ABT8" t="s">
        <v>1900</v>
      </c>
      <c r="ABU8" t="s">
        <v>1900</v>
      </c>
      <c r="ABV8" t="s">
        <v>1900</v>
      </c>
      <c r="ABW8" t="s">
        <v>1900</v>
      </c>
      <c r="ABX8" t="s">
        <v>1900</v>
      </c>
      <c r="ABY8" t="s">
        <v>1900</v>
      </c>
      <c r="ABZ8" t="s">
        <v>1900</v>
      </c>
      <c r="ACA8" t="s">
        <v>1900</v>
      </c>
      <c r="ACB8" t="s">
        <v>1900</v>
      </c>
      <c r="ACC8" t="s">
        <v>1900</v>
      </c>
      <c r="ACD8" t="s">
        <v>1900</v>
      </c>
      <c r="ACE8">
        <v>-19.745</v>
      </c>
      <c r="ACF8" t="s">
        <v>1901</v>
      </c>
      <c r="ACG8" t="s">
        <v>1901</v>
      </c>
      <c r="ACH8">
        <v>25.548</v>
      </c>
      <c r="ACI8">
        <v>272.983</v>
      </c>
      <c r="ACJ8" t="s">
        <v>1900</v>
      </c>
      <c r="ACK8" t="s">
        <v>1901</v>
      </c>
      <c r="ACL8" t="s">
        <v>1901</v>
      </c>
      <c r="ACM8">
        <v>33.581</v>
      </c>
      <c r="ACN8">
        <v>282.364</v>
      </c>
      <c r="ACO8">
        <v>-6.76</v>
      </c>
      <c r="ACP8">
        <v>7.945</v>
      </c>
      <c r="ACQ8">
        <v>-23.979</v>
      </c>
      <c r="ACR8">
        <v>4.789</v>
      </c>
      <c r="ACS8">
        <v>32.475</v>
      </c>
      <c r="ACT8">
        <v>-14.809</v>
      </c>
      <c r="ACU8" t="s">
        <v>1901</v>
      </c>
      <c r="ACV8" t="s">
        <v>1901</v>
      </c>
      <c r="ACW8">
        <v>19.161</v>
      </c>
      <c r="ACX8">
        <v>262.81</v>
      </c>
      <c r="ACY8" t="s">
        <v>1900</v>
      </c>
      <c r="ACZ8" t="s">
        <v>1901</v>
      </c>
      <c r="ADA8" t="s">
        <v>1901</v>
      </c>
      <c r="ADB8">
        <v>27.194</v>
      </c>
      <c r="ADC8">
        <v>272.191</v>
      </c>
      <c r="ADD8">
        <v>-5.07</v>
      </c>
      <c r="ADE8">
        <v>7.945</v>
      </c>
      <c r="ADF8">
        <v>-23.979</v>
      </c>
      <c r="ADG8">
        <v>3.592</v>
      </c>
      <c r="ADH8">
        <v>31.265</v>
      </c>
      <c r="ADI8">
        <v>-2.719</v>
      </c>
      <c r="ADJ8">
        <v>1.914</v>
      </c>
      <c r="ADK8">
        <v>-21.179</v>
      </c>
      <c r="ADL8">
        <v>2.478</v>
      </c>
      <c r="ADM8">
        <v>18.162</v>
      </c>
      <c r="ADN8">
        <v>99.42700000000001</v>
      </c>
      <c r="ADO8">
        <v>99.503</v>
      </c>
      <c r="ADP8">
        <v>90.29300000000001</v>
      </c>
      <c r="ADQ8">
        <v>97.10299999999999</v>
      </c>
      <c r="ADR8">
        <v>98.61</v>
      </c>
      <c r="ADS8">
        <v>-2.819744429</v>
      </c>
      <c r="ADT8">
        <v>2.361367904</v>
      </c>
      <c r="ADU8">
        <v>-20.47851716</v>
      </c>
      <c r="ADV8">
        <v>3.256767721</v>
      </c>
      <c r="ADW8">
        <v>18.786021171</v>
      </c>
      <c r="ADX8">
        <v>-2.489</v>
      </c>
      <c r="ADY8">
        <v>2.749</v>
      </c>
      <c r="ADZ8">
        <v>-19.547</v>
      </c>
      <c r="AEA8">
        <v>4.562</v>
      </c>
      <c r="AEB8">
        <v>19.548</v>
      </c>
      <c r="AEC8">
        <v>-2.82</v>
      </c>
      <c r="AED8">
        <v>2.361</v>
      </c>
      <c r="AEE8">
        <v>-20.479</v>
      </c>
      <c r="AEF8">
        <v>3.257</v>
      </c>
      <c r="AEG8">
        <v>18.786</v>
      </c>
      <c r="AEH8">
        <v>-1.709</v>
      </c>
      <c r="AEI8">
        <v>2.302</v>
      </c>
      <c r="AEJ8">
        <v>-20.248</v>
      </c>
      <c r="AEK8">
        <v>3.164</v>
      </c>
      <c r="AEL8">
        <v>18.247</v>
      </c>
      <c r="AEM8">
        <v>-2.742415326</v>
      </c>
      <c r="AEN8">
        <v>2.418477044</v>
      </c>
      <c r="AEO8">
        <v>-16.997650405</v>
      </c>
      <c r="AEP8">
        <v>3.36640367</v>
      </c>
      <c r="AEQ8">
        <v>23.131511892</v>
      </c>
      <c r="AER8">
        <v>0.972422283</v>
      </c>
      <c r="AES8">
        <v>1.024308519</v>
      </c>
      <c r="AET8">
        <v>0.815127821</v>
      </c>
      <c r="AEU8">
        <v>1.034703217</v>
      </c>
      <c r="AEV8">
        <v>1.235342911</v>
      </c>
      <c r="AEW8" t="s">
        <v>1900</v>
      </c>
      <c r="AEX8" t="s">
        <v>1900</v>
      </c>
      <c r="AEY8" t="s">
        <v>1900</v>
      </c>
      <c r="AEZ8" t="s">
        <v>1900</v>
      </c>
      <c r="AFA8" t="s">
        <v>1900</v>
      </c>
      <c r="AFB8" t="s">
        <v>1900</v>
      </c>
      <c r="AFC8" t="s">
        <v>1900</v>
      </c>
      <c r="AFD8" t="s">
        <v>1900</v>
      </c>
      <c r="AFE8" t="s">
        <v>1900</v>
      </c>
      <c r="AFF8" t="s">
        <v>1900</v>
      </c>
      <c r="AFG8">
        <v>7.263</v>
      </c>
      <c r="AFH8" t="s">
        <v>1901</v>
      </c>
      <c r="AFI8" t="s">
        <v>1901</v>
      </c>
      <c r="AFJ8">
        <v>10.311</v>
      </c>
      <c r="AFK8">
        <v>15.031</v>
      </c>
      <c r="AFL8" t="s">
        <v>1900</v>
      </c>
      <c r="AFM8">
        <v>5.283</v>
      </c>
      <c r="AFN8">
        <v>-29.246</v>
      </c>
      <c r="AFO8">
        <v>4.18</v>
      </c>
      <c r="AFP8">
        <v>30.1</v>
      </c>
      <c r="AFQ8" t="s">
        <v>1901</v>
      </c>
      <c r="AFR8" t="s">
        <v>1901</v>
      </c>
      <c r="AFS8" t="s">
        <v>1901</v>
      </c>
      <c r="AFT8" t="s">
        <v>1901</v>
      </c>
      <c r="AFU8" t="s">
        <v>1901</v>
      </c>
      <c r="AFV8">
        <v>70.236</v>
      </c>
      <c r="AFW8">
        <v>70.58799999999999</v>
      </c>
      <c r="AFX8">
        <v>236.994</v>
      </c>
      <c r="AFY8">
        <v>63.094</v>
      </c>
      <c r="AFZ8">
        <v>120.733</v>
      </c>
      <c r="AGA8">
        <v>73.923</v>
      </c>
      <c r="AGB8">
        <v>18.574</v>
      </c>
      <c r="AGC8">
        <v>15.817</v>
      </c>
      <c r="AGD8">
        <v>0</v>
      </c>
      <c r="AGE8">
        <v>0</v>
      </c>
      <c r="AGF8" t="s">
        <v>1900</v>
      </c>
      <c r="AGG8" t="s">
        <v>1900</v>
      </c>
      <c r="AGH8" t="s">
        <v>1900</v>
      </c>
      <c r="AGI8" t="s">
        <v>1900</v>
      </c>
      <c r="AGJ8" t="s">
        <v>1900</v>
      </c>
      <c r="AGK8" t="s">
        <v>1900</v>
      </c>
      <c r="AGL8" t="s">
        <v>1900</v>
      </c>
      <c r="AGM8" t="s">
        <v>1900</v>
      </c>
      <c r="AGN8" t="s">
        <v>1900</v>
      </c>
      <c r="AGO8" t="s">
        <v>1900</v>
      </c>
      <c r="AGP8" t="s">
        <v>1900</v>
      </c>
      <c r="AGQ8" t="s">
        <v>1900</v>
      </c>
      <c r="AGR8" t="s">
        <v>1900</v>
      </c>
      <c r="AGS8" t="s">
        <v>1900</v>
      </c>
      <c r="AGT8" t="s">
        <v>1900</v>
      </c>
      <c r="AGU8">
        <v>0</v>
      </c>
      <c r="AGV8">
        <v>0</v>
      </c>
      <c r="AGW8">
        <v>0</v>
      </c>
      <c r="AGX8">
        <v>0</v>
      </c>
      <c r="AGY8">
        <v>0</v>
      </c>
      <c r="AGZ8">
        <v>1.48</v>
      </c>
      <c r="AHA8">
        <v>0.6870000000000001</v>
      </c>
      <c r="AHB8">
        <v>0.678</v>
      </c>
      <c r="AHC8">
        <v>0.537</v>
      </c>
      <c r="AHD8">
        <v>0.8149999999999999</v>
      </c>
      <c r="AHE8">
        <v>1.48</v>
      </c>
      <c r="AHF8">
        <v>0.6870000000000001</v>
      </c>
      <c r="AHG8">
        <v>0.678</v>
      </c>
      <c r="AHH8">
        <v>0.537</v>
      </c>
      <c r="AHI8">
        <v>0.8149999999999999</v>
      </c>
      <c r="AHJ8" t="s">
        <v>1901</v>
      </c>
      <c r="AHK8" t="s">
        <v>1901</v>
      </c>
      <c r="AHL8" t="s">
        <v>1901</v>
      </c>
      <c r="AHM8" t="s">
        <v>1901</v>
      </c>
      <c r="AHN8" t="s">
        <v>1901</v>
      </c>
      <c r="AHO8">
        <v>34.235</v>
      </c>
      <c r="AHP8">
        <v>-21.026</v>
      </c>
      <c r="AHQ8">
        <v>-17.08</v>
      </c>
      <c r="AHR8">
        <v>18.746</v>
      </c>
      <c r="AHS8">
        <v>11.896</v>
      </c>
      <c r="AHT8">
        <v>52.057</v>
      </c>
      <c r="AHU8" t="s">
        <v>1901</v>
      </c>
      <c r="AHV8" t="s">
        <v>1901</v>
      </c>
      <c r="AHW8">
        <v>23.071</v>
      </c>
      <c r="AHX8">
        <v>13.503</v>
      </c>
      <c r="AHY8">
        <v>0</v>
      </c>
      <c r="AHZ8" t="s">
        <v>1901</v>
      </c>
      <c r="AIA8" t="s">
        <v>1901</v>
      </c>
      <c r="AIB8">
        <v>0</v>
      </c>
      <c r="AIC8">
        <v>0</v>
      </c>
      <c r="AID8">
        <v>1.844386456</v>
      </c>
      <c r="AIE8">
        <v>0.219152469</v>
      </c>
      <c r="AIF8">
        <v>0</v>
      </c>
      <c r="AIG8">
        <v>0</v>
      </c>
      <c r="AIH8">
        <v>0</v>
      </c>
      <c r="AII8">
        <v>48.821799594</v>
      </c>
      <c r="AIJ8">
        <v>1.706920641</v>
      </c>
      <c r="AIK8">
        <v>4.847049557</v>
      </c>
      <c r="AIL8">
        <v>9.747666546</v>
      </c>
      <c r="AIM8">
        <v>11.860004549</v>
      </c>
      <c r="AIN8">
        <v>14.708048385</v>
      </c>
      <c r="AIO8">
        <v>99.612063586</v>
      </c>
      <c r="AIP8">
        <v>112.10558938</v>
      </c>
      <c r="AIQ8">
        <v>81.25368524300001</v>
      </c>
      <c r="AIR8">
        <v>88.10370946899999</v>
      </c>
      <c r="AIS8">
        <v>0</v>
      </c>
      <c r="AIT8">
        <v>0</v>
      </c>
      <c r="AIU8">
        <v>0</v>
      </c>
      <c r="AIV8">
        <v>0</v>
      </c>
      <c r="AIW8">
        <v>0</v>
      </c>
      <c r="AIX8">
        <v>-1.26347429905963</v>
      </c>
      <c r="AIY8">
        <v>1.01196829415894</v>
      </c>
      <c r="AIZ8">
        <v>-7.50054412112892</v>
      </c>
      <c r="AJA8">
        <v>0.858631088690758</v>
      </c>
      <c r="AJB8">
        <v>7.08996869103193</v>
      </c>
      <c r="AJC8">
        <v>46.4741756964543</v>
      </c>
      <c r="AJD8">
        <v>52.8618380537434</v>
      </c>
      <c r="AJE8">
        <v>35.4154664686841</v>
      </c>
      <c r="AJF8">
        <v>34.6540368280578</v>
      </c>
      <c r="AJG8">
        <v>39.0376106177503</v>
      </c>
      <c r="AJH8">
        <v>67.768</v>
      </c>
      <c r="AJI8">
        <v>67.47499999999999</v>
      </c>
      <c r="AJJ8">
        <v>94.22799999999999</v>
      </c>
      <c r="AJK8" t="s">
        <v>1901</v>
      </c>
      <c r="AJL8">
        <v>75.756</v>
      </c>
      <c r="AJM8">
        <v>31.4944245065377</v>
      </c>
      <c r="AJN8">
        <v>35.6687154376812</v>
      </c>
      <c r="AJO8">
        <v>33.3711194959372</v>
      </c>
      <c r="AJP8">
        <v>35.2092352335763</v>
      </c>
      <c r="AJQ8">
        <v>29.5731961926246</v>
      </c>
      <c r="AJR8">
        <v>6.39896874303961</v>
      </c>
      <c r="AJS8" t="s">
        <v>1901</v>
      </c>
      <c r="AJT8" t="s">
        <v>1901</v>
      </c>
      <c r="AJU8">
        <v>3.36080453335047</v>
      </c>
      <c r="AJV8">
        <v>2.59721579511106</v>
      </c>
      <c r="AJW8">
        <v>-0.475862740212083</v>
      </c>
      <c r="AJX8">
        <v>7.6375413226347</v>
      </c>
      <c r="AJY8">
        <v>21.7585623647028</v>
      </c>
      <c r="AJZ8">
        <v>6.07354309897184</v>
      </c>
      <c r="AKA8">
        <v>13.0920058683801</v>
      </c>
      <c r="AKB8">
        <v>18.691090976243</v>
      </c>
      <c r="AKC8">
        <v>12.7367860061131</v>
      </c>
      <c r="AKD8">
        <v>31.2797802829367</v>
      </c>
      <c r="AKE8">
        <v>17.9278124764252</v>
      </c>
      <c r="AKF8">
        <v>21.8321470198041</v>
      </c>
      <c r="AKG8">
        <v>0</v>
      </c>
      <c r="AKH8">
        <v>0</v>
      </c>
      <c r="AKI8">
        <v>0</v>
      </c>
      <c r="AKJ8">
        <v>0</v>
      </c>
      <c r="AKK8">
        <v>0</v>
      </c>
      <c r="AKL8">
        <v>0</v>
      </c>
      <c r="AKM8">
        <v>0</v>
      </c>
      <c r="AKN8">
        <v>0</v>
      </c>
      <c r="AKO8">
        <v>0</v>
      </c>
      <c r="AKP8">
        <v>0</v>
      </c>
      <c r="AKQ8">
        <v>0</v>
      </c>
      <c r="AKR8">
        <v>0</v>
      </c>
      <c r="AKS8">
        <v>0</v>
      </c>
      <c r="AKT8">
        <v>0</v>
      </c>
      <c r="AKU8">
        <v>0</v>
      </c>
      <c r="AKV8">
        <v>0.072347587</v>
      </c>
      <c r="AKW8">
        <v>3.579430901</v>
      </c>
      <c r="AKX8">
        <v>16.916186395</v>
      </c>
      <c r="AKY8">
        <v>27.080710472</v>
      </c>
      <c r="AKZ8">
        <v>13.081488949</v>
      </c>
      <c r="ALA8">
        <v>0.179887542</v>
      </c>
      <c r="ALB8">
        <v>14.855811162</v>
      </c>
      <c r="ALC8">
        <v>19.15277623</v>
      </c>
      <c r="ALD8">
        <v>52.346371261</v>
      </c>
      <c r="ALE8">
        <v>23.390740677</v>
      </c>
      <c r="ALF8">
        <v>0.258723172</v>
      </c>
      <c r="ALG8">
        <v>0.443325193</v>
      </c>
      <c r="ALH8">
        <v>1.293524894</v>
      </c>
      <c r="ALI8">
        <v>2.083931388</v>
      </c>
      <c r="ALJ8">
        <v>2.674718007</v>
      </c>
      <c r="ALK8">
        <v>0.643298245</v>
      </c>
      <c r="ALL8">
        <v>1.839944823</v>
      </c>
      <c r="ALM8">
        <v>1.464549531</v>
      </c>
      <c r="ALN8">
        <v>4.028189963</v>
      </c>
      <c r="ALO8">
        <v>4.782608121</v>
      </c>
      <c r="ALP8">
        <v>19.510116259</v>
      </c>
      <c r="ALQ8">
        <v>19.60764959</v>
      </c>
      <c r="ALR8">
        <v>65.831632192</v>
      </c>
      <c r="ALS8">
        <v>17.526222335</v>
      </c>
      <c r="ALT8">
        <v>33.536904039</v>
      </c>
      <c r="ALU8">
        <v>105.248193379</v>
      </c>
      <c r="ALV8">
        <v>26.313867107</v>
      </c>
      <c r="ALW8">
        <v>6.674008001</v>
      </c>
      <c r="ALX8">
        <v>0</v>
      </c>
      <c r="ALY8">
        <v>0</v>
      </c>
      <c r="ALZ8">
        <v>99.4274598941342</v>
      </c>
      <c r="AMA8">
        <v>99.5029444276818</v>
      </c>
      <c r="AMB8">
        <v>90.2927047598187</v>
      </c>
      <c r="AMC8">
        <v>97.10304455654639</v>
      </c>
      <c r="AMD8">
        <v>98.6100578461068</v>
      </c>
      <c r="AME8">
        <v>99.4274598941342</v>
      </c>
      <c r="AMF8">
        <v>99.5029444276818</v>
      </c>
      <c r="AMG8">
        <v>90.2927047598187</v>
      </c>
      <c r="AMH8">
        <v>97.8890543591906</v>
      </c>
      <c r="AMI8" t="s">
        <v>1901</v>
      </c>
      <c r="AMJ8">
        <v>17366.0253448574</v>
      </c>
      <c r="AMK8">
        <v>20018.474788165</v>
      </c>
      <c r="AML8">
        <v>930.153083831212</v>
      </c>
      <c r="AMM8">
        <v>3351.89982904209</v>
      </c>
      <c r="AMN8">
        <v>7094.54401177053</v>
      </c>
      <c r="AMO8">
        <v>0.97242228334851</v>
      </c>
      <c r="AMP8">
        <v>1.02430851946462</v>
      </c>
      <c r="AMQ8">
        <v>0.815127820056213</v>
      </c>
      <c r="AMR8">
        <v>1.03470321952844</v>
      </c>
      <c r="AMS8">
        <v>1.23534290828768</v>
      </c>
      <c r="AMT8">
        <v>0.97242228334851</v>
      </c>
      <c r="AMU8">
        <v>1.02430851946462</v>
      </c>
      <c r="AMV8">
        <v>0.815127821292043</v>
      </c>
      <c r="AMW8">
        <v>1.03470321720669</v>
      </c>
      <c r="AMX8">
        <v>1.23534291060408</v>
      </c>
      <c r="AMY8">
        <v>0.97242228334851</v>
      </c>
      <c r="AMZ8">
        <v>1.02430851946462</v>
      </c>
      <c r="ANA8">
        <v>0.815127821292043</v>
      </c>
      <c r="ANB8">
        <v>1.03470321712612</v>
      </c>
      <c r="ANC8">
        <v>1.23534291114923</v>
      </c>
      <c r="AND8">
        <v>-2.81974442923695</v>
      </c>
      <c r="ANE8">
        <v>2.36136790375591</v>
      </c>
      <c r="ANF8">
        <v>-20.4785171597147</v>
      </c>
      <c r="ANG8">
        <v>3.25676772148516</v>
      </c>
      <c r="ANH8">
        <v>18.7860211708403</v>
      </c>
      <c r="ANI8">
        <v>-2.81974442923695</v>
      </c>
      <c r="ANJ8">
        <v>2.36136790375591</v>
      </c>
      <c r="ANK8">
        <v>-20.4785171597147</v>
      </c>
      <c r="ANL8">
        <v>3.2831299366527</v>
      </c>
      <c r="ANM8">
        <v>20.0108576272892</v>
      </c>
      <c r="ANN8">
        <v>-2.74241532585949</v>
      </c>
      <c r="ANO8">
        <v>2.4184770444431</v>
      </c>
      <c r="ANP8">
        <v>-16.9976504048161</v>
      </c>
      <c r="ANQ8">
        <v>3.36640366957063</v>
      </c>
      <c r="ANR8">
        <v>23.1315118920085</v>
      </c>
      <c r="ANS8">
        <v>-20.479128958771</v>
      </c>
      <c r="ANT8" t="s">
        <v>1901</v>
      </c>
      <c r="ANU8" t="s">
        <v>1901</v>
      </c>
      <c r="ANV8">
        <v>33.5812924820074</v>
      </c>
      <c r="ANW8">
        <v>282.364465126775</v>
      </c>
      <c r="ANX8">
        <v>99.4274598941342</v>
      </c>
      <c r="ANY8">
        <v>99.5029444276818</v>
      </c>
      <c r="ANZ8">
        <v>90.2927048967132</v>
      </c>
      <c r="AOA8">
        <v>97.10304455654639</v>
      </c>
      <c r="AOB8">
        <v>98.6100578461068</v>
      </c>
      <c r="AOC8">
        <v>96.7007459958846</v>
      </c>
      <c r="AOD8">
        <v>101.90940029721</v>
      </c>
      <c r="AOE8">
        <v>74.945066463692</v>
      </c>
      <c r="AOF8">
        <v>100.371925011763</v>
      </c>
      <c r="AOG8">
        <v>121.420055103495</v>
      </c>
      <c r="AOH8" t="s">
        <v>1901</v>
      </c>
      <c r="AOI8" t="s">
        <v>1901</v>
      </c>
      <c r="AOJ8" t="s">
        <v>1901</v>
      </c>
      <c r="AOK8" t="s">
        <v>1901</v>
      </c>
      <c r="AOL8" t="s">
        <v>1901</v>
      </c>
      <c r="AOM8">
        <v>-492.497276670732</v>
      </c>
      <c r="AON8">
        <v>475.071206372955</v>
      </c>
      <c r="AOO8">
        <v>-210.960076332498</v>
      </c>
      <c r="AOP8">
        <v>112.420359410244</v>
      </c>
      <c r="AOQ8">
        <v>1351.56856119663</v>
      </c>
      <c r="AOR8">
        <v>-2.75777166514902</v>
      </c>
      <c r="AOS8">
        <v>2.43085194646219</v>
      </c>
      <c r="AOT8">
        <v>-18.4872178707957</v>
      </c>
      <c r="AOU8">
        <v>3.47032172066927</v>
      </c>
      <c r="AOV8">
        <v>23.5342910604084</v>
      </c>
      <c r="AOW8">
        <v>-7.01111009189083</v>
      </c>
      <c r="AOX8">
        <v>9.800450582314349</v>
      </c>
      <c r="AOY8">
        <v>-23.1861039783715</v>
      </c>
      <c r="AOZ8">
        <v>6.2952547880366</v>
      </c>
      <c r="APA8">
        <v>33.5908971283324</v>
      </c>
      <c r="APB8">
        <v>-2.03899376348931</v>
      </c>
      <c r="APC8">
        <v>1.91436368419535</v>
      </c>
      <c r="APD8">
        <v>-21.178725239223</v>
      </c>
      <c r="APE8">
        <v>1.85829182892086</v>
      </c>
      <c r="APF8">
        <v>17.4850606245285</v>
      </c>
      <c r="APG8">
        <v>-2.03899376348931</v>
      </c>
      <c r="APH8">
        <v>1.91436368419535</v>
      </c>
      <c r="API8">
        <v>-21.178725239223</v>
      </c>
      <c r="APJ8">
        <v>1.87333394835569</v>
      </c>
      <c r="APK8">
        <v>18.6250752929556</v>
      </c>
      <c r="APL8">
        <v>-356.131167511105</v>
      </c>
      <c r="APM8">
        <v>385.140775158629</v>
      </c>
      <c r="APN8">
        <v>-218.173291466662</v>
      </c>
      <c r="APO8">
        <v>64.14637246562231</v>
      </c>
      <c r="APP8">
        <v>1257.97038211646</v>
      </c>
      <c r="APQ8">
        <v>-1.99418045410875</v>
      </c>
      <c r="APR8">
        <v>1.9706944777902</v>
      </c>
      <c r="APS8">
        <v>-19.1193388012225</v>
      </c>
      <c r="APT8">
        <v>1.98014444036109</v>
      </c>
      <c r="APU8">
        <v>21.9045056004338</v>
      </c>
      <c r="APV8">
        <v>-1.98307608602606</v>
      </c>
      <c r="APW8">
        <v>1.96066213044477</v>
      </c>
      <c r="APX8">
        <v>-17.5788395628633</v>
      </c>
      <c r="APY8">
        <v>1.92084943324098</v>
      </c>
      <c r="APZ8">
        <v>21.5296195022162</v>
      </c>
      <c r="AQA8">
        <v>-5.06982462817414</v>
      </c>
      <c r="AQB8">
        <v>7.94523659514986</v>
      </c>
      <c r="AQC8">
        <v>-23.9788907417565</v>
      </c>
      <c r="AQD8">
        <v>3.592034045415</v>
      </c>
      <c r="AQE8">
        <v>31.2646763984733</v>
      </c>
      <c r="AQF8">
        <v>-0.0275777166514902</v>
      </c>
      <c r="AQG8">
        <v>0.0243085194646219</v>
      </c>
      <c r="AQH8">
        <v>-0.184872178707957</v>
      </c>
      <c r="AQI8">
        <v>0.0347032171261207</v>
      </c>
      <c r="AQJ8">
        <v>0.235342911149232</v>
      </c>
      <c r="AQK8">
        <v>1</v>
      </c>
      <c r="AQO8" t="s">
        <v>1902</v>
      </c>
      <c r="AQP8">
        <v>1</v>
      </c>
      <c r="AQQ8">
        <v>0</v>
      </c>
      <c r="AQS8" t="s">
        <v>1905</v>
      </c>
      <c r="AQU8" t="s">
        <v>1906</v>
      </c>
      <c r="AQV8">
        <v>1394225.28128262</v>
      </c>
      <c r="AQW8">
        <v>1744440.64693353</v>
      </c>
      <c r="AQX8">
        <v>779140.260177851</v>
      </c>
      <c r="AQY8">
        <v>-39313.58969998</v>
      </c>
      <c r="AQZ8">
        <v>41192.6615367603</v>
      </c>
      <c r="ARA8">
        <v>-159556.371878767</v>
      </c>
      <c r="ARB8">
        <v>3917806.188394001</v>
      </c>
      <c r="ARC8">
        <v>-157677.3000419867</v>
      </c>
      <c r="ARD8">
        <v>-0.03868922558253258</v>
      </c>
      <c r="ARE8">
        <v>-0.03868922558253258</v>
      </c>
      <c r="ARF8">
        <v>-0.03868922558253258</v>
      </c>
      <c r="ARG8" t="s">
        <v>1907</v>
      </c>
      <c r="ARH8" t="s">
        <v>1907</v>
      </c>
      <c r="ARI8" t="s">
        <v>1907</v>
      </c>
      <c r="ARJ8" t="s">
        <v>1169</v>
      </c>
      <c r="ARK8" t="s">
        <v>1507</v>
      </c>
      <c r="ARL8" t="s">
        <v>1908</v>
      </c>
      <c r="ARM8" t="s">
        <v>1908</v>
      </c>
      <c r="ARN8" t="s">
        <v>1909</v>
      </c>
      <c r="ARO8" t="s">
        <v>1908</v>
      </c>
      <c r="ARP8" t="s">
        <v>1907</v>
      </c>
      <c r="ARQ8" t="s">
        <v>1915</v>
      </c>
      <c r="ARR8">
        <f>HYPERLINK("C:\Users\Usuario\Documents\Proyectos\llmthon\evidence\alpinia_digital_233222.png", "Ver Evidencia")</f>
        <v>0</v>
      </c>
      <c r="ARS8">
        <v>95</v>
      </c>
    </row>
    <row r="9" spans="1:1163">
      <c r="A9">
        <v>649</v>
      </c>
      <c r="B9" t="s">
        <v>1170</v>
      </c>
      <c r="C9" t="s">
        <v>1293</v>
      </c>
      <c r="E9" s="2">
        <v>35102</v>
      </c>
      <c r="F9" t="s">
        <v>1431</v>
      </c>
      <c r="G9" t="s">
        <v>1433</v>
      </c>
      <c r="H9" t="s">
        <v>1434</v>
      </c>
      <c r="I9" t="s">
        <v>1437</v>
      </c>
      <c r="J9" t="s">
        <v>1456</v>
      </c>
      <c r="L9" t="s">
        <v>1508</v>
      </c>
      <c r="N9" t="s">
        <v>1628</v>
      </c>
      <c r="O9" t="s">
        <v>1652</v>
      </c>
      <c r="P9">
        <v>7490</v>
      </c>
      <c r="Q9">
        <v>7490</v>
      </c>
      <c r="R9" t="s">
        <v>1679</v>
      </c>
      <c r="Z9" t="s">
        <v>1899</v>
      </c>
      <c r="AA9" s="2">
        <v>45657</v>
      </c>
      <c r="AB9">
        <v>2024</v>
      </c>
      <c r="AC9">
        <v>790315.523460641</v>
      </c>
      <c r="AD9">
        <v>792709.808358421</v>
      </c>
      <c r="AE9">
        <v>395694.768336397</v>
      </c>
      <c r="AF9">
        <v>370213.832669163</v>
      </c>
      <c r="AG9">
        <v>353604.259563094</v>
      </c>
      <c r="AH9">
        <v>790315.523460641</v>
      </c>
      <c r="AI9">
        <v>791439.886538496</v>
      </c>
      <c r="AJ9">
        <v>394954.004325807</v>
      </c>
      <c r="AK9">
        <v>369746.476478291</v>
      </c>
      <c r="AL9">
        <v>353604.259563094</v>
      </c>
      <c r="AM9" t="s">
        <v>1900</v>
      </c>
      <c r="AN9" t="s">
        <v>1900</v>
      </c>
      <c r="AO9" t="s">
        <v>1900</v>
      </c>
      <c r="AP9" t="s">
        <v>1900</v>
      </c>
      <c r="AQ9" t="s">
        <v>1900</v>
      </c>
      <c r="AR9">
        <v>790315.523460641</v>
      </c>
      <c r="AS9">
        <v>792709.808358421</v>
      </c>
      <c r="AT9">
        <v>395694.768336397</v>
      </c>
      <c r="AU9">
        <v>370213.832669163</v>
      </c>
      <c r="AV9">
        <v>353604.259563094</v>
      </c>
      <c r="AW9">
        <v>215718.637205143</v>
      </c>
      <c r="AX9">
        <v>196614.22998805</v>
      </c>
      <c r="AY9">
        <v>159485.527274157</v>
      </c>
      <c r="AZ9">
        <v>195023.704128671</v>
      </c>
      <c r="BA9">
        <v>154551.082965499</v>
      </c>
      <c r="BB9">
        <v>574596.885216599</v>
      </c>
      <c r="BC9">
        <v>596095.578370371</v>
      </c>
      <c r="BD9">
        <v>236209.239995641</v>
      </c>
      <c r="BE9">
        <v>175190.128540492</v>
      </c>
      <c r="BF9">
        <v>199053.176597595</v>
      </c>
      <c r="BG9">
        <v>-653.653774244666</v>
      </c>
      <c r="BH9">
        <v>-20700.9024903107</v>
      </c>
      <c r="BI9">
        <v>-205639.047020252</v>
      </c>
      <c r="BJ9">
        <v>-32935.8923550367</v>
      </c>
      <c r="BK9">
        <v>-41573.4616310954</v>
      </c>
      <c r="BL9">
        <v>2769.30100522161</v>
      </c>
      <c r="BM9">
        <v>4641.00208282471</v>
      </c>
      <c r="BN9">
        <v>8119.20062250495</v>
      </c>
      <c r="BO9">
        <v>332.88255636692</v>
      </c>
      <c r="BP9">
        <v>42.1385899424553</v>
      </c>
      <c r="BQ9">
        <v>3422.95581836581</v>
      </c>
      <c r="BR9">
        <v>25341.9045731354</v>
      </c>
      <c r="BS9">
        <v>213758.247642757</v>
      </c>
      <c r="BT9">
        <v>33268.7749114037</v>
      </c>
      <c r="BU9">
        <v>41615.6002210379</v>
      </c>
      <c r="BV9">
        <v>573943.230403454</v>
      </c>
      <c r="BW9">
        <v>575394.6758800599</v>
      </c>
      <c r="BX9">
        <v>30570.1919087887</v>
      </c>
      <c r="BY9">
        <v>142254.236185455</v>
      </c>
      <c r="BZ9">
        <v>157479.7149665</v>
      </c>
      <c r="CA9">
        <v>134002.935176928</v>
      </c>
      <c r="CB9">
        <v>132348.572446413</v>
      </c>
      <c r="CC9">
        <v>7642.54797719717</v>
      </c>
      <c r="CD9">
        <v>35563.5590463638</v>
      </c>
      <c r="CE9">
        <v>39372.2172818184</v>
      </c>
      <c r="CF9">
        <v>439940.295226526</v>
      </c>
      <c r="CG9">
        <v>443046.103433647</v>
      </c>
      <c r="CH9">
        <v>22927.6439315915</v>
      </c>
      <c r="CI9">
        <v>106690.677139091</v>
      </c>
      <c r="CJ9">
        <v>118107.497684681</v>
      </c>
      <c r="CK9" t="s">
        <v>1900</v>
      </c>
      <c r="CL9" t="s">
        <v>1900</v>
      </c>
      <c r="CM9" t="s">
        <v>1900</v>
      </c>
      <c r="CN9" t="s">
        <v>1900</v>
      </c>
      <c r="CO9" t="s">
        <v>1900</v>
      </c>
      <c r="CP9" t="s">
        <v>1900</v>
      </c>
      <c r="CQ9" t="s">
        <v>1900</v>
      </c>
      <c r="CR9" t="s">
        <v>1900</v>
      </c>
      <c r="CS9" t="s">
        <v>1900</v>
      </c>
      <c r="CT9" t="s">
        <v>1900</v>
      </c>
      <c r="CU9" t="s">
        <v>1900</v>
      </c>
      <c r="CV9" t="s">
        <v>1900</v>
      </c>
      <c r="CW9" t="s">
        <v>1900</v>
      </c>
      <c r="CX9" t="s">
        <v>1900</v>
      </c>
      <c r="CY9" t="s">
        <v>1900</v>
      </c>
      <c r="CZ9">
        <v>439940.295226526</v>
      </c>
      <c r="DA9">
        <v>443046.103433647</v>
      </c>
      <c r="DB9">
        <v>22927.6439315915</v>
      </c>
      <c r="DC9">
        <v>106690.677139091</v>
      </c>
      <c r="DD9">
        <v>118107.497684681</v>
      </c>
      <c r="DE9" t="s">
        <v>1900</v>
      </c>
      <c r="DF9" t="s">
        <v>1900</v>
      </c>
      <c r="DG9" t="s">
        <v>1900</v>
      </c>
      <c r="DH9" t="s">
        <v>1900</v>
      </c>
      <c r="DI9" t="s">
        <v>1900</v>
      </c>
      <c r="DJ9" t="s">
        <v>1900</v>
      </c>
      <c r="DK9" t="s">
        <v>1900</v>
      </c>
      <c r="DL9" t="s">
        <v>1900</v>
      </c>
      <c r="DM9" t="s">
        <v>1900</v>
      </c>
      <c r="DN9" t="s">
        <v>1900</v>
      </c>
      <c r="DO9">
        <v>41180.938901782</v>
      </c>
      <c r="DP9">
        <v>43762.7932402039</v>
      </c>
      <c r="DQ9">
        <v>37734.0713676453</v>
      </c>
      <c r="DR9">
        <v>40069.043069458</v>
      </c>
      <c r="DS9">
        <v>30342.8770488024</v>
      </c>
      <c r="DT9">
        <v>1171.67090222836</v>
      </c>
      <c r="DU9">
        <v>17661.8417264175</v>
      </c>
      <c r="DV9">
        <v>35695.5330957115</v>
      </c>
      <c r="DW9">
        <v>37472.4775825739</v>
      </c>
      <c r="DX9">
        <v>41927.7374698341</v>
      </c>
      <c r="DY9">
        <v>173366.028440032</v>
      </c>
      <c r="DZ9">
        <v>135189.595021429</v>
      </c>
      <c r="EA9">
        <v>86055.9238774002</v>
      </c>
      <c r="EB9">
        <v>117482.183476639</v>
      </c>
      <c r="EC9">
        <v>82280.46844686269</v>
      </c>
      <c r="ED9">
        <v>3422.95581836581</v>
      </c>
      <c r="EE9">
        <v>25341.9045731354</v>
      </c>
      <c r="EF9">
        <v>30603.7257966995</v>
      </c>
      <c r="EG9">
        <v>33268.7749114037</v>
      </c>
      <c r="EH9">
        <v>41615.6002210379</v>
      </c>
      <c r="EI9" t="s">
        <v>1900</v>
      </c>
      <c r="EJ9" t="s">
        <v>1900</v>
      </c>
      <c r="EK9" t="s">
        <v>1900</v>
      </c>
      <c r="EL9" t="s">
        <v>1900</v>
      </c>
      <c r="EM9" t="s">
        <v>1900</v>
      </c>
      <c r="EN9">
        <v>441111.966128755</v>
      </c>
      <c r="EO9">
        <v>460707.945160065</v>
      </c>
      <c r="EP9">
        <v>58623.177027303</v>
      </c>
      <c r="EQ9">
        <v>144163.153589065</v>
      </c>
      <c r="ER9">
        <v>160035.235154516</v>
      </c>
      <c r="ES9">
        <v>619718.796025831</v>
      </c>
      <c r="ET9">
        <v>662161.215419817</v>
      </c>
      <c r="EU9">
        <v>134603.522168845</v>
      </c>
      <c r="EV9">
        <v>253064.530616291</v>
      </c>
      <c r="EW9">
        <v>271365.928479075</v>
      </c>
      <c r="EX9">
        <v>575768.556118827</v>
      </c>
      <c r="EY9">
        <v>613757.420096788</v>
      </c>
      <c r="EZ9">
        <v>271904.772024753</v>
      </c>
      <c r="FA9">
        <v>212662.606123066</v>
      </c>
      <c r="FB9">
        <v>240980.914067429</v>
      </c>
      <c r="FC9">
        <v>4232701.27737819</v>
      </c>
      <c r="FD9">
        <v>4938731.471642</v>
      </c>
      <c r="FE9">
        <v>4770431.80710405</v>
      </c>
      <c r="FF9">
        <v>5222150.79862618</v>
      </c>
      <c r="FG9">
        <v>5567992.92649342</v>
      </c>
      <c r="FH9">
        <v>0</v>
      </c>
      <c r="FI9">
        <v>0</v>
      </c>
      <c r="FJ9">
        <v>0</v>
      </c>
      <c r="FK9">
        <v>0</v>
      </c>
      <c r="FL9">
        <v>0</v>
      </c>
      <c r="FM9">
        <v>479653.965139707</v>
      </c>
      <c r="FN9">
        <v>946893.013803949</v>
      </c>
      <c r="FO9">
        <v>930673.649373949</v>
      </c>
      <c r="FP9">
        <v>1025981.51646702</v>
      </c>
      <c r="FQ9">
        <v>1150435.44854237</v>
      </c>
      <c r="FR9">
        <v>3753047.31223849</v>
      </c>
      <c r="FS9">
        <v>3991838.45783805</v>
      </c>
      <c r="FT9">
        <v>3839758.1577301</v>
      </c>
      <c r="FU9">
        <v>4196169.28215916</v>
      </c>
      <c r="FV9">
        <v>4417557.47795105</v>
      </c>
      <c r="FW9">
        <v>0</v>
      </c>
      <c r="FX9">
        <v>0</v>
      </c>
      <c r="FY9">
        <v>0</v>
      </c>
      <c r="FZ9">
        <v>0</v>
      </c>
      <c r="GA9">
        <v>0</v>
      </c>
      <c r="GB9">
        <v>479653.965139707</v>
      </c>
      <c r="GC9">
        <v>946893.013803949</v>
      </c>
      <c r="GD9">
        <v>930673.649373949</v>
      </c>
      <c r="GE9">
        <v>1025981.51646702</v>
      </c>
      <c r="GF9">
        <v>1150435.44854237</v>
      </c>
      <c r="GG9">
        <v>3753047.31223849</v>
      </c>
      <c r="GH9">
        <v>3991838.45783805</v>
      </c>
      <c r="GI9">
        <v>3839758.1577301</v>
      </c>
      <c r="GJ9">
        <v>4196169.28215916</v>
      </c>
      <c r="GK9">
        <v>4417557.47795105</v>
      </c>
      <c r="GL9">
        <v>2199021.38132617</v>
      </c>
      <c r="GM9">
        <v>338178.583920393</v>
      </c>
      <c r="GN9">
        <v>286609.969569975</v>
      </c>
      <c r="GO9">
        <v>385071.238198471</v>
      </c>
      <c r="GP9">
        <v>430491.602046973</v>
      </c>
      <c r="GQ9">
        <v>208638.122312984</v>
      </c>
      <c r="GR9">
        <v>221912.917991791</v>
      </c>
      <c r="GS9">
        <v>214200.994156933</v>
      </c>
      <c r="GT9">
        <v>227455.67995491</v>
      </c>
      <c r="GU9">
        <v>246433.542075443</v>
      </c>
      <c r="GV9">
        <v>16518.5027003288</v>
      </c>
      <c r="GW9">
        <v>28619.5128440857</v>
      </c>
      <c r="GX9">
        <v>60785.7181557417</v>
      </c>
      <c r="GY9">
        <v>122523.613965225</v>
      </c>
      <c r="GZ9">
        <v>105421.082493544</v>
      </c>
      <c r="HA9">
        <v>1973864.75631286</v>
      </c>
      <c r="HB9">
        <v>87646.1530845165</v>
      </c>
      <c r="HC9">
        <v>11623.2572573006</v>
      </c>
      <c r="HD9">
        <v>35091.9442783356</v>
      </c>
      <c r="HE9">
        <v>78636.97747798559</v>
      </c>
      <c r="HF9">
        <v>294795.318308364</v>
      </c>
      <c r="HG9">
        <v>21346.1233298779</v>
      </c>
      <c r="HH9">
        <v>11623.2572573006</v>
      </c>
      <c r="HI9">
        <v>35091.9442783356</v>
      </c>
      <c r="HJ9">
        <v>78636.97747798559</v>
      </c>
      <c r="HK9">
        <v>6431722.65870437</v>
      </c>
      <c r="HL9">
        <v>5276910.05556239</v>
      </c>
      <c r="HM9">
        <v>5057041.77667403</v>
      </c>
      <c r="HN9">
        <v>5607222.03682466</v>
      </c>
      <c r="HO9">
        <v>5998484.5285404</v>
      </c>
      <c r="HP9">
        <v>4108952.80011973</v>
      </c>
      <c r="HQ9">
        <v>3902456.85727469</v>
      </c>
      <c r="HR9">
        <v>3339189.21609308</v>
      </c>
      <c r="HS9">
        <v>3521470.72787018</v>
      </c>
      <c r="HT9">
        <v>3699693.68747811</v>
      </c>
      <c r="HU9">
        <v>2547828.29720234</v>
      </c>
      <c r="HV9">
        <v>2709936.25568609</v>
      </c>
      <c r="HW9">
        <v>2615760.47632951</v>
      </c>
      <c r="HX9">
        <v>2777622.85877538</v>
      </c>
      <c r="HY9">
        <v>3009375.01219326</v>
      </c>
      <c r="HZ9">
        <v>1561124.5018785</v>
      </c>
      <c r="IA9">
        <v>1192520.60158859</v>
      </c>
      <c r="IB9">
        <v>723428.73976357</v>
      </c>
      <c r="IC9">
        <v>743847.869094801</v>
      </c>
      <c r="ID9">
        <v>690318.675284851</v>
      </c>
      <c r="IE9">
        <v>40517.0820951462</v>
      </c>
      <c r="IF9">
        <v>666315.299034119</v>
      </c>
      <c r="IG9">
        <v>1155127.24578381</v>
      </c>
      <c r="IH9">
        <v>1475778.20062637</v>
      </c>
      <c r="II9">
        <v>1635723.36614132</v>
      </c>
      <c r="IJ9">
        <v>40517.0820951462</v>
      </c>
      <c r="IK9">
        <v>666315.299034119</v>
      </c>
      <c r="IL9">
        <v>1155127.24578381</v>
      </c>
      <c r="IM9">
        <v>1475778.20062637</v>
      </c>
      <c r="IN9">
        <v>1635723.36614132</v>
      </c>
      <c r="IO9">
        <v>0</v>
      </c>
      <c r="IP9">
        <v>0</v>
      </c>
      <c r="IQ9">
        <v>0</v>
      </c>
      <c r="IR9">
        <v>0</v>
      </c>
      <c r="IS9">
        <v>0</v>
      </c>
      <c r="IT9">
        <v>0</v>
      </c>
      <c r="IU9">
        <v>0</v>
      </c>
      <c r="IV9">
        <v>0</v>
      </c>
      <c r="IW9">
        <v>0</v>
      </c>
      <c r="IX9">
        <v>0</v>
      </c>
      <c r="IY9">
        <v>2282252.77648949</v>
      </c>
      <c r="IZ9">
        <v>708137.8992535881</v>
      </c>
      <c r="JA9">
        <v>562725.313730546</v>
      </c>
      <c r="JB9">
        <v>609973.108328104</v>
      </c>
      <c r="JC9">
        <v>663067.474920964</v>
      </c>
      <c r="JD9">
        <v>0</v>
      </c>
      <c r="JE9">
        <v>0</v>
      </c>
      <c r="JF9">
        <v>0</v>
      </c>
      <c r="JG9">
        <v>0</v>
      </c>
      <c r="JH9">
        <v>0</v>
      </c>
      <c r="JI9">
        <v>0</v>
      </c>
      <c r="JJ9">
        <v>0</v>
      </c>
      <c r="JK9">
        <v>0</v>
      </c>
      <c r="JL9">
        <v>0</v>
      </c>
      <c r="JM9">
        <v>0</v>
      </c>
      <c r="JN9">
        <v>2282252.77648949</v>
      </c>
      <c r="JO9">
        <v>708137.8992535881</v>
      </c>
      <c r="JP9">
        <v>562725.313730546</v>
      </c>
      <c r="JQ9">
        <v>609973.108328104</v>
      </c>
      <c r="JR9">
        <v>663067.474920964</v>
      </c>
      <c r="JS9">
        <v>6431722.65870437</v>
      </c>
      <c r="JT9">
        <v>5276910.05556239</v>
      </c>
      <c r="JU9">
        <v>5057041.77667403</v>
      </c>
      <c r="JV9">
        <v>5607222.03682466</v>
      </c>
      <c r="JW9">
        <v>5998484.5285404</v>
      </c>
      <c r="JX9">
        <v>225156.625013313</v>
      </c>
      <c r="JY9">
        <v>250532.430835876</v>
      </c>
      <c r="JZ9">
        <v>274986.711246075</v>
      </c>
      <c r="KA9">
        <v>349979.293920135</v>
      </c>
      <c r="KB9">
        <v>351854.624568987</v>
      </c>
      <c r="KC9" t="s">
        <v>1900</v>
      </c>
      <c r="KD9" t="s">
        <v>1900</v>
      </c>
      <c r="KE9" t="s">
        <v>1900</v>
      </c>
      <c r="KF9" t="s">
        <v>1900</v>
      </c>
      <c r="KG9" t="s">
        <v>1900</v>
      </c>
      <c r="KH9" t="s">
        <v>1900</v>
      </c>
      <c r="KI9" t="s">
        <v>1900</v>
      </c>
      <c r="KJ9" t="s">
        <v>1900</v>
      </c>
      <c r="KK9" t="s">
        <v>1900</v>
      </c>
      <c r="KL9" t="s">
        <v>1900</v>
      </c>
      <c r="KM9">
        <v>1</v>
      </c>
      <c r="KN9">
        <v>1</v>
      </c>
      <c r="KO9">
        <v>1</v>
      </c>
      <c r="KP9">
        <v>1</v>
      </c>
      <c r="KQ9">
        <v>1</v>
      </c>
      <c r="KR9" t="s">
        <v>1900</v>
      </c>
      <c r="KS9" t="s">
        <v>1900</v>
      </c>
      <c r="KT9" t="s">
        <v>1900</v>
      </c>
      <c r="KU9" t="s">
        <v>1900</v>
      </c>
      <c r="KV9" t="s">
        <v>1900</v>
      </c>
      <c r="KW9" t="s">
        <v>1900</v>
      </c>
      <c r="KX9" t="s">
        <v>1900</v>
      </c>
      <c r="KY9" t="s">
        <v>1900</v>
      </c>
      <c r="KZ9" t="s">
        <v>1900</v>
      </c>
      <c r="LA9" t="s">
        <v>1900</v>
      </c>
      <c r="LB9" t="s">
        <v>1900</v>
      </c>
      <c r="LC9" t="s">
        <v>1900</v>
      </c>
      <c r="LD9" t="s">
        <v>1900</v>
      </c>
      <c r="LE9" t="s">
        <v>1900</v>
      </c>
      <c r="LF9" t="s">
        <v>1900</v>
      </c>
      <c r="LG9" t="s">
        <v>1900</v>
      </c>
      <c r="LH9" t="s">
        <v>1900</v>
      </c>
      <c r="LI9" t="s">
        <v>1900</v>
      </c>
      <c r="LJ9" t="s">
        <v>1900</v>
      </c>
      <c r="LK9" t="s">
        <v>1900</v>
      </c>
      <c r="LL9" t="s">
        <v>1900</v>
      </c>
      <c r="LM9" t="s">
        <v>1900</v>
      </c>
      <c r="LN9" t="s">
        <v>1900</v>
      </c>
      <c r="LO9" t="s">
        <v>1900</v>
      </c>
      <c r="LP9" t="s">
        <v>1900</v>
      </c>
      <c r="LQ9" t="s">
        <v>1900</v>
      </c>
      <c r="LR9" t="s">
        <v>1900</v>
      </c>
      <c r="LS9" t="s">
        <v>1900</v>
      </c>
      <c r="LT9" t="s">
        <v>1900</v>
      </c>
      <c r="LU9" t="s">
        <v>1900</v>
      </c>
      <c r="LV9" t="s">
        <v>1900</v>
      </c>
      <c r="LW9" t="s">
        <v>1900</v>
      </c>
      <c r="LX9" t="s">
        <v>1900</v>
      </c>
      <c r="LY9" t="s">
        <v>1900</v>
      </c>
      <c r="LZ9" t="s">
        <v>1900</v>
      </c>
      <c r="MA9" t="s">
        <v>1900</v>
      </c>
      <c r="MB9" t="s">
        <v>1900</v>
      </c>
      <c r="MC9" t="s">
        <v>1900</v>
      </c>
      <c r="MD9" t="s">
        <v>1900</v>
      </c>
      <c r="ME9" t="s">
        <v>1900</v>
      </c>
      <c r="MF9" t="s">
        <v>1900</v>
      </c>
      <c r="MG9" t="s">
        <v>1900</v>
      </c>
      <c r="MH9" t="s">
        <v>1900</v>
      </c>
      <c r="MI9" t="s">
        <v>1900</v>
      </c>
      <c r="MJ9" t="s">
        <v>1900</v>
      </c>
      <c r="MK9" t="s">
        <v>1900</v>
      </c>
      <c r="ML9" t="s">
        <v>1900</v>
      </c>
      <c r="MM9" t="s">
        <v>1900</v>
      </c>
      <c r="MN9" t="s">
        <v>1900</v>
      </c>
      <c r="MO9" t="s">
        <v>1900</v>
      </c>
      <c r="MP9">
        <v>1973864.75631286</v>
      </c>
      <c r="MQ9">
        <v>87646.1530845165</v>
      </c>
      <c r="MR9">
        <v>11623.2572573006</v>
      </c>
      <c r="MS9">
        <v>35091.9442783356</v>
      </c>
      <c r="MT9">
        <v>78636.97747798559</v>
      </c>
      <c r="MU9" t="s">
        <v>1900</v>
      </c>
      <c r="MV9" t="s">
        <v>1900</v>
      </c>
      <c r="MW9" t="s">
        <v>1900</v>
      </c>
      <c r="MX9" t="s">
        <v>1900</v>
      </c>
      <c r="MY9" t="s">
        <v>1900</v>
      </c>
      <c r="MZ9" t="s">
        <v>1900</v>
      </c>
      <c r="NA9" t="s">
        <v>1900</v>
      </c>
      <c r="NB9" t="s">
        <v>1900</v>
      </c>
      <c r="NC9" t="s">
        <v>1900</v>
      </c>
      <c r="ND9" t="s">
        <v>1900</v>
      </c>
      <c r="NE9" t="s">
        <v>1900</v>
      </c>
      <c r="NF9" t="s">
        <v>1900</v>
      </c>
      <c r="NG9" t="s">
        <v>1900</v>
      </c>
      <c r="NH9" t="s">
        <v>1900</v>
      </c>
      <c r="NI9" t="s">
        <v>1900</v>
      </c>
      <c r="NJ9" t="s">
        <v>1900</v>
      </c>
      <c r="NK9" t="s">
        <v>1900</v>
      </c>
      <c r="NL9" t="s">
        <v>1900</v>
      </c>
      <c r="NM9" t="s">
        <v>1900</v>
      </c>
      <c r="NN9" t="s">
        <v>1900</v>
      </c>
      <c r="NO9" t="s">
        <v>1900</v>
      </c>
      <c r="NP9" t="s">
        <v>1900</v>
      </c>
      <c r="NQ9" t="s">
        <v>1900</v>
      </c>
      <c r="NR9" t="s">
        <v>1900</v>
      </c>
      <c r="NS9" t="s">
        <v>1900</v>
      </c>
      <c r="NT9">
        <v>4232701.27737819</v>
      </c>
      <c r="NU9">
        <v>4938731.471642</v>
      </c>
      <c r="NV9">
        <v>4770431.80710405</v>
      </c>
      <c r="NW9">
        <v>5222150.79862618</v>
      </c>
      <c r="NX9">
        <v>5567992.92649342</v>
      </c>
      <c r="NY9" t="s">
        <v>1900</v>
      </c>
      <c r="NZ9" t="s">
        <v>1900</v>
      </c>
      <c r="OA9" t="s">
        <v>1900</v>
      </c>
      <c r="OB9" t="s">
        <v>1900</v>
      </c>
      <c r="OC9" t="s">
        <v>1900</v>
      </c>
      <c r="OD9" t="s">
        <v>1900</v>
      </c>
      <c r="OE9" t="s">
        <v>1900</v>
      </c>
      <c r="OF9" t="s">
        <v>1900</v>
      </c>
      <c r="OG9" t="s">
        <v>1900</v>
      </c>
      <c r="OH9" t="s">
        <v>1900</v>
      </c>
      <c r="OI9" t="s">
        <v>1900</v>
      </c>
      <c r="OJ9" t="s">
        <v>1900</v>
      </c>
      <c r="OK9" t="s">
        <v>1900</v>
      </c>
      <c r="OL9" t="s">
        <v>1900</v>
      </c>
      <c r="OM9" t="s">
        <v>1900</v>
      </c>
      <c r="ON9" t="s">
        <v>1900</v>
      </c>
      <c r="OO9" t="s">
        <v>1900</v>
      </c>
      <c r="OP9" t="s">
        <v>1900</v>
      </c>
      <c r="OQ9" t="s">
        <v>1900</v>
      </c>
      <c r="OR9" t="s">
        <v>1900</v>
      </c>
      <c r="OS9" t="s">
        <v>1900</v>
      </c>
      <c r="OT9" t="s">
        <v>1900</v>
      </c>
      <c r="OU9" t="s">
        <v>1900</v>
      </c>
      <c r="OV9" t="s">
        <v>1900</v>
      </c>
      <c r="OW9" t="s">
        <v>1900</v>
      </c>
      <c r="OX9" t="s">
        <v>1900</v>
      </c>
      <c r="OY9" t="s">
        <v>1900</v>
      </c>
      <c r="OZ9" t="s">
        <v>1900</v>
      </c>
      <c r="PA9" t="s">
        <v>1900</v>
      </c>
      <c r="PB9" t="s">
        <v>1900</v>
      </c>
      <c r="PC9" t="s">
        <v>1900</v>
      </c>
      <c r="PD9" t="s">
        <v>1900</v>
      </c>
      <c r="PE9" t="s">
        <v>1900</v>
      </c>
      <c r="PF9" t="s">
        <v>1900</v>
      </c>
      <c r="PG9" t="s">
        <v>1900</v>
      </c>
      <c r="PH9" t="s">
        <v>1900</v>
      </c>
      <c r="PI9" t="s">
        <v>1900</v>
      </c>
      <c r="PJ9" t="s">
        <v>1900</v>
      </c>
      <c r="PK9" t="s">
        <v>1900</v>
      </c>
      <c r="PL9" t="s">
        <v>1900</v>
      </c>
      <c r="PM9" t="s">
        <v>1900</v>
      </c>
      <c r="PN9" t="s">
        <v>1900</v>
      </c>
      <c r="PO9" t="s">
        <v>1900</v>
      </c>
      <c r="PP9" t="s">
        <v>1900</v>
      </c>
      <c r="PQ9" t="s">
        <v>1900</v>
      </c>
      <c r="PR9" t="s">
        <v>1900</v>
      </c>
      <c r="PS9" t="s">
        <v>1900</v>
      </c>
      <c r="PT9" t="s">
        <v>1900</v>
      </c>
      <c r="PU9" t="s">
        <v>1900</v>
      </c>
      <c r="PV9" t="s">
        <v>1900</v>
      </c>
      <c r="PW9" t="s">
        <v>1900</v>
      </c>
      <c r="PX9" t="s">
        <v>1900</v>
      </c>
      <c r="PY9" t="s">
        <v>1900</v>
      </c>
      <c r="PZ9" t="s">
        <v>1900</v>
      </c>
      <c r="QA9" t="s">
        <v>1900</v>
      </c>
      <c r="QB9" t="s">
        <v>1900</v>
      </c>
      <c r="QC9" t="s">
        <v>1900</v>
      </c>
      <c r="QD9" t="s">
        <v>1900</v>
      </c>
      <c r="QE9" t="s">
        <v>1900</v>
      </c>
      <c r="QF9" t="s">
        <v>1900</v>
      </c>
      <c r="QG9" t="s">
        <v>1900</v>
      </c>
      <c r="QH9" t="s">
        <v>1900</v>
      </c>
      <c r="QI9" t="s">
        <v>1900</v>
      </c>
      <c r="QJ9" t="s">
        <v>1900</v>
      </c>
      <c r="QK9" t="s">
        <v>1900</v>
      </c>
      <c r="QL9" t="s">
        <v>1900</v>
      </c>
      <c r="QM9" t="s">
        <v>1900</v>
      </c>
      <c r="QN9" t="s">
        <v>1900</v>
      </c>
      <c r="QO9" t="s">
        <v>1900</v>
      </c>
      <c r="QP9" t="s">
        <v>1900</v>
      </c>
      <c r="QQ9" t="s">
        <v>1900</v>
      </c>
      <c r="QR9" t="s">
        <v>1900</v>
      </c>
      <c r="QS9" t="s">
        <v>1900</v>
      </c>
      <c r="QT9" t="s">
        <v>1900</v>
      </c>
      <c r="QU9" t="s">
        <v>1900</v>
      </c>
      <c r="QV9" t="s">
        <v>1900</v>
      </c>
      <c r="QW9" t="s">
        <v>1900</v>
      </c>
      <c r="QX9" t="s">
        <v>1900</v>
      </c>
      <c r="QY9" t="s">
        <v>1900</v>
      </c>
      <c r="QZ9" t="s">
        <v>1900</v>
      </c>
      <c r="RA9" t="s">
        <v>1900</v>
      </c>
      <c r="RB9" t="s">
        <v>1900</v>
      </c>
      <c r="RC9" t="s">
        <v>1900</v>
      </c>
      <c r="RD9" t="s">
        <v>1900</v>
      </c>
      <c r="RE9" t="s">
        <v>1900</v>
      </c>
      <c r="RF9" t="s">
        <v>1900</v>
      </c>
      <c r="RG9" t="s">
        <v>1900</v>
      </c>
      <c r="RH9" t="s">
        <v>1900</v>
      </c>
      <c r="RI9" t="s">
        <v>1900</v>
      </c>
      <c r="RJ9" t="s">
        <v>1900</v>
      </c>
      <c r="RK9" t="s">
        <v>1900</v>
      </c>
      <c r="RL9" t="s">
        <v>1900</v>
      </c>
      <c r="RM9" t="s">
        <v>1900</v>
      </c>
      <c r="RN9" t="s">
        <v>1900</v>
      </c>
      <c r="RO9" t="s">
        <v>1900</v>
      </c>
      <c r="RP9" t="s">
        <v>1900</v>
      </c>
      <c r="RQ9" t="s">
        <v>1900</v>
      </c>
      <c r="RR9" t="s">
        <v>1900</v>
      </c>
      <c r="RS9" t="s">
        <v>1900</v>
      </c>
      <c r="RT9" t="s">
        <v>1900</v>
      </c>
      <c r="RU9" t="s">
        <v>1900</v>
      </c>
      <c r="RV9" t="s">
        <v>1900</v>
      </c>
      <c r="RW9" t="s">
        <v>1900</v>
      </c>
      <c r="RX9" t="s">
        <v>1900</v>
      </c>
      <c r="RY9" t="s">
        <v>1900</v>
      </c>
      <c r="RZ9" t="s">
        <v>1900</v>
      </c>
      <c r="SA9" t="s">
        <v>1900</v>
      </c>
      <c r="SB9" t="s">
        <v>1900</v>
      </c>
      <c r="SC9" t="s">
        <v>1900</v>
      </c>
      <c r="SD9" t="s">
        <v>1900</v>
      </c>
      <c r="SE9" t="s">
        <v>1900</v>
      </c>
      <c r="SF9" t="s">
        <v>1900</v>
      </c>
      <c r="SG9" t="s">
        <v>1900</v>
      </c>
      <c r="SH9" t="s">
        <v>1900</v>
      </c>
      <c r="SI9" t="s">
        <v>1900</v>
      </c>
      <c r="SJ9">
        <v>3753047.31223849</v>
      </c>
      <c r="SK9">
        <v>3991838.45783805</v>
      </c>
      <c r="SL9">
        <v>3839758.1577301</v>
      </c>
      <c r="SM9">
        <v>4196169.28215916</v>
      </c>
      <c r="SN9">
        <v>4417557.47795105</v>
      </c>
      <c r="SO9" t="s">
        <v>1900</v>
      </c>
      <c r="SP9" t="s">
        <v>1900</v>
      </c>
      <c r="SQ9" t="s">
        <v>1900</v>
      </c>
      <c r="SR9" t="s">
        <v>1900</v>
      </c>
      <c r="SS9" t="s">
        <v>1900</v>
      </c>
      <c r="ST9" t="s">
        <v>1900</v>
      </c>
      <c r="SU9" t="s">
        <v>1900</v>
      </c>
      <c r="SV9" t="s">
        <v>1900</v>
      </c>
      <c r="SW9" t="s">
        <v>1900</v>
      </c>
      <c r="SX9" t="s">
        <v>1900</v>
      </c>
      <c r="SY9" t="s">
        <v>1900</v>
      </c>
      <c r="SZ9" t="s">
        <v>1900</v>
      </c>
      <c r="TA9" t="s">
        <v>1900</v>
      </c>
      <c r="TB9" t="s">
        <v>1900</v>
      </c>
      <c r="TC9" t="s">
        <v>1900</v>
      </c>
      <c r="TD9" t="s">
        <v>1900</v>
      </c>
      <c r="TE9" t="s">
        <v>1900</v>
      </c>
      <c r="TF9" t="s">
        <v>1900</v>
      </c>
      <c r="TG9" t="s">
        <v>1900</v>
      </c>
      <c r="TH9" t="s">
        <v>1900</v>
      </c>
      <c r="TI9" t="s">
        <v>1900</v>
      </c>
      <c r="TJ9" t="s">
        <v>1900</v>
      </c>
      <c r="TK9" t="s">
        <v>1900</v>
      </c>
      <c r="TL9" t="s">
        <v>1900</v>
      </c>
      <c r="TM9" t="s">
        <v>1900</v>
      </c>
      <c r="TN9" t="s">
        <v>1900</v>
      </c>
      <c r="TO9" t="s">
        <v>1900</v>
      </c>
      <c r="TP9" t="s">
        <v>1900</v>
      </c>
      <c r="TQ9" t="s">
        <v>1900</v>
      </c>
      <c r="TR9" t="s">
        <v>1900</v>
      </c>
      <c r="TS9">
        <v>6431722.65870437</v>
      </c>
      <c r="TT9">
        <v>5276910.05556239</v>
      </c>
      <c r="TU9">
        <v>5057041.77667403</v>
      </c>
      <c r="TV9">
        <v>5607222.03682466</v>
      </c>
      <c r="TW9">
        <v>5998484.5285404</v>
      </c>
      <c r="TX9" t="s">
        <v>1900</v>
      </c>
      <c r="TY9" t="s">
        <v>1900</v>
      </c>
      <c r="TZ9" t="s">
        <v>1900</v>
      </c>
      <c r="UA9" t="s">
        <v>1900</v>
      </c>
      <c r="UB9" t="s">
        <v>1900</v>
      </c>
      <c r="UC9">
        <v>0</v>
      </c>
      <c r="UD9">
        <v>0</v>
      </c>
      <c r="UE9">
        <v>0</v>
      </c>
      <c r="UF9">
        <v>0</v>
      </c>
      <c r="UG9">
        <v>0</v>
      </c>
      <c r="UH9" t="s">
        <v>1900</v>
      </c>
      <c r="UI9" t="s">
        <v>1900</v>
      </c>
      <c r="UJ9" t="s">
        <v>1900</v>
      </c>
      <c r="UK9" t="s">
        <v>1900</v>
      </c>
      <c r="UL9" t="s">
        <v>1900</v>
      </c>
      <c r="UM9" t="s">
        <v>1900</v>
      </c>
      <c r="UN9" t="s">
        <v>1900</v>
      </c>
      <c r="UO9" t="s">
        <v>1900</v>
      </c>
      <c r="UP9" t="s">
        <v>1900</v>
      </c>
      <c r="UQ9" t="s">
        <v>1900</v>
      </c>
      <c r="UR9" t="s">
        <v>1900</v>
      </c>
      <c r="US9" t="s">
        <v>1900</v>
      </c>
      <c r="UT9" t="s">
        <v>1900</v>
      </c>
      <c r="UU9" t="s">
        <v>1900</v>
      </c>
      <c r="UV9" t="s">
        <v>1900</v>
      </c>
      <c r="UW9" t="s">
        <v>1900</v>
      </c>
      <c r="UX9" t="s">
        <v>1900</v>
      </c>
      <c r="UY9" t="s">
        <v>1900</v>
      </c>
      <c r="UZ9" t="s">
        <v>1900</v>
      </c>
      <c r="VA9" t="s">
        <v>1900</v>
      </c>
      <c r="VB9" t="s">
        <v>1900</v>
      </c>
      <c r="VC9" t="s">
        <v>1900</v>
      </c>
      <c r="VD9" t="s">
        <v>1900</v>
      </c>
      <c r="VE9" t="s">
        <v>1900</v>
      </c>
      <c r="VF9" t="s">
        <v>1900</v>
      </c>
      <c r="VG9" t="s">
        <v>1900</v>
      </c>
      <c r="VH9" t="s">
        <v>1900</v>
      </c>
      <c r="VI9" t="s">
        <v>1900</v>
      </c>
      <c r="VJ9" t="s">
        <v>1900</v>
      </c>
      <c r="VK9" t="s">
        <v>1900</v>
      </c>
      <c r="VL9" t="s">
        <v>1900</v>
      </c>
      <c r="VM9" t="s">
        <v>1900</v>
      </c>
      <c r="VN9" t="s">
        <v>1900</v>
      </c>
      <c r="VO9" t="s">
        <v>1900</v>
      </c>
      <c r="VP9" t="s">
        <v>1900</v>
      </c>
      <c r="VQ9" t="s">
        <v>1900</v>
      </c>
      <c r="VR9" t="s">
        <v>1900</v>
      </c>
      <c r="VS9" t="s">
        <v>1900</v>
      </c>
      <c r="VT9" t="s">
        <v>1900</v>
      </c>
      <c r="VU9" t="s">
        <v>1900</v>
      </c>
      <c r="VV9" t="s">
        <v>1900</v>
      </c>
      <c r="VW9" t="s">
        <v>1900</v>
      </c>
      <c r="VX9" t="s">
        <v>1900</v>
      </c>
      <c r="VY9" t="s">
        <v>1900</v>
      </c>
      <c r="VZ9" t="s">
        <v>1900</v>
      </c>
      <c r="WA9">
        <v>2282252.77648949</v>
      </c>
      <c r="WB9">
        <v>708137.8992535881</v>
      </c>
      <c r="WC9">
        <v>562725.313730546</v>
      </c>
      <c r="WD9">
        <v>609973.108328104</v>
      </c>
      <c r="WE9">
        <v>663067.474920964</v>
      </c>
      <c r="WF9" t="s">
        <v>1900</v>
      </c>
      <c r="WG9" t="s">
        <v>1900</v>
      </c>
      <c r="WH9" t="s">
        <v>1900</v>
      </c>
      <c r="WI9" t="s">
        <v>1900</v>
      </c>
      <c r="WJ9" t="s">
        <v>1900</v>
      </c>
      <c r="WK9" t="s">
        <v>1900</v>
      </c>
      <c r="WL9" t="s">
        <v>1900</v>
      </c>
      <c r="WM9" t="s">
        <v>1900</v>
      </c>
      <c r="WN9" t="s">
        <v>1900</v>
      </c>
      <c r="WO9" t="s">
        <v>1900</v>
      </c>
      <c r="WP9" t="s">
        <v>1900</v>
      </c>
      <c r="WQ9" t="s">
        <v>1900</v>
      </c>
      <c r="WR9" t="s">
        <v>1900</v>
      </c>
      <c r="WS9" t="s">
        <v>1900</v>
      </c>
      <c r="WT9" t="s">
        <v>1900</v>
      </c>
      <c r="WU9" t="s">
        <v>1900</v>
      </c>
      <c r="WV9" t="s">
        <v>1900</v>
      </c>
      <c r="WW9" t="s">
        <v>1900</v>
      </c>
      <c r="WX9" t="s">
        <v>1900</v>
      </c>
      <c r="WY9" t="s">
        <v>1900</v>
      </c>
      <c r="WZ9" t="s">
        <v>1900</v>
      </c>
      <c r="XA9" t="s">
        <v>1900</v>
      </c>
      <c r="XB9" t="s">
        <v>1900</v>
      </c>
      <c r="XC9" t="s">
        <v>1900</v>
      </c>
      <c r="XD9" t="s">
        <v>1900</v>
      </c>
      <c r="XE9" t="s">
        <v>1900</v>
      </c>
      <c r="XF9" t="s">
        <v>1900</v>
      </c>
      <c r="XG9" t="s">
        <v>1900</v>
      </c>
      <c r="XH9" t="s">
        <v>1900</v>
      </c>
      <c r="XI9" t="s">
        <v>1900</v>
      </c>
      <c r="XJ9">
        <v>0</v>
      </c>
      <c r="XK9">
        <v>0</v>
      </c>
      <c r="XL9">
        <v>0</v>
      </c>
      <c r="XM9">
        <v>0</v>
      </c>
      <c r="XN9">
        <v>0</v>
      </c>
      <c r="XO9" t="s">
        <v>1900</v>
      </c>
      <c r="XP9" t="s">
        <v>1900</v>
      </c>
      <c r="XQ9" t="s">
        <v>1900</v>
      </c>
      <c r="XR9" t="s">
        <v>1900</v>
      </c>
      <c r="XS9" t="s">
        <v>1900</v>
      </c>
      <c r="XT9" t="s">
        <v>1900</v>
      </c>
      <c r="XU9" t="s">
        <v>1900</v>
      </c>
      <c r="XV9" t="s">
        <v>1900</v>
      </c>
      <c r="XW9" t="s">
        <v>1900</v>
      </c>
      <c r="XX9" t="s">
        <v>1900</v>
      </c>
      <c r="XY9">
        <v>0</v>
      </c>
      <c r="XZ9">
        <v>0</v>
      </c>
      <c r="YA9">
        <v>0</v>
      </c>
      <c r="YB9">
        <v>0</v>
      </c>
      <c r="YC9">
        <v>0</v>
      </c>
      <c r="YD9" t="s">
        <v>1900</v>
      </c>
      <c r="YE9" t="s">
        <v>1900</v>
      </c>
      <c r="YF9" t="s">
        <v>1900</v>
      </c>
      <c r="YG9" t="s">
        <v>1900</v>
      </c>
      <c r="YH9" t="s">
        <v>1900</v>
      </c>
      <c r="YI9" t="s">
        <v>1900</v>
      </c>
      <c r="YJ9" t="s">
        <v>1900</v>
      </c>
      <c r="YK9" t="s">
        <v>1900</v>
      </c>
      <c r="YL9" t="s">
        <v>1900</v>
      </c>
      <c r="YM9" t="s">
        <v>1900</v>
      </c>
      <c r="YN9" t="s">
        <v>1900</v>
      </c>
      <c r="YO9" t="s">
        <v>1900</v>
      </c>
      <c r="YP9" t="s">
        <v>1900</v>
      </c>
      <c r="YQ9" t="s">
        <v>1900</v>
      </c>
      <c r="YR9" t="s">
        <v>1900</v>
      </c>
      <c r="YS9" t="s">
        <v>1900</v>
      </c>
      <c r="YT9" t="s">
        <v>1900</v>
      </c>
      <c r="YU9" t="s">
        <v>1900</v>
      </c>
      <c r="YV9" t="s">
        <v>1900</v>
      </c>
      <c r="YW9" t="s">
        <v>1900</v>
      </c>
      <c r="YX9" t="s">
        <v>1900</v>
      </c>
      <c r="YY9" t="s">
        <v>1900</v>
      </c>
      <c r="YZ9" t="s">
        <v>1900</v>
      </c>
      <c r="ZA9" t="s">
        <v>1900</v>
      </c>
      <c r="ZB9" t="s">
        <v>1900</v>
      </c>
      <c r="ZC9" t="s">
        <v>1900</v>
      </c>
      <c r="ZD9" t="s">
        <v>1900</v>
      </c>
      <c r="ZE9" t="s">
        <v>1900</v>
      </c>
      <c r="ZF9" t="s">
        <v>1900</v>
      </c>
      <c r="ZG9" t="s">
        <v>1900</v>
      </c>
      <c r="ZH9" t="s">
        <v>1900</v>
      </c>
      <c r="ZI9" t="s">
        <v>1900</v>
      </c>
      <c r="ZJ9" t="s">
        <v>1900</v>
      </c>
      <c r="ZK9" t="s">
        <v>1900</v>
      </c>
      <c r="ZL9" t="s">
        <v>1900</v>
      </c>
      <c r="ZM9" t="s">
        <v>1900</v>
      </c>
      <c r="ZN9" t="s">
        <v>1900</v>
      </c>
      <c r="ZO9" t="s">
        <v>1900</v>
      </c>
      <c r="ZP9" t="s">
        <v>1900</v>
      </c>
      <c r="ZQ9" t="s">
        <v>1900</v>
      </c>
      <c r="ZR9" t="s">
        <v>1900</v>
      </c>
      <c r="ZS9" t="s">
        <v>1900</v>
      </c>
      <c r="ZT9" t="s">
        <v>1900</v>
      </c>
      <c r="ZU9" t="s">
        <v>1900</v>
      </c>
      <c r="ZV9" t="s">
        <v>1900</v>
      </c>
      <c r="ZW9" t="s">
        <v>1900</v>
      </c>
      <c r="ZX9" t="s">
        <v>1900</v>
      </c>
      <c r="ZY9" t="s">
        <v>1900</v>
      </c>
      <c r="ZZ9" t="s">
        <v>1900</v>
      </c>
      <c r="AAA9" t="s">
        <v>1900</v>
      </c>
      <c r="AAB9" t="s">
        <v>1900</v>
      </c>
      <c r="AAC9" t="s">
        <v>1900</v>
      </c>
      <c r="AAD9" t="s">
        <v>1900</v>
      </c>
      <c r="AAE9" t="s">
        <v>1900</v>
      </c>
      <c r="AAF9" t="s">
        <v>1900</v>
      </c>
      <c r="AAG9" t="s">
        <v>1900</v>
      </c>
      <c r="AAH9" t="s">
        <v>1900</v>
      </c>
      <c r="AAI9" t="s">
        <v>1900</v>
      </c>
      <c r="AAJ9" t="s">
        <v>1900</v>
      </c>
      <c r="AAK9" t="s">
        <v>1900</v>
      </c>
      <c r="AAL9" t="s">
        <v>1900</v>
      </c>
      <c r="AAM9" t="s">
        <v>1900</v>
      </c>
      <c r="AAN9" t="s">
        <v>1900</v>
      </c>
      <c r="AAO9" t="s">
        <v>1900</v>
      </c>
      <c r="AAP9" t="s">
        <v>1900</v>
      </c>
      <c r="AAQ9" t="s">
        <v>1900</v>
      </c>
      <c r="AAR9" t="s">
        <v>1900</v>
      </c>
      <c r="AAS9" t="s">
        <v>1900</v>
      </c>
      <c r="AAT9" t="s">
        <v>1900</v>
      </c>
      <c r="AAU9" t="s">
        <v>1900</v>
      </c>
      <c r="AAV9" t="s">
        <v>1900</v>
      </c>
      <c r="AAW9" t="s">
        <v>1900</v>
      </c>
      <c r="AAX9" t="s">
        <v>1900</v>
      </c>
      <c r="AAY9" t="s">
        <v>1900</v>
      </c>
      <c r="AAZ9" t="s">
        <v>1900</v>
      </c>
      <c r="ABA9" t="s">
        <v>1900</v>
      </c>
      <c r="ABB9" t="s">
        <v>1900</v>
      </c>
      <c r="ABC9" t="s">
        <v>1900</v>
      </c>
      <c r="ABD9" t="s">
        <v>1900</v>
      </c>
      <c r="ABE9" t="s">
        <v>1900</v>
      </c>
      <c r="ABF9" t="s">
        <v>1900</v>
      </c>
      <c r="ABG9" t="s">
        <v>1900</v>
      </c>
      <c r="ABH9" t="s">
        <v>1900</v>
      </c>
      <c r="ABI9" t="s">
        <v>1900</v>
      </c>
      <c r="ABJ9" t="s">
        <v>1900</v>
      </c>
      <c r="ABK9" t="s">
        <v>1900</v>
      </c>
      <c r="ABL9" t="s">
        <v>1900</v>
      </c>
      <c r="ABM9" t="s">
        <v>1900</v>
      </c>
      <c r="ABN9" t="s">
        <v>1900</v>
      </c>
      <c r="ABO9" t="s">
        <v>1900</v>
      </c>
      <c r="ABP9" t="s">
        <v>1900</v>
      </c>
      <c r="ABQ9" t="s">
        <v>1900</v>
      </c>
      <c r="ABR9" t="s">
        <v>1900</v>
      </c>
      <c r="ABS9" t="s">
        <v>1900</v>
      </c>
      <c r="ABT9" t="s">
        <v>1900</v>
      </c>
      <c r="ABU9" t="s">
        <v>1900</v>
      </c>
      <c r="ABV9" t="s">
        <v>1900</v>
      </c>
      <c r="ABW9" t="s">
        <v>1900</v>
      </c>
      <c r="ABX9" t="s">
        <v>1900</v>
      </c>
      <c r="ABY9" t="s">
        <v>1900</v>
      </c>
      <c r="ABZ9" t="s">
        <v>1900</v>
      </c>
      <c r="ACA9" t="s">
        <v>1900</v>
      </c>
      <c r="ACB9" t="s">
        <v>1900</v>
      </c>
      <c r="ACC9" t="s">
        <v>1900</v>
      </c>
      <c r="ACD9" t="s">
        <v>1900</v>
      </c>
      <c r="ACE9">
        <v>13.968</v>
      </c>
      <c r="ACF9">
        <v>14.744</v>
      </c>
      <c r="ACG9">
        <v>0.915</v>
      </c>
      <c r="ACH9">
        <v>4.04</v>
      </c>
      <c r="ACI9">
        <v>4.257</v>
      </c>
      <c r="ACJ9">
        <v>13.914</v>
      </c>
      <c r="ACK9">
        <v>13.149</v>
      </c>
      <c r="ACL9">
        <v>1.361</v>
      </c>
      <c r="ACM9">
        <v>3.512</v>
      </c>
      <c r="ACN9">
        <v>3.732</v>
      </c>
      <c r="ACO9">
        <v>8.923999999999999</v>
      </c>
      <c r="ACP9">
        <v>10.904</v>
      </c>
      <c r="ACQ9">
        <v>0.605</v>
      </c>
      <c r="ACR9">
        <v>2.537</v>
      </c>
      <c r="ACS9">
        <v>2.625</v>
      </c>
      <c r="ACT9">
        <v>10.707</v>
      </c>
      <c r="ACU9">
        <v>11.353</v>
      </c>
      <c r="ACV9">
        <v>0.6870000000000001</v>
      </c>
      <c r="ACW9">
        <v>3.03</v>
      </c>
      <c r="ACX9">
        <v>3.192</v>
      </c>
      <c r="ACY9">
        <v>10.685</v>
      </c>
      <c r="ACZ9">
        <v>10.252</v>
      </c>
      <c r="ADA9">
        <v>1.191</v>
      </c>
      <c r="ADB9">
        <v>2.801</v>
      </c>
      <c r="ADC9">
        <v>2.994</v>
      </c>
      <c r="ADD9">
        <v>6.84</v>
      </c>
      <c r="ADE9">
        <v>8.396000000000001</v>
      </c>
      <c r="ADF9">
        <v>0.453</v>
      </c>
      <c r="ADG9">
        <v>1.903</v>
      </c>
      <c r="ADH9">
        <v>1.969</v>
      </c>
      <c r="ADI9">
        <v>72.622</v>
      </c>
      <c r="ADJ9">
        <v>72.586</v>
      </c>
      <c r="ADK9">
        <v>7.726</v>
      </c>
      <c r="ADL9">
        <v>38.425</v>
      </c>
      <c r="ADM9">
        <v>44.536</v>
      </c>
      <c r="ADN9">
        <v>100</v>
      </c>
      <c r="ADO9">
        <v>100</v>
      </c>
      <c r="ADP9">
        <v>100</v>
      </c>
      <c r="ADQ9">
        <v>100</v>
      </c>
      <c r="ADR9">
        <v>100</v>
      </c>
      <c r="ADS9">
        <v>72.704744897</v>
      </c>
      <c r="ADT9">
        <v>75.197199793</v>
      </c>
      <c r="ADU9">
        <v>59.694809964</v>
      </c>
      <c r="ADV9">
        <v>47.321335153</v>
      </c>
      <c r="ADW9">
        <v>56.292641057</v>
      </c>
      <c r="ADX9">
        <v>72.85299999999999</v>
      </c>
      <c r="ADY9">
        <v>77.425</v>
      </c>
      <c r="ADZ9">
        <v>68.71599999999999</v>
      </c>
      <c r="AEA9">
        <v>57.443</v>
      </c>
      <c r="AEB9">
        <v>68.15000000000001</v>
      </c>
      <c r="AEC9">
        <v>72.705</v>
      </c>
      <c r="AED9">
        <v>75.197</v>
      </c>
      <c r="AEE9">
        <v>59.695</v>
      </c>
      <c r="AEF9">
        <v>47.321</v>
      </c>
      <c r="AEG9">
        <v>56.293</v>
      </c>
      <c r="AEH9">
        <v>55.815</v>
      </c>
      <c r="AEI9">
        <v>58.118</v>
      </c>
      <c r="AEJ9">
        <v>14.815</v>
      </c>
      <c r="AEK9">
        <v>38.941</v>
      </c>
      <c r="AEL9">
        <v>45.258</v>
      </c>
      <c r="AEM9">
        <v>266.364042483</v>
      </c>
      <c r="AEN9">
        <v>303.180282733</v>
      </c>
      <c r="AEO9">
        <v>148.107005352</v>
      </c>
      <c r="AEP9">
        <v>89.83017183600001</v>
      </c>
      <c r="AEQ9">
        <v>128.794423681</v>
      </c>
      <c r="AER9" t="s">
        <v>1900</v>
      </c>
      <c r="AES9" t="s">
        <v>1900</v>
      </c>
      <c r="AET9" t="s">
        <v>1900</v>
      </c>
      <c r="AEU9" t="s">
        <v>1900</v>
      </c>
      <c r="AEV9" t="s">
        <v>1900</v>
      </c>
      <c r="AEW9" t="s">
        <v>1900</v>
      </c>
      <c r="AEX9" t="s">
        <v>1900</v>
      </c>
      <c r="AEY9" t="s">
        <v>1900</v>
      </c>
      <c r="AEZ9" t="s">
        <v>1900</v>
      </c>
      <c r="AFA9" t="s">
        <v>1900</v>
      </c>
      <c r="AFB9" t="s">
        <v>1900</v>
      </c>
      <c r="AFC9" t="s">
        <v>1900</v>
      </c>
      <c r="AFD9" t="s">
        <v>1900</v>
      </c>
      <c r="AFE9" t="s">
        <v>1900</v>
      </c>
      <c r="AFF9" t="s">
        <v>1900</v>
      </c>
      <c r="AFG9">
        <v>0.19</v>
      </c>
      <c r="AFH9">
        <v>0.174</v>
      </c>
      <c r="AFI9">
        <v>0.08799999999999999</v>
      </c>
      <c r="AFJ9">
        <v>0.074</v>
      </c>
      <c r="AFK9">
        <v>0.066</v>
      </c>
      <c r="AFL9">
        <v>167.866</v>
      </c>
      <c r="AFM9">
        <v>23.522</v>
      </c>
      <c r="AFN9">
        <v>7.718</v>
      </c>
      <c r="AFO9">
        <v>5.266</v>
      </c>
      <c r="AFP9">
        <v>4.783</v>
      </c>
      <c r="AFQ9">
        <v>3.788</v>
      </c>
      <c r="AFR9">
        <v>3.572</v>
      </c>
      <c r="AFS9">
        <v>1.847</v>
      </c>
      <c r="AFT9">
        <v>1.628</v>
      </c>
      <c r="AFU9">
        <v>1.435</v>
      </c>
      <c r="AFV9">
        <v>7.524</v>
      </c>
      <c r="AFW9">
        <v>12.997</v>
      </c>
      <c r="AFX9">
        <v>55.302</v>
      </c>
      <c r="AFY9">
        <v>119.143</v>
      </c>
      <c r="AFZ9">
        <v>107.328</v>
      </c>
      <c r="AGA9">
        <v>0</v>
      </c>
      <c r="AGB9">
        <v>0</v>
      </c>
      <c r="AGC9">
        <v>0</v>
      </c>
      <c r="AGD9">
        <v>0</v>
      </c>
      <c r="AGE9">
        <v>0</v>
      </c>
      <c r="AGF9" t="s">
        <v>1900</v>
      </c>
      <c r="AGG9" t="s">
        <v>1900</v>
      </c>
      <c r="AGH9" t="s">
        <v>1900</v>
      </c>
      <c r="AGI9" t="s">
        <v>1900</v>
      </c>
      <c r="AGJ9" t="s">
        <v>1900</v>
      </c>
      <c r="AGK9" t="s">
        <v>1900</v>
      </c>
      <c r="AGL9" t="s">
        <v>1900</v>
      </c>
      <c r="AGM9" t="s">
        <v>1900</v>
      </c>
      <c r="AGN9" t="s">
        <v>1900</v>
      </c>
      <c r="AGO9" t="s">
        <v>1900</v>
      </c>
      <c r="AGP9" t="s">
        <v>1900</v>
      </c>
      <c r="AGQ9" t="s">
        <v>1900</v>
      </c>
      <c r="AGR9" t="s">
        <v>1900</v>
      </c>
      <c r="AGS9" t="s">
        <v>1900</v>
      </c>
      <c r="AGT9" t="s">
        <v>1900</v>
      </c>
      <c r="AGU9">
        <v>0</v>
      </c>
      <c r="AGV9">
        <v>0</v>
      </c>
      <c r="AGW9">
        <v>0</v>
      </c>
      <c r="AGX9">
        <v>0</v>
      </c>
      <c r="AGY9">
        <v>0</v>
      </c>
      <c r="AGZ9">
        <v>0.964</v>
      </c>
      <c r="AHA9">
        <v>0.478</v>
      </c>
      <c r="AHB9">
        <v>0.509</v>
      </c>
      <c r="AHC9">
        <v>0.631</v>
      </c>
      <c r="AHD9">
        <v>0.649</v>
      </c>
      <c r="AHE9">
        <v>0.872</v>
      </c>
      <c r="AHF9">
        <v>0.164</v>
      </c>
      <c r="AHG9">
        <v>0.129</v>
      </c>
      <c r="AHH9">
        <v>0.258</v>
      </c>
      <c r="AHI9">
        <v>0.278</v>
      </c>
      <c r="AHJ9">
        <v>101.413</v>
      </c>
      <c r="AHK9">
        <v>5.857</v>
      </c>
      <c r="AHL9">
        <v>2.891</v>
      </c>
      <c r="AHM9">
        <v>2.386</v>
      </c>
      <c r="AHN9">
        <v>2.262</v>
      </c>
      <c r="AHO9">
        <v>63.886</v>
      </c>
      <c r="AHP9">
        <v>73.953</v>
      </c>
      <c r="AHQ9">
        <v>66.03</v>
      </c>
      <c r="AHR9">
        <v>62.802</v>
      </c>
      <c r="AHS9">
        <v>61.677</v>
      </c>
      <c r="AHT9" t="s">
        <v>1901</v>
      </c>
      <c r="AHU9" t="s">
        <v>1901</v>
      </c>
      <c r="AHV9" t="s">
        <v>1901</v>
      </c>
      <c r="AHW9" t="s">
        <v>1901</v>
      </c>
      <c r="AHX9" t="s">
        <v>1901</v>
      </c>
      <c r="AHY9">
        <v>0.986</v>
      </c>
      <c r="AHZ9">
        <v>17.074</v>
      </c>
      <c r="AIA9">
        <v>34.593</v>
      </c>
      <c r="AIB9">
        <v>41.908</v>
      </c>
      <c r="AIC9">
        <v>44.212</v>
      </c>
      <c r="AID9">
        <v>58.352132257</v>
      </c>
      <c r="AIE9">
        <v>75.64727114599999</v>
      </c>
      <c r="AIF9">
        <v>75.92893884</v>
      </c>
      <c r="AIG9">
        <v>74.835083302</v>
      </c>
      <c r="AIH9">
        <v>73.644559004</v>
      </c>
      <c r="AII9">
        <v>30.689519139</v>
      </c>
      <c r="AIJ9">
        <v>1.660937029</v>
      </c>
      <c r="AIK9">
        <v>0.229843014</v>
      </c>
      <c r="AIL9">
        <v>0.625834755</v>
      </c>
      <c r="AIM9">
        <v>1.310947409</v>
      </c>
      <c r="AIN9">
        <v>35.484315752</v>
      </c>
      <c r="AIO9">
        <v>13.419555986</v>
      </c>
      <c r="AIP9">
        <v>11.127559126</v>
      </c>
      <c r="AIQ9">
        <v>10.87834768</v>
      </c>
      <c r="AIR9">
        <v>11.053916565</v>
      </c>
      <c r="AIS9" t="s">
        <v>1900</v>
      </c>
      <c r="AIT9" t="s">
        <v>1900</v>
      </c>
      <c r="AIU9" t="s">
        <v>1900</v>
      </c>
      <c r="AIV9" t="s">
        <v>1900</v>
      </c>
      <c r="AIW9" t="s">
        <v>1900</v>
      </c>
      <c r="AIX9">
        <v>573.943230403454</v>
      </c>
      <c r="AIY9">
        <v>575.39467588006</v>
      </c>
      <c r="AIZ9">
        <v>30.5701919087887</v>
      </c>
      <c r="AJA9">
        <v>142.254236185455</v>
      </c>
      <c r="AJB9">
        <v>157.4797149665</v>
      </c>
      <c r="AJC9">
        <v>790.315523460641</v>
      </c>
      <c r="AJD9">
        <v>792.709808358421</v>
      </c>
      <c r="AJE9">
        <v>395.694768336397</v>
      </c>
      <c r="AJF9">
        <v>370.213832669163</v>
      </c>
      <c r="AJG9">
        <v>353.604259563094</v>
      </c>
      <c r="AJH9">
        <v>5.211</v>
      </c>
      <c r="AJI9">
        <v>5.521</v>
      </c>
      <c r="AJJ9">
        <v>9.536</v>
      </c>
      <c r="AJK9">
        <v>10.823</v>
      </c>
      <c r="AJL9">
        <v>8.581</v>
      </c>
      <c r="AJM9">
        <v>41.180938901782</v>
      </c>
      <c r="AJN9">
        <v>43.7627932402039</v>
      </c>
      <c r="AJO9">
        <v>37.7340713676453</v>
      </c>
      <c r="AJP9">
        <v>40.069043069458</v>
      </c>
      <c r="AJQ9">
        <v>30.3428770488024</v>
      </c>
      <c r="AJR9">
        <v>4108.95280011973</v>
      </c>
      <c r="AJS9">
        <v>3902.45685727469</v>
      </c>
      <c r="AJT9">
        <v>3339.18921609308</v>
      </c>
      <c r="AJU9">
        <v>3521.47072787018</v>
      </c>
      <c r="AJV9">
        <v>3699.69368747811</v>
      </c>
      <c r="AJW9">
        <v>225.156625013313</v>
      </c>
      <c r="AJX9">
        <v>250.532430835876</v>
      </c>
      <c r="AJY9">
        <v>274.986711246075</v>
      </c>
      <c r="AJZ9">
        <v>349.979293920135</v>
      </c>
      <c r="AKA9">
        <v>351.854624568987</v>
      </c>
      <c r="AKB9">
        <v>6431.72265870437</v>
      </c>
      <c r="AKC9">
        <v>5276.91005556239</v>
      </c>
      <c r="AKD9">
        <v>5057.04177667403</v>
      </c>
      <c r="AKE9">
        <v>5607.22203682466</v>
      </c>
      <c r="AKF9">
        <v>5998.4845285404</v>
      </c>
      <c r="AKG9" t="s">
        <v>1900</v>
      </c>
      <c r="AKH9" t="s">
        <v>1900</v>
      </c>
      <c r="AKI9" t="s">
        <v>1900</v>
      </c>
      <c r="AKJ9" t="s">
        <v>1900</v>
      </c>
      <c r="AKK9" t="s">
        <v>1900</v>
      </c>
      <c r="AKL9">
        <v>26.399345087</v>
      </c>
      <c r="AKM9">
        <v>27.994218774</v>
      </c>
      <c r="AKN9">
        <v>54.132885066</v>
      </c>
      <c r="AKO9">
        <v>61.439000892</v>
      </c>
      <c r="AKP9">
        <v>69.691904272</v>
      </c>
      <c r="AKQ9">
        <v>3.243891775</v>
      </c>
      <c r="AKR9">
        <v>4.20535722</v>
      </c>
      <c r="AKS9">
        <v>4.235697541</v>
      </c>
      <c r="AKT9">
        <v>4.056477137</v>
      </c>
      <c r="AKU9">
        <v>4.108263361</v>
      </c>
      <c r="AKV9">
        <v>0</v>
      </c>
      <c r="AKW9">
        <v>0</v>
      </c>
      <c r="AKX9">
        <v>0</v>
      </c>
      <c r="AKY9">
        <v>0</v>
      </c>
      <c r="AKZ9">
        <v>0</v>
      </c>
      <c r="ALA9">
        <v>0</v>
      </c>
      <c r="ALB9">
        <v>0</v>
      </c>
      <c r="ALC9">
        <v>0</v>
      </c>
      <c r="ALD9">
        <v>0</v>
      </c>
      <c r="ALE9">
        <v>0</v>
      </c>
      <c r="ALF9">
        <v>60.691451819</v>
      </c>
      <c r="ALG9">
        <v>119.450144784</v>
      </c>
      <c r="ALH9">
        <v>235.199887349</v>
      </c>
      <c r="ALI9">
        <v>277.132139842</v>
      </c>
      <c r="ALJ9">
        <v>325.345472355</v>
      </c>
      <c r="ALK9">
        <v>7.457628237</v>
      </c>
      <c r="ALL9">
        <v>17.944080984</v>
      </c>
      <c r="ALM9">
        <v>18.403519102</v>
      </c>
      <c r="ALN9">
        <v>18.297501146</v>
      </c>
      <c r="ALO9">
        <v>19.178768288</v>
      </c>
      <c r="ALP9">
        <v>2.090114924</v>
      </c>
      <c r="ALQ9">
        <v>3.610339186</v>
      </c>
      <c r="ALR9">
        <v>15.36176948</v>
      </c>
      <c r="ALS9">
        <v>33.095363585</v>
      </c>
      <c r="ALT9">
        <v>29.813295412</v>
      </c>
      <c r="ALU9">
        <v>0</v>
      </c>
      <c r="ALV9">
        <v>0</v>
      </c>
      <c r="ALW9">
        <v>0</v>
      </c>
      <c r="ALX9">
        <v>0</v>
      </c>
      <c r="ALY9">
        <v>0</v>
      </c>
      <c r="ALZ9">
        <v>100</v>
      </c>
      <c r="AMA9">
        <v>100</v>
      </c>
      <c r="AMB9">
        <v>100</v>
      </c>
      <c r="AMC9">
        <v>100</v>
      </c>
      <c r="AMD9">
        <v>100</v>
      </c>
      <c r="AME9">
        <v>100</v>
      </c>
      <c r="AMF9" t="s">
        <v>1901</v>
      </c>
      <c r="AMG9" t="s">
        <v>1901</v>
      </c>
      <c r="AMH9" t="s">
        <v>1901</v>
      </c>
      <c r="AMI9">
        <v>100</v>
      </c>
      <c r="AMJ9" t="s">
        <v>1900</v>
      </c>
      <c r="AMK9" t="s">
        <v>1900</v>
      </c>
      <c r="AML9" t="s">
        <v>1900</v>
      </c>
      <c r="AMM9" t="s">
        <v>1900</v>
      </c>
      <c r="AMN9" t="s">
        <v>1900</v>
      </c>
      <c r="AMO9">
        <v>3.66364044247633</v>
      </c>
      <c r="AMP9">
        <v>4.03180282732638</v>
      </c>
      <c r="AMQ9">
        <v>2.48107007011485</v>
      </c>
      <c r="AMR9">
        <v>1.89830171836397</v>
      </c>
      <c r="AMS9">
        <v>2.28794423680635</v>
      </c>
      <c r="AMT9">
        <v>3.66364043766034</v>
      </c>
      <c r="AMU9">
        <v>4.03180282732638</v>
      </c>
      <c r="AMV9">
        <v>2.4810700634271</v>
      </c>
      <c r="AMW9">
        <v>1.89830171836397</v>
      </c>
      <c r="AMX9">
        <v>2.28794423680635</v>
      </c>
      <c r="AMY9" t="s">
        <v>1900</v>
      </c>
      <c r="AMZ9" t="s">
        <v>1900</v>
      </c>
      <c r="ANA9" t="s">
        <v>1900</v>
      </c>
      <c r="ANB9" t="s">
        <v>1900</v>
      </c>
      <c r="ANC9" t="s">
        <v>1900</v>
      </c>
      <c r="AND9">
        <v>72.7047448973985</v>
      </c>
      <c r="ANE9">
        <v>75.1971997930481</v>
      </c>
      <c r="ANF9">
        <v>59.6948099639338</v>
      </c>
      <c r="ANG9">
        <v>47.3213351530948</v>
      </c>
      <c r="ANH9">
        <v>56.2926410568529</v>
      </c>
      <c r="ANI9">
        <v>72.7047448973985</v>
      </c>
      <c r="ANJ9">
        <v>75.3178590704471</v>
      </c>
      <c r="ANK9">
        <v>59.8067717781096</v>
      </c>
      <c r="ANL9">
        <v>47.381148891294</v>
      </c>
      <c r="ANM9">
        <v>56.2926410568529</v>
      </c>
      <c r="ANN9">
        <v>266.364042483226</v>
      </c>
      <c r="ANO9">
        <v>303.180282732638</v>
      </c>
      <c r="ANP9">
        <v>148.107005352207</v>
      </c>
      <c r="ANQ9">
        <v>89.8301718363974</v>
      </c>
      <c r="ANR9">
        <v>128.794423680635</v>
      </c>
      <c r="ANS9">
        <v>13.8474769434859</v>
      </c>
      <c r="ANT9">
        <v>13.0471723687786</v>
      </c>
      <c r="ANU9">
        <v>5.25573225524353</v>
      </c>
      <c r="ANV9">
        <v>3.50573147440143</v>
      </c>
      <c r="ANW9">
        <v>3.73078945089329</v>
      </c>
      <c r="ANX9" t="s">
        <v>1900</v>
      </c>
      <c r="ANY9" t="s">
        <v>1900</v>
      </c>
      <c r="ANZ9" t="s">
        <v>1900</v>
      </c>
      <c r="AOA9" t="s">
        <v>1900</v>
      </c>
      <c r="AOB9" t="s">
        <v>1900</v>
      </c>
      <c r="AOC9">
        <v>366.364042483226</v>
      </c>
      <c r="AOD9">
        <v>403.180282732638</v>
      </c>
      <c r="AOE9">
        <v>248.107005352207</v>
      </c>
      <c r="AOF9">
        <v>189.830171836397</v>
      </c>
      <c r="AOG9">
        <v>228.794423680635</v>
      </c>
      <c r="AOH9">
        <v>12.2877736711963</v>
      </c>
      <c r="AOI9">
        <v>15.0222346034272</v>
      </c>
      <c r="AOJ9">
        <v>7.82462921626569</v>
      </c>
      <c r="AOK9">
        <v>6.60244645633496</v>
      </c>
      <c r="AOL9">
        <v>5.89489324979782</v>
      </c>
      <c r="AOM9" t="s">
        <v>1900</v>
      </c>
      <c r="AON9" t="s">
        <v>1900</v>
      </c>
      <c r="AOO9" t="s">
        <v>1900</v>
      </c>
      <c r="AOP9" t="s">
        <v>1900</v>
      </c>
      <c r="AOQ9" t="s">
        <v>1900</v>
      </c>
      <c r="AOR9">
        <v>266.364043766034</v>
      </c>
      <c r="AOS9">
        <v>303.180282732638</v>
      </c>
      <c r="AOT9">
        <v>148.10700634271</v>
      </c>
      <c r="AOU9">
        <v>89.8301718363974</v>
      </c>
      <c r="AOV9">
        <v>128.794423680635</v>
      </c>
      <c r="AOW9">
        <v>8.93379450121296</v>
      </c>
      <c r="AOX9">
        <v>11.2962997681195</v>
      </c>
      <c r="AOY9">
        <v>4.67089754103225</v>
      </c>
      <c r="AOZ9">
        <v>3.1243658159059</v>
      </c>
      <c r="APA9">
        <v>3.31839109779334</v>
      </c>
      <c r="APB9">
        <v>55.6664119793714</v>
      </c>
      <c r="APC9">
        <v>55.8900746227837</v>
      </c>
      <c r="APD9">
        <v>5.79427522582247</v>
      </c>
      <c r="APE9">
        <v>28.8186630871879</v>
      </c>
      <c r="APF9">
        <v>33.401039294779</v>
      </c>
      <c r="APG9">
        <v>55.6664119793714</v>
      </c>
      <c r="APH9">
        <v>55.979754238997</v>
      </c>
      <c r="API9">
        <v>5.80514279649585</v>
      </c>
      <c r="APJ9">
        <v>28.8550896158048</v>
      </c>
      <c r="APK9">
        <v>33.401039294779</v>
      </c>
      <c r="APL9" t="s">
        <v>1900</v>
      </c>
      <c r="APM9" t="s">
        <v>1900</v>
      </c>
      <c r="APN9" t="s">
        <v>1900</v>
      </c>
      <c r="APO9" t="s">
        <v>1900</v>
      </c>
      <c r="APP9" t="s">
        <v>1900</v>
      </c>
      <c r="APQ9">
        <v>203.941718215174</v>
      </c>
      <c r="APR9">
        <v>225.337760883622</v>
      </c>
      <c r="APS9">
        <v>14.3760028407961</v>
      </c>
      <c r="APT9">
        <v>54.7065176593612</v>
      </c>
      <c r="APU9">
        <v>76.4197153578321</v>
      </c>
      <c r="APV9">
        <v>203.941717232992</v>
      </c>
      <c r="APW9">
        <v>225.337760883622</v>
      </c>
      <c r="APX9">
        <v>14.376002744653</v>
      </c>
      <c r="APY9">
        <v>54.7065176593612</v>
      </c>
      <c r="APZ9">
        <v>76.4197153578321</v>
      </c>
      <c r="AQA9">
        <v>6.84016271490086</v>
      </c>
      <c r="AQB9">
        <v>8.39593812986508</v>
      </c>
      <c r="AQC9">
        <v>0.45338055219055</v>
      </c>
      <c r="AQD9">
        <v>1.90273679976315</v>
      </c>
      <c r="AQE9">
        <v>1.96895561075024</v>
      </c>
      <c r="AQF9" t="s">
        <v>1900</v>
      </c>
      <c r="AQG9" t="s">
        <v>1900</v>
      </c>
      <c r="AQH9" t="s">
        <v>1900</v>
      </c>
      <c r="AQI9" t="s">
        <v>1900</v>
      </c>
      <c r="AQJ9" t="s">
        <v>1900</v>
      </c>
      <c r="AQK9">
        <v>3</v>
      </c>
      <c r="AQO9" t="s">
        <v>1902</v>
      </c>
      <c r="AQP9">
        <v>1</v>
      </c>
      <c r="AQQ9">
        <v>0</v>
      </c>
      <c r="AQS9" t="s">
        <v>1905</v>
      </c>
      <c r="AQU9" t="s">
        <v>1906</v>
      </c>
      <c r="AQV9">
        <v>790315.523460641</v>
      </c>
      <c r="AQW9">
        <v>792709.808358421</v>
      </c>
      <c r="AQX9">
        <v>395694.768336397</v>
      </c>
      <c r="AQY9">
        <v>574596.885216599</v>
      </c>
      <c r="AQZ9">
        <v>596095.578370371</v>
      </c>
      <c r="ARA9">
        <v>236209.239995641</v>
      </c>
      <c r="ARB9">
        <v>1978720.100155459</v>
      </c>
      <c r="ARC9">
        <v>1406901.703582611</v>
      </c>
      <c r="ARD9">
        <v>2.460399511479122</v>
      </c>
      <c r="ARE9">
        <v>2.460399511479122</v>
      </c>
      <c r="ARF9">
        <v>2.460399511479122</v>
      </c>
      <c r="ARG9">
        <v>2.460399511479122</v>
      </c>
      <c r="ARH9">
        <v>2.460399511479122</v>
      </c>
      <c r="ARI9">
        <v>2.460399511479122</v>
      </c>
      <c r="ARJ9" t="s">
        <v>1170</v>
      </c>
      <c r="ARK9" t="s">
        <v>1508</v>
      </c>
      <c r="ARL9" t="s">
        <v>1909</v>
      </c>
      <c r="ARP9" t="s">
        <v>1907</v>
      </c>
      <c r="ARQ9" t="s">
        <v>1911</v>
      </c>
    </row>
    <row r="10" spans="1:1163">
      <c r="A10">
        <v>233</v>
      </c>
      <c r="B10" t="s">
        <v>1171</v>
      </c>
      <c r="C10" t="s">
        <v>1294</v>
      </c>
      <c r="E10" s="2">
        <v>37532</v>
      </c>
      <c r="F10" t="s">
        <v>1431</v>
      </c>
      <c r="G10" t="s">
        <v>1433</v>
      </c>
      <c r="H10" t="s">
        <v>1434</v>
      </c>
      <c r="I10" t="s">
        <v>1437</v>
      </c>
      <c r="J10" t="s">
        <v>1453</v>
      </c>
      <c r="L10" t="s">
        <v>1509</v>
      </c>
      <c r="N10" t="s">
        <v>1630</v>
      </c>
      <c r="O10" t="s">
        <v>1654</v>
      </c>
      <c r="P10">
        <v>6209</v>
      </c>
      <c r="Q10">
        <v>6209</v>
      </c>
      <c r="R10" t="s">
        <v>1680</v>
      </c>
      <c r="S10" t="s">
        <v>1795</v>
      </c>
      <c r="T10" t="s">
        <v>1850</v>
      </c>
      <c r="U10" t="s">
        <v>1873</v>
      </c>
      <c r="X10" t="s">
        <v>1877</v>
      </c>
      <c r="Z10" t="s">
        <v>1899</v>
      </c>
      <c r="AA10" s="2">
        <v>45657</v>
      </c>
      <c r="AB10">
        <v>2024</v>
      </c>
      <c r="AC10">
        <v>3489419.12456419</v>
      </c>
      <c r="AD10">
        <v>3952150.3207765</v>
      </c>
      <c r="AE10">
        <v>4151596.21300794</v>
      </c>
      <c r="AF10">
        <v>4083665.80576608</v>
      </c>
      <c r="AG10">
        <v>3457359.60070213</v>
      </c>
      <c r="AH10">
        <v>3108092.99185746</v>
      </c>
      <c r="AI10">
        <v>3566915.89848803</v>
      </c>
      <c r="AJ10">
        <v>4023011.69307325</v>
      </c>
      <c r="AK10">
        <v>3842601.69527092</v>
      </c>
      <c r="AL10">
        <v>3399423.81417463</v>
      </c>
      <c r="AM10">
        <v>1006409.81738968</v>
      </c>
      <c r="AN10">
        <v>1333265.52030318</v>
      </c>
      <c r="AO10">
        <v>1107979.83663657</v>
      </c>
      <c r="AP10">
        <v>1139000.41660802</v>
      </c>
      <c r="AQ10">
        <v>1080561.72708532</v>
      </c>
      <c r="AR10">
        <v>2483009.30717452</v>
      </c>
      <c r="AS10">
        <v>2618884.80047332</v>
      </c>
      <c r="AT10">
        <v>3043616.37637138</v>
      </c>
      <c r="AU10">
        <v>2944665.38915806</v>
      </c>
      <c r="AV10">
        <v>2376797.87361681</v>
      </c>
      <c r="AW10">
        <v>2482009.34558841</v>
      </c>
      <c r="AX10">
        <v>2543724.70988739</v>
      </c>
      <c r="AY10">
        <v>2388234.46543176</v>
      </c>
      <c r="AZ10">
        <v>2301536.19851654</v>
      </c>
      <c r="BA10">
        <v>2278931.12118539</v>
      </c>
      <c r="BB10">
        <v>999.9615861082081</v>
      </c>
      <c r="BC10">
        <v>75160.08948092459</v>
      </c>
      <c r="BD10">
        <v>655381.910939622</v>
      </c>
      <c r="BE10">
        <v>643129.1895089149</v>
      </c>
      <c r="BF10">
        <v>97866.7524314225</v>
      </c>
      <c r="BG10">
        <v>-899.375332558155</v>
      </c>
      <c r="BH10">
        <v>144598.718444128</v>
      </c>
      <c r="BI10">
        <v>5095.03909546137</v>
      </c>
      <c r="BJ10">
        <v>11586.5351233721</v>
      </c>
      <c r="BK10">
        <v>-3020.54051142871</v>
      </c>
      <c r="BL10">
        <v>770.905015330315</v>
      </c>
      <c r="BM10">
        <v>149649.156360703</v>
      </c>
      <c r="BN10">
        <v>5095.03909546137</v>
      </c>
      <c r="BO10">
        <v>11586.5351233721</v>
      </c>
      <c r="BP10">
        <v>63.2815108716488</v>
      </c>
      <c r="BQ10">
        <v>1670.28034788847</v>
      </c>
      <c r="BR10">
        <v>5050.43791657448</v>
      </c>
      <c r="BS10" t="s">
        <v>1900</v>
      </c>
      <c r="BT10" t="s">
        <v>1900</v>
      </c>
      <c r="BU10">
        <v>3083.82324939966</v>
      </c>
      <c r="BV10">
        <v>100.586253550053</v>
      </c>
      <c r="BW10">
        <v>219758.807925053</v>
      </c>
      <c r="BX10">
        <v>660476.950035083</v>
      </c>
      <c r="BY10">
        <v>654715.724632287</v>
      </c>
      <c r="BZ10">
        <v>94846.2106928945</v>
      </c>
      <c r="CA10">
        <v>-685053.744082744</v>
      </c>
      <c r="CB10">
        <v>30825.8894342804</v>
      </c>
      <c r="CC10">
        <v>85737.9385719657</v>
      </c>
      <c r="CD10">
        <v>84353.5338752746</v>
      </c>
      <c r="CE10">
        <v>11886.4691578388</v>
      </c>
      <c r="CF10">
        <v>685154.330336294</v>
      </c>
      <c r="CG10">
        <v>188932.918490772</v>
      </c>
      <c r="CH10">
        <v>574739.011463118</v>
      </c>
      <c r="CI10">
        <v>570362.190757012</v>
      </c>
      <c r="CJ10">
        <v>82959.7415350556</v>
      </c>
      <c r="CK10" t="s">
        <v>1900</v>
      </c>
      <c r="CL10" t="s">
        <v>1900</v>
      </c>
      <c r="CM10" t="s">
        <v>1900</v>
      </c>
      <c r="CN10" t="s">
        <v>1900</v>
      </c>
      <c r="CO10" t="s">
        <v>1900</v>
      </c>
      <c r="CP10" t="s">
        <v>1900</v>
      </c>
      <c r="CQ10" t="s">
        <v>1900</v>
      </c>
      <c r="CR10" t="s">
        <v>1900</v>
      </c>
      <c r="CS10" t="s">
        <v>1900</v>
      </c>
      <c r="CT10" t="s">
        <v>1900</v>
      </c>
      <c r="CU10" t="s">
        <v>1900</v>
      </c>
      <c r="CV10" t="s">
        <v>1900</v>
      </c>
      <c r="CW10" t="s">
        <v>1900</v>
      </c>
      <c r="CX10" t="s">
        <v>1900</v>
      </c>
      <c r="CY10" t="s">
        <v>1900</v>
      </c>
      <c r="CZ10">
        <v>685154.330336294</v>
      </c>
      <c r="DA10">
        <v>188932.918490772</v>
      </c>
      <c r="DB10">
        <v>574739.011463118</v>
      </c>
      <c r="DC10">
        <v>570362.190757012</v>
      </c>
      <c r="DD10">
        <v>82959.7415350556</v>
      </c>
      <c r="DE10" t="s">
        <v>1900</v>
      </c>
      <c r="DF10" t="s">
        <v>1900</v>
      </c>
      <c r="DG10" t="s">
        <v>1900</v>
      </c>
      <c r="DH10" t="s">
        <v>1900</v>
      </c>
      <c r="DI10" t="s">
        <v>1900</v>
      </c>
      <c r="DJ10">
        <v>1006409.81738968</v>
      </c>
      <c r="DK10">
        <v>1333265.52030318</v>
      </c>
      <c r="DL10">
        <v>1107979.83663657</v>
      </c>
      <c r="DM10">
        <v>1139000.41660802</v>
      </c>
      <c r="DN10">
        <v>1080561.72708532</v>
      </c>
      <c r="DO10">
        <v>2110894.78502709</v>
      </c>
      <c r="DP10">
        <v>2353390.30821765</v>
      </c>
      <c r="DQ10">
        <v>2093050.57187945</v>
      </c>
      <c r="DR10">
        <v>2014201.52707901</v>
      </c>
      <c r="DS10">
        <v>2015319.45405729</v>
      </c>
      <c r="DT10">
        <v>11627.1143258762</v>
      </c>
      <c r="DU10">
        <v>13041.337402792</v>
      </c>
      <c r="DV10">
        <v>14635.4088741064</v>
      </c>
      <c r="DW10">
        <v>13121.5030160666</v>
      </c>
      <c r="DX10">
        <v>11046.2129125535</v>
      </c>
      <c r="DY10">
        <v>359487.447274345</v>
      </c>
      <c r="DZ10">
        <v>177293.063161948</v>
      </c>
      <c r="EA10">
        <v>280548.484678203</v>
      </c>
      <c r="EB10">
        <v>274213.168421466</v>
      </c>
      <c r="EC10">
        <v>252565.455442643</v>
      </c>
      <c r="ED10" t="s">
        <v>1900</v>
      </c>
      <c r="EE10">
        <v>78.8638853931427</v>
      </c>
      <c r="EF10" t="s">
        <v>1900</v>
      </c>
      <c r="EG10" t="s">
        <v>1900</v>
      </c>
      <c r="EH10" t="s">
        <v>1900</v>
      </c>
      <c r="EI10" t="s">
        <v>1900</v>
      </c>
      <c r="EJ10" t="s">
        <v>1900</v>
      </c>
      <c r="EK10" t="s">
        <v>1900</v>
      </c>
      <c r="EL10" t="s">
        <v>1900</v>
      </c>
      <c r="EM10" t="s">
        <v>1900</v>
      </c>
      <c r="EN10">
        <v>696781.44466217</v>
      </c>
      <c r="EO10">
        <v>201974.255893564</v>
      </c>
      <c r="EP10">
        <v>589374.420337224</v>
      </c>
      <c r="EQ10">
        <v>583483.692640479</v>
      </c>
      <c r="ER10">
        <v>94005.9544476092</v>
      </c>
      <c r="ES10">
        <v>2122622.48456761</v>
      </c>
      <c r="ET10">
        <v>2586269.31743089</v>
      </c>
      <c r="EU10">
        <v>2768162.93078864</v>
      </c>
      <c r="EV10">
        <v>2682038.75472736</v>
      </c>
      <c r="EW10">
        <v>2121211.87766274</v>
      </c>
      <c r="EX10">
        <v>12627.0759119844</v>
      </c>
      <c r="EY10">
        <v>88201.4268837166</v>
      </c>
      <c r="EZ10">
        <v>670017.319813728</v>
      </c>
      <c r="FA10">
        <v>656250.692524981</v>
      </c>
      <c r="FB10">
        <v>108912.965343976</v>
      </c>
      <c r="FC10">
        <v>14727.6165047371</v>
      </c>
      <c r="FD10">
        <v>35099.0258020115</v>
      </c>
      <c r="FE10">
        <v>40897.0721500754</v>
      </c>
      <c r="FF10">
        <v>55635.3657832146</v>
      </c>
      <c r="FG10">
        <v>61667.5807890654</v>
      </c>
      <c r="FH10">
        <v>400.215270141363</v>
      </c>
      <c r="FI10">
        <v>972.654586515427</v>
      </c>
      <c r="FJ10">
        <v>1465.46503288746</v>
      </c>
      <c r="FK10">
        <v>417.465147328377</v>
      </c>
      <c r="FL10">
        <v>1514.96452408433</v>
      </c>
      <c r="FM10">
        <v>12031.3709152317</v>
      </c>
      <c r="FN10">
        <v>19561.2933788681</v>
      </c>
      <c r="FO10">
        <v>26492.6247291565</v>
      </c>
      <c r="FP10">
        <v>41478.2583500147</v>
      </c>
      <c r="FQ10">
        <v>30725.0203126311</v>
      </c>
      <c r="FR10">
        <v>2296.03031936407</v>
      </c>
      <c r="FS10">
        <v>14565.077836628</v>
      </c>
      <c r="FT10">
        <v>12938.9823880315</v>
      </c>
      <c r="FU10">
        <v>13739.6422858715</v>
      </c>
      <c r="FV10">
        <v>29427.5959523499</v>
      </c>
      <c r="FW10">
        <v>400.215270141363</v>
      </c>
      <c r="FX10">
        <v>972.654586515427</v>
      </c>
      <c r="FY10">
        <v>1465.46503288746</v>
      </c>
      <c r="FZ10">
        <v>417.465147328377</v>
      </c>
      <c r="GA10">
        <v>1514.96452408433</v>
      </c>
      <c r="GB10">
        <v>12031.3709152317</v>
      </c>
      <c r="GC10">
        <v>19561.2933788681</v>
      </c>
      <c r="GD10">
        <v>26492.6247291565</v>
      </c>
      <c r="GE10">
        <v>41478.2583500147</v>
      </c>
      <c r="GF10">
        <v>30725.0203126311</v>
      </c>
      <c r="GG10">
        <v>2296.03031936407</v>
      </c>
      <c r="GH10">
        <v>14565.077836628</v>
      </c>
      <c r="GI10">
        <v>12938.9823880315</v>
      </c>
      <c r="GJ10">
        <v>13739.6422858715</v>
      </c>
      <c r="GK10">
        <v>29427.5959523499</v>
      </c>
      <c r="GL10">
        <v>2704818.0275112</v>
      </c>
      <c r="GM10">
        <v>2481955.54792115</v>
      </c>
      <c r="GN10">
        <v>2658243.92323046</v>
      </c>
      <c r="GO10">
        <v>2722771.63748903</v>
      </c>
      <c r="GP10">
        <v>2807888.11728411</v>
      </c>
      <c r="GQ10">
        <v>0</v>
      </c>
      <c r="GR10">
        <v>0</v>
      </c>
      <c r="GS10">
        <v>0</v>
      </c>
      <c r="GT10">
        <v>0</v>
      </c>
      <c r="GU10">
        <v>0</v>
      </c>
      <c r="GV10">
        <v>2347973.07316411</v>
      </c>
      <c r="GW10">
        <v>1755391.15764798</v>
      </c>
      <c r="GX10">
        <v>1989732.51390221</v>
      </c>
      <c r="GY10">
        <v>1511410.55381541</v>
      </c>
      <c r="GZ10">
        <v>1188347.69989071</v>
      </c>
      <c r="HA10">
        <v>356844.954347086</v>
      </c>
      <c r="HB10">
        <v>726564.390273171</v>
      </c>
      <c r="HC10">
        <v>668511.409328246</v>
      </c>
      <c r="HD10">
        <v>1211361.08367362</v>
      </c>
      <c r="HE10">
        <v>1619540.4173934</v>
      </c>
      <c r="HF10">
        <v>356844.954347086</v>
      </c>
      <c r="HG10">
        <v>726564.390273171</v>
      </c>
      <c r="HH10">
        <v>668511.409328246</v>
      </c>
      <c r="HI10">
        <v>964454.216646337</v>
      </c>
      <c r="HJ10">
        <v>1325036.58553</v>
      </c>
      <c r="HK10">
        <v>2719545.64401594</v>
      </c>
      <c r="HL10">
        <v>2517054.57372316</v>
      </c>
      <c r="HM10">
        <v>2699140.99538053</v>
      </c>
      <c r="HN10">
        <v>2778407.00327225</v>
      </c>
      <c r="HO10">
        <v>2869555.69807318</v>
      </c>
      <c r="HP10">
        <v>1961586.5532557</v>
      </c>
      <c r="HQ10">
        <v>1357646.41699503</v>
      </c>
      <c r="HR10">
        <v>1661490.46780881</v>
      </c>
      <c r="HS10">
        <v>1728798.91206937</v>
      </c>
      <c r="HT10">
        <v>1868747.32659549</v>
      </c>
      <c r="HU10">
        <v>154349.304791689</v>
      </c>
      <c r="HV10">
        <v>164169.923677444</v>
      </c>
      <c r="HW10">
        <v>158464.685970545</v>
      </c>
      <c r="HX10">
        <v>168270.427680016</v>
      </c>
      <c r="HY10">
        <v>182310.142916441</v>
      </c>
      <c r="HZ10">
        <v>1807237.24742512</v>
      </c>
      <c r="IA10">
        <v>1193476.49331758</v>
      </c>
      <c r="IB10">
        <v>1503025.78183826</v>
      </c>
      <c r="IC10">
        <v>1560528.48438935</v>
      </c>
      <c r="ID10">
        <v>1686437.18367905</v>
      </c>
      <c r="IE10">
        <v>18846.6973494792</v>
      </c>
      <c r="IF10">
        <v>40091.7053426647</v>
      </c>
      <c r="IG10">
        <v>0</v>
      </c>
      <c r="IH10">
        <v>0</v>
      </c>
      <c r="II10">
        <v>0</v>
      </c>
      <c r="IJ10">
        <v>18846.6973494792</v>
      </c>
      <c r="IK10">
        <v>40091.7053426647</v>
      </c>
      <c r="IL10" t="s">
        <v>1900</v>
      </c>
      <c r="IM10" t="s">
        <v>1900</v>
      </c>
      <c r="IN10" t="s">
        <v>1900</v>
      </c>
      <c r="IO10">
        <v>0</v>
      </c>
      <c r="IP10">
        <v>0</v>
      </c>
      <c r="IQ10" t="s">
        <v>1900</v>
      </c>
      <c r="IR10" t="s">
        <v>1900</v>
      </c>
      <c r="IS10" t="s">
        <v>1900</v>
      </c>
      <c r="IT10">
        <v>0</v>
      </c>
      <c r="IU10">
        <v>0</v>
      </c>
      <c r="IV10" t="s">
        <v>1900</v>
      </c>
      <c r="IW10" t="s">
        <v>1900</v>
      </c>
      <c r="IX10" t="s">
        <v>1900</v>
      </c>
      <c r="IY10">
        <v>739112.393410753</v>
      </c>
      <c r="IZ10">
        <v>1119316.45138547</v>
      </c>
      <c r="JA10">
        <v>1037650.52757173</v>
      </c>
      <c r="JB10">
        <v>1049608.09120288</v>
      </c>
      <c r="JC10">
        <v>1000808.37147769</v>
      </c>
      <c r="JD10">
        <v>0</v>
      </c>
      <c r="JE10">
        <v>0</v>
      </c>
      <c r="JF10">
        <v>0</v>
      </c>
      <c r="JG10">
        <v>0</v>
      </c>
      <c r="JH10">
        <v>0</v>
      </c>
      <c r="JI10">
        <v>0</v>
      </c>
      <c r="JJ10">
        <v>0</v>
      </c>
      <c r="JK10">
        <v>0</v>
      </c>
      <c r="JL10">
        <v>0</v>
      </c>
      <c r="JM10">
        <v>0</v>
      </c>
      <c r="JN10">
        <v>739112.393410753</v>
      </c>
      <c r="JO10">
        <v>1119316.45138547</v>
      </c>
      <c r="JP10">
        <v>1037650.52757173</v>
      </c>
      <c r="JQ10">
        <v>1049608.09007028</v>
      </c>
      <c r="JR10">
        <v>1000808.37147769</v>
      </c>
      <c r="JS10">
        <v>2719545.64401594</v>
      </c>
      <c r="JT10">
        <v>2517054.57372316</v>
      </c>
      <c r="JU10">
        <v>2699140.99538053</v>
      </c>
      <c r="JV10">
        <v>2778407.00327225</v>
      </c>
      <c r="JW10">
        <v>2869555.69807318</v>
      </c>
      <c r="JX10">
        <v>2347973.07316411</v>
      </c>
      <c r="JY10">
        <v>1755391.15764798</v>
      </c>
      <c r="JZ10">
        <v>1989732.51390221</v>
      </c>
      <c r="KA10">
        <v>1511410.55381541</v>
      </c>
      <c r="KB10">
        <v>1188347.69989071</v>
      </c>
      <c r="KC10" t="s">
        <v>1900</v>
      </c>
      <c r="KD10" t="s">
        <v>1900</v>
      </c>
      <c r="KE10" t="s">
        <v>1900</v>
      </c>
      <c r="KF10" t="s">
        <v>1900</v>
      </c>
      <c r="KG10" t="s">
        <v>1900</v>
      </c>
      <c r="KH10" t="s">
        <v>1900</v>
      </c>
      <c r="KI10" t="s">
        <v>1900</v>
      </c>
      <c r="KJ10" t="s">
        <v>1900</v>
      </c>
      <c r="KK10" t="s">
        <v>1900</v>
      </c>
      <c r="KL10" t="s">
        <v>1900</v>
      </c>
      <c r="KM10">
        <v>41</v>
      </c>
      <c r="KN10">
        <v>41</v>
      </c>
      <c r="KO10">
        <v>38</v>
      </c>
      <c r="KP10">
        <v>38</v>
      </c>
      <c r="KQ10">
        <v>33</v>
      </c>
      <c r="KR10" t="s">
        <v>1900</v>
      </c>
      <c r="KS10" t="s">
        <v>1900</v>
      </c>
      <c r="KT10" t="s">
        <v>1900</v>
      </c>
      <c r="KU10" t="s">
        <v>1900</v>
      </c>
      <c r="KV10" t="s">
        <v>1900</v>
      </c>
      <c r="KW10" t="s">
        <v>1900</v>
      </c>
      <c r="KX10" t="s">
        <v>1900</v>
      </c>
      <c r="KY10" t="s">
        <v>1900</v>
      </c>
      <c r="KZ10" t="s">
        <v>1900</v>
      </c>
      <c r="LA10" t="s">
        <v>1900</v>
      </c>
      <c r="LB10" t="s">
        <v>1900</v>
      </c>
      <c r="LC10" t="s">
        <v>1900</v>
      </c>
      <c r="LD10" t="s">
        <v>1900</v>
      </c>
      <c r="LE10" t="s">
        <v>1900</v>
      </c>
      <c r="LF10" t="s">
        <v>1900</v>
      </c>
      <c r="LG10" t="s">
        <v>1900</v>
      </c>
      <c r="LH10" t="s">
        <v>1900</v>
      </c>
      <c r="LI10" t="s">
        <v>1900</v>
      </c>
      <c r="LJ10" t="s">
        <v>1900</v>
      </c>
      <c r="LK10" t="s">
        <v>1900</v>
      </c>
      <c r="LL10" t="s">
        <v>1900</v>
      </c>
      <c r="LM10" t="s">
        <v>1900</v>
      </c>
      <c r="LN10" t="s">
        <v>1900</v>
      </c>
      <c r="LO10" t="s">
        <v>1900</v>
      </c>
      <c r="LP10" t="s">
        <v>1900</v>
      </c>
      <c r="LQ10" t="s">
        <v>1900</v>
      </c>
      <c r="LR10" t="s">
        <v>1900</v>
      </c>
      <c r="LS10" t="s">
        <v>1900</v>
      </c>
      <c r="LT10" t="s">
        <v>1900</v>
      </c>
      <c r="LU10" t="s">
        <v>1900</v>
      </c>
      <c r="LV10" t="s">
        <v>1900</v>
      </c>
      <c r="LW10" t="s">
        <v>1900</v>
      </c>
      <c r="LX10" t="s">
        <v>1900</v>
      </c>
      <c r="LY10" t="s">
        <v>1900</v>
      </c>
      <c r="LZ10" t="s">
        <v>1900</v>
      </c>
      <c r="MA10" t="s">
        <v>1900</v>
      </c>
      <c r="MB10" t="s">
        <v>1900</v>
      </c>
      <c r="MC10" t="s">
        <v>1900</v>
      </c>
      <c r="MD10" t="s">
        <v>1900</v>
      </c>
      <c r="ME10" t="s">
        <v>1900</v>
      </c>
      <c r="MF10" t="s">
        <v>1900</v>
      </c>
      <c r="MG10" t="s">
        <v>1900</v>
      </c>
      <c r="MH10" t="s">
        <v>1900</v>
      </c>
      <c r="MI10" t="s">
        <v>1900</v>
      </c>
      <c r="MJ10" t="s">
        <v>1900</v>
      </c>
      <c r="MK10" t="s">
        <v>1900</v>
      </c>
      <c r="ML10" t="s">
        <v>1900</v>
      </c>
      <c r="MM10" t="s">
        <v>1900</v>
      </c>
      <c r="MN10" t="s">
        <v>1900</v>
      </c>
      <c r="MO10" t="s">
        <v>1900</v>
      </c>
      <c r="MP10">
        <v>356844.954347086</v>
      </c>
      <c r="MQ10">
        <v>726564.390273171</v>
      </c>
      <c r="MR10">
        <v>668511.409328246</v>
      </c>
      <c r="MS10">
        <v>1211361.08367362</v>
      </c>
      <c r="MT10">
        <v>1619540.4173934</v>
      </c>
      <c r="MU10" t="s">
        <v>1900</v>
      </c>
      <c r="MV10" t="s">
        <v>1900</v>
      </c>
      <c r="MW10" t="s">
        <v>1900</v>
      </c>
      <c r="MX10" t="s">
        <v>1900</v>
      </c>
      <c r="MY10" t="s">
        <v>1900</v>
      </c>
      <c r="MZ10" t="s">
        <v>1900</v>
      </c>
      <c r="NA10" t="s">
        <v>1900</v>
      </c>
      <c r="NB10" t="s">
        <v>1900</v>
      </c>
      <c r="NC10" t="s">
        <v>1900</v>
      </c>
      <c r="ND10" t="s">
        <v>1900</v>
      </c>
      <c r="NE10" t="s">
        <v>1900</v>
      </c>
      <c r="NF10" t="s">
        <v>1900</v>
      </c>
      <c r="NG10" t="s">
        <v>1900</v>
      </c>
      <c r="NH10" t="s">
        <v>1900</v>
      </c>
      <c r="NI10" t="s">
        <v>1900</v>
      </c>
      <c r="NJ10" t="s">
        <v>1900</v>
      </c>
      <c r="NK10" t="s">
        <v>1900</v>
      </c>
      <c r="NL10" t="s">
        <v>1900</v>
      </c>
      <c r="NM10" t="s">
        <v>1900</v>
      </c>
      <c r="NN10" t="s">
        <v>1900</v>
      </c>
      <c r="NO10" t="s">
        <v>1900</v>
      </c>
      <c r="NP10" t="s">
        <v>1900</v>
      </c>
      <c r="NQ10" t="s">
        <v>1900</v>
      </c>
      <c r="NR10" t="s">
        <v>1900</v>
      </c>
      <c r="NS10" t="s">
        <v>1900</v>
      </c>
      <c r="NT10">
        <v>14727.6165047371</v>
      </c>
      <c r="NU10">
        <v>35099.0258020115</v>
      </c>
      <c r="NV10">
        <v>40897.0721500754</v>
      </c>
      <c r="NW10">
        <v>55635.3657832146</v>
      </c>
      <c r="NX10">
        <v>61667.5807890654</v>
      </c>
      <c r="NY10" t="s">
        <v>1900</v>
      </c>
      <c r="NZ10" t="s">
        <v>1900</v>
      </c>
      <c r="OA10" t="s">
        <v>1900</v>
      </c>
      <c r="OB10" t="s">
        <v>1900</v>
      </c>
      <c r="OC10" t="s">
        <v>1900</v>
      </c>
      <c r="OD10" t="s">
        <v>1900</v>
      </c>
      <c r="OE10" t="s">
        <v>1900</v>
      </c>
      <c r="OF10" t="s">
        <v>1900</v>
      </c>
      <c r="OG10" t="s">
        <v>1900</v>
      </c>
      <c r="OH10" t="s">
        <v>1900</v>
      </c>
      <c r="OI10" t="s">
        <v>1900</v>
      </c>
      <c r="OJ10" t="s">
        <v>1900</v>
      </c>
      <c r="OK10" t="s">
        <v>1900</v>
      </c>
      <c r="OL10" t="s">
        <v>1900</v>
      </c>
      <c r="OM10" t="s">
        <v>1900</v>
      </c>
      <c r="ON10" t="s">
        <v>1900</v>
      </c>
      <c r="OO10" t="s">
        <v>1900</v>
      </c>
      <c r="OP10" t="s">
        <v>1900</v>
      </c>
      <c r="OQ10" t="s">
        <v>1900</v>
      </c>
      <c r="OR10" t="s">
        <v>1900</v>
      </c>
      <c r="OS10" t="s">
        <v>1900</v>
      </c>
      <c r="OT10" t="s">
        <v>1900</v>
      </c>
      <c r="OU10" t="s">
        <v>1900</v>
      </c>
      <c r="OV10" t="s">
        <v>1900</v>
      </c>
      <c r="OW10" t="s">
        <v>1900</v>
      </c>
      <c r="OX10" t="s">
        <v>1900</v>
      </c>
      <c r="OY10" t="s">
        <v>1900</v>
      </c>
      <c r="OZ10" t="s">
        <v>1900</v>
      </c>
      <c r="PA10" t="s">
        <v>1900</v>
      </c>
      <c r="PB10" t="s">
        <v>1900</v>
      </c>
      <c r="PC10" t="s">
        <v>1900</v>
      </c>
      <c r="PD10" t="s">
        <v>1900</v>
      </c>
      <c r="PE10" t="s">
        <v>1900</v>
      </c>
      <c r="PF10" t="s">
        <v>1900</v>
      </c>
      <c r="PG10" t="s">
        <v>1900</v>
      </c>
      <c r="PH10" t="s">
        <v>1900</v>
      </c>
      <c r="PI10" t="s">
        <v>1900</v>
      </c>
      <c r="PJ10" t="s">
        <v>1900</v>
      </c>
      <c r="PK10" t="s">
        <v>1900</v>
      </c>
      <c r="PL10" t="s">
        <v>1900</v>
      </c>
      <c r="PM10" t="s">
        <v>1900</v>
      </c>
      <c r="PN10" t="s">
        <v>1900</v>
      </c>
      <c r="PO10" t="s">
        <v>1900</v>
      </c>
      <c r="PP10" t="s">
        <v>1900</v>
      </c>
      <c r="PQ10" t="s">
        <v>1900</v>
      </c>
      <c r="PR10" t="s">
        <v>1900</v>
      </c>
      <c r="PS10" t="s">
        <v>1900</v>
      </c>
      <c r="PT10" t="s">
        <v>1900</v>
      </c>
      <c r="PU10" t="s">
        <v>1900</v>
      </c>
      <c r="PV10" t="s">
        <v>1900</v>
      </c>
      <c r="PW10" t="s">
        <v>1900</v>
      </c>
      <c r="PX10" t="s">
        <v>1900</v>
      </c>
      <c r="PY10" t="s">
        <v>1900</v>
      </c>
      <c r="PZ10" t="s">
        <v>1900</v>
      </c>
      <c r="QA10" t="s">
        <v>1900</v>
      </c>
      <c r="QB10" t="s">
        <v>1900</v>
      </c>
      <c r="QC10" t="s">
        <v>1900</v>
      </c>
      <c r="QD10" t="s">
        <v>1900</v>
      </c>
      <c r="QE10" t="s">
        <v>1900</v>
      </c>
      <c r="QF10" t="s">
        <v>1900</v>
      </c>
      <c r="QG10" t="s">
        <v>1900</v>
      </c>
      <c r="QH10" t="s">
        <v>1900</v>
      </c>
      <c r="QI10" t="s">
        <v>1900</v>
      </c>
      <c r="QJ10" t="s">
        <v>1900</v>
      </c>
      <c r="QK10" t="s">
        <v>1900</v>
      </c>
      <c r="QL10" t="s">
        <v>1900</v>
      </c>
      <c r="QM10" t="s">
        <v>1900</v>
      </c>
      <c r="QN10" t="s">
        <v>1900</v>
      </c>
      <c r="QO10" t="s">
        <v>1900</v>
      </c>
      <c r="QP10" t="s">
        <v>1900</v>
      </c>
      <c r="QQ10" t="s">
        <v>1900</v>
      </c>
      <c r="QR10" t="s">
        <v>1900</v>
      </c>
      <c r="QS10" t="s">
        <v>1900</v>
      </c>
      <c r="QT10" t="s">
        <v>1900</v>
      </c>
      <c r="QU10" t="s">
        <v>1900</v>
      </c>
      <c r="QV10" t="s">
        <v>1900</v>
      </c>
      <c r="QW10" t="s">
        <v>1900</v>
      </c>
      <c r="QX10" t="s">
        <v>1900</v>
      </c>
      <c r="QY10" t="s">
        <v>1900</v>
      </c>
      <c r="QZ10" t="s">
        <v>1900</v>
      </c>
      <c r="RA10" t="s">
        <v>1900</v>
      </c>
      <c r="RB10" t="s">
        <v>1900</v>
      </c>
      <c r="RC10" t="s">
        <v>1900</v>
      </c>
      <c r="RD10" t="s">
        <v>1900</v>
      </c>
      <c r="RE10" t="s">
        <v>1900</v>
      </c>
      <c r="RF10" t="s">
        <v>1900</v>
      </c>
      <c r="RG10" t="s">
        <v>1900</v>
      </c>
      <c r="RH10" t="s">
        <v>1900</v>
      </c>
      <c r="RI10" t="s">
        <v>1900</v>
      </c>
      <c r="RJ10" t="s">
        <v>1900</v>
      </c>
      <c r="RK10" t="s">
        <v>1900</v>
      </c>
      <c r="RL10" t="s">
        <v>1900</v>
      </c>
      <c r="RM10" t="s">
        <v>1900</v>
      </c>
      <c r="RN10" t="s">
        <v>1900</v>
      </c>
      <c r="RO10" t="s">
        <v>1900</v>
      </c>
      <c r="RP10" t="s">
        <v>1900</v>
      </c>
      <c r="RQ10" t="s">
        <v>1900</v>
      </c>
      <c r="RR10" t="s">
        <v>1900</v>
      </c>
      <c r="RS10" t="s">
        <v>1900</v>
      </c>
      <c r="RT10" t="s">
        <v>1900</v>
      </c>
      <c r="RU10" t="s">
        <v>1900</v>
      </c>
      <c r="RV10" t="s">
        <v>1900</v>
      </c>
      <c r="RW10" t="s">
        <v>1900</v>
      </c>
      <c r="RX10" t="s">
        <v>1900</v>
      </c>
      <c r="RY10" t="s">
        <v>1900</v>
      </c>
      <c r="RZ10" t="s">
        <v>1900</v>
      </c>
      <c r="SA10" t="s">
        <v>1900</v>
      </c>
      <c r="SB10" t="s">
        <v>1900</v>
      </c>
      <c r="SC10" t="s">
        <v>1900</v>
      </c>
      <c r="SD10" t="s">
        <v>1900</v>
      </c>
      <c r="SE10" t="s">
        <v>1900</v>
      </c>
      <c r="SF10" t="s">
        <v>1900</v>
      </c>
      <c r="SG10" t="s">
        <v>1900</v>
      </c>
      <c r="SH10" t="s">
        <v>1900</v>
      </c>
      <c r="SI10" t="s">
        <v>1900</v>
      </c>
      <c r="SJ10">
        <v>2296.03031936407</v>
      </c>
      <c r="SK10">
        <v>14565.077836628</v>
      </c>
      <c r="SL10">
        <v>12938.9823880315</v>
      </c>
      <c r="SM10">
        <v>13739.6422858715</v>
      </c>
      <c r="SN10">
        <v>29427.5959523499</v>
      </c>
      <c r="SO10" t="s">
        <v>1900</v>
      </c>
      <c r="SP10" t="s">
        <v>1900</v>
      </c>
      <c r="SQ10" t="s">
        <v>1900</v>
      </c>
      <c r="SR10" t="s">
        <v>1900</v>
      </c>
      <c r="SS10" t="s">
        <v>1900</v>
      </c>
      <c r="ST10" t="s">
        <v>1900</v>
      </c>
      <c r="SU10" t="s">
        <v>1900</v>
      </c>
      <c r="SV10" t="s">
        <v>1900</v>
      </c>
      <c r="SW10" t="s">
        <v>1900</v>
      </c>
      <c r="SX10" t="s">
        <v>1900</v>
      </c>
      <c r="SY10" t="s">
        <v>1900</v>
      </c>
      <c r="SZ10" t="s">
        <v>1900</v>
      </c>
      <c r="TA10" t="s">
        <v>1900</v>
      </c>
      <c r="TB10" t="s">
        <v>1900</v>
      </c>
      <c r="TC10" t="s">
        <v>1900</v>
      </c>
      <c r="TD10" t="s">
        <v>1900</v>
      </c>
      <c r="TE10" t="s">
        <v>1900</v>
      </c>
      <c r="TF10" t="s">
        <v>1900</v>
      </c>
      <c r="TG10" t="s">
        <v>1900</v>
      </c>
      <c r="TH10" t="s">
        <v>1900</v>
      </c>
      <c r="TI10" t="s">
        <v>1900</v>
      </c>
      <c r="TJ10" t="s">
        <v>1900</v>
      </c>
      <c r="TK10" t="s">
        <v>1900</v>
      </c>
      <c r="TL10" t="s">
        <v>1900</v>
      </c>
      <c r="TM10" t="s">
        <v>1900</v>
      </c>
      <c r="TN10" t="s">
        <v>1900</v>
      </c>
      <c r="TO10" t="s">
        <v>1900</v>
      </c>
      <c r="TP10" t="s">
        <v>1900</v>
      </c>
      <c r="TQ10" t="s">
        <v>1900</v>
      </c>
      <c r="TR10" t="s">
        <v>1900</v>
      </c>
      <c r="TS10">
        <v>2719545.64401594</v>
      </c>
      <c r="TT10">
        <v>2517054.57372316</v>
      </c>
      <c r="TU10">
        <v>2699140.99538053</v>
      </c>
      <c r="TV10">
        <v>2778407.00327225</v>
      </c>
      <c r="TW10">
        <v>2869555.69807318</v>
      </c>
      <c r="TX10" t="s">
        <v>1900</v>
      </c>
      <c r="TY10" t="s">
        <v>1900</v>
      </c>
      <c r="TZ10" t="s">
        <v>1900</v>
      </c>
      <c r="UA10" t="s">
        <v>1900</v>
      </c>
      <c r="UB10" t="s">
        <v>1900</v>
      </c>
      <c r="UC10">
        <v>0</v>
      </c>
      <c r="UD10">
        <v>0</v>
      </c>
      <c r="UE10">
        <v>0</v>
      </c>
      <c r="UF10">
        <v>0</v>
      </c>
      <c r="UG10">
        <v>0</v>
      </c>
      <c r="UH10" t="s">
        <v>1900</v>
      </c>
      <c r="UI10" t="s">
        <v>1900</v>
      </c>
      <c r="UJ10" t="s">
        <v>1900</v>
      </c>
      <c r="UK10" t="s">
        <v>1900</v>
      </c>
      <c r="UL10" t="s">
        <v>1900</v>
      </c>
      <c r="UM10" t="s">
        <v>1900</v>
      </c>
      <c r="UN10" t="s">
        <v>1900</v>
      </c>
      <c r="UO10" t="s">
        <v>1900</v>
      </c>
      <c r="UP10" t="s">
        <v>1900</v>
      </c>
      <c r="UQ10" t="s">
        <v>1900</v>
      </c>
      <c r="UR10" t="s">
        <v>1900</v>
      </c>
      <c r="US10" t="s">
        <v>1900</v>
      </c>
      <c r="UT10" t="s">
        <v>1900</v>
      </c>
      <c r="UU10" t="s">
        <v>1900</v>
      </c>
      <c r="UV10" t="s">
        <v>1900</v>
      </c>
      <c r="UW10" t="s">
        <v>1900</v>
      </c>
      <c r="UX10" t="s">
        <v>1900</v>
      </c>
      <c r="UY10" t="s">
        <v>1900</v>
      </c>
      <c r="UZ10" t="s">
        <v>1900</v>
      </c>
      <c r="VA10" t="s">
        <v>1900</v>
      </c>
      <c r="VB10" t="s">
        <v>1900</v>
      </c>
      <c r="VC10" t="s">
        <v>1900</v>
      </c>
      <c r="VD10" t="s">
        <v>1900</v>
      </c>
      <c r="VE10" t="s">
        <v>1900</v>
      </c>
      <c r="VF10" t="s">
        <v>1900</v>
      </c>
      <c r="VG10" t="s">
        <v>1900</v>
      </c>
      <c r="VH10" t="s">
        <v>1900</v>
      </c>
      <c r="VI10" t="s">
        <v>1900</v>
      </c>
      <c r="VJ10" t="s">
        <v>1900</v>
      </c>
      <c r="VK10" t="s">
        <v>1900</v>
      </c>
      <c r="VL10" t="s">
        <v>1900</v>
      </c>
      <c r="VM10" t="s">
        <v>1900</v>
      </c>
      <c r="VN10" t="s">
        <v>1900</v>
      </c>
      <c r="VO10" t="s">
        <v>1900</v>
      </c>
      <c r="VP10" t="s">
        <v>1900</v>
      </c>
      <c r="VQ10" t="s">
        <v>1900</v>
      </c>
      <c r="VR10" t="s">
        <v>1900</v>
      </c>
      <c r="VS10" t="s">
        <v>1900</v>
      </c>
      <c r="VT10" t="s">
        <v>1900</v>
      </c>
      <c r="VU10" t="s">
        <v>1900</v>
      </c>
      <c r="VV10" t="s">
        <v>1900</v>
      </c>
      <c r="VW10" t="s">
        <v>1900</v>
      </c>
      <c r="VX10" t="s">
        <v>1900</v>
      </c>
      <c r="VY10" t="s">
        <v>1900</v>
      </c>
      <c r="VZ10" t="s">
        <v>1900</v>
      </c>
      <c r="WA10">
        <v>739112.393410753</v>
      </c>
      <c r="WB10">
        <v>1119316.45138547</v>
      </c>
      <c r="WC10">
        <v>1037650.52757173</v>
      </c>
      <c r="WD10">
        <v>1049608.09007028</v>
      </c>
      <c r="WE10">
        <v>1000808.37147769</v>
      </c>
      <c r="WF10" t="s">
        <v>1900</v>
      </c>
      <c r="WG10" t="s">
        <v>1900</v>
      </c>
      <c r="WH10" t="s">
        <v>1900</v>
      </c>
      <c r="WI10" t="s">
        <v>1900</v>
      </c>
      <c r="WJ10" t="s">
        <v>1900</v>
      </c>
      <c r="WK10" t="s">
        <v>1900</v>
      </c>
      <c r="WL10" t="s">
        <v>1900</v>
      </c>
      <c r="WM10" t="s">
        <v>1900</v>
      </c>
      <c r="WN10" t="s">
        <v>1900</v>
      </c>
      <c r="WO10" t="s">
        <v>1900</v>
      </c>
      <c r="WP10" t="s">
        <v>1900</v>
      </c>
      <c r="WQ10" t="s">
        <v>1900</v>
      </c>
      <c r="WR10" t="s">
        <v>1900</v>
      </c>
      <c r="WS10" t="s">
        <v>1900</v>
      </c>
      <c r="WT10" t="s">
        <v>1900</v>
      </c>
      <c r="WU10" t="s">
        <v>1900</v>
      </c>
      <c r="WV10" t="s">
        <v>1900</v>
      </c>
      <c r="WW10" t="s">
        <v>1900</v>
      </c>
      <c r="WX10" t="s">
        <v>1900</v>
      </c>
      <c r="WY10" t="s">
        <v>1900</v>
      </c>
      <c r="WZ10" t="s">
        <v>1900</v>
      </c>
      <c r="XA10" t="s">
        <v>1900</v>
      </c>
      <c r="XB10" t="s">
        <v>1900</v>
      </c>
      <c r="XC10" t="s">
        <v>1900</v>
      </c>
      <c r="XD10" t="s">
        <v>1900</v>
      </c>
      <c r="XE10" t="s">
        <v>1900</v>
      </c>
      <c r="XF10" t="s">
        <v>1900</v>
      </c>
      <c r="XG10" t="s">
        <v>1900</v>
      </c>
      <c r="XH10" t="s">
        <v>1900</v>
      </c>
      <c r="XI10" t="s">
        <v>1900</v>
      </c>
      <c r="XJ10">
        <v>0</v>
      </c>
      <c r="XK10">
        <v>0</v>
      </c>
      <c r="XL10" t="s">
        <v>1900</v>
      </c>
      <c r="XM10" t="s">
        <v>1900</v>
      </c>
      <c r="XN10" t="s">
        <v>1900</v>
      </c>
      <c r="XO10" t="s">
        <v>1900</v>
      </c>
      <c r="XP10" t="s">
        <v>1900</v>
      </c>
      <c r="XQ10" t="s">
        <v>1900</v>
      </c>
      <c r="XR10" t="s">
        <v>1900</v>
      </c>
      <c r="XS10" t="s">
        <v>1900</v>
      </c>
      <c r="XT10" t="s">
        <v>1900</v>
      </c>
      <c r="XU10" t="s">
        <v>1900</v>
      </c>
      <c r="XV10" t="s">
        <v>1900</v>
      </c>
      <c r="XW10" t="s">
        <v>1900</v>
      </c>
      <c r="XX10" t="s">
        <v>1900</v>
      </c>
      <c r="XY10">
        <v>0</v>
      </c>
      <c r="XZ10">
        <v>0</v>
      </c>
      <c r="YA10" t="s">
        <v>1900</v>
      </c>
      <c r="YB10" t="s">
        <v>1900</v>
      </c>
      <c r="YC10" t="s">
        <v>1900</v>
      </c>
      <c r="YD10" t="s">
        <v>1900</v>
      </c>
      <c r="YE10" t="s">
        <v>1900</v>
      </c>
      <c r="YF10" t="s">
        <v>1900</v>
      </c>
      <c r="YG10" t="s">
        <v>1900</v>
      </c>
      <c r="YH10" t="s">
        <v>1900</v>
      </c>
      <c r="YI10" t="s">
        <v>1900</v>
      </c>
      <c r="YJ10" t="s">
        <v>1900</v>
      </c>
      <c r="YK10" t="s">
        <v>1900</v>
      </c>
      <c r="YL10" t="s">
        <v>1900</v>
      </c>
      <c r="YM10" t="s">
        <v>1900</v>
      </c>
      <c r="YN10" t="s">
        <v>1900</v>
      </c>
      <c r="YO10" t="s">
        <v>1900</v>
      </c>
      <c r="YP10" t="s">
        <v>1900</v>
      </c>
      <c r="YQ10" t="s">
        <v>1900</v>
      </c>
      <c r="YR10" t="s">
        <v>1900</v>
      </c>
      <c r="YS10" t="s">
        <v>1900</v>
      </c>
      <c r="YT10" t="s">
        <v>1900</v>
      </c>
      <c r="YU10" t="s">
        <v>1900</v>
      </c>
      <c r="YV10" t="s">
        <v>1900</v>
      </c>
      <c r="YW10" t="s">
        <v>1900</v>
      </c>
      <c r="YX10" t="s">
        <v>1900</v>
      </c>
      <c r="YY10" t="s">
        <v>1900</v>
      </c>
      <c r="YZ10" t="s">
        <v>1900</v>
      </c>
      <c r="ZA10" t="s">
        <v>1900</v>
      </c>
      <c r="ZB10" t="s">
        <v>1900</v>
      </c>
      <c r="ZC10" t="s">
        <v>1900</v>
      </c>
      <c r="ZD10" t="s">
        <v>1900</v>
      </c>
      <c r="ZE10" t="s">
        <v>1900</v>
      </c>
      <c r="ZF10" t="s">
        <v>1900</v>
      </c>
      <c r="ZG10" t="s">
        <v>1900</v>
      </c>
      <c r="ZH10" t="s">
        <v>1900</v>
      </c>
      <c r="ZI10" t="s">
        <v>1900</v>
      </c>
      <c r="ZJ10" t="s">
        <v>1900</v>
      </c>
      <c r="ZK10" t="s">
        <v>1900</v>
      </c>
      <c r="ZL10" t="s">
        <v>1900</v>
      </c>
      <c r="ZM10" t="s">
        <v>1900</v>
      </c>
      <c r="ZN10" t="s">
        <v>1900</v>
      </c>
      <c r="ZO10" t="s">
        <v>1900</v>
      </c>
      <c r="ZP10" t="s">
        <v>1900</v>
      </c>
      <c r="ZQ10" t="s">
        <v>1900</v>
      </c>
      <c r="ZR10" t="s">
        <v>1900</v>
      </c>
      <c r="ZS10" t="s">
        <v>1900</v>
      </c>
      <c r="ZT10" t="s">
        <v>1900</v>
      </c>
      <c r="ZU10" t="s">
        <v>1900</v>
      </c>
      <c r="ZV10" t="s">
        <v>1900</v>
      </c>
      <c r="ZW10" t="s">
        <v>1900</v>
      </c>
      <c r="ZX10" t="s">
        <v>1900</v>
      </c>
      <c r="ZY10" t="s">
        <v>1900</v>
      </c>
      <c r="ZZ10" t="s">
        <v>1900</v>
      </c>
      <c r="AAA10" t="s">
        <v>1900</v>
      </c>
      <c r="AAB10" t="s">
        <v>1900</v>
      </c>
      <c r="AAC10" t="s">
        <v>1900</v>
      </c>
      <c r="AAD10" t="s">
        <v>1900</v>
      </c>
      <c r="AAE10" t="s">
        <v>1900</v>
      </c>
      <c r="AAF10" t="s">
        <v>1900</v>
      </c>
      <c r="AAG10" t="s">
        <v>1900</v>
      </c>
      <c r="AAH10" t="s">
        <v>1900</v>
      </c>
      <c r="AAI10" t="s">
        <v>1900</v>
      </c>
      <c r="AAJ10" t="s">
        <v>1900</v>
      </c>
      <c r="AAK10" t="s">
        <v>1900</v>
      </c>
      <c r="AAL10" t="s">
        <v>1900</v>
      </c>
      <c r="AAM10" t="s">
        <v>1900</v>
      </c>
      <c r="AAN10" t="s">
        <v>1900</v>
      </c>
      <c r="AAO10" t="s">
        <v>1900</v>
      </c>
      <c r="AAP10" t="s">
        <v>1900</v>
      </c>
      <c r="AAQ10" t="s">
        <v>1900</v>
      </c>
      <c r="AAR10" t="s">
        <v>1900</v>
      </c>
      <c r="AAS10" t="s">
        <v>1900</v>
      </c>
      <c r="AAT10" t="s">
        <v>1900</v>
      </c>
      <c r="AAU10" t="s">
        <v>1900</v>
      </c>
      <c r="AAV10" t="s">
        <v>1900</v>
      </c>
      <c r="AAW10" t="s">
        <v>1900</v>
      </c>
      <c r="AAX10" t="s">
        <v>1900</v>
      </c>
      <c r="AAY10" t="s">
        <v>1900</v>
      </c>
      <c r="AAZ10" t="s">
        <v>1900</v>
      </c>
      <c r="ABA10" t="s">
        <v>1900</v>
      </c>
      <c r="ABB10" t="s">
        <v>1900</v>
      </c>
      <c r="ABC10" t="s">
        <v>1900</v>
      </c>
      <c r="ABD10" t="s">
        <v>1900</v>
      </c>
      <c r="ABE10" t="s">
        <v>1900</v>
      </c>
      <c r="ABF10" t="s">
        <v>1900</v>
      </c>
      <c r="ABG10" t="s">
        <v>1900</v>
      </c>
      <c r="ABH10" t="s">
        <v>1900</v>
      </c>
      <c r="ABI10" t="s">
        <v>1900</v>
      </c>
      <c r="ABJ10" t="s">
        <v>1900</v>
      </c>
      <c r="ABK10" t="s">
        <v>1900</v>
      </c>
      <c r="ABL10" t="s">
        <v>1900</v>
      </c>
      <c r="ABM10" t="s">
        <v>1900</v>
      </c>
      <c r="ABN10" t="s">
        <v>1900</v>
      </c>
      <c r="ABO10" t="s">
        <v>1900</v>
      </c>
      <c r="ABP10" t="s">
        <v>1900</v>
      </c>
      <c r="ABQ10" t="s">
        <v>1900</v>
      </c>
      <c r="ABR10" t="s">
        <v>1900</v>
      </c>
      <c r="ABS10" t="s">
        <v>1900</v>
      </c>
      <c r="ABT10" t="s">
        <v>1900</v>
      </c>
      <c r="ABU10" t="s">
        <v>1900</v>
      </c>
      <c r="ABV10" t="s">
        <v>1900</v>
      </c>
      <c r="ABW10" t="s">
        <v>1900</v>
      </c>
      <c r="ABX10" t="s">
        <v>1900</v>
      </c>
      <c r="ABY10" t="s">
        <v>1900</v>
      </c>
      <c r="ABZ10" t="s">
        <v>1900</v>
      </c>
      <c r="ACA10" t="s">
        <v>1900</v>
      </c>
      <c r="ACB10" t="s">
        <v>1900</v>
      </c>
      <c r="ACC10" t="s">
        <v>1900</v>
      </c>
      <c r="ACD10" t="s">
        <v>1900</v>
      </c>
      <c r="ACE10">
        <v>0.005</v>
      </c>
      <c r="ACF10">
        <v>16.187</v>
      </c>
      <c r="ACG10">
        <v>39.752</v>
      </c>
      <c r="ACH10">
        <v>37.871</v>
      </c>
      <c r="ACI10">
        <v>5.075</v>
      </c>
      <c r="ACJ10" t="s">
        <v>1900</v>
      </c>
      <c r="ACK10">
        <v>15.728</v>
      </c>
      <c r="ACL10" t="s">
        <v>1900</v>
      </c>
      <c r="ACM10" t="s">
        <v>1900</v>
      </c>
      <c r="ACN10" t="s">
        <v>1900</v>
      </c>
      <c r="ACO10">
        <v>0.004</v>
      </c>
      <c r="ACP10">
        <v>8.731</v>
      </c>
      <c r="ACQ10">
        <v>24.47</v>
      </c>
      <c r="ACR10">
        <v>23.564</v>
      </c>
      <c r="ACS10">
        <v>3.305</v>
      </c>
      <c r="ACT10">
        <v>34.929</v>
      </c>
      <c r="ACU10">
        <v>13.916</v>
      </c>
      <c r="ACV10">
        <v>34.592</v>
      </c>
      <c r="ACW10">
        <v>32.992</v>
      </c>
      <c r="ACX10">
        <v>4.439</v>
      </c>
      <c r="ACY10" t="s">
        <v>1900</v>
      </c>
      <c r="ACZ10">
        <v>13.523</v>
      </c>
      <c r="ADA10" t="s">
        <v>1900</v>
      </c>
      <c r="ADB10" t="s">
        <v>1900</v>
      </c>
      <c r="ADC10" t="s">
        <v>1900</v>
      </c>
      <c r="ADD10">
        <v>25.194</v>
      </c>
      <c r="ADE10">
        <v>7.506</v>
      </c>
      <c r="ADF10">
        <v>21.293</v>
      </c>
      <c r="ADG10">
        <v>20.528</v>
      </c>
      <c r="ADH10">
        <v>2.891</v>
      </c>
      <c r="ADI10">
        <v>0.003</v>
      </c>
      <c r="ADJ10">
        <v>5.56</v>
      </c>
      <c r="ADK10">
        <v>15.909</v>
      </c>
      <c r="ADL10">
        <v>16.033</v>
      </c>
      <c r="ADM10">
        <v>2.743</v>
      </c>
      <c r="ADN10">
        <v>71.158</v>
      </c>
      <c r="ADO10">
        <v>66.265</v>
      </c>
      <c r="ADP10">
        <v>73.312</v>
      </c>
      <c r="ADQ10">
        <v>72.108</v>
      </c>
      <c r="ADR10">
        <v>68.746</v>
      </c>
      <c r="ADS10">
        <v>0.028656964</v>
      </c>
      <c r="ADT10">
        <v>1.90175179</v>
      </c>
      <c r="ADU10">
        <v>15.786263339</v>
      </c>
      <c r="ADV10">
        <v>15.748820303</v>
      </c>
      <c r="ADW10">
        <v>2.830679008</v>
      </c>
      <c r="ADX10">
        <v>0.362</v>
      </c>
      <c r="ADY10">
        <v>2.232</v>
      </c>
      <c r="ADZ10">
        <v>16.139</v>
      </c>
      <c r="AEA10">
        <v>16.07</v>
      </c>
      <c r="AEB10">
        <v>3.15</v>
      </c>
      <c r="AEC10">
        <v>0.029</v>
      </c>
      <c r="AED10">
        <v>1.902</v>
      </c>
      <c r="AEE10">
        <v>15.786</v>
      </c>
      <c r="AEF10">
        <v>15.749</v>
      </c>
      <c r="AEG10">
        <v>2.831</v>
      </c>
      <c r="AEH10">
        <v>19.968</v>
      </c>
      <c r="AEI10">
        <v>5.11</v>
      </c>
      <c r="AEJ10">
        <v>14.196</v>
      </c>
      <c r="AEK10">
        <v>14.288</v>
      </c>
      <c r="AEL10">
        <v>2.719</v>
      </c>
      <c r="AEM10">
        <v>0.028665179</v>
      </c>
      <c r="AEN10">
        <v>1.938619522</v>
      </c>
      <c r="AEO10">
        <v>18.745473084</v>
      </c>
      <c r="AEP10">
        <v>18.692700042</v>
      </c>
      <c r="AEQ10">
        <v>2.913140669</v>
      </c>
      <c r="AER10">
        <v>1.000402884</v>
      </c>
      <c r="AES10">
        <v>1.029547258</v>
      </c>
      <c r="AET10">
        <v>1.274421092</v>
      </c>
      <c r="AEU10">
        <v>1.279434749</v>
      </c>
      <c r="AEV10">
        <v>1.042944147</v>
      </c>
      <c r="AEW10" t="s">
        <v>1900</v>
      </c>
      <c r="AEX10" t="s">
        <v>1900</v>
      </c>
      <c r="AEY10" t="s">
        <v>1900</v>
      </c>
      <c r="AEZ10" t="s">
        <v>1900</v>
      </c>
      <c r="AFA10" t="s">
        <v>1900</v>
      </c>
      <c r="AFB10" t="s">
        <v>1900</v>
      </c>
      <c r="AFC10" t="s">
        <v>1900</v>
      </c>
      <c r="AFD10" t="s">
        <v>1900</v>
      </c>
      <c r="AFE10" t="s">
        <v>1900</v>
      </c>
      <c r="AFF10" t="s">
        <v>1900</v>
      </c>
      <c r="AFG10">
        <v>1.762</v>
      </c>
      <c r="AFH10">
        <v>2.828</v>
      </c>
      <c r="AFI10">
        <v>2.499</v>
      </c>
      <c r="AFJ10">
        <v>2.362</v>
      </c>
      <c r="AFK10">
        <v>1.85</v>
      </c>
      <c r="AFL10" t="s">
        <v>1900</v>
      </c>
      <c r="AFM10">
        <v>953.0359999999999</v>
      </c>
      <c r="AFN10" t="s">
        <v>1900</v>
      </c>
      <c r="AFO10" t="s">
        <v>1900</v>
      </c>
      <c r="AFP10" t="s">
        <v>1900</v>
      </c>
      <c r="AFQ10" t="s">
        <v>1901</v>
      </c>
      <c r="AFR10" t="s">
        <v>1901</v>
      </c>
      <c r="AFS10" t="s">
        <v>1901</v>
      </c>
      <c r="AFT10" t="s">
        <v>1901</v>
      </c>
      <c r="AFU10" t="s">
        <v>1901</v>
      </c>
      <c r="AFV10">
        <v>242.238</v>
      </c>
      <c r="AFW10">
        <v>159.898</v>
      </c>
      <c r="AFX10">
        <v>172.537</v>
      </c>
      <c r="AFY10">
        <v>133.24</v>
      </c>
      <c r="AFZ10">
        <v>123.738</v>
      </c>
      <c r="AGA10">
        <v>0</v>
      </c>
      <c r="AGB10">
        <v>0</v>
      </c>
      <c r="AGC10">
        <v>0</v>
      </c>
      <c r="AGD10">
        <v>0</v>
      </c>
      <c r="AGE10">
        <v>0</v>
      </c>
      <c r="AGF10" t="s">
        <v>1900</v>
      </c>
      <c r="AGG10" t="s">
        <v>1900</v>
      </c>
      <c r="AGH10" t="s">
        <v>1900</v>
      </c>
      <c r="AGI10" t="s">
        <v>1900</v>
      </c>
      <c r="AGJ10" t="s">
        <v>1900</v>
      </c>
      <c r="AGK10" t="s">
        <v>1900</v>
      </c>
      <c r="AGL10" t="s">
        <v>1900</v>
      </c>
      <c r="AGM10" t="s">
        <v>1900</v>
      </c>
      <c r="AGN10" t="s">
        <v>1900</v>
      </c>
      <c r="AGO10" t="s">
        <v>1900</v>
      </c>
      <c r="AGP10" t="s">
        <v>1900</v>
      </c>
      <c r="AGQ10" t="s">
        <v>1900</v>
      </c>
      <c r="AGR10" t="s">
        <v>1900</v>
      </c>
      <c r="AGS10" t="s">
        <v>1900</v>
      </c>
      <c r="AGT10" t="s">
        <v>1900</v>
      </c>
      <c r="AGU10">
        <v>0</v>
      </c>
      <c r="AGV10">
        <v>0</v>
      </c>
      <c r="AGW10">
        <v>0</v>
      </c>
      <c r="AGX10">
        <v>0</v>
      </c>
      <c r="AGY10">
        <v>0</v>
      </c>
      <c r="AGZ10">
        <v>3.66</v>
      </c>
      <c r="AHA10">
        <v>2.217</v>
      </c>
      <c r="AHB10">
        <v>2.562</v>
      </c>
      <c r="AHC10">
        <v>2.594</v>
      </c>
      <c r="AHD10">
        <v>2.806</v>
      </c>
      <c r="AHE10">
        <v>3.66</v>
      </c>
      <c r="AHF10">
        <v>2.217</v>
      </c>
      <c r="AHG10">
        <v>2.562</v>
      </c>
      <c r="AHH10">
        <v>2.594</v>
      </c>
      <c r="AHI10">
        <v>2.806</v>
      </c>
      <c r="AHJ10">
        <v>104.081</v>
      </c>
      <c r="AHK10">
        <v>33.864</v>
      </c>
      <c r="AHL10" t="s">
        <v>1901</v>
      </c>
      <c r="AHM10" t="s">
        <v>1901</v>
      </c>
      <c r="AHN10" t="s">
        <v>1901</v>
      </c>
      <c r="AHO10">
        <v>72.129</v>
      </c>
      <c r="AHP10">
        <v>53.938</v>
      </c>
      <c r="AHQ10">
        <v>61.556</v>
      </c>
      <c r="AHR10">
        <v>62.223</v>
      </c>
      <c r="AHS10">
        <v>65.123</v>
      </c>
      <c r="AHT10" t="s">
        <v>1901</v>
      </c>
      <c r="AHU10" t="s">
        <v>1901</v>
      </c>
      <c r="AHV10" t="s">
        <v>1901</v>
      </c>
      <c r="AHW10" t="s">
        <v>1901</v>
      </c>
      <c r="AHX10" t="s">
        <v>1901</v>
      </c>
      <c r="AHY10">
        <v>0.961</v>
      </c>
      <c r="AHZ10">
        <v>2.953</v>
      </c>
      <c r="AIA10">
        <v>0</v>
      </c>
      <c r="AIB10">
        <v>0</v>
      </c>
      <c r="AIC10">
        <v>0</v>
      </c>
      <c r="AID10">
        <v>0.084426982</v>
      </c>
      <c r="AIE10">
        <v>0.578655623</v>
      </c>
      <c r="AIF10">
        <v>0.479374083</v>
      </c>
      <c r="AIG10">
        <v>0.494515104</v>
      </c>
      <c r="AIH10">
        <v>1.025510534</v>
      </c>
      <c r="AII10">
        <v>13.121491641</v>
      </c>
      <c r="AIJ10">
        <v>28.865659007</v>
      </c>
      <c r="AIK10">
        <v>24.767561623</v>
      </c>
      <c r="AIL10">
        <v>43.599122888</v>
      </c>
      <c r="AIM10">
        <v>56.438716923</v>
      </c>
      <c r="AIN10">
        <v>27.177789608</v>
      </c>
      <c r="AIO10">
        <v>44.4692961</v>
      </c>
      <c r="AIP10">
        <v>38.443731889</v>
      </c>
      <c r="AIQ10">
        <v>37.777333876</v>
      </c>
      <c r="AIR10">
        <v>34.876771068</v>
      </c>
      <c r="AIS10">
        <v>0</v>
      </c>
      <c r="AIT10">
        <v>0</v>
      </c>
      <c r="AIU10">
        <v>0</v>
      </c>
      <c r="AIV10">
        <v>0</v>
      </c>
      <c r="AIW10">
        <v>0</v>
      </c>
      <c r="AIX10">
        <v>0.0024528418160677</v>
      </c>
      <c r="AIY10">
        <v>5.35997065548897</v>
      </c>
      <c r="AIZ10">
        <v>17.3809724816179</v>
      </c>
      <c r="AJA10">
        <v>17.2293616514182</v>
      </c>
      <c r="AJB10">
        <v>2.87412793141782</v>
      </c>
      <c r="AJC10">
        <v>85.1077838300241</v>
      </c>
      <c r="AJD10">
        <v>96.3939105054026</v>
      </c>
      <c r="AJE10">
        <v>109.252532201946</v>
      </c>
      <c r="AJF10">
        <v>107.464889863865</v>
      </c>
      <c r="AJG10">
        <v>104.768473046028</v>
      </c>
      <c r="AJH10">
        <v>60.494</v>
      </c>
      <c r="AJI10">
        <v>59.547</v>
      </c>
      <c r="AJJ10">
        <v>50.416</v>
      </c>
      <c r="AJK10">
        <v>49.323</v>
      </c>
      <c r="AJL10">
        <v>58.291</v>
      </c>
      <c r="AJM10">
        <v>51.4852390646214</v>
      </c>
      <c r="AJN10">
        <v>57.3997634803085</v>
      </c>
      <c r="AJO10">
        <v>55.0802780389434</v>
      </c>
      <c r="AJP10">
        <v>53.0053036422372</v>
      </c>
      <c r="AJQ10">
        <v>61.0702865237695</v>
      </c>
      <c r="AJR10">
        <v>47.8435741149051</v>
      </c>
      <c r="AJS10">
        <v>33.1133277558546</v>
      </c>
      <c r="AJT10">
        <v>43.723433868621</v>
      </c>
      <c r="AJU10">
        <v>45.4947082123518</v>
      </c>
      <c r="AJV10">
        <v>56.6287073499328</v>
      </c>
      <c r="AJW10">
        <v>57.2676354747298</v>
      </c>
      <c r="AJX10">
        <v>42.8144188295851</v>
      </c>
      <c r="AJY10">
        <v>52.3613815518373</v>
      </c>
      <c r="AJZ10">
        <v>39.773962180953</v>
      </c>
      <c r="AKA10">
        <v>36.0105358025521</v>
      </c>
      <c r="AKB10">
        <v>66.330381079923</v>
      </c>
      <c r="AKC10">
        <v>61.3915744567842</v>
      </c>
      <c r="AKD10">
        <v>71.03002653104539</v>
      </c>
      <c r="AKE10">
        <v>73.115973293438</v>
      </c>
      <c r="AKF10">
        <v>86.95623338649931</v>
      </c>
      <c r="AKG10">
        <v>0</v>
      </c>
      <c r="AKH10">
        <v>0</v>
      </c>
      <c r="AKI10">
        <v>0</v>
      </c>
      <c r="AKJ10">
        <v>0</v>
      </c>
      <c r="AKK10">
        <v>0</v>
      </c>
      <c r="AKL10">
        <v>0</v>
      </c>
      <c r="AKM10">
        <v>0</v>
      </c>
      <c r="AKN10">
        <v>0</v>
      </c>
      <c r="AKO10">
        <v>0</v>
      </c>
      <c r="AKP10">
        <v>0</v>
      </c>
      <c r="AKQ10">
        <v>0</v>
      </c>
      <c r="AKR10">
        <v>0</v>
      </c>
      <c r="AKS10">
        <v>0</v>
      </c>
      <c r="AKT10">
        <v>0</v>
      </c>
      <c r="AKU10">
        <v>0</v>
      </c>
      <c r="AKV10">
        <v>0.011469395</v>
      </c>
      <c r="AKW10">
        <v>0.024610769</v>
      </c>
      <c r="AKX10">
        <v>0.035298833</v>
      </c>
      <c r="AKY10">
        <v>0.010222804</v>
      </c>
      <c r="AKZ10">
        <v>0.043818541</v>
      </c>
      <c r="ALA10">
        <v>0.014716255</v>
      </c>
      <c r="ALB10">
        <v>0.03864257</v>
      </c>
      <c r="ALC10">
        <v>0.054293756</v>
      </c>
      <c r="ALD10">
        <v>0.015025342</v>
      </c>
      <c r="ALE10">
        <v>0.052794393</v>
      </c>
      <c r="ALF10">
        <v>0.344795809</v>
      </c>
      <c r="ALG10">
        <v>0.494953172</v>
      </c>
      <c r="ALH10">
        <v>0.638131055</v>
      </c>
      <c r="ALI10">
        <v>1.015711381</v>
      </c>
      <c r="ALJ10">
        <v>0.8886845410000001</v>
      </c>
      <c r="ALK10">
        <v>0.442403713</v>
      </c>
      <c r="ALL10">
        <v>0.777150149</v>
      </c>
      <c r="ALM10">
        <v>0.981520594</v>
      </c>
      <c r="ALN10">
        <v>1.492879132</v>
      </c>
      <c r="ALO10">
        <v>1.070723957</v>
      </c>
      <c r="ALP10">
        <v>67.288364892</v>
      </c>
      <c r="ALQ10">
        <v>44.416103012</v>
      </c>
      <c r="ALR10">
        <v>47.926927664</v>
      </c>
      <c r="ALS10">
        <v>37.011122499</v>
      </c>
      <c r="ALT10">
        <v>34.371538895</v>
      </c>
      <c r="ALU10">
        <v>0</v>
      </c>
      <c r="ALV10">
        <v>0</v>
      </c>
      <c r="ALW10">
        <v>0</v>
      </c>
      <c r="ALX10">
        <v>0</v>
      </c>
      <c r="ALY10">
        <v>0</v>
      </c>
      <c r="ALZ10">
        <v>71.1582420608367</v>
      </c>
      <c r="AMA10">
        <v>66.2648074569889</v>
      </c>
      <c r="AMB10">
        <v>73.3119556963415</v>
      </c>
      <c r="AMC10">
        <v>72.1083832325415</v>
      </c>
      <c r="AMD10">
        <v>68.7460417231152</v>
      </c>
      <c r="AME10">
        <v>79.88851407211671</v>
      </c>
      <c r="AMF10">
        <v>73.4215460920576</v>
      </c>
      <c r="AMG10">
        <v>75.65517101558071</v>
      </c>
      <c r="AMH10">
        <v>76.63207437768141</v>
      </c>
      <c r="AMI10">
        <v>69.91766850918221</v>
      </c>
      <c r="AMJ10">
        <v>246.71950375193</v>
      </c>
      <c r="AMK10">
        <v>196.426350235007</v>
      </c>
      <c r="AML10">
        <v>274.699617784626</v>
      </c>
      <c r="AMM10">
        <v>258.530668314184</v>
      </c>
      <c r="AMN10">
        <v>219.959472378125</v>
      </c>
      <c r="AMO10">
        <v>1.00040288389239</v>
      </c>
      <c r="AMP10">
        <v>1.02954725811869</v>
      </c>
      <c r="AMQ10">
        <v>1.27442109241194</v>
      </c>
      <c r="AMR10">
        <v>1.27943474930181</v>
      </c>
      <c r="AMS10">
        <v>1.04294414671933</v>
      </c>
      <c r="AMT10">
        <v>1.00040288389239</v>
      </c>
      <c r="AMU10">
        <v>1.02954725768428</v>
      </c>
      <c r="AMV10">
        <v>1.27442109241194</v>
      </c>
      <c r="AMW10">
        <v>1.27943474880971</v>
      </c>
      <c r="AMX10">
        <v>1.04294414671933</v>
      </c>
      <c r="AMY10">
        <v>1.00040288389239</v>
      </c>
      <c r="AMZ10">
        <v>1.02954725767145</v>
      </c>
      <c r="ANA10">
        <v>1.27442109241194</v>
      </c>
      <c r="ANB10">
        <v>1.27943474867219</v>
      </c>
      <c r="ANC10">
        <v>1.04294414671933</v>
      </c>
      <c r="AND10">
        <v>0.0286569641081192</v>
      </c>
      <c r="ANE10">
        <v>1.90175179030532</v>
      </c>
      <c r="ANF10">
        <v>15.7862633385721</v>
      </c>
      <c r="ANG10">
        <v>15.7488203026023</v>
      </c>
      <c r="ANH10">
        <v>2.83067900751624</v>
      </c>
      <c r="ANI10">
        <v>0.0321728335904973</v>
      </c>
      <c r="ANJ10">
        <v>2.1071449851897</v>
      </c>
      <c r="ANK10">
        <v>16.2908278906583</v>
      </c>
      <c r="ANL10">
        <v>16.7368163684623</v>
      </c>
      <c r="ANM10">
        <v>2.87892177560638</v>
      </c>
      <c r="ANN10">
        <v>0.0286651786780845</v>
      </c>
      <c r="ANO10">
        <v>1.93861952176775</v>
      </c>
      <c r="ANP10">
        <v>18.7454730836123</v>
      </c>
      <c r="ANQ10">
        <v>18.6927000419066</v>
      </c>
      <c r="ANR10">
        <v>2.91314066888992</v>
      </c>
      <c r="ANS10">
        <v>0.0504920620678651</v>
      </c>
      <c r="ANT10">
        <v>5.37726547482447</v>
      </c>
      <c r="ANU10">
        <v>39.4454210624481</v>
      </c>
      <c r="ANV10">
        <v>37.2009251636496</v>
      </c>
      <c r="ANW10">
        <v>5.23702434452267</v>
      </c>
      <c r="ANX10">
        <v>71.1582420608367</v>
      </c>
      <c r="ANY10">
        <v>66.2648074569889</v>
      </c>
      <c r="ANZ10">
        <v>73.3119556963415</v>
      </c>
      <c r="AOA10">
        <v>72.1083832325415</v>
      </c>
      <c r="AOB10">
        <v>68.7460417231151</v>
      </c>
      <c r="AOC10">
        <v>71.1786396980676</v>
      </c>
      <c r="AOD10">
        <v>67.54942995041191</v>
      </c>
      <c r="AOE10">
        <v>87.054628618469</v>
      </c>
      <c r="AOF10">
        <v>85.5873870152689</v>
      </c>
      <c r="AOG10">
        <v>70.7487106228033</v>
      </c>
      <c r="AOH10">
        <v>91.302358268489</v>
      </c>
      <c r="AOI10" t="s">
        <v>1901</v>
      </c>
      <c r="AOJ10" t="s">
        <v>1901</v>
      </c>
      <c r="AOK10" t="s">
        <v>1901</v>
      </c>
      <c r="AOL10">
        <v>82.82807945539319</v>
      </c>
      <c r="AOM10">
        <v>0.0993592837460395</v>
      </c>
      <c r="AON10">
        <v>5.63729342253097</v>
      </c>
      <c r="AOO10">
        <v>59.1510683921044</v>
      </c>
      <c r="AOP10">
        <v>56.4643506825197</v>
      </c>
      <c r="AOQ10">
        <v>9.0570256171673</v>
      </c>
      <c r="AOR10">
        <v>0.0402883892393704</v>
      </c>
      <c r="AOS10">
        <v>2.95472576842845</v>
      </c>
      <c r="AOT10">
        <v>27.4421092411938</v>
      </c>
      <c r="AOU10">
        <v>27.9434748809706</v>
      </c>
      <c r="AOV10">
        <v>4.29441467193255</v>
      </c>
      <c r="AOW10">
        <v>0.0367694356705692</v>
      </c>
      <c r="AOX10">
        <v>2.98603336874614</v>
      </c>
      <c r="AOY10">
        <v>24.2811291466908</v>
      </c>
      <c r="AOZ10">
        <v>23.1474074443188</v>
      </c>
      <c r="APA10">
        <v>3.41051935312275</v>
      </c>
      <c r="APB10">
        <v>19.6351973173147</v>
      </c>
      <c r="APC10">
        <v>4.78050942287164</v>
      </c>
      <c r="APD10">
        <v>13.8438080674205</v>
      </c>
      <c r="APE10">
        <v>13.9669164394322</v>
      </c>
      <c r="APF10">
        <v>2.39951150925139</v>
      </c>
      <c r="APG10">
        <v>22.0442030573491</v>
      </c>
      <c r="APH10">
        <v>5.29681449935107</v>
      </c>
      <c r="API10">
        <v>14.2862873715404</v>
      </c>
      <c r="APJ10">
        <v>14.8431254652012</v>
      </c>
      <c r="APK10">
        <v>2.44040596495021</v>
      </c>
      <c r="APL10">
        <v>68.0790586993057</v>
      </c>
      <c r="APM10">
        <v>14.170689604859</v>
      </c>
      <c r="APN10">
        <v>51.8726959154619</v>
      </c>
      <c r="APO10">
        <v>50.0756788531797</v>
      </c>
      <c r="APP10">
        <v>7.67746436465314</v>
      </c>
      <c r="APQ10">
        <v>27.60482475838</v>
      </c>
      <c r="APR10">
        <v>7.42741216281757</v>
      </c>
      <c r="APS10">
        <v>24.0654349387431</v>
      </c>
      <c r="APT10">
        <v>24.7818040456909</v>
      </c>
      <c r="APU10">
        <v>3.6402917474708</v>
      </c>
      <c r="APV10">
        <v>19.6408257817095</v>
      </c>
      <c r="APW10">
        <v>4.87318531178337</v>
      </c>
      <c r="APX10">
        <v>16.4388953824458</v>
      </c>
      <c r="APY10">
        <v>16.5777102345589</v>
      </c>
      <c r="APZ10">
        <v>2.46941265488209</v>
      </c>
      <c r="AQA10">
        <v>25.1937058620032</v>
      </c>
      <c r="AQB10">
        <v>7.50611132802367</v>
      </c>
      <c r="AQC10">
        <v>21.2934045478454</v>
      </c>
      <c r="AQD10">
        <v>20.5283887524496</v>
      </c>
      <c r="AQE10">
        <v>2.89103088644561</v>
      </c>
      <c r="AQF10">
        <v>0.000402883892393704</v>
      </c>
      <c r="AQG10">
        <v>0.0295472576714491</v>
      </c>
      <c r="AQH10">
        <v>0.274421092411937</v>
      </c>
      <c r="AQI10">
        <v>0.279434748672194</v>
      </c>
      <c r="AQJ10">
        <v>0.0429441467193255</v>
      </c>
      <c r="AQK10">
        <v>4</v>
      </c>
      <c r="AQO10" t="s">
        <v>1902</v>
      </c>
      <c r="AQP10">
        <v>1</v>
      </c>
      <c r="AQQ10">
        <v>0</v>
      </c>
      <c r="AQS10" t="s">
        <v>1905</v>
      </c>
      <c r="AQU10" t="s">
        <v>1906</v>
      </c>
      <c r="AQV10">
        <v>3489419.12456419</v>
      </c>
      <c r="AQW10">
        <v>3952150.3207765</v>
      </c>
      <c r="AQX10">
        <v>4151596.21300794</v>
      </c>
      <c r="AQY10">
        <v>999.9615861082081</v>
      </c>
      <c r="AQZ10">
        <v>75160.08948092459</v>
      </c>
      <c r="ARA10">
        <v>655381.910939622</v>
      </c>
      <c r="ARB10">
        <v>11593165.65834863</v>
      </c>
      <c r="ARC10">
        <v>731541.9620066548</v>
      </c>
      <c r="ARD10">
        <v>0.06735106853803328</v>
      </c>
      <c r="ARE10">
        <v>0.06735106853803328</v>
      </c>
      <c r="ARF10">
        <v>0.06735106853803328</v>
      </c>
      <c r="ARG10">
        <v>0.06735106853803328</v>
      </c>
      <c r="ARH10">
        <v>0.06735106853803328</v>
      </c>
      <c r="ARI10">
        <v>0.06735106853803328</v>
      </c>
      <c r="ARJ10" t="s">
        <v>1171</v>
      </c>
      <c r="ARK10" t="s">
        <v>1509</v>
      </c>
      <c r="ARL10" t="s">
        <v>1908</v>
      </c>
      <c r="ARM10" t="s">
        <v>1908</v>
      </c>
      <c r="ARN10" t="s">
        <v>1909</v>
      </c>
      <c r="ARO10" t="s">
        <v>1908</v>
      </c>
      <c r="ARP10" t="s">
        <v>1907</v>
      </c>
      <c r="ARQ10" t="s">
        <v>1916</v>
      </c>
      <c r="ARR10">
        <f>HYPERLINK("C:\Users\Usuario\Documents\Proyectos\llmthon\evidence\amplia-iiot_com_233240.png", "Ver Evidencia")</f>
        <v>0</v>
      </c>
      <c r="ARS10">
        <v>100</v>
      </c>
    </row>
    <row r="11" spans="1:1163">
      <c r="A11">
        <v>191</v>
      </c>
      <c r="B11" t="s">
        <v>1172</v>
      </c>
      <c r="C11" t="s">
        <v>1295</v>
      </c>
      <c r="E11" s="2">
        <v>44140</v>
      </c>
      <c r="F11" t="s">
        <v>1431</v>
      </c>
      <c r="G11" t="s">
        <v>1433</v>
      </c>
      <c r="H11" t="s">
        <v>1434</v>
      </c>
      <c r="I11" t="s">
        <v>1437</v>
      </c>
      <c r="J11" t="s">
        <v>1453</v>
      </c>
      <c r="L11" t="s">
        <v>1510</v>
      </c>
      <c r="N11" t="s">
        <v>1631</v>
      </c>
      <c r="O11" t="s">
        <v>1655</v>
      </c>
      <c r="P11">
        <v>6202</v>
      </c>
      <c r="Q11">
        <v>6202</v>
      </c>
      <c r="R11" t="s">
        <v>1681</v>
      </c>
      <c r="Z11" t="s">
        <v>1899</v>
      </c>
      <c r="AA11" s="2">
        <v>45657</v>
      </c>
      <c r="AB11">
        <v>2024</v>
      </c>
      <c r="AC11">
        <v>4508900.1276805</v>
      </c>
      <c r="AD11">
        <v>4468135.33009423</v>
      </c>
      <c r="AE11">
        <v>1991687.02546646</v>
      </c>
      <c r="AF11">
        <v>859107.652922129</v>
      </c>
      <c r="AG11" t="s">
        <v>1900</v>
      </c>
      <c r="AH11">
        <v>4432430.33745617</v>
      </c>
      <c r="AI11">
        <v>4205601.62147233</v>
      </c>
      <c r="AJ11">
        <v>1969642.02460939</v>
      </c>
      <c r="AK11">
        <v>674291.7355845449</v>
      </c>
      <c r="AL11" t="s">
        <v>1900</v>
      </c>
      <c r="AM11">
        <v>1420819.2914555</v>
      </c>
      <c r="AN11">
        <v>1335552.07572936</v>
      </c>
      <c r="AO11">
        <v>21225.3298163414</v>
      </c>
      <c r="AP11" t="s">
        <v>1900</v>
      </c>
      <c r="AQ11" t="s">
        <v>1900</v>
      </c>
      <c r="AR11">
        <v>3088080.836225</v>
      </c>
      <c r="AS11">
        <v>3132583.25325987</v>
      </c>
      <c r="AT11">
        <v>1970461.69565012</v>
      </c>
      <c r="AU11">
        <v>859107.652922129</v>
      </c>
      <c r="AV11" t="s">
        <v>1900</v>
      </c>
      <c r="AW11">
        <v>2567602.84612079</v>
      </c>
      <c r="AX11">
        <v>2382602.80963286</v>
      </c>
      <c r="AY11">
        <v>1639134.32921501</v>
      </c>
      <c r="AZ11">
        <v>724719.325872016</v>
      </c>
      <c r="BA11" t="s">
        <v>1900</v>
      </c>
      <c r="BB11">
        <v>520477.990104213</v>
      </c>
      <c r="BC11">
        <v>749980.444732008</v>
      </c>
      <c r="BD11">
        <v>331327.366435105</v>
      </c>
      <c r="BE11">
        <v>134388.327050114</v>
      </c>
      <c r="BF11" t="s">
        <v>1900</v>
      </c>
      <c r="BG11">
        <v>18670.4792093515</v>
      </c>
      <c r="BH11">
        <v>6630.00297546387</v>
      </c>
      <c r="BI11">
        <v>-194.665072602034</v>
      </c>
      <c r="BJ11">
        <v>-755.127276992798</v>
      </c>
      <c r="BK11" t="s">
        <v>1900</v>
      </c>
      <c r="BL11">
        <v>21343.3183922005</v>
      </c>
      <c r="BM11">
        <v>6630.00297546387</v>
      </c>
      <c r="BN11" t="s">
        <v>1900</v>
      </c>
      <c r="BO11" t="s">
        <v>1900</v>
      </c>
      <c r="BP11" t="s">
        <v>1900</v>
      </c>
      <c r="BQ11">
        <v>2672.83918284893</v>
      </c>
      <c r="BR11" t="s">
        <v>1900</v>
      </c>
      <c r="BS11">
        <v>194.665072602034</v>
      </c>
      <c r="BT11">
        <v>755.127276992798</v>
      </c>
      <c r="BU11" t="s">
        <v>1900</v>
      </c>
      <c r="BV11">
        <v>539148.469313564</v>
      </c>
      <c r="BW11">
        <v>756610.447707472</v>
      </c>
      <c r="BX11">
        <v>331132.701362503</v>
      </c>
      <c r="BY11">
        <v>133633.199773121</v>
      </c>
      <c r="BZ11" t="s">
        <v>1900</v>
      </c>
      <c r="CA11">
        <v>154976.020939738</v>
      </c>
      <c r="CB11">
        <v>129380.673714457</v>
      </c>
      <c r="CC11">
        <v>32501.6115941167</v>
      </c>
      <c r="CD11">
        <v>33630.4934715986</v>
      </c>
      <c r="CE11" t="s">
        <v>1900</v>
      </c>
      <c r="CF11">
        <v>384172.448373827</v>
      </c>
      <c r="CG11">
        <v>627229.7739930151</v>
      </c>
      <c r="CH11">
        <v>298631.089768386</v>
      </c>
      <c r="CI11">
        <v>100002.706301522</v>
      </c>
      <c r="CJ11" t="s">
        <v>1900</v>
      </c>
      <c r="CK11" t="s">
        <v>1900</v>
      </c>
      <c r="CL11" t="s">
        <v>1900</v>
      </c>
      <c r="CM11" t="s">
        <v>1900</v>
      </c>
      <c r="CN11" t="s">
        <v>1900</v>
      </c>
      <c r="CO11" t="s">
        <v>1900</v>
      </c>
      <c r="CP11" t="s">
        <v>1900</v>
      </c>
      <c r="CQ11" t="s">
        <v>1900</v>
      </c>
      <c r="CR11" t="s">
        <v>1900</v>
      </c>
      <c r="CS11" t="s">
        <v>1900</v>
      </c>
      <c r="CT11" t="s">
        <v>1900</v>
      </c>
      <c r="CU11" t="s">
        <v>1900</v>
      </c>
      <c r="CV11" t="s">
        <v>1900</v>
      </c>
      <c r="CW11" t="s">
        <v>1900</v>
      </c>
      <c r="CX11" t="s">
        <v>1900</v>
      </c>
      <c r="CY11" t="s">
        <v>1900</v>
      </c>
      <c r="CZ11">
        <v>384172.448373827</v>
      </c>
      <c r="DA11">
        <v>627229.7739930151</v>
      </c>
      <c r="DB11">
        <v>298631.089768386</v>
      </c>
      <c r="DC11">
        <v>100002.706301522</v>
      </c>
      <c r="DD11" t="s">
        <v>1900</v>
      </c>
      <c r="DE11" t="s">
        <v>1900</v>
      </c>
      <c r="DF11" t="s">
        <v>1900</v>
      </c>
      <c r="DG11" t="s">
        <v>1900</v>
      </c>
      <c r="DH11" t="s">
        <v>1900</v>
      </c>
      <c r="DI11" t="s">
        <v>1900</v>
      </c>
      <c r="DJ11">
        <v>1420819.2914555</v>
      </c>
      <c r="DK11">
        <v>1335552.07572936</v>
      </c>
      <c r="DL11">
        <v>21225.3298163414</v>
      </c>
      <c r="DM11" t="s">
        <v>1900</v>
      </c>
      <c r="DN11" t="s">
        <v>1900</v>
      </c>
      <c r="DO11">
        <v>2008204.54173781</v>
      </c>
      <c r="DP11">
        <v>2151213.56208821</v>
      </c>
      <c r="DQ11">
        <v>1509014.02334318</v>
      </c>
      <c r="DR11">
        <v>650839.9324021341</v>
      </c>
      <c r="DS11" t="s">
        <v>1900</v>
      </c>
      <c r="DT11">
        <v>8917.030594485999</v>
      </c>
      <c r="DU11">
        <v>7627.50902313232</v>
      </c>
      <c r="DV11">
        <v>5499.41895944476</v>
      </c>
      <c r="DW11">
        <v>2562.82532372475</v>
      </c>
      <c r="DX11" t="s">
        <v>1900</v>
      </c>
      <c r="DY11">
        <v>550481.272749599</v>
      </c>
      <c r="DZ11">
        <v>223761.738521519</v>
      </c>
      <c r="EA11">
        <v>124620.886912394</v>
      </c>
      <c r="EB11">
        <v>71316.5681461573</v>
      </c>
      <c r="EC11" t="s">
        <v>1900</v>
      </c>
      <c r="ED11">
        <v>2672.83918284893</v>
      </c>
      <c r="EE11" t="s">
        <v>1900</v>
      </c>
      <c r="EF11">
        <v>194.665072602034</v>
      </c>
      <c r="EG11">
        <v>755.127276992798</v>
      </c>
      <c r="EH11" t="s">
        <v>1900</v>
      </c>
      <c r="EI11" t="s">
        <v>1900</v>
      </c>
      <c r="EJ11" t="s">
        <v>1900</v>
      </c>
      <c r="EK11" t="s">
        <v>1900</v>
      </c>
      <c r="EL11" t="s">
        <v>1900</v>
      </c>
      <c r="EM11" t="s">
        <v>1900</v>
      </c>
      <c r="EN11">
        <v>393089.478968313</v>
      </c>
      <c r="EO11">
        <v>634857.283016148</v>
      </c>
      <c r="EP11">
        <v>304130.508727831</v>
      </c>
      <c r="EQ11">
        <v>102565.531625247</v>
      </c>
      <c r="ER11" t="s">
        <v>1900</v>
      </c>
      <c r="ES11">
        <v>2558942.8808287</v>
      </c>
      <c r="ET11">
        <v>2915451.51881882</v>
      </c>
      <c r="EU11">
        <v>1845840.80873773</v>
      </c>
      <c r="EV11">
        <v>787791.0836433721</v>
      </c>
      <c r="EW11" t="s">
        <v>1900</v>
      </c>
      <c r="EX11">
        <v>529395.0206986991</v>
      </c>
      <c r="EY11">
        <v>757607.95375514</v>
      </c>
      <c r="EZ11">
        <v>336826.785394549</v>
      </c>
      <c r="FA11">
        <v>136951.151241238</v>
      </c>
      <c r="FB11" t="s">
        <v>1900</v>
      </c>
      <c r="FC11">
        <v>38883.3190661204</v>
      </c>
      <c r="FD11">
        <v>60804.2103381825</v>
      </c>
      <c r="FE11">
        <v>31586.7572150528</v>
      </c>
      <c r="FF11">
        <v>15478.987904048</v>
      </c>
      <c r="FG11" t="s">
        <v>1900</v>
      </c>
      <c r="FH11">
        <v>0</v>
      </c>
      <c r="FI11">
        <v>0</v>
      </c>
      <c r="FJ11">
        <v>0</v>
      </c>
      <c r="FK11">
        <v>0</v>
      </c>
      <c r="FL11" t="s">
        <v>1900</v>
      </c>
      <c r="FM11">
        <v>13781.4387478614</v>
      </c>
      <c r="FN11">
        <v>21024.1924853992</v>
      </c>
      <c r="FO11">
        <v>16944.8740820527</v>
      </c>
      <c r="FP11">
        <v>15478.987904048</v>
      </c>
      <c r="FQ11" t="s">
        <v>1900</v>
      </c>
      <c r="FR11">
        <v>25101.880318259</v>
      </c>
      <c r="FS11">
        <v>39780.0178527832</v>
      </c>
      <c r="FT11">
        <v>14641.8831330001</v>
      </c>
      <c r="FU11">
        <v>0</v>
      </c>
      <c r="FV11" t="s">
        <v>1900</v>
      </c>
      <c r="FW11">
        <v>0</v>
      </c>
      <c r="FX11">
        <v>0</v>
      </c>
      <c r="FY11">
        <v>0</v>
      </c>
      <c r="FZ11">
        <v>0</v>
      </c>
      <c r="GA11" t="s">
        <v>1900</v>
      </c>
      <c r="GB11">
        <v>13781.4387478614</v>
      </c>
      <c r="GC11">
        <v>21024.1924853992</v>
      </c>
      <c r="GD11">
        <v>16944.8740820527</v>
      </c>
      <c r="GE11">
        <v>15478.987904048</v>
      </c>
      <c r="GF11" t="s">
        <v>1900</v>
      </c>
      <c r="GG11">
        <v>25101.880318259</v>
      </c>
      <c r="GH11">
        <v>39780.0178527832</v>
      </c>
      <c r="GI11">
        <v>14641.8831330001</v>
      </c>
      <c r="GJ11">
        <v>0</v>
      </c>
      <c r="GK11" t="s">
        <v>1900</v>
      </c>
      <c r="GL11">
        <v>1285305.99373701</v>
      </c>
      <c r="GM11">
        <v>1556892.40456418</v>
      </c>
      <c r="GN11">
        <v>1281144.35409031</v>
      </c>
      <c r="GO11">
        <v>562094.910724711</v>
      </c>
      <c r="GP11" t="s">
        <v>1900</v>
      </c>
      <c r="GQ11">
        <v>0</v>
      </c>
      <c r="GR11">
        <v>0</v>
      </c>
      <c r="GS11">
        <v>0</v>
      </c>
      <c r="GT11">
        <v>0</v>
      </c>
      <c r="GU11" t="s">
        <v>1900</v>
      </c>
      <c r="GV11">
        <v>541938.662588553</v>
      </c>
      <c r="GW11">
        <v>559644.706011667</v>
      </c>
      <c r="GX11">
        <v>1044711.35218803</v>
      </c>
      <c r="GY11">
        <v>561641.870601726</v>
      </c>
      <c r="GZ11" t="s">
        <v>1900</v>
      </c>
      <c r="HA11">
        <v>743367.330109559</v>
      </c>
      <c r="HB11">
        <v>997247.698552513</v>
      </c>
      <c r="HC11">
        <v>236433.001902282</v>
      </c>
      <c r="HD11">
        <v>453.04012298584</v>
      </c>
      <c r="HE11" t="s">
        <v>1900</v>
      </c>
      <c r="HF11">
        <v>742486.666396632</v>
      </c>
      <c r="HG11">
        <v>994074.225528297</v>
      </c>
      <c r="HH11">
        <v>235153.082516372</v>
      </c>
      <c r="HI11" t="s">
        <v>1900</v>
      </c>
      <c r="HJ11" t="s">
        <v>1900</v>
      </c>
      <c r="HK11">
        <v>1324189.31280313</v>
      </c>
      <c r="HL11">
        <v>1617696.61490236</v>
      </c>
      <c r="HM11">
        <v>1312731.11130536</v>
      </c>
      <c r="HN11">
        <v>577573.898628759</v>
      </c>
      <c r="HO11" t="s">
        <v>1900</v>
      </c>
      <c r="HP11">
        <v>1013319.1226764</v>
      </c>
      <c r="HQ11">
        <v>1088355.89554075</v>
      </c>
      <c r="HR11">
        <v>441495.531633741</v>
      </c>
      <c r="HS11">
        <v>151713.306217289</v>
      </c>
      <c r="HT11" t="s">
        <v>1900</v>
      </c>
      <c r="HU11">
        <v>3116.69862270355</v>
      </c>
      <c r="HV11">
        <v>3315.00148773193</v>
      </c>
      <c r="HW11">
        <v>3199.79846477509</v>
      </c>
      <c r="HX11">
        <v>3397.8009223938</v>
      </c>
      <c r="HY11" t="s">
        <v>1900</v>
      </c>
      <c r="HZ11">
        <v>1010202.42405369</v>
      </c>
      <c r="IA11">
        <v>1085040.89405302</v>
      </c>
      <c r="IB11">
        <v>438295.733168966</v>
      </c>
      <c r="IC11">
        <v>148315.504162295</v>
      </c>
      <c r="ID11" t="s">
        <v>1900</v>
      </c>
      <c r="IE11">
        <v>0</v>
      </c>
      <c r="IF11">
        <v>0</v>
      </c>
      <c r="IG11">
        <v>0</v>
      </c>
      <c r="IH11">
        <v>0</v>
      </c>
      <c r="II11" t="s">
        <v>1900</v>
      </c>
      <c r="IJ11" t="s">
        <v>1900</v>
      </c>
      <c r="IK11" t="s">
        <v>1900</v>
      </c>
      <c r="IL11" t="s">
        <v>1900</v>
      </c>
      <c r="IM11" t="s">
        <v>1900</v>
      </c>
      <c r="IN11" t="s">
        <v>1900</v>
      </c>
      <c r="IO11" t="s">
        <v>1900</v>
      </c>
      <c r="IP11" t="s">
        <v>1900</v>
      </c>
      <c r="IQ11" t="s">
        <v>1900</v>
      </c>
      <c r="IR11" t="s">
        <v>1900</v>
      </c>
      <c r="IS11" t="s">
        <v>1900</v>
      </c>
      <c r="IT11" t="s">
        <v>1900</v>
      </c>
      <c r="IU11" t="s">
        <v>1900</v>
      </c>
      <c r="IV11" t="s">
        <v>1900</v>
      </c>
      <c r="IW11" t="s">
        <v>1900</v>
      </c>
      <c r="IX11" t="s">
        <v>1900</v>
      </c>
      <c r="IY11">
        <v>310870.190126737</v>
      </c>
      <c r="IZ11">
        <v>529340.71936161</v>
      </c>
      <c r="JA11">
        <v>871235.579671621</v>
      </c>
      <c r="JB11">
        <v>425860.59241147</v>
      </c>
      <c r="JC11" t="s">
        <v>1900</v>
      </c>
      <c r="JD11">
        <v>0</v>
      </c>
      <c r="JE11">
        <v>0</v>
      </c>
      <c r="JF11">
        <v>0</v>
      </c>
      <c r="JG11">
        <v>0</v>
      </c>
      <c r="JH11" t="s">
        <v>1900</v>
      </c>
      <c r="JI11">
        <v>0</v>
      </c>
      <c r="JJ11">
        <v>0</v>
      </c>
      <c r="JK11">
        <v>132072.918888998</v>
      </c>
      <c r="JL11">
        <v>0</v>
      </c>
      <c r="JM11" t="s">
        <v>1900</v>
      </c>
      <c r="JN11">
        <v>310870.190126737</v>
      </c>
      <c r="JO11">
        <v>529340.71936161</v>
      </c>
      <c r="JP11">
        <v>739162.660782623</v>
      </c>
      <c r="JQ11">
        <v>425860.59241147</v>
      </c>
      <c r="JR11" t="s">
        <v>1900</v>
      </c>
      <c r="JS11">
        <v>1324189.31280313</v>
      </c>
      <c r="JT11">
        <v>1617696.61490236</v>
      </c>
      <c r="JU11">
        <v>1312731.11130536</v>
      </c>
      <c r="JV11">
        <v>577573.898628759</v>
      </c>
      <c r="JW11" t="s">
        <v>1900</v>
      </c>
      <c r="JX11">
        <v>541938.662588553</v>
      </c>
      <c r="JY11">
        <v>559644.706011667</v>
      </c>
      <c r="JZ11">
        <v>912638.432232429</v>
      </c>
      <c r="KA11">
        <v>561641.870601726</v>
      </c>
      <c r="KB11" t="s">
        <v>1900</v>
      </c>
      <c r="KC11" t="s">
        <v>1900</v>
      </c>
      <c r="KD11" t="s">
        <v>1900</v>
      </c>
      <c r="KE11" t="s">
        <v>1900</v>
      </c>
      <c r="KF11" t="s">
        <v>1900</v>
      </c>
      <c r="KG11" t="s">
        <v>1900</v>
      </c>
      <c r="KH11" t="s">
        <v>1900</v>
      </c>
      <c r="KI11" t="s">
        <v>1900</v>
      </c>
      <c r="KJ11" t="s">
        <v>1900</v>
      </c>
      <c r="KK11" t="s">
        <v>1900</v>
      </c>
      <c r="KL11" t="s">
        <v>1900</v>
      </c>
      <c r="KM11">
        <v>43</v>
      </c>
      <c r="KN11">
        <v>44</v>
      </c>
      <c r="KO11">
        <v>34</v>
      </c>
      <c r="KP11">
        <v>15</v>
      </c>
      <c r="KQ11" t="s">
        <v>1900</v>
      </c>
      <c r="KR11" t="s">
        <v>1900</v>
      </c>
      <c r="KS11" t="s">
        <v>1900</v>
      </c>
      <c r="KT11" t="s">
        <v>1900</v>
      </c>
      <c r="KU11" t="s">
        <v>1900</v>
      </c>
      <c r="KV11" t="s">
        <v>1900</v>
      </c>
      <c r="KW11" t="s">
        <v>1900</v>
      </c>
      <c r="KX11" t="s">
        <v>1900</v>
      </c>
      <c r="KY11" t="s">
        <v>1900</v>
      </c>
      <c r="KZ11" t="s">
        <v>1900</v>
      </c>
      <c r="LA11" t="s">
        <v>1900</v>
      </c>
      <c r="LB11" t="s">
        <v>1900</v>
      </c>
      <c r="LC11" t="s">
        <v>1900</v>
      </c>
      <c r="LD11" t="s">
        <v>1900</v>
      </c>
      <c r="LE11" t="s">
        <v>1900</v>
      </c>
      <c r="LF11" t="s">
        <v>1900</v>
      </c>
      <c r="LG11" t="s">
        <v>1900</v>
      </c>
      <c r="LH11" t="s">
        <v>1900</v>
      </c>
      <c r="LI11" t="s">
        <v>1900</v>
      </c>
      <c r="LJ11" t="s">
        <v>1900</v>
      </c>
      <c r="LK11" t="s">
        <v>1900</v>
      </c>
      <c r="LL11" t="s">
        <v>1900</v>
      </c>
      <c r="LM11" t="s">
        <v>1900</v>
      </c>
      <c r="LN11" t="s">
        <v>1900</v>
      </c>
      <c r="LO11" t="s">
        <v>1900</v>
      </c>
      <c r="LP11" t="s">
        <v>1900</v>
      </c>
      <c r="LQ11" t="s">
        <v>1900</v>
      </c>
      <c r="LR11" t="s">
        <v>1900</v>
      </c>
      <c r="LS11" t="s">
        <v>1900</v>
      </c>
      <c r="LT11" t="s">
        <v>1900</v>
      </c>
      <c r="LU11" t="s">
        <v>1900</v>
      </c>
      <c r="LV11" t="s">
        <v>1900</v>
      </c>
      <c r="LW11" t="s">
        <v>1900</v>
      </c>
      <c r="LX11" t="s">
        <v>1900</v>
      </c>
      <c r="LY11" t="s">
        <v>1900</v>
      </c>
      <c r="LZ11" t="s">
        <v>1900</v>
      </c>
      <c r="MA11" t="s">
        <v>1900</v>
      </c>
      <c r="MB11" t="s">
        <v>1900</v>
      </c>
      <c r="MC11" t="s">
        <v>1900</v>
      </c>
      <c r="MD11" t="s">
        <v>1900</v>
      </c>
      <c r="ME11" t="s">
        <v>1900</v>
      </c>
      <c r="MF11" t="s">
        <v>1900</v>
      </c>
      <c r="MG11" t="s">
        <v>1900</v>
      </c>
      <c r="MH11" t="s">
        <v>1900</v>
      </c>
      <c r="MI11" t="s">
        <v>1900</v>
      </c>
      <c r="MJ11" t="s">
        <v>1900</v>
      </c>
      <c r="MK11" t="s">
        <v>1900</v>
      </c>
      <c r="ML11" t="s">
        <v>1900</v>
      </c>
      <c r="MM11" t="s">
        <v>1900</v>
      </c>
      <c r="MN11" t="s">
        <v>1900</v>
      </c>
      <c r="MO11" t="s">
        <v>1900</v>
      </c>
      <c r="MP11">
        <v>743367.330109559</v>
      </c>
      <c r="MQ11">
        <v>997247.698552513</v>
      </c>
      <c r="MR11">
        <v>236433.001902282</v>
      </c>
      <c r="MS11">
        <v>453.04012298584</v>
      </c>
      <c r="MT11" t="s">
        <v>1900</v>
      </c>
      <c r="MU11" t="s">
        <v>1900</v>
      </c>
      <c r="MV11" t="s">
        <v>1900</v>
      </c>
      <c r="MW11" t="s">
        <v>1900</v>
      </c>
      <c r="MX11" t="s">
        <v>1900</v>
      </c>
      <c r="MY11" t="s">
        <v>1900</v>
      </c>
      <c r="MZ11" t="s">
        <v>1900</v>
      </c>
      <c r="NA11" t="s">
        <v>1900</v>
      </c>
      <c r="NB11" t="s">
        <v>1900</v>
      </c>
      <c r="NC11" t="s">
        <v>1900</v>
      </c>
      <c r="ND11" t="s">
        <v>1900</v>
      </c>
      <c r="NE11" t="s">
        <v>1900</v>
      </c>
      <c r="NF11" t="s">
        <v>1900</v>
      </c>
      <c r="NG11" t="s">
        <v>1900</v>
      </c>
      <c r="NH11" t="s">
        <v>1900</v>
      </c>
      <c r="NI11" t="s">
        <v>1900</v>
      </c>
      <c r="NJ11" t="s">
        <v>1900</v>
      </c>
      <c r="NK11" t="s">
        <v>1900</v>
      </c>
      <c r="NL11" t="s">
        <v>1900</v>
      </c>
      <c r="NM11" t="s">
        <v>1900</v>
      </c>
      <c r="NN11" t="s">
        <v>1900</v>
      </c>
      <c r="NO11" t="s">
        <v>1900</v>
      </c>
      <c r="NP11" t="s">
        <v>1900</v>
      </c>
      <c r="NQ11" t="s">
        <v>1900</v>
      </c>
      <c r="NR11" t="s">
        <v>1900</v>
      </c>
      <c r="NS11" t="s">
        <v>1900</v>
      </c>
      <c r="NT11">
        <v>38883.3190661204</v>
      </c>
      <c r="NU11">
        <v>60804.2103381825</v>
      </c>
      <c r="NV11">
        <v>31586.7572150528</v>
      </c>
      <c r="NW11">
        <v>15478.987904048</v>
      </c>
      <c r="NX11" t="s">
        <v>1900</v>
      </c>
      <c r="NY11" t="s">
        <v>1900</v>
      </c>
      <c r="NZ11" t="s">
        <v>1900</v>
      </c>
      <c r="OA11" t="s">
        <v>1900</v>
      </c>
      <c r="OB11" t="s">
        <v>1900</v>
      </c>
      <c r="OC11" t="s">
        <v>1900</v>
      </c>
      <c r="OD11" t="s">
        <v>1900</v>
      </c>
      <c r="OE11" t="s">
        <v>1900</v>
      </c>
      <c r="OF11" t="s">
        <v>1900</v>
      </c>
      <c r="OG11" t="s">
        <v>1900</v>
      </c>
      <c r="OH11" t="s">
        <v>1900</v>
      </c>
      <c r="OI11" t="s">
        <v>1900</v>
      </c>
      <c r="OJ11" t="s">
        <v>1900</v>
      </c>
      <c r="OK11" t="s">
        <v>1900</v>
      </c>
      <c r="OL11" t="s">
        <v>1900</v>
      </c>
      <c r="OM11" t="s">
        <v>1900</v>
      </c>
      <c r="ON11" t="s">
        <v>1900</v>
      </c>
      <c r="OO11" t="s">
        <v>1900</v>
      </c>
      <c r="OP11" t="s">
        <v>1900</v>
      </c>
      <c r="OQ11" t="s">
        <v>1900</v>
      </c>
      <c r="OR11" t="s">
        <v>1900</v>
      </c>
      <c r="OS11" t="s">
        <v>1900</v>
      </c>
      <c r="OT11" t="s">
        <v>1900</v>
      </c>
      <c r="OU11" t="s">
        <v>1900</v>
      </c>
      <c r="OV11" t="s">
        <v>1900</v>
      </c>
      <c r="OW11" t="s">
        <v>1900</v>
      </c>
      <c r="OX11" t="s">
        <v>1900</v>
      </c>
      <c r="OY11" t="s">
        <v>1900</v>
      </c>
      <c r="OZ11" t="s">
        <v>1900</v>
      </c>
      <c r="PA11" t="s">
        <v>1900</v>
      </c>
      <c r="PB11" t="s">
        <v>1900</v>
      </c>
      <c r="PC11" t="s">
        <v>1900</v>
      </c>
      <c r="PD11" t="s">
        <v>1900</v>
      </c>
      <c r="PE11" t="s">
        <v>1900</v>
      </c>
      <c r="PF11" t="s">
        <v>1900</v>
      </c>
      <c r="PG11" t="s">
        <v>1900</v>
      </c>
      <c r="PH11" t="s">
        <v>1900</v>
      </c>
      <c r="PI11" t="s">
        <v>1900</v>
      </c>
      <c r="PJ11" t="s">
        <v>1900</v>
      </c>
      <c r="PK11" t="s">
        <v>1900</v>
      </c>
      <c r="PL11" t="s">
        <v>1900</v>
      </c>
      <c r="PM11" t="s">
        <v>1900</v>
      </c>
      <c r="PN11" t="s">
        <v>1900</v>
      </c>
      <c r="PO11" t="s">
        <v>1900</v>
      </c>
      <c r="PP11" t="s">
        <v>1900</v>
      </c>
      <c r="PQ11" t="s">
        <v>1900</v>
      </c>
      <c r="PR11" t="s">
        <v>1900</v>
      </c>
      <c r="PS11" t="s">
        <v>1900</v>
      </c>
      <c r="PT11" t="s">
        <v>1900</v>
      </c>
      <c r="PU11" t="s">
        <v>1900</v>
      </c>
      <c r="PV11" t="s">
        <v>1900</v>
      </c>
      <c r="PW11" t="s">
        <v>1900</v>
      </c>
      <c r="PX11" t="s">
        <v>1900</v>
      </c>
      <c r="PY11" t="s">
        <v>1900</v>
      </c>
      <c r="PZ11" t="s">
        <v>1900</v>
      </c>
      <c r="QA11" t="s">
        <v>1900</v>
      </c>
      <c r="QB11" t="s">
        <v>1900</v>
      </c>
      <c r="QC11" t="s">
        <v>1900</v>
      </c>
      <c r="QD11" t="s">
        <v>1900</v>
      </c>
      <c r="QE11" t="s">
        <v>1900</v>
      </c>
      <c r="QF11" t="s">
        <v>1900</v>
      </c>
      <c r="QG11" t="s">
        <v>1900</v>
      </c>
      <c r="QH11" t="s">
        <v>1900</v>
      </c>
      <c r="QI11" t="s">
        <v>1900</v>
      </c>
      <c r="QJ11" t="s">
        <v>1900</v>
      </c>
      <c r="QK11" t="s">
        <v>1900</v>
      </c>
      <c r="QL11" t="s">
        <v>1900</v>
      </c>
      <c r="QM11" t="s">
        <v>1900</v>
      </c>
      <c r="QN11" t="s">
        <v>1900</v>
      </c>
      <c r="QO11" t="s">
        <v>1900</v>
      </c>
      <c r="QP11" t="s">
        <v>1900</v>
      </c>
      <c r="QQ11" t="s">
        <v>1900</v>
      </c>
      <c r="QR11" t="s">
        <v>1900</v>
      </c>
      <c r="QS11" t="s">
        <v>1900</v>
      </c>
      <c r="QT11" t="s">
        <v>1900</v>
      </c>
      <c r="QU11" t="s">
        <v>1900</v>
      </c>
      <c r="QV11" t="s">
        <v>1900</v>
      </c>
      <c r="QW11" t="s">
        <v>1900</v>
      </c>
      <c r="QX11" t="s">
        <v>1900</v>
      </c>
      <c r="QY11" t="s">
        <v>1900</v>
      </c>
      <c r="QZ11" t="s">
        <v>1900</v>
      </c>
      <c r="RA11" t="s">
        <v>1900</v>
      </c>
      <c r="RB11" t="s">
        <v>1900</v>
      </c>
      <c r="RC11" t="s">
        <v>1900</v>
      </c>
      <c r="RD11" t="s">
        <v>1900</v>
      </c>
      <c r="RE11" t="s">
        <v>1900</v>
      </c>
      <c r="RF11" t="s">
        <v>1900</v>
      </c>
      <c r="RG11" t="s">
        <v>1900</v>
      </c>
      <c r="RH11" t="s">
        <v>1900</v>
      </c>
      <c r="RI11" t="s">
        <v>1900</v>
      </c>
      <c r="RJ11" t="s">
        <v>1900</v>
      </c>
      <c r="RK11" t="s">
        <v>1900</v>
      </c>
      <c r="RL11" t="s">
        <v>1900</v>
      </c>
      <c r="RM11" t="s">
        <v>1900</v>
      </c>
      <c r="RN11" t="s">
        <v>1900</v>
      </c>
      <c r="RO11" t="s">
        <v>1900</v>
      </c>
      <c r="RP11" t="s">
        <v>1900</v>
      </c>
      <c r="RQ11" t="s">
        <v>1900</v>
      </c>
      <c r="RR11" t="s">
        <v>1900</v>
      </c>
      <c r="RS11" t="s">
        <v>1900</v>
      </c>
      <c r="RT11" t="s">
        <v>1900</v>
      </c>
      <c r="RU11" t="s">
        <v>1900</v>
      </c>
      <c r="RV11" t="s">
        <v>1900</v>
      </c>
      <c r="RW11" t="s">
        <v>1900</v>
      </c>
      <c r="RX11" t="s">
        <v>1900</v>
      </c>
      <c r="RY11" t="s">
        <v>1900</v>
      </c>
      <c r="RZ11" t="s">
        <v>1900</v>
      </c>
      <c r="SA11" t="s">
        <v>1900</v>
      </c>
      <c r="SB11" t="s">
        <v>1900</v>
      </c>
      <c r="SC11" t="s">
        <v>1900</v>
      </c>
      <c r="SD11" t="s">
        <v>1900</v>
      </c>
      <c r="SE11" t="s">
        <v>1900</v>
      </c>
      <c r="SF11" t="s">
        <v>1900</v>
      </c>
      <c r="SG11" t="s">
        <v>1900</v>
      </c>
      <c r="SH11" t="s">
        <v>1900</v>
      </c>
      <c r="SI11" t="s">
        <v>1900</v>
      </c>
      <c r="SJ11">
        <v>25101.880318259</v>
      </c>
      <c r="SK11">
        <v>39780.0178527832</v>
      </c>
      <c r="SL11">
        <v>14641.8831330001</v>
      </c>
      <c r="SM11">
        <v>0</v>
      </c>
      <c r="SN11" t="s">
        <v>1900</v>
      </c>
      <c r="SO11" t="s">
        <v>1900</v>
      </c>
      <c r="SP11" t="s">
        <v>1900</v>
      </c>
      <c r="SQ11" t="s">
        <v>1900</v>
      </c>
      <c r="SR11" t="s">
        <v>1900</v>
      </c>
      <c r="SS11" t="s">
        <v>1900</v>
      </c>
      <c r="ST11" t="s">
        <v>1900</v>
      </c>
      <c r="SU11" t="s">
        <v>1900</v>
      </c>
      <c r="SV11" t="s">
        <v>1900</v>
      </c>
      <c r="SW11" t="s">
        <v>1900</v>
      </c>
      <c r="SX11" t="s">
        <v>1900</v>
      </c>
      <c r="SY11" t="s">
        <v>1900</v>
      </c>
      <c r="SZ11" t="s">
        <v>1900</v>
      </c>
      <c r="TA11" t="s">
        <v>1900</v>
      </c>
      <c r="TB11" t="s">
        <v>1900</v>
      </c>
      <c r="TC11" t="s">
        <v>1900</v>
      </c>
      <c r="TD11" t="s">
        <v>1900</v>
      </c>
      <c r="TE11" t="s">
        <v>1900</v>
      </c>
      <c r="TF11" t="s">
        <v>1900</v>
      </c>
      <c r="TG11" t="s">
        <v>1900</v>
      </c>
      <c r="TH11" t="s">
        <v>1900</v>
      </c>
      <c r="TI11" t="s">
        <v>1900</v>
      </c>
      <c r="TJ11" t="s">
        <v>1900</v>
      </c>
      <c r="TK11" t="s">
        <v>1900</v>
      </c>
      <c r="TL11" t="s">
        <v>1900</v>
      </c>
      <c r="TM11" t="s">
        <v>1900</v>
      </c>
      <c r="TN11" t="s">
        <v>1900</v>
      </c>
      <c r="TO11" t="s">
        <v>1900</v>
      </c>
      <c r="TP11" t="s">
        <v>1900</v>
      </c>
      <c r="TQ11" t="s">
        <v>1900</v>
      </c>
      <c r="TR11" t="s">
        <v>1900</v>
      </c>
      <c r="TS11">
        <v>1324189.31280313</v>
      </c>
      <c r="TT11">
        <v>1617696.61490236</v>
      </c>
      <c r="TU11">
        <v>1312731.11130536</v>
      </c>
      <c r="TV11">
        <v>577573.898628759</v>
      </c>
      <c r="TW11" t="s">
        <v>1900</v>
      </c>
      <c r="TX11" t="s">
        <v>1900</v>
      </c>
      <c r="TY11" t="s">
        <v>1900</v>
      </c>
      <c r="TZ11" t="s">
        <v>1900</v>
      </c>
      <c r="UA11" t="s">
        <v>1900</v>
      </c>
      <c r="UB11" t="s">
        <v>1900</v>
      </c>
      <c r="UC11">
        <v>0</v>
      </c>
      <c r="UD11">
        <v>0</v>
      </c>
      <c r="UE11">
        <v>0</v>
      </c>
      <c r="UF11">
        <v>0</v>
      </c>
      <c r="UG11" t="s">
        <v>1900</v>
      </c>
      <c r="UH11" t="s">
        <v>1900</v>
      </c>
      <c r="UI11" t="s">
        <v>1900</v>
      </c>
      <c r="UJ11" t="s">
        <v>1900</v>
      </c>
      <c r="UK11" t="s">
        <v>1900</v>
      </c>
      <c r="UL11" t="s">
        <v>1900</v>
      </c>
      <c r="UM11" t="s">
        <v>1900</v>
      </c>
      <c r="UN11" t="s">
        <v>1900</v>
      </c>
      <c r="UO11" t="s">
        <v>1900</v>
      </c>
      <c r="UP11" t="s">
        <v>1900</v>
      </c>
      <c r="UQ11" t="s">
        <v>1900</v>
      </c>
      <c r="UR11" t="s">
        <v>1900</v>
      </c>
      <c r="US11" t="s">
        <v>1900</v>
      </c>
      <c r="UT11" t="s">
        <v>1900</v>
      </c>
      <c r="UU11" t="s">
        <v>1900</v>
      </c>
      <c r="UV11" t="s">
        <v>1900</v>
      </c>
      <c r="UW11" t="s">
        <v>1900</v>
      </c>
      <c r="UX11" t="s">
        <v>1900</v>
      </c>
      <c r="UY11" t="s">
        <v>1900</v>
      </c>
      <c r="UZ11" t="s">
        <v>1900</v>
      </c>
      <c r="VA11" t="s">
        <v>1900</v>
      </c>
      <c r="VB11" t="s">
        <v>1900</v>
      </c>
      <c r="VC11" t="s">
        <v>1900</v>
      </c>
      <c r="VD11" t="s">
        <v>1900</v>
      </c>
      <c r="VE11" t="s">
        <v>1900</v>
      </c>
      <c r="VF11" t="s">
        <v>1900</v>
      </c>
      <c r="VG11" t="s">
        <v>1900</v>
      </c>
      <c r="VH11" t="s">
        <v>1900</v>
      </c>
      <c r="VI11" t="s">
        <v>1900</v>
      </c>
      <c r="VJ11" t="s">
        <v>1900</v>
      </c>
      <c r="VK11" t="s">
        <v>1900</v>
      </c>
      <c r="VL11" t="s">
        <v>1900</v>
      </c>
      <c r="VM11" t="s">
        <v>1900</v>
      </c>
      <c r="VN11" t="s">
        <v>1900</v>
      </c>
      <c r="VO11" t="s">
        <v>1900</v>
      </c>
      <c r="VP11" t="s">
        <v>1900</v>
      </c>
      <c r="VQ11" t="s">
        <v>1900</v>
      </c>
      <c r="VR11" t="s">
        <v>1900</v>
      </c>
      <c r="VS11" t="s">
        <v>1900</v>
      </c>
      <c r="VT11" t="s">
        <v>1900</v>
      </c>
      <c r="VU11" t="s">
        <v>1900</v>
      </c>
      <c r="VV11" t="s">
        <v>1900</v>
      </c>
      <c r="VW11" t="s">
        <v>1900</v>
      </c>
      <c r="VX11" t="s">
        <v>1900</v>
      </c>
      <c r="VY11" t="s">
        <v>1900</v>
      </c>
      <c r="VZ11" t="s">
        <v>1900</v>
      </c>
      <c r="WA11">
        <v>310870.190126737</v>
      </c>
      <c r="WB11">
        <v>529340.71936161</v>
      </c>
      <c r="WC11">
        <v>739162.660782623</v>
      </c>
      <c r="WD11">
        <v>425860.59241147</v>
      </c>
      <c r="WE11" t="s">
        <v>1900</v>
      </c>
      <c r="WF11" t="s">
        <v>1900</v>
      </c>
      <c r="WG11" t="s">
        <v>1900</v>
      </c>
      <c r="WH11" t="s">
        <v>1900</v>
      </c>
      <c r="WI11" t="s">
        <v>1900</v>
      </c>
      <c r="WJ11" t="s">
        <v>1900</v>
      </c>
      <c r="WK11" t="s">
        <v>1900</v>
      </c>
      <c r="WL11" t="s">
        <v>1900</v>
      </c>
      <c r="WM11" t="s">
        <v>1900</v>
      </c>
      <c r="WN11" t="s">
        <v>1900</v>
      </c>
      <c r="WO11" t="s">
        <v>1900</v>
      </c>
      <c r="WP11" t="s">
        <v>1900</v>
      </c>
      <c r="WQ11" t="s">
        <v>1900</v>
      </c>
      <c r="WR11" t="s">
        <v>1900</v>
      </c>
      <c r="WS11" t="s">
        <v>1900</v>
      </c>
      <c r="WT11" t="s">
        <v>1900</v>
      </c>
      <c r="WU11" t="s">
        <v>1900</v>
      </c>
      <c r="WV11" t="s">
        <v>1900</v>
      </c>
      <c r="WW11" t="s">
        <v>1900</v>
      </c>
      <c r="WX11" t="s">
        <v>1900</v>
      </c>
      <c r="WY11" t="s">
        <v>1900</v>
      </c>
      <c r="WZ11" t="s">
        <v>1900</v>
      </c>
      <c r="XA11" t="s">
        <v>1900</v>
      </c>
      <c r="XB11" t="s">
        <v>1900</v>
      </c>
      <c r="XC11" t="s">
        <v>1900</v>
      </c>
      <c r="XD11" t="s">
        <v>1900</v>
      </c>
      <c r="XE11" t="s">
        <v>1900</v>
      </c>
      <c r="XF11" t="s">
        <v>1900</v>
      </c>
      <c r="XG11" t="s">
        <v>1900</v>
      </c>
      <c r="XH11" t="s">
        <v>1900</v>
      </c>
      <c r="XI11" t="s">
        <v>1900</v>
      </c>
      <c r="XJ11" t="s">
        <v>1900</v>
      </c>
      <c r="XK11" t="s">
        <v>1900</v>
      </c>
      <c r="XL11" t="s">
        <v>1900</v>
      </c>
      <c r="XM11" t="s">
        <v>1900</v>
      </c>
      <c r="XN11" t="s">
        <v>1900</v>
      </c>
      <c r="XO11" t="s">
        <v>1900</v>
      </c>
      <c r="XP11" t="s">
        <v>1900</v>
      </c>
      <c r="XQ11" t="s">
        <v>1900</v>
      </c>
      <c r="XR11" t="s">
        <v>1900</v>
      </c>
      <c r="XS11" t="s">
        <v>1900</v>
      </c>
      <c r="XT11" t="s">
        <v>1900</v>
      </c>
      <c r="XU11" t="s">
        <v>1900</v>
      </c>
      <c r="XV11" t="s">
        <v>1900</v>
      </c>
      <c r="XW11" t="s">
        <v>1900</v>
      </c>
      <c r="XX11" t="s">
        <v>1900</v>
      </c>
      <c r="XY11" t="s">
        <v>1900</v>
      </c>
      <c r="XZ11" t="s">
        <v>1900</v>
      </c>
      <c r="YA11" t="s">
        <v>1900</v>
      </c>
      <c r="YB11" t="s">
        <v>1900</v>
      </c>
      <c r="YC11" t="s">
        <v>1900</v>
      </c>
      <c r="YD11" t="s">
        <v>1900</v>
      </c>
      <c r="YE11" t="s">
        <v>1900</v>
      </c>
      <c r="YF11" t="s">
        <v>1900</v>
      </c>
      <c r="YG11" t="s">
        <v>1900</v>
      </c>
      <c r="YH11" t="s">
        <v>1900</v>
      </c>
      <c r="YI11" t="s">
        <v>1900</v>
      </c>
      <c r="YJ11" t="s">
        <v>1900</v>
      </c>
      <c r="YK11" t="s">
        <v>1900</v>
      </c>
      <c r="YL11" t="s">
        <v>1900</v>
      </c>
      <c r="YM11" t="s">
        <v>1900</v>
      </c>
      <c r="YN11" t="s">
        <v>1900</v>
      </c>
      <c r="YO11" t="s">
        <v>1900</v>
      </c>
      <c r="YP11" t="s">
        <v>1900</v>
      </c>
      <c r="YQ11" t="s">
        <v>1900</v>
      </c>
      <c r="YR11" t="s">
        <v>1900</v>
      </c>
      <c r="YS11" t="s">
        <v>1900</v>
      </c>
      <c r="YT11" t="s">
        <v>1900</v>
      </c>
      <c r="YU11" t="s">
        <v>1900</v>
      </c>
      <c r="YV11" t="s">
        <v>1900</v>
      </c>
      <c r="YW11" t="s">
        <v>1900</v>
      </c>
      <c r="YX11" t="s">
        <v>1900</v>
      </c>
      <c r="YY11" t="s">
        <v>1900</v>
      </c>
      <c r="YZ11" t="s">
        <v>1900</v>
      </c>
      <c r="ZA11" t="s">
        <v>1900</v>
      </c>
      <c r="ZB11" t="s">
        <v>1900</v>
      </c>
      <c r="ZC11" t="s">
        <v>1900</v>
      </c>
      <c r="ZD11" t="s">
        <v>1900</v>
      </c>
      <c r="ZE11" t="s">
        <v>1900</v>
      </c>
      <c r="ZF11" t="s">
        <v>1900</v>
      </c>
      <c r="ZG11" t="s">
        <v>1900</v>
      </c>
      <c r="ZH11" t="s">
        <v>1900</v>
      </c>
      <c r="ZI11" t="s">
        <v>1900</v>
      </c>
      <c r="ZJ11" t="s">
        <v>1900</v>
      </c>
      <c r="ZK11" t="s">
        <v>1900</v>
      </c>
      <c r="ZL11" t="s">
        <v>1900</v>
      </c>
      <c r="ZM11" t="s">
        <v>1900</v>
      </c>
      <c r="ZN11" t="s">
        <v>1900</v>
      </c>
      <c r="ZO11" t="s">
        <v>1900</v>
      </c>
      <c r="ZP11" t="s">
        <v>1900</v>
      </c>
      <c r="ZQ11" t="s">
        <v>1900</v>
      </c>
      <c r="ZR11" t="s">
        <v>1900</v>
      </c>
      <c r="ZS11" t="s">
        <v>1900</v>
      </c>
      <c r="ZT11" t="s">
        <v>1900</v>
      </c>
      <c r="ZU11" t="s">
        <v>1900</v>
      </c>
      <c r="ZV11" t="s">
        <v>1900</v>
      </c>
      <c r="ZW11" t="s">
        <v>1900</v>
      </c>
      <c r="ZX11" t="s">
        <v>1900</v>
      </c>
      <c r="ZY11" t="s">
        <v>1900</v>
      </c>
      <c r="ZZ11" t="s">
        <v>1900</v>
      </c>
      <c r="AAA11" t="s">
        <v>1900</v>
      </c>
      <c r="AAB11" t="s">
        <v>1900</v>
      </c>
      <c r="AAC11" t="s">
        <v>1900</v>
      </c>
      <c r="AAD11" t="s">
        <v>1900</v>
      </c>
      <c r="AAE11" t="s">
        <v>1900</v>
      </c>
      <c r="AAF11" t="s">
        <v>1900</v>
      </c>
      <c r="AAG11" t="s">
        <v>1900</v>
      </c>
      <c r="AAH11" t="s">
        <v>1900</v>
      </c>
      <c r="AAI11" t="s">
        <v>1900</v>
      </c>
      <c r="AAJ11" t="s">
        <v>1900</v>
      </c>
      <c r="AAK11" t="s">
        <v>1900</v>
      </c>
      <c r="AAL11" t="s">
        <v>1900</v>
      </c>
      <c r="AAM11" t="s">
        <v>1900</v>
      </c>
      <c r="AAN11" t="s">
        <v>1900</v>
      </c>
      <c r="AAO11" t="s">
        <v>1900</v>
      </c>
      <c r="AAP11" t="s">
        <v>1900</v>
      </c>
      <c r="AAQ11" t="s">
        <v>1900</v>
      </c>
      <c r="AAR11" t="s">
        <v>1900</v>
      </c>
      <c r="AAS11" t="s">
        <v>1900</v>
      </c>
      <c r="AAT11" t="s">
        <v>1900</v>
      </c>
      <c r="AAU11" t="s">
        <v>1900</v>
      </c>
      <c r="AAV11" t="s">
        <v>1900</v>
      </c>
      <c r="AAW11" t="s">
        <v>1900</v>
      </c>
      <c r="AAX11" t="s">
        <v>1900</v>
      </c>
      <c r="AAY11" t="s">
        <v>1900</v>
      </c>
      <c r="AAZ11" t="s">
        <v>1900</v>
      </c>
      <c r="ABA11" t="s">
        <v>1900</v>
      </c>
      <c r="ABB11" t="s">
        <v>1900</v>
      </c>
      <c r="ABC11" t="s">
        <v>1900</v>
      </c>
      <c r="ABD11" t="s">
        <v>1900</v>
      </c>
      <c r="ABE11" t="s">
        <v>1900</v>
      </c>
      <c r="ABF11" t="s">
        <v>1900</v>
      </c>
      <c r="ABG11" t="s">
        <v>1900</v>
      </c>
      <c r="ABH11" t="s">
        <v>1900</v>
      </c>
      <c r="ABI11" t="s">
        <v>1900</v>
      </c>
      <c r="ABJ11" t="s">
        <v>1900</v>
      </c>
      <c r="ABK11" t="s">
        <v>1900</v>
      </c>
      <c r="ABL11" t="s">
        <v>1900</v>
      </c>
      <c r="ABM11" t="s">
        <v>1900</v>
      </c>
      <c r="ABN11" t="s">
        <v>1900</v>
      </c>
      <c r="ABO11" t="s">
        <v>1900</v>
      </c>
      <c r="ABP11" t="s">
        <v>1900</v>
      </c>
      <c r="ABQ11" t="s">
        <v>1900</v>
      </c>
      <c r="ABR11" t="s">
        <v>1900</v>
      </c>
      <c r="ABS11" t="s">
        <v>1900</v>
      </c>
      <c r="ABT11" t="s">
        <v>1900</v>
      </c>
      <c r="ABU11" t="s">
        <v>1900</v>
      </c>
      <c r="ABV11" t="s">
        <v>1900</v>
      </c>
      <c r="ABW11" t="s">
        <v>1900</v>
      </c>
      <c r="ABX11" t="s">
        <v>1900</v>
      </c>
      <c r="ABY11" t="s">
        <v>1900</v>
      </c>
      <c r="ABZ11" t="s">
        <v>1900</v>
      </c>
      <c r="ACA11" t="s">
        <v>1900</v>
      </c>
      <c r="ACB11" t="s">
        <v>1900</v>
      </c>
      <c r="ACC11" t="s">
        <v>1900</v>
      </c>
      <c r="ACD11" t="s">
        <v>1900</v>
      </c>
      <c r="ACE11">
        <v>53.206</v>
      </c>
      <c r="ACF11">
        <v>69.51900000000001</v>
      </c>
      <c r="ACG11">
        <v>75.003</v>
      </c>
      <c r="ACH11">
        <v>88.083</v>
      </c>
      <c r="ACI11" t="s">
        <v>1900</v>
      </c>
      <c r="ACJ11">
        <v>53.47</v>
      </c>
      <c r="ACK11" t="s">
        <v>1900</v>
      </c>
      <c r="ACL11">
        <v>75.047</v>
      </c>
      <c r="ACM11">
        <v>88.58</v>
      </c>
      <c r="ACN11" t="s">
        <v>1900</v>
      </c>
      <c r="ACO11">
        <v>40.715</v>
      </c>
      <c r="ACP11">
        <v>46.771</v>
      </c>
      <c r="ACQ11">
        <v>25.225</v>
      </c>
      <c r="ACR11">
        <v>23.137</v>
      </c>
      <c r="ACS11" t="s">
        <v>1900</v>
      </c>
      <c r="ACT11">
        <v>37.912</v>
      </c>
      <c r="ACU11">
        <v>57.631</v>
      </c>
      <c r="ACV11">
        <v>67.64100000000001</v>
      </c>
      <c r="ACW11">
        <v>65.916</v>
      </c>
      <c r="ACX11" t="s">
        <v>1900</v>
      </c>
      <c r="ACY11">
        <v>38.176</v>
      </c>
      <c r="ACZ11" t="s">
        <v>1900</v>
      </c>
      <c r="ADA11">
        <v>67.685</v>
      </c>
      <c r="ADB11">
        <v>66.413</v>
      </c>
      <c r="ADC11" t="s">
        <v>1900</v>
      </c>
      <c r="ADD11">
        <v>29.012</v>
      </c>
      <c r="ADE11">
        <v>38.773</v>
      </c>
      <c r="ADF11">
        <v>22.749</v>
      </c>
      <c r="ADG11">
        <v>17.314</v>
      </c>
      <c r="ADH11" t="s">
        <v>1900</v>
      </c>
      <c r="ADI11">
        <v>11.957</v>
      </c>
      <c r="ADJ11">
        <v>16.933</v>
      </c>
      <c r="ADK11">
        <v>16.626</v>
      </c>
      <c r="ADL11">
        <v>15.555</v>
      </c>
      <c r="ADM11" t="s">
        <v>1900</v>
      </c>
      <c r="ADN11">
        <v>68.489</v>
      </c>
      <c r="ADO11">
        <v>70.10899999999999</v>
      </c>
      <c r="ADP11">
        <v>98.934</v>
      </c>
      <c r="ADQ11">
        <v>100</v>
      </c>
      <c r="ADR11" t="s">
        <v>1900</v>
      </c>
      <c r="ADS11">
        <v>11.543347055</v>
      </c>
      <c r="ADT11">
        <v>16.785087947</v>
      </c>
      <c r="ADU11">
        <v>16.635513622</v>
      </c>
      <c r="ADV11">
        <v>15.642780808</v>
      </c>
      <c r="ADW11" t="s">
        <v>1900</v>
      </c>
      <c r="ADX11">
        <v>11.741</v>
      </c>
      <c r="ADY11">
        <v>16.956</v>
      </c>
      <c r="ADZ11">
        <v>16.912</v>
      </c>
      <c r="AEA11">
        <v>15.941</v>
      </c>
      <c r="AEB11" t="s">
        <v>1900</v>
      </c>
      <c r="AEC11">
        <v>11.543</v>
      </c>
      <c r="AED11">
        <v>16.785</v>
      </c>
      <c r="AEE11">
        <v>16.636</v>
      </c>
      <c r="AEF11">
        <v>15.643</v>
      </c>
      <c r="AEG11" t="s">
        <v>1900</v>
      </c>
      <c r="AEH11">
        <v>8.718</v>
      </c>
      <c r="AEI11">
        <v>14.209</v>
      </c>
      <c r="AEJ11">
        <v>15.27</v>
      </c>
      <c r="AEK11">
        <v>11.939</v>
      </c>
      <c r="AEL11" t="s">
        <v>1900</v>
      </c>
      <c r="AEM11">
        <v>13.049721723</v>
      </c>
      <c r="AEN11">
        <v>20.170769316</v>
      </c>
      <c r="AEO11">
        <v>19.95515638</v>
      </c>
      <c r="AEP11">
        <v>18.543499842</v>
      </c>
      <c r="AEQ11" t="s">
        <v>1900</v>
      </c>
      <c r="AER11">
        <v>1.202709695</v>
      </c>
      <c r="AES11">
        <v>1.314773592</v>
      </c>
      <c r="AET11">
        <v>1.202135579</v>
      </c>
      <c r="AEU11" t="s">
        <v>1900</v>
      </c>
      <c r="AEV11" t="s">
        <v>1900</v>
      </c>
      <c r="AEW11" t="s">
        <v>1900</v>
      </c>
      <c r="AEX11" t="s">
        <v>1900</v>
      </c>
      <c r="AEY11" t="s">
        <v>1900</v>
      </c>
      <c r="AEZ11" t="s">
        <v>1900</v>
      </c>
      <c r="AFA11" t="s">
        <v>1900</v>
      </c>
      <c r="AFB11" t="s">
        <v>1900</v>
      </c>
      <c r="AFC11" t="s">
        <v>1900</v>
      </c>
      <c r="AFD11" t="s">
        <v>1900</v>
      </c>
      <c r="AFE11" t="s">
        <v>1900</v>
      </c>
      <c r="AFF11" t="s">
        <v>1900</v>
      </c>
      <c r="AFG11">
        <v>4.45</v>
      </c>
      <c r="AFH11">
        <v>4.105</v>
      </c>
      <c r="AFI11">
        <v>4.511</v>
      </c>
      <c r="AFJ11">
        <v>5.663</v>
      </c>
      <c r="AFK11" t="s">
        <v>1900</v>
      </c>
      <c r="AFL11">
        <v>194.729</v>
      </c>
      <c r="AFM11" t="s">
        <v>1900</v>
      </c>
      <c r="AFN11" t="s">
        <v>1901</v>
      </c>
      <c r="AFO11">
        <v>177.968</v>
      </c>
      <c r="AFP11" t="s">
        <v>1900</v>
      </c>
      <c r="AFQ11" t="s">
        <v>1901</v>
      </c>
      <c r="AFR11" t="s">
        <v>1901</v>
      </c>
      <c r="AFS11" t="s">
        <v>1901</v>
      </c>
      <c r="AFT11" t="s">
        <v>1901</v>
      </c>
      <c r="AFU11" t="s">
        <v>1900</v>
      </c>
      <c r="AFV11">
        <v>43.27</v>
      </c>
      <c r="AFW11">
        <v>45.091</v>
      </c>
      <c r="AFX11">
        <v>188.833</v>
      </c>
      <c r="AFY11">
        <v>235.35</v>
      </c>
      <c r="AFZ11" t="s">
        <v>1900</v>
      </c>
      <c r="AGA11">
        <v>0</v>
      </c>
      <c r="AGB11">
        <v>0</v>
      </c>
      <c r="AGC11">
        <v>23.872</v>
      </c>
      <c r="AGD11">
        <v>0</v>
      </c>
      <c r="AGE11" t="s">
        <v>1900</v>
      </c>
      <c r="AGF11" t="s">
        <v>1900</v>
      </c>
      <c r="AGG11" t="s">
        <v>1900</v>
      </c>
      <c r="AGH11" t="s">
        <v>1900</v>
      </c>
      <c r="AGI11" t="s">
        <v>1900</v>
      </c>
      <c r="AGJ11" t="s">
        <v>1900</v>
      </c>
      <c r="AGK11" t="s">
        <v>1900</v>
      </c>
      <c r="AGL11" t="s">
        <v>1900</v>
      </c>
      <c r="AGM11" t="s">
        <v>1900</v>
      </c>
      <c r="AGN11" t="s">
        <v>1900</v>
      </c>
      <c r="AGO11" t="s">
        <v>1900</v>
      </c>
      <c r="AGP11" t="s">
        <v>1900</v>
      </c>
      <c r="AGQ11" t="s">
        <v>1900</v>
      </c>
      <c r="AGR11" t="s">
        <v>1900</v>
      </c>
      <c r="AGS11" t="s">
        <v>1900</v>
      </c>
      <c r="AGT11" t="s">
        <v>1900</v>
      </c>
      <c r="AGU11">
        <v>0</v>
      </c>
      <c r="AGV11">
        <v>0</v>
      </c>
      <c r="AGW11">
        <v>0</v>
      </c>
      <c r="AGX11">
        <v>0</v>
      </c>
      <c r="AGY11">
        <v>0</v>
      </c>
      <c r="AGZ11">
        <v>4.135</v>
      </c>
      <c r="AHA11">
        <v>2.941</v>
      </c>
      <c r="AHB11">
        <v>1.47</v>
      </c>
      <c r="AHC11">
        <v>1.32</v>
      </c>
      <c r="AHD11" t="s">
        <v>1900</v>
      </c>
      <c r="AHE11">
        <v>4.135</v>
      </c>
      <c r="AHF11">
        <v>2.941</v>
      </c>
      <c r="AHG11">
        <v>1.47</v>
      </c>
      <c r="AHH11">
        <v>1.32</v>
      </c>
      <c r="AHI11" t="s">
        <v>1900</v>
      </c>
      <c r="AHJ11" t="s">
        <v>1901</v>
      </c>
      <c r="AHK11" t="s">
        <v>1901</v>
      </c>
      <c r="AHL11" t="s">
        <v>1901</v>
      </c>
      <c r="AHM11" t="s">
        <v>1901</v>
      </c>
      <c r="AHN11" t="s">
        <v>1900</v>
      </c>
      <c r="AHO11">
        <v>76.524</v>
      </c>
      <c r="AHP11">
        <v>67.27800000000001</v>
      </c>
      <c r="AHQ11">
        <v>33.632</v>
      </c>
      <c r="AHR11">
        <v>26.267</v>
      </c>
      <c r="AHS11" t="s">
        <v>1900</v>
      </c>
      <c r="AHT11" t="s">
        <v>1901</v>
      </c>
      <c r="AHU11" t="s">
        <v>1901</v>
      </c>
      <c r="AHV11">
        <v>50.675</v>
      </c>
      <c r="AHW11">
        <v>35.625</v>
      </c>
      <c r="AHX11" t="s">
        <v>1900</v>
      </c>
      <c r="AHY11">
        <v>0</v>
      </c>
      <c r="AHZ11">
        <v>0</v>
      </c>
      <c r="AIA11">
        <v>0</v>
      </c>
      <c r="AIB11">
        <v>0</v>
      </c>
      <c r="AIC11" t="s">
        <v>1900</v>
      </c>
      <c r="AID11">
        <v>1.895641362</v>
      </c>
      <c r="AIE11">
        <v>2.459053044</v>
      </c>
      <c r="AIF11">
        <v>1.115375648</v>
      </c>
      <c r="AIG11">
        <v>0</v>
      </c>
      <c r="AIH11" t="s">
        <v>1900</v>
      </c>
      <c r="AII11">
        <v>56.137541885</v>
      </c>
      <c r="AIJ11">
        <v>61.646151038</v>
      </c>
      <c r="AIK11">
        <v>18.010771579</v>
      </c>
      <c r="AIL11">
        <v>0.078438469</v>
      </c>
      <c r="AIM11" t="s">
        <v>1900</v>
      </c>
      <c r="AIN11">
        <v>23.476264845</v>
      </c>
      <c r="AIO11">
        <v>32.721878409</v>
      </c>
      <c r="AIP11">
        <v>56.307240258</v>
      </c>
      <c r="AIQ11">
        <v>73.732658872</v>
      </c>
      <c r="AIR11" t="s">
        <v>1900</v>
      </c>
      <c r="AIS11">
        <v>0</v>
      </c>
      <c r="AIT11">
        <v>0</v>
      </c>
      <c r="AIU11">
        <v>0</v>
      </c>
      <c r="AIV11" t="s">
        <v>1900</v>
      </c>
      <c r="AIW11" t="s">
        <v>1900</v>
      </c>
      <c r="AIX11">
        <v>12.5383362298993</v>
      </c>
      <c r="AIY11">
        <v>17.1956917422152</v>
      </c>
      <c r="AIZ11">
        <v>9.739196722450259</v>
      </c>
      <c r="AJA11">
        <v>8.90887998487473</v>
      </c>
      <c r="AJB11" t="s">
        <v>1900</v>
      </c>
      <c r="AJC11">
        <v>104.858143011567</v>
      </c>
      <c r="AJD11">
        <v>101.548530078732</v>
      </c>
      <c r="AJE11">
        <v>58.579030474484</v>
      </c>
      <c r="AJF11">
        <v>57.2738431506085</v>
      </c>
      <c r="AJG11" t="s">
        <v>1900</v>
      </c>
      <c r="AJH11">
        <v>44.539</v>
      </c>
      <c r="AJI11">
        <v>48.146</v>
      </c>
      <c r="AJJ11">
        <v>75.76600000000001</v>
      </c>
      <c r="AJK11">
        <v>75.758</v>
      </c>
      <c r="AJL11" t="s">
        <v>1900</v>
      </c>
      <c r="AJM11">
        <v>46.7024312756861</v>
      </c>
      <c r="AJN11">
        <v>48.8912176717777</v>
      </c>
      <c r="AJO11">
        <v>44.3827651414818</v>
      </c>
      <c r="AJP11">
        <v>43.3893288268089</v>
      </c>
      <c r="AJQ11" t="s">
        <v>1900</v>
      </c>
      <c r="AJR11">
        <v>23.565560871672</v>
      </c>
      <c r="AJS11">
        <v>24.7353609609261</v>
      </c>
      <c r="AJT11">
        <v>12.9851629460746</v>
      </c>
      <c r="AJU11">
        <v>10.1142204144859</v>
      </c>
      <c r="AJV11" t="s">
        <v>1900</v>
      </c>
      <c r="AJW11">
        <v>12.6032248563244</v>
      </c>
      <c r="AJX11">
        <v>12.7191977132196</v>
      </c>
      <c r="AJY11">
        <v>26.842307238183</v>
      </c>
      <c r="AJZ11">
        <v>37.4427909959149</v>
      </c>
      <c r="AKA11" t="s">
        <v>1900</v>
      </c>
      <c r="AKB11">
        <v>30.795100708475</v>
      </c>
      <c r="AKC11">
        <v>36.7658317550535</v>
      </c>
      <c r="AKD11">
        <v>38.6097388815105</v>
      </c>
      <c r="AKE11">
        <v>38.5049265752506</v>
      </c>
      <c r="AKF11" t="s">
        <v>1900</v>
      </c>
      <c r="AKG11">
        <v>0</v>
      </c>
      <c r="AKH11">
        <v>0</v>
      </c>
      <c r="AKI11">
        <v>0</v>
      </c>
      <c r="AKJ11" t="s">
        <v>1900</v>
      </c>
      <c r="AKK11" t="s">
        <v>1900</v>
      </c>
      <c r="AKL11">
        <v>0</v>
      </c>
      <c r="AKM11">
        <v>0</v>
      </c>
      <c r="AKN11">
        <v>0</v>
      </c>
      <c r="AKO11">
        <v>0</v>
      </c>
      <c r="AKP11" t="s">
        <v>1900</v>
      </c>
      <c r="AKQ11">
        <v>0</v>
      </c>
      <c r="AKR11">
        <v>0</v>
      </c>
      <c r="AKS11">
        <v>0</v>
      </c>
      <c r="AKT11">
        <v>0</v>
      </c>
      <c r="AKU11" t="s">
        <v>1900</v>
      </c>
      <c r="AKV11">
        <v>0</v>
      </c>
      <c r="AKW11">
        <v>0</v>
      </c>
      <c r="AKX11">
        <v>0</v>
      </c>
      <c r="AKY11">
        <v>0</v>
      </c>
      <c r="AKZ11" t="s">
        <v>1900</v>
      </c>
      <c r="ALA11">
        <v>0</v>
      </c>
      <c r="ALB11">
        <v>0</v>
      </c>
      <c r="ALC11">
        <v>0</v>
      </c>
      <c r="ALD11">
        <v>0</v>
      </c>
      <c r="ALE11" t="s">
        <v>1900</v>
      </c>
      <c r="ALF11">
        <v>0.305649679</v>
      </c>
      <c r="ALG11">
        <v>0.470536162</v>
      </c>
      <c r="ALH11">
        <v>0.85077996</v>
      </c>
      <c r="ALI11">
        <v>1.801751835</v>
      </c>
      <c r="ALJ11" t="s">
        <v>1900</v>
      </c>
      <c r="ALK11">
        <v>1.040745354</v>
      </c>
      <c r="ALL11">
        <v>1.29963754</v>
      </c>
      <c r="ALM11">
        <v>1.290810733</v>
      </c>
      <c r="ALN11">
        <v>2.680001285</v>
      </c>
      <c r="ALO11" t="s">
        <v>1900</v>
      </c>
      <c r="ALP11">
        <v>12.019309527</v>
      </c>
      <c r="ALQ11">
        <v>12.525240725</v>
      </c>
      <c r="ALR11">
        <v>52.45359029</v>
      </c>
      <c r="ALS11">
        <v>65.375028227</v>
      </c>
      <c r="ALT11" t="s">
        <v>1900</v>
      </c>
      <c r="ALU11">
        <v>0</v>
      </c>
      <c r="ALV11">
        <v>0</v>
      </c>
      <c r="ALW11">
        <v>12.642048793</v>
      </c>
      <c r="ALX11">
        <v>0</v>
      </c>
      <c r="ALY11" t="s">
        <v>1900</v>
      </c>
      <c r="ALZ11">
        <v>68.4885614845852</v>
      </c>
      <c r="AMA11">
        <v>70.10940855262329</v>
      </c>
      <c r="AMB11">
        <v>98.9343039571506</v>
      </c>
      <c r="AMC11">
        <v>100</v>
      </c>
      <c r="AMD11" t="s">
        <v>1900</v>
      </c>
      <c r="AME11">
        <v>69.6701493564204</v>
      </c>
      <c r="AMF11">
        <v>74.4859721678344</v>
      </c>
      <c r="AMG11" t="s">
        <v>1901</v>
      </c>
      <c r="AMH11" t="s">
        <v>1901</v>
      </c>
      <c r="AMI11" t="s">
        <v>1900</v>
      </c>
      <c r="AMJ11">
        <v>217.345080742925</v>
      </c>
      <c r="AMK11">
        <v>234.55343375878</v>
      </c>
      <c r="AML11">
        <v>9283.538643216079</v>
      </c>
      <c r="AMM11" t="s">
        <v>1900</v>
      </c>
      <c r="AMN11" t="s">
        <v>1900</v>
      </c>
      <c r="AMO11">
        <v>1.20270969511136</v>
      </c>
      <c r="AMP11">
        <v>1.31477359155073</v>
      </c>
      <c r="AMQ11">
        <v>1.20213557884166</v>
      </c>
      <c r="AMR11">
        <v>1.18543499842289</v>
      </c>
      <c r="AMS11" t="s">
        <v>1900</v>
      </c>
      <c r="AMT11">
        <v>1.20270969511136</v>
      </c>
      <c r="AMU11">
        <v>1.31477359201451</v>
      </c>
      <c r="AMV11">
        <v>1.20213557884166</v>
      </c>
      <c r="AMW11">
        <v>1.18543499842289</v>
      </c>
      <c r="AMX11" t="s">
        <v>1900</v>
      </c>
      <c r="AMY11">
        <v>1.20270969511136</v>
      </c>
      <c r="AMZ11">
        <v>1.31477359201451</v>
      </c>
      <c r="ANA11">
        <v>1.20213557884165</v>
      </c>
      <c r="ANB11" t="s">
        <v>1900</v>
      </c>
      <c r="ANC11" t="s">
        <v>1900</v>
      </c>
      <c r="AND11">
        <v>11.5433470550602</v>
      </c>
      <c r="ANE11">
        <v>16.7850879466578</v>
      </c>
      <c r="ANF11">
        <v>16.6355136223025</v>
      </c>
      <c r="ANG11">
        <v>15.6427808078547</v>
      </c>
      <c r="ANH11" t="s">
        <v>1900</v>
      </c>
      <c r="ANI11">
        <v>11.7424967902129</v>
      </c>
      <c r="ANJ11">
        <v>17.8328931799643</v>
      </c>
      <c r="ANK11">
        <v>16.8217047714958</v>
      </c>
      <c r="ANL11">
        <v>19.9302942566265</v>
      </c>
      <c r="ANM11" t="s">
        <v>1900</v>
      </c>
      <c r="ANN11">
        <v>13.0497217233003</v>
      </c>
      <c r="ANO11">
        <v>20.1707693158389</v>
      </c>
      <c r="ANP11">
        <v>19.9551563802989</v>
      </c>
      <c r="ANQ11">
        <v>18.5434998422888</v>
      </c>
      <c r="ANR11" t="s">
        <v>1900</v>
      </c>
      <c r="ANS11">
        <v>51.3636798572909</v>
      </c>
      <c r="ANT11">
        <v>68.9094851973378</v>
      </c>
      <c r="ANU11">
        <v>75.0465956493462</v>
      </c>
      <c r="ANV11">
        <v>88.5804484793431</v>
      </c>
      <c r="ANW11" t="s">
        <v>1900</v>
      </c>
      <c r="ANX11">
        <v>68.4885614845853</v>
      </c>
      <c r="ANY11">
        <v>70.109408577354</v>
      </c>
      <c r="ANZ11">
        <v>98.9343039571506</v>
      </c>
      <c r="AOA11" t="s">
        <v>1900</v>
      </c>
      <c r="AOB11" t="s">
        <v>1900</v>
      </c>
      <c r="AOC11">
        <v>77.4261281706151</v>
      </c>
      <c r="AOD11">
        <v>84.251015620472</v>
      </c>
      <c r="AOE11">
        <v>118.67679902556</v>
      </c>
      <c r="AOF11">
        <v>118.543499842289</v>
      </c>
      <c r="AOG11" t="s">
        <v>1900</v>
      </c>
      <c r="AOH11" t="s">
        <v>1901</v>
      </c>
      <c r="AOI11" t="s">
        <v>1901</v>
      </c>
      <c r="AOJ11" t="s">
        <v>1901</v>
      </c>
      <c r="AOK11" t="s">
        <v>1901</v>
      </c>
      <c r="AOL11" t="s">
        <v>1900</v>
      </c>
      <c r="AOM11">
        <v>36.6322440323168</v>
      </c>
      <c r="AON11">
        <v>56.1550880988624</v>
      </c>
      <c r="AOO11">
        <v>1560.99984924623</v>
      </c>
      <c r="AOP11" t="s">
        <v>1900</v>
      </c>
      <c r="AOQ11" t="s">
        <v>1900</v>
      </c>
      <c r="AOR11">
        <v>20.2709695111363</v>
      </c>
      <c r="AOS11">
        <v>31.4773592014513</v>
      </c>
      <c r="AOT11">
        <v>20.2135578841655</v>
      </c>
      <c r="AOU11">
        <v>18.5434998422888</v>
      </c>
      <c r="AOV11" t="s">
        <v>1900</v>
      </c>
      <c r="AOW11">
        <v>39.3054063397046</v>
      </c>
      <c r="AOX11">
        <v>46.3610072385095</v>
      </c>
      <c r="AOY11">
        <v>25.2395455231984</v>
      </c>
      <c r="AOZ11">
        <v>23.2677285745028</v>
      </c>
      <c r="APA11" t="s">
        <v>1900</v>
      </c>
      <c r="APB11">
        <v>8.520313989998609</v>
      </c>
      <c r="APC11">
        <v>14.0378419106609</v>
      </c>
      <c r="APD11">
        <v>14.9938763445248</v>
      </c>
      <c r="APE11">
        <v>11.6402997879693</v>
      </c>
      <c r="APF11" t="s">
        <v>1900</v>
      </c>
      <c r="APG11">
        <v>8.66730933428066</v>
      </c>
      <c r="APH11">
        <v>14.9141509455056</v>
      </c>
      <c r="API11">
        <v>15.1616936497692</v>
      </c>
      <c r="APJ11">
        <v>14.8307773956075</v>
      </c>
      <c r="APK11" t="s">
        <v>1900</v>
      </c>
      <c r="APL11">
        <v>27.0387973111118</v>
      </c>
      <c r="APM11">
        <v>46.9640821493597</v>
      </c>
      <c r="APN11">
        <v>1406.95618090452</v>
      </c>
      <c r="APO11" t="s">
        <v>1900</v>
      </c>
      <c r="APP11" t="s">
        <v>1900</v>
      </c>
      <c r="APQ11">
        <v>14.9623003010082</v>
      </c>
      <c r="APR11">
        <v>26.3254022641594</v>
      </c>
      <c r="APS11">
        <v>18.218829564225</v>
      </c>
      <c r="APT11">
        <v>13.7988187607933</v>
      </c>
      <c r="APU11" t="s">
        <v>1900</v>
      </c>
      <c r="APV11">
        <v>9.63219125564485</v>
      </c>
      <c r="APW11">
        <v>16.8693826193825</v>
      </c>
      <c r="APX11">
        <v>17.9859278165434</v>
      </c>
      <c r="APY11">
        <v>13.7988187607933</v>
      </c>
      <c r="APZ11" t="s">
        <v>1900</v>
      </c>
      <c r="AQA11">
        <v>29.0118976689658</v>
      </c>
      <c r="AQB11">
        <v>38.7730164120342</v>
      </c>
      <c r="AQC11">
        <v>22.7488392098387</v>
      </c>
      <c r="AQD11">
        <v>17.3142703537924</v>
      </c>
      <c r="AQE11" t="s">
        <v>1900</v>
      </c>
      <c r="AQF11">
        <v>0.202709695111363</v>
      </c>
      <c r="AQG11">
        <v>0.314773592014513</v>
      </c>
      <c r="AQH11">
        <v>0.202135578841655</v>
      </c>
      <c r="AQI11" t="s">
        <v>1900</v>
      </c>
      <c r="AQJ11" t="s">
        <v>1900</v>
      </c>
      <c r="AQK11">
        <v>3</v>
      </c>
      <c r="AQO11" t="s">
        <v>1902</v>
      </c>
      <c r="AQP11">
        <v>1</v>
      </c>
      <c r="AQQ11">
        <v>0</v>
      </c>
      <c r="AQS11" t="s">
        <v>1905</v>
      </c>
      <c r="AQU11" t="s">
        <v>1906</v>
      </c>
      <c r="AQV11">
        <v>4508900.1276805</v>
      </c>
      <c r="AQW11">
        <v>4468135.33009423</v>
      </c>
      <c r="AQX11">
        <v>1991687.02546646</v>
      </c>
      <c r="AQY11">
        <v>520477.990104213</v>
      </c>
      <c r="AQZ11">
        <v>749980.444732008</v>
      </c>
      <c r="ARA11">
        <v>331327.366435105</v>
      </c>
      <c r="ARB11">
        <v>10968722.48324119</v>
      </c>
      <c r="ARC11">
        <v>1601785.801271326</v>
      </c>
      <c r="ARD11">
        <v>0.1710042306952448</v>
      </c>
      <c r="ARE11">
        <v>0.1710042306952448</v>
      </c>
      <c r="ARF11">
        <v>0.1710042306952448</v>
      </c>
      <c r="ARG11">
        <v>0.1710042306952448</v>
      </c>
      <c r="ARH11">
        <v>0.1710042306952448</v>
      </c>
      <c r="ARI11">
        <v>0.1710042306952448</v>
      </c>
      <c r="ARJ11" t="s">
        <v>1172</v>
      </c>
      <c r="ARK11" t="s">
        <v>1510</v>
      </c>
      <c r="ARL11" t="s">
        <v>1908</v>
      </c>
      <c r="ARM11" t="s">
        <v>1908</v>
      </c>
      <c r="ARN11" t="s">
        <v>1909</v>
      </c>
      <c r="ARO11" t="s">
        <v>1909</v>
      </c>
      <c r="ARP11" t="s">
        <v>1907</v>
      </c>
      <c r="ARQ11" t="s">
        <v>1917</v>
      </c>
      <c r="ARR11">
        <f>HYPERLINK("C:\Users\Usuario\Documents\Proyectos\llmthon\evidence\anhela_es_233303.png", "Ver Evidencia")</f>
        <v>0</v>
      </c>
      <c r="ARS11">
        <v>95</v>
      </c>
    </row>
    <row r="12" spans="1:1163">
      <c r="A12">
        <v>371</v>
      </c>
      <c r="B12" t="s">
        <v>1173</v>
      </c>
      <c r="C12" t="s">
        <v>1296</v>
      </c>
      <c r="E12" s="2">
        <v>28185</v>
      </c>
      <c r="F12" t="s">
        <v>1431</v>
      </c>
      <c r="G12" t="s">
        <v>1433</v>
      </c>
      <c r="H12" t="s">
        <v>1434</v>
      </c>
      <c r="I12" t="s">
        <v>1439</v>
      </c>
      <c r="J12" t="s">
        <v>1457</v>
      </c>
      <c r="L12" t="s">
        <v>1511</v>
      </c>
      <c r="N12" t="s">
        <v>1626</v>
      </c>
      <c r="O12" t="s">
        <v>1650</v>
      </c>
      <c r="P12">
        <v>6920</v>
      </c>
      <c r="Q12">
        <v>6920</v>
      </c>
      <c r="R12" t="s">
        <v>1682</v>
      </c>
      <c r="Z12" t="s">
        <v>1899</v>
      </c>
      <c r="AA12" s="2">
        <v>45657</v>
      </c>
      <c r="AB12">
        <v>2024</v>
      </c>
      <c r="AC12">
        <v>1886597.93249583</v>
      </c>
      <c r="AD12">
        <v>1928940.11558462</v>
      </c>
      <c r="AE12">
        <v>1687094.32718238</v>
      </c>
      <c r="AF12">
        <v>1645468.3427918</v>
      </c>
      <c r="AG12">
        <v>1694796.40498465</v>
      </c>
      <c r="AH12">
        <v>1881256.32661633</v>
      </c>
      <c r="AI12">
        <v>1911173.099911</v>
      </c>
      <c r="AJ12">
        <v>1679883.10137224</v>
      </c>
      <c r="AK12">
        <v>1637951.41046319</v>
      </c>
      <c r="AL12">
        <v>1672402.49313266</v>
      </c>
      <c r="AM12">
        <v>9564.909126182791</v>
      </c>
      <c r="AN12">
        <v>18125.6988345909</v>
      </c>
      <c r="AO12">
        <v>18737.9451477587</v>
      </c>
      <c r="AP12">
        <v>6929.70172119141</v>
      </c>
      <c r="AQ12">
        <v>8737.0083669126</v>
      </c>
      <c r="AR12">
        <v>1877033.02336965</v>
      </c>
      <c r="AS12">
        <v>1910814.41564503</v>
      </c>
      <c r="AT12">
        <v>1668356.38203462</v>
      </c>
      <c r="AU12">
        <v>1638538.6410706</v>
      </c>
      <c r="AV12">
        <v>1686059.39539064</v>
      </c>
      <c r="AW12">
        <v>1759891.9980974</v>
      </c>
      <c r="AX12">
        <v>1684898.8554619</v>
      </c>
      <c r="AY12">
        <v>1505634.66285455</v>
      </c>
      <c r="AZ12">
        <v>1528440.34336445</v>
      </c>
      <c r="BA12">
        <v>1589711.67040908</v>
      </c>
      <c r="BB12">
        <v>117141.024233354</v>
      </c>
      <c r="BC12">
        <v>225915.561288128</v>
      </c>
      <c r="BD12">
        <v>162721.719180071</v>
      </c>
      <c r="BE12">
        <v>110098.297706151</v>
      </c>
      <c r="BF12">
        <v>96347.726208657</v>
      </c>
      <c r="BG12">
        <v>-309.592063188553</v>
      </c>
      <c r="BH12">
        <v>-679.663705024719</v>
      </c>
      <c r="BI12">
        <v>-476.769971251488</v>
      </c>
      <c r="BJ12">
        <v>-282.119410586357</v>
      </c>
      <c r="BK12">
        <v>-871.559548413754</v>
      </c>
      <c r="BL12" t="s">
        <v>1900</v>
      </c>
      <c r="BM12" t="s">
        <v>1900</v>
      </c>
      <c r="BN12" t="s">
        <v>1900</v>
      </c>
      <c r="BO12" t="s">
        <v>1900</v>
      </c>
      <c r="BP12" t="s">
        <v>1900</v>
      </c>
      <c r="BQ12">
        <v>309.592063188553</v>
      </c>
      <c r="BR12">
        <v>679.663705024719</v>
      </c>
      <c r="BS12">
        <v>476.769971251488</v>
      </c>
      <c r="BT12">
        <v>282.119410586357</v>
      </c>
      <c r="BU12">
        <v>871.559548413754</v>
      </c>
      <c r="BV12">
        <v>116831.432170166</v>
      </c>
      <c r="BW12">
        <v>225235.897583103</v>
      </c>
      <c r="BX12">
        <v>162244.94920882</v>
      </c>
      <c r="BY12">
        <v>109816.178295565</v>
      </c>
      <c r="BZ12">
        <v>95476.1666602433</v>
      </c>
      <c r="CA12">
        <v>27187.824372462</v>
      </c>
      <c r="CB12">
        <v>55526.4738195992</v>
      </c>
      <c r="CC12">
        <v>40561.2426352024</v>
      </c>
      <c r="CD12">
        <v>27454.0502368927</v>
      </c>
      <c r="CE12">
        <v>23869.0447328091</v>
      </c>
      <c r="CF12">
        <v>89643.60779770371</v>
      </c>
      <c r="CG12">
        <v>169709.423763504</v>
      </c>
      <c r="CH12">
        <v>121683.706573617</v>
      </c>
      <c r="CI12">
        <v>82362.12805867199</v>
      </c>
      <c r="CJ12">
        <v>71607.1219274342</v>
      </c>
      <c r="CK12" t="s">
        <v>1900</v>
      </c>
      <c r="CL12" t="s">
        <v>1900</v>
      </c>
      <c r="CM12" t="s">
        <v>1900</v>
      </c>
      <c r="CN12" t="s">
        <v>1900</v>
      </c>
      <c r="CO12" t="s">
        <v>1900</v>
      </c>
      <c r="CP12" t="s">
        <v>1900</v>
      </c>
      <c r="CQ12" t="s">
        <v>1900</v>
      </c>
      <c r="CR12" t="s">
        <v>1900</v>
      </c>
      <c r="CS12" t="s">
        <v>1900</v>
      </c>
      <c r="CT12" t="s">
        <v>1900</v>
      </c>
      <c r="CU12" t="s">
        <v>1900</v>
      </c>
      <c r="CV12" t="s">
        <v>1900</v>
      </c>
      <c r="CW12" t="s">
        <v>1900</v>
      </c>
      <c r="CX12" t="s">
        <v>1900</v>
      </c>
      <c r="CY12" t="s">
        <v>1900</v>
      </c>
      <c r="CZ12">
        <v>89643.60779770371</v>
      </c>
      <c r="DA12">
        <v>169709.423763504</v>
      </c>
      <c r="DB12">
        <v>121683.706573617</v>
      </c>
      <c r="DC12">
        <v>82362.12805867199</v>
      </c>
      <c r="DD12">
        <v>71607.1219274342</v>
      </c>
      <c r="DE12" t="s">
        <v>1900</v>
      </c>
      <c r="DF12" t="s">
        <v>1900</v>
      </c>
      <c r="DG12" t="s">
        <v>1900</v>
      </c>
      <c r="DH12" t="s">
        <v>1900</v>
      </c>
      <c r="DI12" t="s">
        <v>1900</v>
      </c>
      <c r="DJ12">
        <v>9564.909126182791</v>
      </c>
      <c r="DK12">
        <v>18125.6988345909</v>
      </c>
      <c r="DL12">
        <v>18737.9451477587</v>
      </c>
      <c r="DM12">
        <v>6929.70172119141</v>
      </c>
      <c r="DN12">
        <v>8737.0083669126</v>
      </c>
      <c r="DO12">
        <v>1399018.79493133</v>
      </c>
      <c r="DP12">
        <v>1387866.94295763</v>
      </c>
      <c r="DQ12">
        <v>1181795.47545271</v>
      </c>
      <c r="DR12">
        <v>1156134.06560526</v>
      </c>
      <c r="DS12">
        <v>1175809.78825679</v>
      </c>
      <c r="DT12">
        <v>18309.0148920858</v>
      </c>
      <c r="DU12">
        <v>8313.79168112755</v>
      </c>
      <c r="DV12">
        <v>10260.2497712553</v>
      </c>
      <c r="DW12">
        <v>15345.4316757917</v>
      </c>
      <c r="DX12">
        <v>14961.1259754717</v>
      </c>
      <c r="DY12">
        <v>342564.189312881</v>
      </c>
      <c r="DZ12">
        <v>288718.120823145</v>
      </c>
      <c r="EA12">
        <v>313578.937630588</v>
      </c>
      <c r="EB12">
        <v>356960.846083403</v>
      </c>
      <c r="EC12">
        <v>398940.754949718</v>
      </c>
      <c r="ED12">
        <v>309.592063188553</v>
      </c>
      <c r="EE12">
        <v>679.663705024719</v>
      </c>
      <c r="EF12">
        <v>476.769971251488</v>
      </c>
      <c r="EG12">
        <v>282.119410586357</v>
      </c>
      <c r="EH12">
        <v>871.559548413754</v>
      </c>
      <c r="EI12" t="s">
        <v>1900</v>
      </c>
      <c r="EJ12" t="s">
        <v>1900</v>
      </c>
      <c r="EK12" t="s">
        <v>1900</v>
      </c>
      <c r="EL12" t="s">
        <v>1900</v>
      </c>
      <c r="EM12" t="s">
        <v>1900</v>
      </c>
      <c r="EN12">
        <v>107952.62268979</v>
      </c>
      <c r="EO12">
        <v>178023.215444632</v>
      </c>
      <c r="EP12">
        <v>131943.956344873</v>
      </c>
      <c r="EQ12">
        <v>97707.55973446371</v>
      </c>
      <c r="ER12">
        <v>86568.2479029059</v>
      </c>
      <c r="ES12">
        <v>1534468.83405677</v>
      </c>
      <c r="ET12">
        <v>1622096.29592689</v>
      </c>
      <c r="EU12">
        <v>1354777.44440404</v>
      </c>
      <c r="EV12">
        <v>1281577.7949872</v>
      </c>
      <c r="EW12">
        <v>1287118.64044092</v>
      </c>
      <c r="EX12">
        <v>135450.03912544</v>
      </c>
      <c r="EY12">
        <v>234229.352969255</v>
      </c>
      <c r="EZ12">
        <v>172981.968951327</v>
      </c>
      <c r="FA12">
        <v>125443.729381943</v>
      </c>
      <c r="FB12">
        <v>111308.852184129</v>
      </c>
      <c r="FC12">
        <v>786205.688821813</v>
      </c>
      <c r="FD12">
        <v>523159.954337759</v>
      </c>
      <c r="FE12">
        <v>506746.365893173</v>
      </c>
      <c r="FF12">
        <v>585405.2521287201</v>
      </c>
      <c r="FG12">
        <v>671603.815739441</v>
      </c>
      <c r="FH12">
        <v>230.303250226974</v>
      </c>
      <c r="FI12">
        <v>244.956509933472</v>
      </c>
      <c r="FJ12">
        <v>236.443774557114</v>
      </c>
      <c r="FK12">
        <v>251.074836158752</v>
      </c>
      <c r="FL12">
        <v>272.02337269783</v>
      </c>
      <c r="FM12">
        <v>384310.081785005</v>
      </c>
      <c r="FN12">
        <v>60987.9277206325</v>
      </c>
      <c r="FO12">
        <v>61275.7139606476</v>
      </c>
      <c r="FP12">
        <v>75962.5852154016</v>
      </c>
      <c r="FQ12">
        <v>90647.1505162001</v>
      </c>
      <c r="FR12">
        <v>401665.303786581</v>
      </c>
      <c r="FS12">
        <v>461927.070107193</v>
      </c>
      <c r="FT12">
        <v>445234.208157969</v>
      </c>
      <c r="FU12">
        <v>509191.59207716</v>
      </c>
      <c r="FV12">
        <v>580684.640623444</v>
      </c>
      <c r="FW12">
        <v>230.303250226974</v>
      </c>
      <c r="FX12">
        <v>244.956509933472</v>
      </c>
      <c r="FY12">
        <v>236.443774557114</v>
      </c>
      <c r="FZ12">
        <v>251.074836158752</v>
      </c>
      <c r="GA12">
        <v>272.02337269783</v>
      </c>
      <c r="GB12">
        <v>384310.081785005</v>
      </c>
      <c r="GC12">
        <v>60987.9277206325</v>
      </c>
      <c r="GD12">
        <v>61275.7139606476</v>
      </c>
      <c r="GE12">
        <v>75962.5852154016</v>
      </c>
      <c r="GF12">
        <v>90647.1505162001</v>
      </c>
      <c r="GG12">
        <v>401665.303786581</v>
      </c>
      <c r="GH12">
        <v>461927.070107193</v>
      </c>
      <c r="GI12">
        <v>445234.208157969</v>
      </c>
      <c r="GJ12">
        <v>509191.59207716</v>
      </c>
      <c r="GK12">
        <v>580684.640623444</v>
      </c>
      <c r="GL12">
        <v>551070.797332983</v>
      </c>
      <c r="GM12">
        <v>983747.056643591</v>
      </c>
      <c r="GN12">
        <v>810100.2195376341</v>
      </c>
      <c r="GO12">
        <v>633371.1582999229</v>
      </c>
      <c r="GP12">
        <v>594863.78652646</v>
      </c>
      <c r="GQ12">
        <v>0</v>
      </c>
      <c r="GR12">
        <v>0</v>
      </c>
      <c r="GS12">
        <v>0</v>
      </c>
      <c r="GT12">
        <v>0</v>
      </c>
      <c r="GU12">
        <v>0</v>
      </c>
      <c r="GV12">
        <v>115315.210235198</v>
      </c>
      <c r="GW12">
        <v>134850.32671917</v>
      </c>
      <c r="GX12">
        <v>116166.656724632</v>
      </c>
      <c r="GY12">
        <v>142936.356046629</v>
      </c>
      <c r="GZ12">
        <v>145543.720080936</v>
      </c>
      <c r="HA12">
        <v>435755.587097785</v>
      </c>
      <c r="HB12">
        <v>848896.7299244209</v>
      </c>
      <c r="HC12">
        <v>693933.562813002</v>
      </c>
      <c r="HD12">
        <v>490434.802253294</v>
      </c>
      <c r="HE12">
        <v>449320.066445524</v>
      </c>
      <c r="HF12">
        <v>435755.587097785</v>
      </c>
      <c r="HG12">
        <v>848896.7299244209</v>
      </c>
      <c r="HH12">
        <v>693787.747996962</v>
      </c>
      <c r="HI12">
        <v>490434.802253294</v>
      </c>
      <c r="HJ12">
        <v>448925.676730687</v>
      </c>
      <c r="HK12">
        <v>1337276.4861548</v>
      </c>
      <c r="HL12">
        <v>1506907.01098135</v>
      </c>
      <c r="HM12">
        <v>1316846.58543081</v>
      </c>
      <c r="HN12">
        <v>1218776.41042864</v>
      </c>
      <c r="HO12">
        <v>1266467.6022659</v>
      </c>
      <c r="HP12">
        <v>622441.7932785139</v>
      </c>
      <c r="HQ12">
        <v>679112.508677349</v>
      </c>
      <c r="HR12">
        <v>583436.59699012</v>
      </c>
      <c r="HS12">
        <v>490611.41994524</v>
      </c>
      <c r="HT12">
        <v>491649.543954998</v>
      </c>
      <c r="HU12">
        <v>73208.39367356899</v>
      </c>
      <c r="HV12">
        <v>88990.1099376678</v>
      </c>
      <c r="HW12">
        <v>85897.5231873989</v>
      </c>
      <c r="HX12">
        <v>91212.83316135409</v>
      </c>
      <c r="HY12">
        <v>98823.2149803638</v>
      </c>
      <c r="HZ12">
        <v>549233.398566046</v>
      </c>
      <c r="IA12">
        <v>590122.397634681</v>
      </c>
      <c r="IB12">
        <v>497539.073802722</v>
      </c>
      <c r="IC12">
        <v>399398.587916486</v>
      </c>
      <c r="ID12">
        <v>392826.327747535</v>
      </c>
      <c r="IE12">
        <v>510670.394045275</v>
      </c>
      <c r="IF12">
        <v>543162.275514555</v>
      </c>
      <c r="IG12">
        <v>524286.28516373</v>
      </c>
      <c r="IH12">
        <v>556728.944944024</v>
      </c>
      <c r="II12">
        <v>627215.54783836</v>
      </c>
      <c r="IJ12">
        <v>0</v>
      </c>
      <c r="IK12">
        <v>0</v>
      </c>
      <c r="IL12">
        <v>0</v>
      </c>
      <c r="IM12">
        <v>0</v>
      </c>
      <c r="IN12">
        <v>24035.6848176718</v>
      </c>
      <c r="IO12">
        <v>510670.394045275</v>
      </c>
      <c r="IP12">
        <v>543162.275514555</v>
      </c>
      <c r="IQ12">
        <v>524286.28516373</v>
      </c>
      <c r="IR12">
        <v>556728.944944024</v>
      </c>
      <c r="IS12">
        <v>603179.8630206879</v>
      </c>
      <c r="IT12">
        <v>510670.394045275</v>
      </c>
      <c r="IU12">
        <v>543162.275514555</v>
      </c>
      <c r="IV12">
        <v>524286.28516373</v>
      </c>
      <c r="IW12">
        <v>556728.944944024</v>
      </c>
      <c r="IX12">
        <v>603179.8630206879</v>
      </c>
      <c r="IY12">
        <v>204164.298831006</v>
      </c>
      <c r="IZ12">
        <v>284632.226789446</v>
      </c>
      <c r="JA12">
        <v>209123.703276956</v>
      </c>
      <c r="JB12">
        <v>171436.045539379</v>
      </c>
      <c r="JC12">
        <v>147602.510472542</v>
      </c>
      <c r="JD12">
        <v>0</v>
      </c>
      <c r="JE12">
        <v>0</v>
      </c>
      <c r="JF12">
        <v>0</v>
      </c>
      <c r="JG12">
        <v>0</v>
      </c>
      <c r="JH12">
        <v>0</v>
      </c>
      <c r="JI12">
        <v>0</v>
      </c>
      <c r="JJ12">
        <v>18.7187084007263</v>
      </c>
      <c r="JK12">
        <v>0</v>
      </c>
      <c r="JL12">
        <v>6.7956018447876</v>
      </c>
      <c r="JM12">
        <v>0</v>
      </c>
      <c r="JN12">
        <v>204164.298831006</v>
      </c>
      <c r="JO12">
        <v>284613.508081045</v>
      </c>
      <c r="JP12">
        <v>209123.703276956</v>
      </c>
      <c r="JQ12">
        <v>171429.249937534</v>
      </c>
      <c r="JR12">
        <v>147602.510472542</v>
      </c>
      <c r="JS12">
        <v>1337276.4861548</v>
      </c>
      <c r="JT12">
        <v>1506907.01098135</v>
      </c>
      <c r="JU12">
        <v>1316846.58543081</v>
      </c>
      <c r="JV12">
        <v>1218776.41042864</v>
      </c>
      <c r="JW12">
        <v>1266467.6022659</v>
      </c>
      <c r="JX12">
        <v>115315.210235198</v>
      </c>
      <c r="JY12">
        <v>134831.608010769</v>
      </c>
      <c r="JZ12">
        <v>116166.656724632</v>
      </c>
      <c r="KA12">
        <v>142929.560444784</v>
      </c>
      <c r="KB12">
        <v>145543.720080936</v>
      </c>
      <c r="KC12" t="s">
        <v>1900</v>
      </c>
      <c r="KD12" t="s">
        <v>1900</v>
      </c>
      <c r="KE12" t="s">
        <v>1900</v>
      </c>
      <c r="KF12" t="s">
        <v>1900</v>
      </c>
      <c r="KG12" t="s">
        <v>1900</v>
      </c>
      <c r="KH12" t="s">
        <v>1900</v>
      </c>
      <c r="KI12" t="s">
        <v>1900</v>
      </c>
      <c r="KJ12" t="s">
        <v>1900</v>
      </c>
      <c r="KK12" t="s">
        <v>1900</v>
      </c>
      <c r="KL12" t="s">
        <v>1900</v>
      </c>
      <c r="KM12">
        <v>25</v>
      </c>
      <c r="KN12">
        <v>25</v>
      </c>
      <c r="KO12">
        <v>24</v>
      </c>
      <c r="KP12">
        <v>24</v>
      </c>
      <c r="KQ12">
        <v>23</v>
      </c>
      <c r="KR12" t="s">
        <v>1900</v>
      </c>
      <c r="KS12" t="s">
        <v>1900</v>
      </c>
      <c r="KT12" t="s">
        <v>1900</v>
      </c>
      <c r="KU12" t="s">
        <v>1900</v>
      </c>
      <c r="KV12" t="s">
        <v>1900</v>
      </c>
      <c r="KW12" t="s">
        <v>1900</v>
      </c>
      <c r="KX12" t="s">
        <v>1900</v>
      </c>
      <c r="KY12" t="s">
        <v>1900</v>
      </c>
      <c r="KZ12" t="s">
        <v>1900</v>
      </c>
      <c r="LA12" t="s">
        <v>1900</v>
      </c>
      <c r="LB12" t="s">
        <v>1900</v>
      </c>
      <c r="LC12" t="s">
        <v>1900</v>
      </c>
      <c r="LD12" t="s">
        <v>1900</v>
      </c>
      <c r="LE12" t="s">
        <v>1900</v>
      </c>
      <c r="LF12" t="s">
        <v>1900</v>
      </c>
      <c r="LG12" t="s">
        <v>1900</v>
      </c>
      <c r="LH12" t="s">
        <v>1900</v>
      </c>
      <c r="LI12" t="s">
        <v>1900</v>
      </c>
      <c r="LJ12" t="s">
        <v>1900</v>
      </c>
      <c r="LK12" t="s">
        <v>1900</v>
      </c>
      <c r="LL12" t="s">
        <v>1900</v>
      </c>
      <c r="LM12" t="s">
        <v>1900</v>
      </c>
      <c r="LN12" t="s">
        <v>1900</v>
      </c>
      <c r="LO12" t="s">
        <v>1900</v>
      </c>
      <c r="LP12" t="s">
        <v>1900</v>
      </c>
      <c r="LQ12" t="s">
        <v>1900</v>
      </c>
      <c r="LR12" t="s">
        <v>1900</v>
      </c>
      <c r="LS12" t="s">
        <v>1900</v>
      </c>
      <c r="LT12" t="s">
        <v>1900</v>
      </c>
      <c r="LU12" t="s">
        <v>1900</v>
      </c>
      <c r="LV12" t="s">
        <v>1900</v>
      </c>
      <c r="LW12" t="s">
        <v>1900</v>
      </c>
      <c r="LX12" t="s">
        <v>1900</v>
      </c>
      <c r="LY12" t="s">
        <v>1900</v>
      </c>
      <c r="LZ12" t="s">
        <v>1900</v>
      </c>
      <c r="MA12" t="s">
        <v>1900</v>
      </c>
      <c r="MB12" t="s">
        <v>1900</v>
      </c>
      <c r="MC12" t="s">
        <v>1900</v>
      </c>
      <c r="MD12" t="s">
        <v>1900</v>
      </c>
      <c r="ME12" t="s">
        <v>1900</v>
      </c>
      <c r="MF12" t="s">
        <v>1900</v>
      </c>
      <c r="MG12" t="s">
        <v>1900</v>
      </c>
      <c r="MH12" t="s">
        <v>1900</v>
      </c>
      <c r="MI12" t="s">
        <v>1900</v>
      </c>
      <c r="MJ12" t="s">
        <v>1900</v>
      </c>
      <c r="MK12" t="s">
        <v>1900</v>
      </c>
      <c r="ML12" t="s">
        <v>1900</v>
      </c>
      <c r="MM12" t="s">
        <v>1900</v>
      </c>
      <c r="MN12" t="s">
        <v>1900</v>
      </c>
      <c r="MO12" t="s">
        <v>1900</v>
      </c>
      <c r="MP12">
        <v>435755.587097785</v>
      </c>
      <c r="MQ12">
        <v>848896.7299244209</v>
      </c>
      <c r="MR12">
        <v>693933.562813002</v>
      </c>
      <c r="MS12">
        <v>490434.802253294</v>
      </c>
      <c r="MT12">
        <v>449320.066445524</v>
      </c>
      <c r="MU12" t="s">
        <v>1900</v>
      </c>
      <c r="MV12" t="s">
        <v>1900</v>
      </c>
      <c r="MW12" t="s">
        <v>1900</v>
      </c>
      <c r="MX12" t="s">
        <v>1900</v>
      </c>
      <c r="MY12" t="s">
        <v>1900</v>
      </c>
      <c r="MZ12" t="s">
        <v>1900</v>
      </c>
      <c r="NA12" t="s">
        <v>1900</v>
      </c>
      <c r="NB12" t="s">
        <v>1900</v>
      </c>
      <c r="NC12" t="s">
        <v>1900</v>
      </c>
      <c r="ND12" t="s">
        <v>1900</v>
      </c>
      <c r="NE12" t="s">
        <v>1900</v>
      </c>
      <c r="NF12" t="s">
        <v>1900</v>
      </c>
      <c r="NG12" t="s">
        <v>1900</v>
      </c>
      <c r="NH12" t="s">
        <v>1900</v>
      </c>
      <c r="NI12" t="s">
        <v>1900</v>
      </c>
      <c r="NJ12" t="s">
        <v>1900</v>
      </c>
      <c r="NK12" t="s">
        <v>1900</v>
      </c>
      <c r="NL12" t="s">
        <v>1900</v>
      </c>
      <c r="NM12" t="s">
        <v>1900</v>
      </c>
      <c r="NN12" t="s">
        <v>1900</v>
      </c>
      <c r="NO12" t="s">
        <v>1900</v>
      </c>
      <c r="NP12" t="s">
        <v>1900</v>
      </c>
      <c r="NQ12" t="s">
        <v>1900</v>
      </c>
      <c r="NR12" t="s">
        <v>1900</v>
      </c>
      <c r="NS12" t="s">
        <v>1900</v>
      </c>
      <c r="NT12">
        <v>786205.688821813</v>
      </c>
      <c r="NU12">
        <v>523159.954337759</v>
      </c>
      <c r="NV12">
        <v>506746.365893173</v>
      </c>
      <c r="NW12">
        <v>585405.2521287201</v>
      </c>
      <c r="NX12">
        <v>671603.815739441</v>
      </c>
      <c r="NY12" t="s">
        <v>1900</v>
      </c>
      <c r="NZ12" t="s">
        <v>1900</v>
      </c>
      <c r="OA12" t="s">
        <v>1900</v>
      </c>
      <c r="OB12" t="s">
        <v>1900</v>
      </c>
      <c r="OC12" t="s">
        <v>1900</v>
      </c>
      <c r="OD12" t="s">
        <v>1900</v>
      </c>
      <c r="OE12" t="s">
        <v>1900</v>
      </c>
      <c r="OF12" t="s">
        <v>1900</v>
      </c>
      <c r="OG12" t="s">
        <v>1900</v>
      </c>
      <c r="OH12" t="s">
        <v>1900</v>
      </c>
      <c r="OI12" t="s">
        <v>1900</v>
      </c>
      <c r="OJ12" t="s">
        <v>1900</v>
      </c>
      <c r="OK12" t="s">
        <v>1900</v>
      </c>
      <c r="OL12" t="s">
        <v>1900</v>
      </c>
      <c r="OM12" t="s">
        <v>1900</v>
      </c>
      <c r="ON12" t="s">
        <v>1900</v>
      </c>
      <c r="OO12" t="s">
        <v>1900</v>
      </c>
      <c r="OP12" t="s">
        <v>1900</v>
      </c>
      <c r="OQ12" t="s">
        <v>1900</v>
      </c>
      <c r="OR12" t="s">
        <v>1900</v>
      </c>
      <c r="OS12" t="s">
        <v>1900</v>
      </c>
      <c r="OT12" t="s">
        <v>1900</v>
      </c>
      <c r="OU12" t="s">
        <v>1900</v>
      </c>
      <c r="OV12" t="s">
        <v>1900</v>
      </c>
      <c r="OW12" t="s">
        <v>1900</v>
      </c>
      <c r="OX12" t="s">
        <v>1900</v>
      </c>
      <c r="OY12" t="s">
        <v>1900</v>
      </c>
      <c r="OZ12" t="s">
        <v>1900</v>
      </c>
      <c r="PA12" t="s">
        <v>1900</v>
      </c>
      <c r="PB12" t="s">
        <v>1900</v>
      </c>
      <c r="PC12" t="s">
        <v>1900</v>
      </c>
      <c r="PD12" t="s">
        <v>1900</v>
      </c>
      <c r="PE12" t="s">
        <v>1900</v>
      </c>
      <c r="PF12" t="s">
        <v>1900</v>
      </c>
      <c r="PG12" t="s">
        <v>1900</v>
      </c>
      <c r="PH12" t="s">
        <v>1900</v>
      </c>
      <c r="PI12" t="s">
        <v>1900</v>
      </c>
      <c r="PJ12" t="s">
        <v>1900</v>
      </c>
      <c r="PK12" t="s">
        <v>1900</v>
      </c>
      <c r="PL12" t="s">
        <v>1900</v>
      </c>
      <c r="PM12" t="s">
        <v>1900</v>
      </c>
      <c r="PN12" t="s">
        <v>1900</v>
      </c>
      <c r="PO12" t="s">
        <v>1900</v>
      </c>
      <c r="PP12" t="s">
        <v>1900</v>
      </c>
      <c r="PQ12" t="s">
        <v>1900</v>
      </c>
      <c r="PR12" t="s">
        <v>1900</v>
      </c>
      <c r="PS12" t="s">
        <v>1900</v>
      </c>
      <c r="PT12" t="s">
        <v>1900</v>
      </c>
      <c r="PU12" t="s">
        <v>1900</v>
      </c>
      <c r="PV12" t="s">
        <v>1900</v>
      </c>
      <c r="PW12" t="s">
        <v>1900</v>
      </c>
      <c r="PX12" t="s">
        <v>1900</v>
      </c>
      <c r="PY12" t="s">
        <v>1900</v>
      </c>
      <c r="PZ12" t="s">
        <v>1900</v>
      </c>
      <c r="QA12" t="s">
        <v>1900</v>
      </c>
      <c r="QB12" t="s">
        <v>1900</v>
      </c>
      <c r="QC12" t="s">
        <v>1900</v>
      </c>
      <c r="QD12" t="s">
        <v>1900</v>
      </c>
      <c r="QE12" t="s">
        <v>1900</v>
      </c>
      <c r="QF12" t="s">
        <v>1900</v>
      </c>
      <c r="QG12" t="s">
        <v>1900</v>
      </c>
      <c r="QH12" t="s">
        <v>1900</v>
      </c>
      <c r="QI12" t="s">
        <v>1900</v>
      </c>
      <c r="QJ12" t="s">
        <v>1900</v>
      </c>
      <c r="QK12" t="s">
        <v>1900</v>
      </c>
      <c r="QL12" t="s">
        <v>1900</v>
      </c>
      <c r="QM12" t="s">
        <v>1900</v>
      </c>
      <c r="QN12" t="s">
        <v>1900</v>
      </c>
      <c r="QO12" t="s">
        <v>1900</v>
      </c>
      <c r="QP12" t="s">
        <v>1900</v>
      </c>
      <c r="QQ12" t="s">
        <v>1900</v>
      </c>
      <c r="QR12" t="s">
        <v>1900</v>
      </c>
      <c r="QS12" t="s">
        <v>1900</v>
      </c>
      <c r="QT12" t="s">
        <v>1900</v>
      </c>
      <c r="QU12" t="s">
        <v>1900</v>
      </c>
      <c r="QV12" t="s">
        <v>1900</v>
      </c>
      <c r="QW12" t="s">
        <v>1900</v>
      </c>
      <c r="QX12" t="s">
        <v>1900</v>
      </c>
      <c r="QY12" t="s">
        <v>1900</v>
      </c>
      <c r="QZ12" t="s">
        <v>1900</v>
      </c>
      <c r="RA12" t="s">
        <v>1900</v>
      </c>
      <c r="RB12" t="s">
        <v>1900</v>
      </c>
      <c r="RC12" t="s">
        <v>1900</v>
      </c>
      <c r="RD12" t="s">
        <v>1900</v>
      </c>
      <c r="RE12" t="s">
        <v>1900</v>
      </c>
      <c r="RF12" t="s">
        <v>1900</v>
      </c>
      <c r="RG12" t="s">
        <v>1900</v>
      </c>
      <c r="RH12" t="s">
        <v>1900</v>
      </c>
      <c r="RI12" t="s">
        <v>1900</v>
      </c>
      <c r="RJ12" t="s">
        <v>1900</v>
      </c>
      <c r="RK12" t="s">
        <v>1900</v>
      </c>
      <c r="RL12" t="s">
        <v>1900</v>
      </c>
      <c r="RM12" t="s">
        <v>1900</v>
      </c>
      <c r="RN12" t="s">
        <v>1900</v>
      </c>
      <c r="RO12" t="s">
        <v>1900</v>
      </c>
      <c r="RP12" t="s">
        <v>1900</v>
      </c>
      <c r="RQ12" t="s">
        <v>1900</v>
      </c>
      <c r="RR12" t="s">
        <v>1900</v>
      </c>
      <c r="RS12" t="s">
        <v>1900</v>
      </c>
      <c r="RT12" t="s">
        <v>1900</v>
      </c>
      <c r="RU12" t="s">
        <v>1900</v>
      </c>
      <c r="RV12" t="s">
        <v>1900</v>
      </c>
      <c r="RW12" t="s">
        <v>1900</v>
      </c>
      <c r="RX12" t="s">
        <v>1900</v>
      </c>
      <c r="RY12" t="s">
        <v>1900</v>
      </c>
      <c r="RZ12" t="s">
        <v>1900</v>
      </c>
      <c r="SA12" t="s">
        <v>1900</v>
      </c>
      <c r="SB12" t="s">
        <v>1900</v>
      </c>
      <c r="SC12" t="s">
        <v>1900</v>
      </c>
      <c r="SD12" t="s">
        <v>1900</v>
      </c>
      <c r="SE12" t="s">
        <v>1900</v>
      </c>
      <c r="SF12" t="s">
        <v>1900</v>
      </c>
      <c r="SG12" t="s">
        <v>1900</v>
      </c>
      <c r="SH12" t="s">
        <v>1900</v>
      </c>
      <c r="SI12" t="s">
        <v>1900</v>
      </c>
      <c r="SJ12">
        <v>401665.303786581</v>
      </c>
      <c r="SK12">
        <v>461927.070107193</v>
      </c>
      <c r="SL12">
        <v>445234.208157969</v>
      </c>
      <c r="SM12">
        <v>509191.59207716</v>
      </c>
      <c r="SN12">
        <v>580684.640623444</v>
      </c>
      <c r="SO12" t="s">
        <v>1900</v>
      </c>
      <c r="SP12" t="s">
        <v>1900</v>
      </c>
      <c r="SQ12" t="s">
        <v>1900</v>
      </c>
      <c r="SR12" t="s">
        <v>1900</v>
      </c>
      <c r="SS12" t="s">
        <v>1900</v>
      </c>
      <c r="ST12" t="s">
        <v>1900</v>
      </c>
      <c r="SU12" t="s">
        <v>1900</v>
      </c>
      <c r="SV12" t="s">
        <v>1900</v>
      </c>
      <c r="SW12" t="s">
        <v>1900</v>
      </c>
      <c r="SX12" t="s">
        <v>1900</v>
      </c>
      <c r="SY12" t="s">
        <v>1900</v>
      </c>
      <c r="SZ12" t="s">
        <v>1900</v>
      </c>
      <c r="TA12" t="s">
        <v>1900</v>
      </c>
      <c r="TB12" t="s">
        <v>1900</v>
      </c>
      <c r="TC12" t="s">
        <v>1900</v>
      </c>
      <c r="TD12" t="s">
        <v>1900</v>
      </c>
      <c r="TE12" t="s">
        <v>1900</v>
      </c>
      <c r="TF12" t="s">
        <v>1900</v>
      </c>
      <c r="TG12" t="s">
        <v>1900</v>
      </c>
      <c r="TH12" t="s">
        <v>1900</v>
      </c>
      <c r="TI12" t="s">
        <v>1900</v>
      </c>
      <c r="TJ12" t="s">
        <v>1900</v>
      </c>
      <c r="TK12" t="s">
        <v>1900</v>
      </c>
      <c r="TL12" t="s">
        <v>1900</v>
      </c>
      <c r="TM12" t="s">
        <v>1900</v>
      </c>
      <c r="TN12" t="s">
        <v>1900</v>
      </c>
      <c r="TO12" t="s">
        <v>1900</v>
      </c>
      <c r="TP12" t="s">
        <v>1900</v>
      </c>
      <c r="TQ12" t="s">
        <v>1900</v>
      </c>
      <c r="TR12" t="s">
        <v>1900</v>
      </c>
      <c r="TS12">
        <v>1337276.4861548</v>
      </c>
      <c r="TT12">
        <v>1506907.01098135</v>
      </c>
      <c r="TU12">
        <v>1316846.58543081</v>
      </c>
      <c r="TV12">
        <v>1218776.41042864</v>
      </c>
      <c r="TW12">
        <v>1266467.6022659</v>
      </c>
      <c r="TX12" t="s">
        <v>1900</v>
      </c>
      <c r="TY12" t="s">
        <v>1900</v>
      </c>
      <c r="TZ12" t="s">
        <v>1900</v>
      </c>
      <c r="UA12" t="s">
        <v>1900</v>
      </c>
      <c r="UB12" t="s">
        <v>1900</v>
      </c>
      <c r="UC12">
        <v>0</v>
      </c>
      <c r="UD12">
        <v>0</v>
      </c>
      <c r="UE12">
        <v>0</v>
      </c>
      <c r="UF12">
        <v>0</v>
      </c>
      <c r="UG12">
        <v>0</v>
      </c>
      <c r="UH12" t="s">
        <v>1900</v>
      </c>
      <c r="UI12" t="s">
        <v>1900</v>
      </c>
      <c r="UJ12" t="s">
        <v>1900</v>
      </c>
      <c r="UK12" t="s">
        <v>1900</v>
      </c>
      <c r="UL12" t="s">
        <v>1900</v>
      </c>
      <c r="UM12" t="s">
        <v>1900</v>
      </c>
      <c r="UN12" t="s">
        <v>1900</v>
      </c>
      <c r="UO12" t="s">
        <v>1900</v>
      </c>
      <c r="UP12" t="s">
        <v>1900</v>
      </c>
      <c r="UQ12" t="s">
        <v>1900</v>
      </c>
      <c r="UR12" t="s">
        <v>1900</v>
      </c>
      <c r="US12" t="s">
        <v>1900</v>
      </c>
      <c r="UT12" t="s">
        <v>1900</v>
      </c>
      <c r="UU12" t="s">
        <v>1900</v>
      </c>
      <c r="UV12" t="s">
        <v>1900</v>
      </c>
      <c r="UW12" t="s">
        <v>1900</v>
      </c>
      <c r="UX12" t="s">
        <v>1900</v>
      </c>
      <c r="UY12" t="s">
        <v>1900</v>
      </c>
      <c r="UZ12" t="s">
        <v>1900</v>
      </c>
      <c r="VA12" t="s">
        <v>1900</v>
      </c>
      <c r="VB12" t="s">
        <v>1900</v>
      </c>
      <c r="VC12" t="s">
        <v>1900</v>
      </c>
      <c r="VD12" t="s">
        <v>1900</v>
      </c>
      <c r="VE12" t="s">
        <v>1900</v>
      </c>
      <c r="VF12" t="s">
        <v>1900</v>
      </c>
      <c r="VG12" t="s">
        <v>1900</v>
      </c>
      <c r="VH12" t="s">
        <v>1900</v>
      </c>
      <c r="VI12" t="s">
        <v>1900</v>
      </c>
      <c r="VJ12" t="s">
        <v>1900</v>
      </c>
      <c r="VK12" t="s">
        <v>1900</v>
      </c>
      <c r="VL12" t="s">
        <v>1900</v>
      </c>
      <c r="VM12" t="s">
        <v>1900</v>
      </c>
      <c r="VN12" t="s">
        <v>1900</v>
      </c>
      <c r="VO12" t="s">
        <v>1900</v>
      </c>
      <c r="VP12" t="s">
        <v>1900</v>
      </c>
      <c r="VQ12" t="s">
        <v>1900</v>
      </c>
      <c r="VR12" t="s">
        <v>1900</v>
      </c>
      <c r="VS12" t="s">
        <v>1900</v>
      </c>
      <c r="VT12" t="s">
        <v>1900</v>
      </c>
      <c r="VU12" t="s">
        <v>1900</v>
      </c>
      <c r="VV12" t="s">
        <v>1900</v>
      </c>
      <c r="VW12" t="s">
        <v>1900</v>
      </c>
      <c r="VX12" t="s">
        <v>1900</v>
      </c>
      <c r="VY12" t="s">
        <v>1900</v>
      </c>
      <c r="VZ12" t="s">
        <v>1900</v>
      </c>
      <c r="WA12">
        <v>204164.298831006</v>
      </c>
      <c r="WB12">
        <v>284613.508081045</v>
      </c>
      <c r="WC12">
        <v>209123.703276956</v>
      </c>
      <c r="WD12">
        <v>171429.249937534</v>
      </c>
      <c r="WE12">
        <v>147602.510472542</v>
      </c>
      <c r="WF12" t="s">
        <v>1900</v>
      </c>
      <c r="WG12" t="s">
        <v>1900</v>
      </c>
      <c r="WH12" t="s">
        <v>1900</v>
      </c>
      <c r="WI12" t="s">
        <v>1900</v>
      </c>
      <c r="WJ12" t="s">
        <v>1900</v>
      </c>
      <c r="WK12" t="s">
        <v>1900</v>
      </c>
      <c r="WL12" t="s">
        <v>1900</v>
      </c>
      <c r="WM12" t="s">
        <v>1900</v>
      </c>
      <c r="WN12" t="s">
        <v>1900</v>
      </c>
      <c r="WO12" t="s">
        <v>1900</v>
      </c>
      <c r="WP12" t="s">
        <v>1900</v>
      </c>
      <c r="WQ12" t="s">
        <v>1900</v>
      </c>
      <c r="WR12" t="s">
        <v>1900</v>
      </c>
      <c r="WS12" t="s">
        <v>1900</v>
      </c>
      <c r="WT12" t="s">
        <v>1900</v>
      </c>
      <c r="WU12" t="s">
        <v>1900</v>
      </c>
      <c r="WV12" t="s">
        <v>1900</v>
      </c>
      <c r="WW12" t="s">
        <v>1900</v>
      </c>
      <c r="WX12" t="s">
        <v>1900</v>
      </c>
      <c r="WY12" t="s">
        <v>1900</v>
      </c>
      <c r="WZ12" t="s">
        <v>1900</v>
      </c>
      <c r="XA12" t="s">
        <v>1900</v>
      </c>
      <c r="XB12" t="s">
        <v>1900</v>
      </c>
      <c r="XC12" t="s">
        <v>1900</v>
      </c>
      <c r="XD12" t="s">
        <v>1900</v>
      </c>
      <c r="XE12" t="s">
        <v>1900</v>
      </c>
      <c r="XF12" t="s">
        <v>1900</v>
      </c>
      <c r="XG12" t="s">
        <v>1900</v>
      </c>
      <c r="XH12" t="s">
        <v>1900</v>
      </c>
      <c r="XI12" t="s">
        <v>1900</v>
      </c>
      <c r="XJ12">
        <v>510670.394045275</v>
      </c>
      <c r="XK12">
        <v>543162.275514555</v>
      </c>
      <c r="XL12">
        <v>524286.28516373</v>
      </c>
      <c r="XM12">
        <v>556728.944944024</v>
      </c>
      <c r="XN12">
        <v>603179.8630206879</v>
      </c>
      <c r="XO12" t="s">
        <v>1900</v>
      </c>
      <c r="XP12" t="s">
        <v>1900</v>
      </c>
      <c r="XQ12" t="s">
        <v>1900</v>
      </c>
      <c r="XR12" t="s">
        <v>1900</v>
      </c>
      <c r="XS12" t="s">
        <v>1900</v>
      </c>
      <c r="XT12" t="s">
        <v>1900</v>
      </c>
      <c r="XU12" t="s">
        <v>1900</v>
      </c>
      <c r="XV12" t="s">
        <v>1900</v>
      </c>
      <c r="XW12" t="s">
        <v>1900</v>
      </c>
      <c r="XX12" t="s">
        <v>1900</v>
      </c>
      <c r="XY12">
        <v>510670.394045275</v>
      </c>
      <c r="XZ12">
        <v>543162.275514555</v>
      </c>
      <c r="YA12">
        <v>524286.28516373</v>
      </c>
      <c r="YB12">
        <v>556728.944944024</v>
      </c>
      <c r="YC12">
        <v>603179.8630206879</v>
      </c>
      <c r="YD12" t="s">
        <v>1900</v>
      </c>
      <c r="YE12" t="s">
        <v>1900</v>
      </c>
      <c r="YF12" t="s">
        <v>1900</v>
      </c>
      <c r="YG12" t="s">
        <v>1900</v>
      </c>
      <c r="YH12" t="s">
        <v>1900</v>
      </c>
      <c r="YI12" t="s">
        <v>1900</v>
      </c>
      <c r="YJ12" t="s">
        <v>1900</v>
      </c>
      <c r="YK12" t="s">
        <v>1900</v>
      </c>
      <c r="YL12" t="s">
        <v>1900</v>
      </c>
      <c r="YM12" t="s">
        <v>1900</v>
      </c>
      <c r="YN12" t="s">
        <v>1900</v>
      </c>
      <c r="YO12" t="s">
        <v>1900</v>
      </c>
      <c r="YP12" t="s">
        <v>1900</v>
      </c>
      <c r="YQ12" t="s">
        <v>1900</v>
      </c>
      <c r="YR12" t="s">
        <v>1900</v>
      </c>
      <c r="YS12" t="s">
        <v>1900</v>
      </c>
      <c r="YT12" t="s">
        <v>1900</v>
      </c>
      <c r="YU12" t="s">
        <v>1900</v>
      </c>
      <c r="YV12" t="s">
        <v>1900</v>
      </c>
      <c r="YW12" t="s">
        <v>1900</v>
      </c>
      <c r="YX12" t="s">
        <v>1900</v>
      </c>
      <c r="YY12" t="s">
        <v>1900</v>
      </c>
      <c r="YZ12" t="s">
        <v>1900</v>
      </c>
      <c r="ZA12" t="s">
        <v>1900</v>
      </c>
      <c r="ZB12" t="s">
        <v>1900</v>
      </c>
      <c r="ZC12" t="s">
        <v>1900</v>
      </c>
      <c r="ZD12" t="s">
        <v>1900</v>
      </c>
      <c r="ZE12" t="s">
        <v>1900</v>
      </c>
      <c r="ZF12" t="s">
        <v>1900</v>
      </c>
      <c r="ZG12" t="s">
        <v>1900</v>
      </c>
      <c r="ZH12" t="s">
        <v>1900</v>
      </c>
      <c r="ZI12" t="s">
        <v>1900</v>
      </c>
      <c r="ZJ12" t="s">
        <v>1900</v>
      </c>
      <c r="ZK12" t="s">
        <v>1900</v>
      </c>
      <c r="ZL12" t="s">
        <v>1900</v>
      </c>
      <c r="ZM12" t="s">
        <v>1900</v>
      </c>
      <c r="ZN12" t="s">
        <v>1900</v>
      </c>
      <c r="ZO12" t="s">
        <v>1900</v>
      </c>
      <c r="ZP12" t="s">
        <v>1900</v>
      </c>
      <c r="ZQ12" t="s">
        <v>1900</v>
      </c>
      <c r="ZR12" t="s">
        <v>1900</v>
      </c>
      <c r="ZS12" t="s">
        <v>1900</v>
      </c>
      <c r="ZT12" t="s">
        <v>1900</v>
      </c>
      <c r="ZU12" t="s">
        <v>1900</v>
      </c>
      <c r="ZV12" t="s">
        <v>1900</v>
      </c>
      <c r="ZW12" t="s">
        <v>1900</v>
      </c>
      <c r="ZX12" t="s">
        <v>1900</v>
      </c>
      <c r="ZY12" t="s">
        <v>1900</v>
      </c>
      <c r="ZZ12" t="s">
        <v>1900</v>
      </c>
      <c r="AAA12" t="s">
        <v>1900</v>
      </c>
      <c r="AAB12" t="s">
        <v>1900</v>
      </c>
      <c r="AAC12" t="s">
        <v>1900</v>
      </c>
      <c r="AAD12" t="s">
        <v>1900</v>
      </c>
      <c r="AAE12" t="s">
        <v>1900</v>
      </c>
      <c r="AAF12" t="s">
        <v>1900</v>
      </c>
      <c r="AAG12" t="s">
        <v>1900</v>
      </c>
      <c r="AAH12" t="s">
        <v>1900</v>
      </c>
      <c r="AAI12" t="s">
        <v>1900</v>
      </c>
      <c r="AAJ12" t="s">
        <v>1900</v>
      </c>
      <c r="AAK12" t="s">
        <v>1900</v>
      </c>
      <c r="AAL12" t="s">
        <v>1900</v>
      </c>
      <c r="AAM12" t="s">
        <v>1900</v>
      </c>
      <c r="AAN12" t="s">
        <v>1900</v>
      </c>
      <c r="AAO12" t="s">
        <v>1900</v>
      </c>
      <c r="AAP12" t="s">
        <v>1900</v>
      </c>
      <c r="AAQ12" t="s">
        <v>1900</v>
      </c>
      <c r="AAR12" t="s">
        <v>1900</v>
      </c>
      <c r="AAS12" t="s">
        <v>1900</v>
      </c>
      <c r="AAT12" t="s">
        <v>1900</v>
      </c>
      <c r="AAU12" t="s">
        <v>1900</v>
      </c>
      <c r="AAV12" t="s">
        <v>1900</v>
      </c>
      <c r="AAW12" t="s">
        <v>1900</v>
      </c>
      <c r="AAX12" t="s">
        <v>1900</v>
      </c>
      <c r="AAY12" t="s">
        <v>1900</v>
      </c>
      <c r="AAZ12" t="s">
        <v>1900</v>
      </c>
      <c r="ABA12" t="s">
        <v>1900</v>
      </c>
      <c r="ABB12" t="s">
        <v>1900</v>
      </c>
      <c r="ABC12" t="s">
        <v>1900</v>
      </c>
      <c r="ABD12" t="s">
        <v>1900</v>
      </c>
      <c r="ABE12" t="s">
        <v>1900</v>
      </c>
      <c r="ABF12" t="s">
        <v>1900</v>
      </c>
      <c r="ABG12" t="s">
        <v>1900</v>
      </c>
      <c r="ABH12" t="s">
        <v>1900</v>
      </c>
      <c r="ABI12" t="s">
        <v>1900</v>
      </c>
      <c r="ABJ12" t="s">
        <v>1900</v>
      </c>
      <c r="ABK12" t="s">
        <v>1900</v>
      </c>
      <c r="ABL12" t="s">
        <v>1900</v>
      </c>
      <c r="ABM12" t="s">
        <v>1900</v>
      </c>
      <c r="ABN12" t="s">
        <v>1900</v>
      </c>
      <c r="ABO12" t="s">
        <v>1900</v>
      </c>
      <c r="ABP12" t="s">
        <v>1900</v>
      </c>
      <c r="ABQ12" t="s">
        <v>1900</v>
      </c>
      <c r="ABR12" t="s">
        <v>1900</v>
      </c>
      <c r="ABS12" t="s">
        <v>1900</v>
      </c>
      <c r="ABT12" t="s">
        <v>1900</v>
      </c>
      <c r="ABU12" t="s">
        <v>1900</v>
      </c>
      <c r="ABV12" t="s">
        <v>1900</v>
      </c>
      <c r="ABW12" t="s">
        <v>1900</v>
      </c>
      <c r="ABX12" t="s">
        <v>1900</v>
      </c>
      <c r="ABY12" t="s">
        <v>1900</v>
      </c>
      <c r="ABZ12" t="s">
        <v>1900</v>
      </c>
      <c r="ACA12" t="s">
        <v>1900</v>
      </c>
      <c r="ACB12" t="s">
        <v>1900</v>
      </c>
      <c r="ACC12" t="s">
        <v>1900</v>
      </c>
      <c r="ACD12" t="s">
        <v>1900</v>
      </c>
      <c r="ACE12">
        <v>18.77</v>
      </c>
      <c r="ACF12">
        <v>33.166</v>
      </c>
      <c r="ACG12">
        <v>27.808</v>
      </c>
      <c r="ACH12">
        <v>22.384</v>
      </c>
      <c r="ACI12">
        <v>19.42</v>
      </c>
      <c r="ACJ12">
        <v>10.338</v>
      </c>
      <c r="ACK12">
        <v>18.483</v>
      </c>
      <c r="ACL12">
        <v>14.69</v>
      </c>
      <c r="ACM12">
        <v>10.512</v>
      </c>
      <c r="ACN12">
        <v>8.611000000000001</v>
      </c>
      <c r="ACO12">
        <v>8.737</v>
      </c>
      <c r="ACP12">
        <v>14.947</v>
      </c>
      <c r="ACQ12">
        <v>12.321</v>
      </c>
      <c r="ACR12">
        <v>9.01</v>
      </c>
      <c r="ACS12">
        <v>7.539</v>
      </c>
      <c r="ACT12">
        <v>14.402</v>
      </c>
      <c r="ACU12">
        <v>24.99</v>
      </c>
      <c r="ACV12">
        <v>20.856</v>
      </c>
      <c r="ACW12">
        <v>16.788</v>
      </c>
      <c r="ACX12">
        <v>14.565</v>
      </c>
      <c r="ACY12">
        <v>7.939</v>
      </c>
      <c r="ACZ12">
        <v>13.94</v>
      </c>
      <c r="ADA12">
        <v>11.028</v>
      </c>
      <c r="ADB12">
        <v>7.891</v>
      </c>
      <c r="ADC12">
        <v>6.478</v>
      </c>
      <c r="ADD12">
        <v>6.703</v>
      </c>
      <c r="ADE12">
        <v>11.262</v>
      </c>
      <c r="ADF12">
        <v>9.241</v>
      </c>
      <c r="ADG12">
        <v>6.758</v>
      </c>
      <c r="ADH12">
        <v>5.654</v>
      </c>
      <c r="ADI12">
        <v>6.193</v>
      </c>
      <c r="ADJ12">
        <v>11.677</v>
      </c>
      <c r="ADK12">
        <v>9.617000000000001</v>
      </c>
      <c r="ADL12">
        <v>6.674</v>
      </c>
      <c r="ADM12">
        <v>5.633</v>
      </c>
      <c r="ADN12">
        <v>99.49299999999999</v>
      </c>
      <c r="ADO12">
        <v>99.06</v>
      </c>
      <c r="ADP12">
        <v>98.889</v>
      </c>
      <c r="ADQ12">
        <v>99.57899999999999</v>
      </c>
      <c r="ADR12">
        <v>99.48399999999999</v>
      </c>
      <c r="ADS12">
        <v>6.209114418</v>
      </c>
      <c r="ADT12">
        <v>11.711901239</v>
      </c>
      <c r="ADU12">
        <v>9.64508721</v>
      </c>
      <c r="ADV12">
        <v>6.691000662</v>
      </c>
      <c r="ADW12">
        <v>5.684914479</v>
      </c>
      <c r="ADX12">
        <v>7.18</v>
      </c>
      <c r="ADY12">
        <v>12.143</v>
      </c>
      <c r="ADZ12">
        <v>10.253</v>
      </c>
      <c r="AEA12">
        <v>7.624</v>
      </c>
      <c r="AEB12">
        <v>6.568</v>
      </c>
      <c r="AEC12">
        <v>6.209</v>
      </c>
      <c r="AED12">
        <v>11.712</v>
      </c>
      <c r="AEE12">
        <v>9.645</v>
      </c>
      <c r="AEF12">
        <v>6.691</v>
      </c>
      <c r="AEG12">
        <v>5.685</v>
      </c>
      <c r="AEH12">
        <v>5.722</v>
      </c>
      <c r="AEI12">
        <v>9.228999999999999</v>
      </c>
      <c r="AEJ12">
        <v>7.821</v>
      </c>
      <c r="AEK12">
        <v>5.938</v>
      </c>
      <c r="AEL12">
        <v>5.108</v>
      </c>
      <c r="AEM12">
        <v>6.620168238</v>
      </c>
      <c r="AEN12">
        <v>13.265549268</v>
      </c>
      <c r="AEO12">
        <v>10.674668275</v>
      </c>
      <c r="AEP12">
        <v>7.170798861</v>
      </c>
      <c r="AEQ12">
        <v>6.027577081</v>
      </c>
      <c r="AER12">
        <v>1.066561485</v>
      </c>
      <c r="AES12">
        <v>1.134082566</v>
      </c>
      <c r="AET12">
        <v>1.108075168</v>
      </c>
      <c r="AEU12">
        <v>1.072033101</v>
      </c>
      <c r="AEV12">
        <v>1.060607045</v>
      </c>
      <c r="AEW12" t="s">
        <v>1900</v>
      </c>
      <c r="AEX12" t="s">
        <v>1900</v>
      </c>
      <c r="AEY12" t="s">
        <v>1900</v>
      </c>
      <c r="AEZ12" t="s">
        <v>1900</v>
      </c>
      <c r="AFA12" t="s">
        <v>1900</v>
      </c>
      <c r="AFB12" t="s">
        <v>1900</v>
      </c>
      <c r="AFC12" t="s">
        <v>1900</v>
      </c>
      <c r="AFD12" t="s">
        <v>1900</v>
      </c>
      <c r="AFE12" t="s">
        <v>1900</v>
      </c>
      <c r="AFF12" t="s">
        <v>1900</v>
      </c>
      <c r="AFG12">
        <v>1.665</v>
      </c>
      <c r="AFH12">
        <v>1.578</v>
      </c>
      <c r="AFI12">
        <v>1.523</v>
      </c>
      <c r="AFJ12">
        <v>1.571</v>
      </c>
      <c r="AFK12">
        <v>1.515</v>
      </c>
      <c r="AFL12">
        <v>378.372</v>
      </c>
      <c r="AFM12">
        <v>332.393</v>
      </c>
      <c r="AFN12">
        <v>341.3</v>
      </c>
      <c r="AFO12">
        <v>390.254</v>
      </c>
      <c r="AFP12">
        <v>110.546</v>
      </c>
      <c r="AFQ12" t="s">
        <v>1901</v>
      </c>
      <c r="AFR12" t="s">
        <v>1901</v>
      </c>
      <c r="AFS12" t="s">
        <v>1901</v>
      </c>
      <c r="AFT12" t="s">
        <v>1901</v>
      </c>
      <c r="AFU12" t="s">
        <v>1901</v>
      </c>
      <c r="AFV12">
        <v>22.004</v>
      </c>
      <c r="AFW12">
        <v>25.167</v>
      </c>
      <c r="AFX12">
        <v>24.788</v>
      </c>
      <c r="AFY12">
        <v>31.272</v>
      </c>
      <c r="AFZ12">
        <v>30.916</v>
      </c>
      <c r="AGA12">
        <v>0</v>
      </c>
      <c r="AGB12">
        <v>0.003</v>
      </c>
      <c r="AGC12">
        <v>0</v>
      </c>
      <c r="AGD12">
        <v>0.001</v>
      </c>
      <c r="AGE12">
        <v>0</v>
      </c>
      <c r="AGF12" t="s">
        <v>1900</v>
      </c>
      <c r="AGG12" t="s">
        <v>1900</v>
      </c>
      <c r="AGH12" t="s">
        <v>1900</v>
      </c>
      <c r="AGI12" t="s">
        <v>1900</v>
      </c>
      <c r="AGJ12" t="s">
        <v>1900</v>
      </c>
      <c r="AGK12" t="s">
        <v>1900</v>
      </c>
      <c r="AGL12" t="s">
        <v>1900</v>
      </c>
      <c r="AGM12" t="s">
        <v>1900</v>
      </c>
      <c r="AGN12" t="s">
        <v>1900</v>
      </c>
      <c r="AGO12" t="s">
        <v>1900</v>
      </c>
      <c r="AGP12" t="s">
        <v>1900</v>
      </c>
      <c r="AGQ12" t="s">
        <v>1900</v>
      </c>
      <c r="AGR12" t="s">
        <v>1900</v>
      </c>
      <c r="AGS12" t="s">
        <v>1900</v>
      </c>
      <c r="AGT12" t="s">
        <v>1900</v>
      </c>
      <c r="AGU12">
        <v>0</v>
      </c>
      <c r="AGV12">
        <v>0</v>
      </c>
      <c r="AGW12">
        <v>0</v>
      </c>
      <c r="AGX12">
        <v>0</v>
      </c>
      <c r="AGY12">
        <v>0</v>
      </c>
      <c r="AGZ12">
        <v>2.699</v>
      </c>
      <c r="AHA12">
        <v>3.456</v>
      </c>
      <c r="AHB12">
        <v>3.874</v>
      </c>
      <c r="AHC12">
        <v>3.695</v>
      </c>
      <c r="AHD12">
        <v>4.03</v>
      </c>
      <c r="AHE12">
        <v>2.699</v>
      </c>
      <c r="AHF12">
        <v>3.456</v>
      </c>
      <c r="AHG12">
        <v>3.874</v>
      </c>
      <c r="AHH12">
        <v>3.695</v>
      </c>
      <c r="AHI12">
        <v>4.03</v>
      </c>
      <c r="AHJ12">
        <v>1.219</v>
      </c>
      <c r="AHK12">
        <v>1.25</v>
      </c>
      <c r="AHL12">
        <v>1.113</v>
      </c>
      <c r="AHM12">
        <v>0.881</v>
      </c>
      <c r="AHN12">
        <v>0.784</v>
      </c>
      <c r="AHO12">
        <v>46.545</v>
      </c>
      <c r="AHP12">
        <v>45.067</v>
      </c>
      <c r="AHQ12">
        <v>44.306</v>
      </c>
      <c r="AHR12">
        <v>40.254</v>
      </c>
      <c r="AHS12">
        <v>38.821</v>
      </c>
      <c r="AHT12">
        <v>87.075</v>
      </c>
      <c r="AHU12">
        <v>82.039</v>
      </c>
      <c r="AHV12">
        <v>79.551</v>
      </c>
      <c r="AHW12">
        <v>67.376</v>
      </c>
      <c r="AHX12">
        <v>63.454</v>
      </c>
      <c r="AHY12">
        <v>82.04300000000001</v>
      </c>
      <c r="AHZ12">
        <v>79.98099999999999</v>
      </c>
      <c r="AIA12">
        <v>89.86199999999999</v>
      </c>
      <c r="AIB12">
        <v>113.477</v>
      </c>
      <c r="AIC12">
        <v>127.574</v>
      </c>
      <c r="AID12">
        <v>30.036070173</v>
      </c>
      <c r="AIE12">
        <v>30.653986393</v>
      </c>
      <c r="AIF12">
        <v>33.810636188</v>
      </c>
      <c r="AIG12">
        <v>41.778917587</v>
      </c>
      <c r="AIH12">
        <v>45.850729982</v>
      </c>
      <c r="AII12">
        <v>32.585302412</v>
      </c>
      <c r="AIJ12">
        <v>56.333716927</v>
      </c>
      <c r="AIK12">
        <v>52.696614054</v>
      </c>
      <c r="AIL12">
        <v>40.239932284</v>
      </c>
      <c r="AIM12">
        <v>35.478212442</v>
      </c>
      <c r="AIN12">
        <v>15.267171819</v>
      </c>
      <c r="AIO12">
        <v>18.887264178</v>
      </c>
      <c r="AIP12">
        <v>15.880642862</v>
      </c>
      <c r="AIQ12">
        <v>14.065684934</v>
      </c>
      <c r="AIR12">
        <v>11.654661375</v>
      </c>
      <c r="AIS12">
        <v>0</v>
      </c>
      <c r="AIT12">
        <v>0</v>
      </c>
      <c r="AIU12">
        <v>0</v>
      </c>
      <c r="AIV12">
        <v>0</v>
      </c>
      <c r="AIW12">
        <v>0</v>
      </c>
      <c r="AIX12">
        <v>4.67325687124681</v>
      </c>
      <c r="AIY12">
        <v>9.00943590332413</v>
      </c>
      <c r="AIZ12">
        <v>6.7602067503339</v>
      </c>
      <c r="AJA12">
        <v>4.57567466194868</v>
      </c>
      <c r="AJB12">
        <v>4.15113826775372</v>
      </c>
      <c r="AJC12">
        <v>75.4639172998333</v>
      </c>
      <c r="AJD12">
        <v>77.15760440238481</v>
      </c>
      <c r="AJE12">
        <v>70.2955970548159</v>
      </c>
      <c r="AJF12">
        <v>68.5611815159583</v>
      </c>
      <c r="AJG12">
        <v>73.6868000033152</v>
      </c>
      <c r="AJH12">
        <v>74.15600000000001</v>
      </c>
      <c r="AJI12">
        <v>71.95</v>
      </c>
      <c r="AJJ12">
        <v>70.04900000000001</v>
      </c>
      <c r="AJK12">
        <v>70.262</v>
      </c>
      <c r="AJL12">
        <v>69.378</v>
      </c>
      <c r="AJM12">
        <v>55.9607517972531</v>
      </c>
      <c r="AJN12">
        <v>55.5146779393053</v>
      </c>
      <c r="AJO12">
        <v>49.2414777883297</v>
      </c>
      <c r="AJP12">
        <v>48.172252356019</v>
      </c>
      <c r="AJQ12">
        <v>51.1221642799997</v>
      </c>
      <c r="AJR12">
        <v>24.8976721467004</v>
      </c>
      <c r="AJS12">
        <v>27.1645001260939</v>
      </c>
      <c r="AJT12">
        <v>24.3098587412214</v>
      </c>
      <c r="AJU12">
        <v>20.4421421201849</v>
      </c>
      <c r="AJV12">
        <v>21.3760673418868</v>
      </c>
      <c r="AJW12">
        <v>4.61260799384809</v>
      </c>
      <c r="AJX12">
        <v>5.39326432043076</v>
      </c>
      <c r="AJY12">
        <v>4.84027754129291</v>
      </c>
      <c r="AJZ12">
        <v>5.95539816309929</v>
      </c>
      <c r="AKA12">
        <v>6.32798788295805</v>
      </c>
      <c r="AKB12">
        <v>53.491059030632</v>
      </c>
      <c r="AKC12">
        <v>60.2762808812542</v>
      </c>
      <c r="AKD12">
        <v>54.8686081707001</v>
      </c>
      <c r="AKE12">
        <v>50.7823501513767</v>
      </c>
      <c r="AKF12">
        <v>55.0638084740567</v>
      </c>
      <c r="AKG12">
        <v>0</v>
      </c>
      <c r="AKH12">
        <v>0</v>
      </c>
      <c r="AKI12">
        <v>0</v>
      </c>
      <c r="AKJ12">
        <v>0</v>
      </c>
      <c r="AKK12">
        <v>0</v>
      </c>
      <c r="AKL12">
        <v>0</v>
      </c>
      <c r="AKM12">
        <v>0</v>
      </c>
      <c r="AKN12">
        <v>0</v>
      </c>
      <c r="AKO12">
        <v>0</v>
      </c>
      <c r="AKP12">
        <v>0</v>
      </c>
      <c r="AKQ12">
        <v>0</v>
      </c>
      <c r="AKR12">
        <v>0</v>
      </c>
      <c r="AKS12">
        <v>0</v>
      </c>
      <c r="AKT12">
        <v>0</v>
      </c>
      <c r="AKU12">
        <v>0</v>
      </c>
      <c r="AKV12">
        <v>0.012207331</v>
      </c>
      <c r="AKW12">
        <v>0.012699021</v>
      </c>
      <c r="AKX12">
        <v>0.014014852</v>
      </c>
      <c r="AKY12">
        <v>0.015258564</v>
      </c>
      <c r="AKZ12">
        <v>0.016050504</v>
      </c>
      <c r="ALA12">
        <v>0.017221813</v>
      </c>
      <c r="ALB12">
        <v>0.016255582</v>
      </c>
      <c r="ALC12">
        <v>0.017955301</v>
      </c>
      <c r="ALD12">
        <v>0.020600566</v>
      </c>
      <c r="ALE12">
        <v>0.021478905</v>
      </c>
      <c r="ALF12">
        <v>20.370534451</v>
      </c>
      <c r="ALG12">
        <v>3.161732561</v>
      </c>
      <c r="ALH12">
        <v>3.632026554</v>
      </c>
      <c r="ALI12">
        <v>4.616471994</v>
      </c>
      <c r="ALJ12">
        <v>5.348556927</v>
      </c>
      <c r="ALK12">
        <v>28.738266601</v>
      </c>
      <c r="ALL12">
        <v>4.047225693</v>
      </c>
      <c r="ALM12">
        <v>4.653215844</v>
      </c>
      <c r="ALN12">
        <v>6.232692442</v>
      </c>
      <c r="ALO12">
        <v>7.15747883</v>
      </c>
      <c r="ALP12">
        <v>6.112336299</v>
      </c>
      <c r="ALQ12">
        <v>6.990902705</v>
      </c>
      <c r="ALR12">
        <v>6.885605319</v>
      </c>
      <c r="ALS12">
        <v>8.686667031000001</v>
      </c>
      <c r="ALT12">
        <v>8.587681662</v>
      </c>
      <c r="ALU12">
        <v>0</v>
      </c>
      <c r="ALV12">
        <v>0.0138811</v>
      </c>
      <c r="ALW12">
        <v>0</v>
      </c>
      <c r="ALX12">
        <v>0.004754285</v>
      </c>
      <c r="ALY12">
        <v>0</v>
      </c>
      <c r="ALZ12">
        <v>99.49300754753141</v>
      </c>
      <c r="AMA12">
        <v>99.06032852999699</v>
      </c>
      <c r="AMB12">
        <v>98.8893362483737</v>
      </c>
      <c r="AMC12">
        <v>99.5788614377452</v>
      </c>
      <c r="AMD12">
        <v>99.48448028516491</v>
      </c>
      <c r="AME12">
        <v>99.7755062302285</v>
      </c>
      <c r="AMF12">
        <v>99.98123224599649</v>
      </c>
      <c r="AMG12">
        <v>99.31383800883511</v>
      </c>
      <c r="AMH12" t="s">
        <v>1901</v>
      </c>
      <c r="AMI12" t="s">
        <v>1901</v>
      </c>
      <c r="AMJ12">
        <v>19624.1595043647</v>
      </c>
      <c r="AMK12">
        <v>10542.017900013</v>
      </c>
      <c r="AML12">
        <v>8903.625071365839</v>
      </c>
      <c r="AMM12">
        <v>23645.1539618201</v>
      </c>
      <c r="AMN12">
        <v>19297.9029501197</v>
      </c>
      <c r="AMO12">
        <v>1.0665614852496</v>
      </c>
      <c r="AMP12">
        <v>1.13408256492714</v>
      </c>
      <c r="AMQ12">
        <v>1.10807516803018</v>
      </c>
      <c r="AMR12">
        <v>1.07203310105241</v>
      </c>
      <c r="AMS12">
        <v>1.0606070438904</v>
      </c>
      <c r="AMT12">
        <v>1.06656148465928</v>
      </c>
      <c r="AMU12">
        <v>1.13408256558296</v>
      </c>
      <c r="AMV12">
        <v>1.10807516803018</v>
      </c>
      <c r="AMW12">
        <v>1.07203310105241</v>
      </c>
      <c r="AMX12">
        <v>1.0606070446623</v>
      </c>
      <c r="AMY12">
        <v>1.06656148461999</v>
      </c>
      <c r="AMZ12">
        <v>1.13408256558296</v>
      </c>
      <c r="ANA12">
        <v>1.10807516803018</v>
      </c>
      <c r="ANB12">
        <v>1.07203310105241</v>
      </c>
      <c r="ANC12">
        <v>1.0606070446623</v>
      </c>
      <c r="AND12">
        <v>6.20911441784447</v>
      </c>
      <c r="ANE12">
        <v>11.7119012385544</v>
      </c>
      <c r="ANF12">
        <v>9.645087210495991</v>
      </c>
      <c r="ANG12">
        <v>6.69100066181473</v>
      </c>
      <c r="ANH12">
        <v>5.68491447853465</v>
      </c>
      <c r="ANI12">
        <v>6.22674446730215</v>
      </c>
      <c r="ANJ12">
        <v>11.8207796718491</v>
      </c>
      <c r="ANK12">
        <v>9.68649062825558</v>
      </c>
      <c r="ANL12">
        <v>6.72170718879974</v>
      </c>
      <c r="ANM12">
        <v>5.76103698746485</v>
      </c>
      <c r="ANN12">
        <v>6.62016823842188</v>
      </c>
      <c r="ANO12">
        <v>13.2655492675179</v>
      </c>
      <c r="ANP12">
        <v>10.6746682750563</v>
      </c>
      <c r="ANQ12">
        <v>7.17079886106607</v>
      </c>
      <c r="ANR12">
        <v>6.02757708070022</v>
      </c>
      <c r="ANS12">
        <v>10.3379899663793</v>
      </c>
      <c r="ANT12">
        <v>18.4832055941897</v>
      </c>
      <c r="ANU12">
        <v>14.6897497381002</v>
      </c>
      <c r="ANV12">
        <v>10.5121793637536</v>
      </c>
      <c r="ANW12">
        <v>8.61120137855292</v>
      </c>
      <c r="ANX12">
        <v>99.49300754753141</v>
      </c>
      <c r="ANY12">
        <v>99.0603285872824</v>
      </c>
      <c r="ANZ12">
        <v>98.8893362483737</v>
      </c>
      <c r="AOA12">
        <v>99.5788614377452</v>
      </c>
      <c r="AOB12">
        <v>99.4844803575689</v>
      </c>
      <c r="AOC12">
        <v>106.079612032644</v>
      </c>
      <c r="AOD12">
        <v>112.201225215709</v>
      </c>
      <c r="AOE12">
        <v>109.445444852293</v>
      </c>
      <c r="AOF12">
        <v>106.719461299586</v>
      </c>
      <c r="AOG12">
        <v>105.480984017687</v>
      </c>
      <c r="AOH12" t="s">
        <v>1901</v>
      </c>
      <c r="AOI12" t="s">
        <v>1901</v>
      </c>
      <c r="AOJ12" t="s">
        <v>1901</v>
      </c>
      <c r="AOK12" t="s">
        <v>1901</v>
      </c>
      <c r="AOL12" t="s">
        <v>1901</v>
      </c>
      <c r="AOM12">
        <v>1224.69563158415</v>
      </c>
      <c r="AON12">
        <v>1246.3826269528</v>
      </c>
      <c r="AOO12">
        <v>868.407490239317</v>
      </c>
      <c r="AOP12">
        <v>1588.78840873431</v>
      </c>
      <c r="AOQ12">
        <v>1102.7541941419</v>
      </c>
      <c r="AOR12">
        <v>6.65614846592828</v>
      </c>
      <c r="AOS12">
        <v>13.4082565582962</v>
      </c>
      <c r="AOT12">
        <v>10.8075168030181</v>
      </c>
      <c r="AOU12">
        <v>7.20331010524094</v>
      </c>
      <c r="AOV12">
        <v>6.06070446622966</v>
      </c>
      <c r="AOW12">
        <v>8.759671275622409</v>
      </c>
      <c r="AOX12">
        <v>14.9920041277798</v>
      </c>
      <c r="AOY12">
        <v>12.3569230448235</v>
      </c>
      <c r="AOZ12">
        <v>9.033510721415221</v>
      </c>
      <c r="APA12">
        <v>7.60759501753353</v>
      </c>
      <c r="APB12">
        <v>4.75160108328497</v>
      </c>
      <c r="APC12">
        <v>8.798065963394031</v>
      </c>
      <c r="APD12">
        <v>7.21262022004671</v>
      </c>
      <c r="APE12">
        <v>5.00539122611935</v>
      </c>
      <c r="APF12">
        <v>4.22511646335967</v>
      </c>
      <c r="APG12">
        <v>4.76509269520643</v>
      </c>
      <c r="APH12">
        <v>8.879856239678491</v>
      </c>
      <c r="API12">
        <v>7.24358179888934</v>
      </c>
      <c r="APJ12">
        <v>5.0283621072362</v>
      </c>
      <c r="APK12">
        <v>4.28169189064668</v>
      </c>
      <c r="APL12">
        <v>937.213376678249</v>
      </c>
      <c r="APM12">
        <v>936.291755215706</v>
      </c>
      <c r="APN12">
        <v>649.397282434527</v>
      </c>
      <c r="APO12">
        <v>1188.53785303347</v>
      </c>
      <c r="APP12">
        <v>819.583991685452</v>
      </c>
      <c r="APQ12">
        <v>5.09369938011064</v>
      </c>
      <c r="APR12">
        <v>10.0723805000734</v>
      </c>
      <c r="APS12">
        <v>8.081887962310571</v>
      </c>
      <c r="APT12">
        <v>5.38863871372132</v>
      </c>
      <c r="APU12">
        <v>4.50440940079453</v>
      </c>
      <c r="APV12">
        <v>5.06616506901711</v>
      </c>
      <c r="APW12">
        <v>9.965177738356781</v>
      </c>
      <c r="APX12">
        <v>7.98254350247633</v>
      </c>
      <c r="APY12">
        <v>5.36431776315381</v>
      </c>
      <c r="APZ12">
        <v>4.47978861493803</v>
      </c>
      <c r="AQA12">
        <v>6.70344605067161</v>
      </c>
      <c r="AQB12">
        <v>11.2621032702597</v>
      </c>
      <c r="AQC12">
        <v>9.24053780598965</v>
      </c>
      <c r="AQD12">
        <v>6.75777175812791</v>
      </c>
      <c r="AQE12">
        <v>5.65408240995019</v>
      </c>
      <c r="AQF12">
        <v>0.0665614846199902</v>
      </c>
      <c r="AQG12">
        <v>0.134082565582962</v>
      </c>
      <c r="AQH12">
        <v>0.108075168030181</v>
      </c>
      <c r="AQI12">
        <v>0.0720331010524094</v>
      </c>
      <c r="AQJ12">
        <v>0.0606070446622966</v>
      </c>
      <c r="AQK12">
        <v>7</v>
      </c>
      <c r="AQO12" t="s">
        <v>1902</v>
      </c>
      <c r="AQP12">
        <v>1</v>
      </c>
      <c r="AQQ12">
        <v>0</v>
      </c>
      <c r="AQS12" t="s">
        <v>1905</v>
      </c>
      <c r="AQU12" t="s">
        <v>1906</v>
      </c>
      <c r="AQV12">
        <v>1886597.93249583</v>
      </c>
      <c r="AQW12">
        <v>1928940.11558462</v>
      </c>
      <c r="AQX12">
        <v>1687094.32718238</v>
      </c>
      <c r="AQY12">
        <v>117141.024233354</v>
      </c>
      <c r="AQZ12">
        <v>225915.561288128</v>
      </c>
      <c r="ARA12">
        <v>162721.719180071</v>
      </c>
      <c r="ARB12">
        <v>5502632.37526283</v>
      </c>
      <c r="ARC12">
        <v>505778.304701553</v>
      </c>
      <c r="ARD12">
        <v>0.1012193467248366</v>
      </c>
      <c r="ARE12">
        <v>0.1012193467248366</v>
      </c>
      <c r="ARF12">
        <v>0.1012193467248366</v>
      </c>
      <c r="ARG12">
        <v>0.1012193467248366</v>
      </c>
      <c r="ARH12">
        <v>0.1012193467248366</v>
      </c>
      <c r="ARI12">
        <v>0.1012193467248366</v>
      </c>
      <c r="ARJ12" t="s">
        <v>1173</v>
      </c>
      <c r="ARK12" t="s">
        <v>1511</v>
      </c>
      <c r="ARL12" t="s">
        <v>1908</v>
      </c>
      <c r="ARM12" t="s">
        <v>1908</v>
      </c>
      <c r="ARN12" t="s">
        <v>1908</v>
      </c>
      <c r="ARO12" t="s">
        <v>1908</v>
      </c>
      <c r="ARP12" t="s">
        <v>1904</v>
      </c>
      <c r="ARQ12" t="s">
        <v>1918</v>
      </c>
      <c r="ARR12">
        <f>HYPERLINK("C:\Users\Usuario\Documents\Proyectos\llmthon\evidence\gestoriaaras_es_233322.png", "Ver Evidencia")</f>
        <v>0</v>
      </c>
      <c r="ARS12">
        <v>95</v>
      </c>
    </row>
    <row r="13" spans="1:1163">
      <c r="A13">
        <v>735</v>
      </c>
      <c r="B13" t="s">
        <v>1174</v>
      </c>
      <c r="C13" t="s">
        <v>1297</v>
      </c>
      <c r="E13" s="2">
        <v>39358</v>
      </c>
      <c r="F13" t="s">
        <v>1431</v>
      </c>
      <c r="G13" t="s">
        <v>1433</v>
      </c>
      <c r="H13" t="s">
        <v>1434</v>
      </c>
      <c r="I13" t="s">
        <v>1437</v>
      </c>
      <c r="J13" t="s">
        <v>1458</v>
      </c>
      <c r="L13" t="s">
        <v>1512</v>
      </c>
      <c r="N13" t="s">
        <v>1632</v>
      </c>
      <c r="O13" t="s">
        <v>1656</v>
      </c>
      <c r="P13">
        <v>7022</v>
      </c>
      <c r="Q13">
        <v>7022</v>
      </c>
      <c r="R13" t="s">
        <v>1683</v>
      </c>
      <c r="Z13" t="s">
        <v>1899</v>
      </c>
      <c r="AA13" s="2">
        <v>45657</v>
      </c>
      <c r="AB13">
        <v>2024</v>
      </c>
      <c r="AC13">
        <v>154546.476496657</v>
      </c>
      <c r="AD13">
        <v>65500.9486460209</v>
      </c>
      <c r="AE13">
        <v>110238.283448994</v>
      </c>
      <c r="AF13">
        <v>84212.6044190168</v>
      </c>
      <c r="AG13">
        <v>98126.0262423992</v>
      </c>
      <c r="AH13">
        <v>44940.4566154182</v>
      </c>
      <c r="AI13">
        <v>9393.22246556282</v>
      </c>
      <c r="AJ13">
        <v>1121.43336794972</v>
      </c>
      <c r="AK13">
        <v>1359.12036895752</v>
      </c>
      <c r="AL13">
        <v>11043.8936948776</v>
      </c>
      <c r="AM13">
        <v>348.571573963165</v>
      </c>
      <c r="AN13">
        <v>3831.20246939659</v>
      </c>
      <c r="AO13">
        <v>475.116742044687</v>
      </c>
      <c r="AP13" t="s">
        <v>1900</v>
      </c>
      <c r="AQ13" t="s">
        <v>1900</v>
      </c>
      <c r="AR13">
        <v>154197.905961593</v>
      </c>
      <c r="AS13">
        <v>61669.7461766243</v>
      </c>
      <c r="AT13">
        <v>109763.166706949</v>
      </c>
      <c r="AU13">
        <v>84212.6044190168</v>
      </c>
      <c r="AV13">
        <v>98126.0262423992</v>
      </c>
      <c r="AW13">
        <v>-147602.202890292</v>
      </c>
      <c r="AX13">
        <v>-265416.699115753</v>
      </c>
      <c r="AY13">
        <v>-1657843.61483452</v>
      </c>
      <c r="AZ13">
        <v>-184735.174261665</v>
      </c>
      <c r="BA13">
        <v>-302768.370187056</v>
      </c>
      <c r="BB13">
        <v>301800.108851886</v>
      </c>
      <c r="BC13">
        <v>327086.445292377</v>
      </c>
      <c r="BD13">
        <v>1767606.78154147</v>
      </c>
      <c r="BE13">
        <v>268947.778680682</v>
      </c>
      <c r="BF13">
        <v>400894.396429455</v>
      </c>
      <c r="BG13">
        <v>117118.168443454</v>
      </c>
      <c r="BH13">
        <v>78215.835752306</v>
      </c>
      <c r="BI13">
        <v>90653.77722080531</v>
      </c>
      <c r="BJ13">
        <v>4497.66794837236</v>
      </c>
      <c r="BK13">
        <v>42.2981128513813</v>
      </c>
      <c r="BL13">
        <v>117316.348919877</v>
      </c>
      <c r="BM13">
        <v>78388.09427961351</v>
      </c>
      <c r="BN13">
        <v>94101.8491150617</v>
      </c>
      <c r="BO13">
        <v>12368.8221557379</v>
      </c>
      <c r="BP13">
        <v>42.2981128513813</v>
      </c>
      <c r="BQ13">
        <v>198.18047642231</v>
      </c>
      <c r="BR13">
        <v>172.25852730751</v>
      </c>
      <c r="BS13">
        <v>3448.07082765698</v>
      </c>
      <c r="BT13">
        <v>7871.15307476521</v>
      </c>
      <c r="BU13" t="s">
        <v>1900</v>
      </c>
      <c r="BV13">
        <v>418918.27729534</v>
      </c>
      <c r="BW13">
        <v>405302.281044683</v>
      </c>
      <c r="BX13">
        <v>1858260.55982888</v>
      </c>
      <c r="BY13">
        <v>273445.447761655</v>
      </c>
      <c r="BZ13">
        <v>400936.694542307</v>
      </c>
      <c r="CA13">
        <v>30549.4747289193</v>
      </c>
      <c r="CB13">
        <v>-4564.73384359646</v>
      </c>
      <c r="CC13">
        <v>29680.3492877245</v>
      </c>
      <c r="CD13">
        <v>10835.8589655876</v>
      </c>
      <c r="CE13">
        <v>2545.42116078138</v>
      </c>
      <c r="CF13">
        <v>388368.802566421</v>
      </c>
      <c r="CG13">
        <v>409867.01488828</v>
      </c>
      <c r="CH13">
        <v>1828580.21054115</v>
      </c>
      <c r="CI13">
        <v>262609.588796067</v>
      </c>
      <c r="CJ13">
        <v>398391.273381525</v>
      </c>
      <c r="CK13" t="s">
        <v>1900</v>
      </c>
      <c r="CL13" t="s">
        <v>1900</v>
      </c>
      <c r="CM13" t="s">
        <v>1900</v>
      </c>
      <c r="CN13" t="s">
        <v>1900</v>
      </c>
      <c r="CO13" t="s">
        <v>1900</v>
      </c>
      <c r="CP13" t="s">
        <v>1900</v>
      </c>
      <c r="CQ13" t="s">
        <v>1900</v>
      </c>
      <c r="CR13" t="s">
        <v>1900</v>
      </c>
      <c r="CS13" t="s">
        <v>1900</v>
      </c>
      <c r="CT13" t="s">
        <v>1900</v>
      </c>
      <c r="CU13" t="s">
        <v>1900</v>
      </c>
      <c r="CV13" t="s">
        <v>1900</v>
      </c>
      <c r="CW13" t="s">
        <v>1900</v>
      </c>
      <c r="CX13" t="s">
        <v>1900</v>
      </c>
      <c r="CY13" t="s">
        <v>1900</v>
      </c>
      <c r="CZ13">
        <v>388368.802566421</v>
      </c>
      <c r="DA13">
        <v>409867.01488828</v>
      </c>
      <c r="DB13">
        <v>1828580.21054115</v>
      </c>
      <c r="DC13">
        <v>262609.588796067</v>
      </c>
      <c r="DD13">
        <v>398391.273381525</v>
      </c>
      <c r="DE13" t="s">
        <v>1900</v>
      </c>
      <c r="DF13" t="s">
        <v>1900</v>
      </c>
      <c r="DG13" t="s">
        <v>1900</v>
      </c>
      <c r="DH13" t="s">
        <v>1900</v>
      </c>
      <c r="DI13" t="s">
        <v>1900</v>
      </c>
      <c r="DJ13">
        <v>348.571573963165</v>
      </c>
      <c r="DK13">
        <v>3831.20246939659</v>
      </c>
      <c r="DL13">
        <v>475.116742044687</v>
      </c>
      <c r="DM13" t="s">
        <v>1900</v>
      </c>
      <c r="DN13" t="s">
        <v>1900</v>
      </c>
      <c r="DO13">
        <v>31800.8811709118</v>
      </c>
      <c r="DP13">
        <v>62202.411665678</v>
      </c>
      <c r="DQ13">
        <v>32062.3219288826</v>
      </c>
      <c r="DR13">
        <v>29101.4513621092</v>
      </c>
      <c r="DS13">
        <v>19651.5044406652</v>
      </c>
      <c r="DT13">
        <v>455.017220923901</v>
      </c>
      <c r="DU13">
        <v>214.856296424866</v>
      </c>
      <c r="DV13" t="s">
        <v>1900</v>
      </c>
      <c r="DW13" t="s">
        <v>1900</v>
      </c>
      <c r="DX13">
        <v>3561.0789799273</v>
      </c>
      <c r="DY13">
        <v>-179858.100243229</v>
      </c>
      <c r="DZ13">
        <v>-327833.967077856</v>
      </c>
      <c r="EA13">
        <v>-1689905.93569681</v>
      </c>
      <c r="EB13">
        <v>-213836.625623775</v>
      </c>
      <c r="EC13">
        <v>-325980.953607649</v>
      </c>
      <c r="ED13" t="s">
        <v>1900</v>
      </c>
      <c r="EE13" t="s">
        <v>1900</v>
      </c>
      <c r="EF13">
        <v>3448.07082765698</v>
      </c>
      <c r="EG13">
        <v>2.28785262107849</v>
      </c>
      <c r="EH13" t="s">
        <v>1900</v>
      </c>
      <c r="EI13" t="s">
        <v>1900</v>
      </c>
      <c r="EJ13" t="s">
        <v>1900</v>
      </c>
      <c r="EK13" t="s">
        <v>1900</v>
      </c>
      <c r="EL13" t="s">
        <v>1900</v>
      </c>
      <c r="EM13" t="s">
        <v>1900</v>
      </c>
      <c r="EN13">
        <v>388823.819787345</v>
      </c>
      <c r="EO13">
        <v>410081.871184705</v>
      </c>
      <c r="EP13" t="s">
        <v>1900</v>
      </c>
      <c r="EQ13" t="s">
        <v>1900</v>
      </c>
      <c r="ER13">
        <v>401952.352361453</v>
      </c>
      <c r="ES13">
        <v>451174.175687176</v>
      </c>
      <c r="ET13">
        <v>467719.549006786</v>
      </c>
      <c r="EU13">
        <v>1893770.95258542</v>
      </c>
      <c r="EV13">
        <v>302549.186976385</v>
      </c>
      <c r="EW13">
        <v>424149.277962899</v>
      </c>
      <c r="EX13">
        <v>302255.12503391</v>
      </c>
      <c r="EY13">
        <v>327301.301588802</v>
      </c>
      <c r="EZ13">
        <v>1767606.78154147</v>
      </c>
      <c r="FA13">
        <v>268947.778680682</v>
      </c>
      <c r="FB13">
        <v>404455.475409383</v>
      </c>
      <c r="FC13">
        <v>8783423.92676096</v>
      </c>
      <c r="FD13">
        <v>10420463.2146758</v>
      </c>
      <c r="FE13">
        <v>6827780.25430295</v>
      </c>
      <c r="FF13">
        <v>4994020.46264613</v>
      </c>
      <c r="FG13">
        <v>4597622.72859613</v>
      </c>
      <c r="FH13">
        <v>0</v>
      </c>
      <c r="FI13">
        <v>0</v>
      </c>
      <c r="FJ13">
        <v>0</v>
      </c>
      <c r="FK13">
        <v>0</v>
      </c>
      <c r="FL13">
        <v>0</v>
      </c>
      <c r="FM13">
        <v>402280.290758812</v>
      </c>
      <c r="FN13">
        <v>269197.237312412</v>
      </c>
      <c r="FO13">
        <v>8970.752321940659</v>
      </c>
      <c r="FP13">
        <v>9525.859471964841</v>
      </c>
      <c r="FQ13">
        <v>10320.6536387861</v>
      </c>
      <c r="FR13">
        <v>8381143.63600214</v>
      </c>
      <c r="FS13">
        <v>10151265.9762584</v>
      </c>
      <c r="FT13">
        <v>6818809.50198101</v>
      </c>
      <c r="FU13">
        <v>4984494.60317416</v>
      </c>
      <c r="FV13">
        <v>4587302.07495735</v>
      </c>
      <c r="FW13">
        <v>0</v>
      </c>
      <c r="FX13">
        <v>0</v>
      </c>
      <c r="FY13">
        <v>0</v>
      </c>
      <c r="FZ13">
        <v>0</v>
      </c>
      <c r="GA13">
        <v>0</v>
      </c>
      <c r="GB13">
        <v>402280.290758812</v>
      </c>
      <c r="GC13">
        <v>269197.237312412</v>
      </c>
      <c r="GD13">
        <v>8970.752321940659</v>
      </c>
      <c r="GE13">
        <v>9525.859471964841</v>
      </c>
      <c r="GF13">
        <v>10320.6536387861</v>
      </c>
      <c r="GG13">
        <v>8381143.63600214</v>
      </c>
      <c r="GH13">
        <v>10151265.9762584</v>
      </c>
      <c r="GI13">
        <v>6818809.50198101</v>
      </c>
      <c r="GJ13">
        <v>4984494.60317416</v>
      </c>
      <c r="GK13">
        <v>4587302.07495735</v>
      </c>
      <c r="GL13">
        <v>2409178.62410384</v>
      </c>
      <c r="GM13">
        <v>596058.118853559</v>
      </c>
      <c r="GN13">
        <v>3321955.95484139</v>
      </c>
      <c r="GO13">
        <v>1549953.1914505</v>
      </c>
      <c r="GP13">
        <v>2215662.50835448</v>
      </c>
      <c r="GQ13">
        <v>0</v>
      </c>
      <c r="GR13">
        <v>0</v>
      </c>
      <c r="GS13">
        <v>0</v>
      </c>
      <c r="GT13">
        <v>0</v>
      </c>
      <c r="GU13">
        <v>0</v>
      </c>
      <c r="GV13">
        <v>47116.5979277623</v>
      </c>
      <c r="GW13">
        <v>81883.4870983029</v>
      </c>
      <c r="GX13">
        <v>0</v>
      </c>
      <c r="GY13">
        <v>55933.4775101423</v>
      </c>
      <c r="GZ13">
        <v>30510.7565039575</v>
      </c>
      <c r="HA13">
        <v>2362062.02617608</v>
      </c>
      <c r="HB13">
        <v>514174.631755257</v>
      </c>
      <c r="HC13">
        <v>3321955.95484139</v>
      </c>
      <c r="HD13">
        <v>1494019.71394036</v>
      </c>
      <c r="HE13">
        <v>2185151.75185052</v>
      </c>
      <c r="HF13">
        <v>91259.2108627546</v>
      </c>
      <c r="HG13">
        <v>7630.24942436218</v>
      </c>
      <c r="HH13">
        <v>3291189.8392726</v>
      </c>
      <c r="HI13">
        <v>1461349.80144153</v>
      </c>
      <c r="HJ13">
        <v>2149756.01120347</v>
      </c>
      <c r="HK13">
        <v>11192602.5508648</v>
      </c>
      <c r="HL13">
        <v>11016521.3335294</v>
      </c>
      <c r="HM13">
        <v>10149736.2091443</v>
      </c>
      <c r="HN13">
        <v>6543973.65409663</v>
      </c>
      <c r="HO13">
        <v>6813285.23695061</v>
      </c>
      <c r="HP13">
        <v>11146333.0924007</v>
      </c>
      <c r="HQ13">
        <v>10965089.6158475</v>
      </c>
      <c r="HR13">
        <v>10124411.233539</v>
      </c>
      <c r="HS13">
        <v>6543973.65409663</v>
      </c>
      <c r="HT13">
        <v>6805452.36761851</v>
      </c>
      <c r="HU13">
        <v>2880874.66031623</v>
      </c>
      <c r="HV13">
        <v>3064173.00516319</v>
      </c>
      <c r="HW13">
        <v>2957686.78053737</v>
      </c>
      <c r="HX13">
        <v>3140707.44820118</v>
      </c>
      <c r="HY13">
        <v>3402753.71991754</v>
      </c>
      <c r="HZ13">
        <v>8265458.43208445</v>
      </c>
      <c r="IA13">
        <v>7900916.61068429</v>
      </c>
      <c r="IB13">
        <v>7166724.45300159</v>
      </c>
      <c r="IC13">
        <v>3403266.20589545</v>
      </c>
      <c r="ID13">
        <v>3402698.64770098</v>
      </c>
      <c r="IE13">
        <v>19016.0171966553</v>
      </c>
      <c r="IF13">
        <v>14016.9312906265</v>
      </c>
      <c r="IG13">
        <v>7983.49716961384</v>
      </c>
      <c r="IH13">
        <v>0</v>
      </c>
      <c r="II13">
        <v>0</v>
      </c>
      <c r="IJ13">
        <v>19016.0171966553</v>
      </c>
      <c r="IK13">
        <v>14016.9312906265</v>
      </c>
      <c r="IL13">
        <v>7983.49716961384</v>
      </c>
      <c r="IM13" t="s">
        <v>1900</v>
      </c>
      <c r="IN13" t="s">
        <v>1900</v>
      </c>
      <c r="IO13">
        <v>0</v>
      </c>
      <c r="IP13">
        <v>0</v>
      </c>
      <c r="IQ13">
        <v>0</v>
      </c>
      <c r="IR13" t="s">
        <v>1900</v>
      </c>
      <c r="IS13" t="s">
        <v>1900</v>
      </c>
      <c r="IT13">
        <v>0</v>
      </c>
      <c r="IU13">
        <v>0</v>
      </c>
      <c r="IV13">
        <v>0</v>
      </c>
      <c r="IW13" t="s">
        <v>1900</v>
      </c>
      <c r="IX13" t="s">
        <v>1900</v>
      </c>
      <c r="IY13">
        <v>27253.4412674654</v>
      </c>
      <c r="IZ13">
        <v>37414.7863912964</v>
      </c>
      <c r="JA13">
        <v>17341.4784357667</v>
      </c>
      <c r="JB13">
        <v>0</v>
      </c>
      <c r="JC13">
        <v>7832.86933209896</v>
      </c>
      <c r="JD13">
        <v>0</v>
      </c>
      <c r="JE13">
        <v>0</v>
      </c>
      <c r="JF13">
        <v>0</v>
      </c>
      <c r="JG13" t="s">
        <v>1900</v>
      </c>
      <c r="JH13">
        <v>0</v>
      </c>
      <c r="JI13">
        <v>0</v>
      </c>
      <c r="JJ13">
        <v>0</v>
      </c>
      <c r="JK13">
        <v>0</v>
      </c>
      <c r="JL13" t="s">
        <v>1900</v>
      </c>
      <c r="JM13">
        <v>0</v>
      </c>
      <c r="JN13">
        <v>27253.4402285658</v>
      </c>
      <c r="JO13">
        <v>37414.7863912964</v>
      </c>
      <c r="JP13">
        <v>17341.4784357667</v>
      </c>
      <c r="JQ13" t="s">
        <v>1900</v>
      </c>
      <c r="JR13">
        <v>7832.86933209896</v>
      </c>
      <c r="JS13">
        <v>11192602.5508648</v>
      </c>
      <c r="JT13">
        <v>11016521.3335294</v>
      </c>
      <c r="JU13">
        <v>10149736.2091443</v>
      </c>
      <c r="JV13">
        <v>6543973.65409663</v>
      </c>
      <c r="JW13">
        <v>6813285.23695061</v>
      </c>
      <c r="JX13">
        <v>47116.5979277623</v>
      </c>
      <c r="JY13">
        <v>81883.4870983029</v>
      </c>
      <c r="JZ13" t="s">
        <v>1900</v>
      </c>
      <c r="KA13">
        <v>55933.4775101423</v>
      </c>
      <c r="KB13">
        <v>30510.7565039575</v>
      </c>
      <c r="KC13" t="s">
        <v>1900</v>
      </c>
      <c r="KD13" t="s">
        <v>1900</v>
      </c>
      <c r="KE13" t="s">
        <v>1900</v>
      </c>
      <c r="KF13" t="s">
        <v>1900</v>
      </c>
      <c r="KG13" t="s">
        <v>1900</v>
      </c>
      <c r="KH13" t="s">
        <v>1900</v>
      </c>
      <c r="KI13" t="s">
        <v>1900</v>
      </c>
      <c r="KJ13" t="s">
        <v>1900</v>
      </c>
      <c r="KK13" t="s">
        <v>1900</v>
      </c>
      <c r="KL13" t="s">
        <v>1900</v>
      </c>
      <c r="KM13">
        <v>1</v>
      </c>
      <c r="KN13">
        <v>2</v>
      </c>
      <c r="KO13">
        <v>1</v>
      </c>
      <c r="KP13">
        <v>1</v>
      </c>
      <c r="KQ13">
        <v>1</v>
      </c>
      <c r="KR13" t="s">
        <v>1900</v>
      </c>
      <c r="KS13" t="s">
        <v>1900</v>
      </c>
      <c r="KT13" t="s">
        <v>1900</v>
      </c>
      <c r="KU13" t="s">
        <v>1900</v>
      </c>
      <c r="KV13" t="s">
        <v>1900</v>
      </c>
      <c r="KW13" t="s">
        <v>1900</v>
      </c>
      <c r="KX13" t="s">
        <v>1900</v>
      </c>
      <c r="KY13" t="s">
        <v>1900</v>
      </c>
      <c r="KZ13" t="s">
        <v>1900</v>
      </c>
      <c r="LA13" t="s">
        <v>1900</v>
      </c>
      <c r="LB13" t="s">
        <v>1900</v>
      </c>
      <c r="LC13" t="s">
        <v>1900</v>
      </c>
      <c r="LD13" t="s">
        <v>1900</v>
      </c>
      <c r="LE13" t="s">
        <v>1900</v>
      </c>
      <c r="LF13" t="s">
        <v>1900</v>
      </c>
      <c r="LG13" t="s">
        <v>1900</v>
      </c>
      <c r="LH13" t="s">
        <v>1900</v>
      </c>
      <c r="LI13" t="s">
        <v>1900</v>
      </c>
      <c r="LJ13" t="s">
        <v>1900</v>
      </c>
      <c r="LK13" t="s">
        <v>1900</v>
      </c>
      <c r="LL13" t="s">
        <v>1900</v>
      </c>
      <c r="LM13" t="s">
        <v>1900</v>
      </c>
      <c r="LN13" t="s">
        <v>1900</v>
      </c>
      <c r="LO13" t="s">
        <v>1900</v>
      </c>
      <c r="LP13" t="s">
        <v>1900</v>
      </c>
      <c r="LQ13" t="s">
        <v>1900</v>
      </c>
      <c r="LR13" t="s">
        <v>1900</v>
      </c>
      <c r="LS13" t="s">
        <v>1900</v>
      </c>
      <c r="LT13" t="s">
        <v>1900</v>
      </c>
      <c r="LU13" t="s">
        <v>1900</v>
      </c>
      <c r="LV13" t="s">
        <v>1900</v>
      </c>
      <c r="LW13" t="s">
        <v>1900</v>
      </c>
      <c r="LX13" t="s">
        <v>1900</v>
      </c>
      <c r="LY13" t="s">
        <v>1900</v>
      </c>
      <c r="LZ13" t="s">
        <v>1900</v>
      </c>
      <c r="MA13" t="s">
        <v>1900</v>
      </c>
      <c r="MB13" t="s">
        <v>1900</v>
      </c>
      <c r="MC13" t="s">
        <v>1900</v>
      </c>
      <c r="MD13" t="s">
        <v>1900</v>
      </c>
      <c r="ME13" t="s">
        <v>1900</v>
      </c>
      <c r="MF13" t="s">
        <v>1900</v>
      </c>
      <c r="MG13" t="s">
        <v>1900</v>
      </c>
      <c r="MH13" t="s">
        <v>1900</v>
      </c>
      <c r="MI13" t="s">
        <v>1900</v>
      </c>
      <c r="MJ13" t="s">
        <v>1900</v>
      </c>
      <c r="MK13" t="s">
        <v>1900</v>
      </c>
      <c r="ML13" t="s">
        <v>1900</v>
      </c>
      <c r="MM13" t="s">
        <v>1900</v>
      </c>
      <c r="MN13" t="s">
        <v>1900</v>
      </c>
      <c r="MO13" t="s">
        <v>1900</v>
      </c>
      <c r="MP13">
        <v>2362062.02617608</v>
      </c>
      <c r="MQ13">
        <v>514174.631755257</v>
      </c>
      <c r="MR13">
        <v>3321955.95484139</v>
      </c>
      <c r="MS13">
        <v>1494019.71394036</v>
      </c>
      <c r="MT13">
        <v>2185151.75185052</v>
      </c>
      <c r="MU13" t="s">
        <v>1900</v>
      </c>
      <c r="MV13" t="s">
        <v>1900</v>
      </c>
      <c r="MW13" t="s">
        <v>1900</v>
      </c>
      <c r="MX13" t="s">
        <v>1900</v>
      </c>
      <c r="MY13" t="s">
        <v>1900</v>
      </c>
      <c r="MZ13" t="s">
        <v>1900</v>
      </c>
      <c r="NA13" t="s">
        <v>1900</v>
      </c>
      <c r="NB13" t="s">
        <v>1900</v>
      </c>
      <c r="NC13" t="s">
        <v>1900</v>
      </c>
      <c r="ND13" t="s">
        <v>1900</v>
      </c>
      <c r="NE13" t="s">
        <v>1900</v>
      </c>
      <c r="NF13" t="s">
        <v>1900</v>
      </c>
      <c r="NG13" t="s">
        <v>1900</v>
      </c>
      <c r="NH13" t="s">
        <v>1900</v>
      </c>
      <c r="NI13" t="s">
        <v>1900</v>
      </c>
      <c r="NJ13" t="s">
        <v>1900</v>
      </c>
      <c r="NK13" t="s">
        <v>1900</v>
      </c>
      <c r="NL13" t="s">
        <v>1900</v>
      </c>
      <c r="NM13" t="s">
        <v>1900</v>
      </c>
      <c r="NN13" t="s">
        <v>1900</v>
      </c>
      <c r="NO13" t="s">
        <v>1900</v>
      </c>
      <c r="NP13" t="s">
        <v>1900</v>
      </c>
      <c r="NQ13" t="s">
        <v>1900</v>
      </c>
      <c r="NR13" t="s">
        <v>1900</v>
      </c>
      <c r="NS13" t="s">
        <v>1900</v>
      </c>
      <c r="NT13">
        <v>8783423.92676096</v>
      </c>
      <c r="NU13">
        <v>10420463.2146758</v>
      </c>
      <c r="NV13">
        <v>6827780.25430295</v>
      </c>
      <c r="NW13">
        <v>4994020.46264613</v>
      </c>
      <c r="NX13">
        <v>4597622.72859613</v>
      </c>
      <c r="NY13" t="s">
        <v>1900</v>
      </c>
      <c r="NZ13" t="s">
        <v>1900</v>
      </c>
      <c r="OA13" t="s">
        <v>1900</v>
      </c>
      <c r="OB13" t="s">
        <v>1900</v>
      </c>
      <c r="OC13" t="s">
        <v>1900</v>
      </c>
      <c r="OD13" t="s">
        <v>1900</v>
      </c>
      <c r="OE13" t="s">
        <v>1900</v>
      </c>
      <c r="OF13" t="s">
        <v>1900</v>
      </c>
      <c r="OG13" t="s">
        <v>1900</v>
      </c>
      <c r="OH13" t="s">
        <v>1900</v>
      </c>
      <c r="OI13" t="s">
        <v>1900</v>
      </c>
      <c r="OJ13" t="s">
        <v>1900</v>
      </c>
      <c r="OK13" t="s">
        <v>1900</v>
      </c>
      <c r="OL13" t="s">
        <v>1900</v>
      </c>
      <c r="OM13" t="s">
        <v>1900</v>
      </c>
      <c r="ON13" t="s">
        <v>1900</v>
      </c>
      <c r="OO13" t="s">
        <v>1900</v>
      </c>
      <c r="OP13" t="s">
        <v>1900</v>
      </c>
      <c r="OQ13" t="s">
        <v>1900</v>
      </c>
      <c r="OR13" t="s">
        <v>1900</v>
      </c>
      <c r="OS13" t="s">
        <v>1900</v>
      </c>
      <c r="OT13" t="s">
        <v>1900</v>
      </c>
      <c r="OU13" t="s">
        <v>1900</v>
      </c>
      <c r="OV13" t="s">
        <v>1900</v>
      </c>
      <c r="OW13" t="s">
        <v>1900</v>
      </c>
      <c r="OX13" t="s">
        <v>1900</v>
      </c>
      <c r="OY13" t="s">
        <v>1900</v>
      </c>
      <c r="OZ13" t="s">
        <v>1900</v>
      </c>
      <c r="PA13" t="s">
        <v>1900</v>
      </c>
      <c r="PB13" t="s">
        <v>1900</v>
      </c>
      <c r="PC13" t="s">
        <v>1900</v>
      </c>
      <c r="PD13" t="s">
        <v>1900</v>
      </c>
      <c r="PE13" t="s">
        <v>1900</v>
      </c>
      <c r="PF13" t="s">
        <v>1900</v>
      </c>
      <c r="PG13" t="s">
        <v>1900</v>
      </c>
      <c r="PH13" t="s">
        <v>1900</v>
      </c>
      <c r="PI13" t="s">
        <v>1900</v>
      </c>
      <c r="PJ13" t="s">
        <v>1900</v>
      </c>
      <c r="PK13" t="s">
        <v>1900</v>
      </c>
      <c r="PL13" t="s">
        <v>1900</v>
      </c>
      <c r="PM13" t="s">
        <v>1900</v>
      </c>
      <c r="PN13" t="s">
        <v>1900</v>
      </c>
      <c r="PO13" t="s">
        <v>1900</v>
      </c>
      <c r="PP13" t="s">
        <v>1900</v>
      </c>
      <c r="PQ13" t="s">
        <v>1900</v>
      </c>
      <c r="PR13" t="s">
        <v>1900</v>
      </c>
      <c r="PS13" t="s">
        <v>1900</v>
      </c>
      <c r="PT13" t="s">
        <v>1900</v>
      </c>
      <c r="PU13" t="s">
        <v>1900</v>
      </c>
      <c r="PV13" t="s">
        <v>1900</v>
      </c>
      <c r="PW13" t="s">
        <v>1900</v>
      </c>
      <c r="PX13" t="s">
        <v>1900</v>
      </c>
      <c r="PY13" t="s">
        <v>1900</v>
      </c>
      <c r="PZ13" t="s">
        <v>1900</v>
      </c>
      <c r="QA13" t="s">
        <v>1900</v>
      </c>
      <c r="QB13" t="s">
        <v>1900</v>
      </c>
      <c r="QC13" t="s">
        <v>1900</v>
      </c>
      <c r="QD13" t="s">
        <v>1900</v>
      </c>
      <c r="QE13" t="s">
        <v>1900</v>
      </c>
      <c r="QF13" t="s">
        <v>1900</v>
      </c>
      <c r="QG13" t="s">
        <v>1900</v>
      </c>
      <c r="QH13" t="s">
        <v>1900</v>
      </c>
      <c r="QI13" t="s">
        <v>1900</v>
      </c>
      <c r="QJ13" t="s">
        <v>1900</v>
      </c>
      <c r="QK13" t="s">
        <v>1900</v>
      </c>
      <c r="QL13" t="s">
        <v>1900</v>
      </c>
      <c r="QM13" t="s">
        <v>1900</v>
      </c>
      <c r="QN13" t="s">
        <v>1900</v>
      </c>
      <c r="QO13" t="s">
        <v>1900</v>
      </c>
      <c r="QP13" t="s">
        <v>1900</v>
      </c>
      <c r="QQ13" t="s">
        <v>1900</v>
      </c>
      <c r="QR13" t="s">
        <v>1900</v>
      </c>
      <c r="QS13" t="s">
        <v>1900</v>
      </c>
      <c r="QT13" t="s">
        <v>1900</v>
      </c>
      <c r="QU13" t="s">
        <v>1900</v>
      </c>
      <c r="QV13" t="s">
        <v>1900</v>
      </c>
      <c r="QW13" t="s">
        <v>1900</v>
      </c>
      <c r="QX13" t="s">
        <v>1900</v>
      </c>
      <c r="QY13" t="s">
        <v>1900</v>
      </c>
      <c r="QZ13" t="s">
        <v>1900</v>
      </c>
      <c r="RA13" t="s">
        <v>1900</v>
      </c>
      <c r="RB13" t="s">
        <v>1900</v>
      </c>
      <c r="RC13" t="s">
        <v>1900</v>
      </c>
      <c r="RD13" t="s">
        <v>1900</v>
      </c>
      <c r="RE13" t="s">
        <v>1900</v>
      </c>
      <c r="RF13" t="s">
        <v>1900</v>
      </c>
      <c r="RG13" t="s">
        <v>1900</v>
      </c>
      <c r="RH13" t="s">
        <v>1900</v>
      </c>
      <c r="RI13" t="s">
        <v>1900</v>
      </c>
      <c r="RJ13" t="s">
        <v>1900</v>
      </c>
      <c r="RK13" t="s">
        <v>1900</v>
      </c>
      <c r="RL13" t="s">
        <v>1900</v>
      </c>
      <c r="RM13" t="s">
        <v>1900</v>
      </c>
      <c r="RN13" t="s">
        <v>1900</v>
      </c>
      <c r="RO13" t="s">
        <v>1900</v>
      </c>
      <c r="RP13" t="s">
        <v>1900</v>
      </c>
      <c r="RQ13" t="s">
        <v>1900</v>
      </c>
      <c r="RR13" t="s">
        <v>1900</v>
      </c>
      <c r="RS13" t="s">
        <v>1900</v>
      </c>
      <c r="RT13" t="s">
        <v>1900</v>
      </c>
      <c r="RU13" t="s">
        <v>1900</v>
      </c>
      <c r="RV13" t="s">
        <v>1900</v>
      </c>
      <c r="RW13" t="s">
        <v>1900</v>
      </c>
      <c r="RX13" t="s">
        <v>1900</v>
      </c>
      <c r="RY13" t="s">
        <v>1900</v>
      </c>
      <c r="RZ13" t="s">
        <v>1900</v>
      </c>
      <c r="SA13" t="s">
        <v>1900</v>
      </c>
      <c r="SB13" t="s">
        <v>1900</v>
      </c>
      <c r="SC13" t="s">
        <v>1900</v>
      </c>
      <c r="SD13" t="s">
        <v>1900</v>
      </c>
      <c r="SE13" t="s">
        <v>1900</v>
      </c>
      <c r="SF13" t="s">
        <v>1900</v>
      </c>
      <c r="SG13" t="s">
        <v>1900</v>
      </c>
      <c r="SH13" t="s">
        <v>1900</v>
      </c>
      <c r="SI13" t="s">
        <v>1900</v>
      </c>
      <c r="SJ13">
        <v>8381143.63600214</v>
      </c>
      <c r="SK13">
        <v>10151265.9762584</v>
      </c>
      <c r="SL13">
        <v>6818809.50198101</v>
      </c>
      <c r="SM13">
        <v>4984494.60317416</v>
      </c>
      <c r="SN13">
        <v>4587302.07495735</v>
      </c>
      <c r="SO13" t="s">
        <v>1900</v>
      </c>
      <c r="SP13" t="s">
        <v>1900</v>
      </c>
      <c r="SQ13" t="s">
        <v>1900</v>
      </c>
      <c r="SR13" t="s">
        <v>1900</v>
      </c>
      <c r="SS13" t="s">
        <v>1900</v>
      </c>
      <c r="ST13" t="s">
        <v>1900</v>
      </c>
      <c r="SU13" t="s">
        <v>1900</v>
      </c>
      <c r="SV13" t="s">
        <v>1900</v>
      </c>
      <c r="SW13" t="s">
        <v>1900</v>
      </c>
      <c r="SX13" t="s">
        <v>1900</v>
      </c>
      <c r="SY13" t="s">
        <v>1900</v>
      </c>
      <c r="SZ13" t="s">
        <v>1900</v>
      </c>
      <c r="TA13" t="s">
        <v>1900</v>
      </c>
      <c r="TB13" t="s">
        <v>1900</v>
      </c>
      <c r="TC13" t="s">
        <v>1900</v>
      </c>
      <c r="TD13" t="s">
        <v>1900</v>
      </c>
      <c r="TE13" t="s">
        <v>1900</v>
      </c>
      <c r="TF13" t="s">
        <v>1900</v>
      </c>
      <c r="TG13" t="s">
        <v>1900</v>
      </c>
      <c r="TH13" t="s">
        <v>1900</v>
      </c>
      <c r="TI13" t="s">
        <v>1900</v>
      </c>
      <c r="TJ13" t="s">
        <v>1900</v>
      </c>
      <c r="TK13" t="s">
        <v>1900</v>
      </c>
      <c r="TL13" t="s">
        <v>1900</v>
      </c>
      <c r="TM13" t="s">
        <v>1900</v>
      </c>
      <c r="TN13" t="s">
        <v>1900</v>
      </c>
      <c r="TO13" t="s">
        <v>1900</v>
      </c>
      <c r="TP13" t="s">
        <v>1900</v>
      </c>
      <c r="TQ13" t="s">
        <v>1900</v>
      </c>
      <c r="TR13" t="s">
        <v>1900</v>
      </c>
      <c r="TS13">
        <v>11192602.5508648</v>
      </c>
      <c r="TT13">
        <v>11016521.3335294</v>
      </c>
      <c r="TU13">
        <v>10149736.2091443</v>
      </c>
      <c r="TV13">
        <v>6543973.65409663</v>
      </c>
      <c r="TW13">
        <v>6813285.23695061</v>
      </c>
      <c r="TX13" t="s">
        <v>1900</v>
      </c>
      <c r="TY13" t="s">
        <v>1900</v>
      </c>
      <c r="TZ13" t="s">
        <v>1900</v>
      </c>
      <c r="UA13" t="s">
        <v>1900</v>
      </c>
      <c r="UB13" t="s">
        <v>1900</v>
      </c>
      <c r="UC13">
        <v>0</v>
      </c>
      <c r="UD13">
        <v>0</v>
      </c>
      <c r="UE13">
        <v>0</v>
      </c>
      <c r="UF13" t="s">
        <v>1900</v>
      </c>
      <c r="UG13">
        <v>0</v>
      </c>
      <c r="UH13" t="s">
        <v>1900</v>
      </c>
      <c r="UI13" t="s">
        <v>1900</v>
      </c>
      <c r="UJ13" t="s">
        <v>1900</v>
      </c>
      <c r="UK13" t="s">
        <v>1900</v>
      </c>
      <c r="UL13" t="s">
        <v>1900</v>
      </c>
      <c r="UM13" t="s">
        <v>1900</v>
      </c>
      <c r="UN13" t="s">
        <v>1900</v>
      </c>
      <c r="UO13" t="s">
        <v>1900</v>
      </c>
      <c r="UP13" t="s">
        <v>1900</v>
      </c>
      <c r="UQ13" t="s">
        <v>1900</v>
      </c>
      <c r="UR13" t="s">
        <v>1900</v>
      </c>
      <c r="US13" t="s">
        <v>1900</v>
      </c>
      <c r="UT13" t="s">
        <v>1900</v>
      </c>
      <c r="UU13" t="s">
        <v>1900</v>
      </c>
      <c r="UV13" t="s">
        <v>1900</v>
      </c>
      <c r="UW13" t="s">
        <v>1900</v>
      </c>
      <c r="UX13" t="s">
        <v>1900</v>
      </c>
      <c r="UY13" t="s">
        <v>1900</v>
      </c>
      <c r="UZ13" t="s">
        <v>1900</v>
      </c>
      <c r="VA13" t="s">
        <v>1900</v>
      </c>
      <c r="VB13" t="s">
        <v>1900</v>
      </c>
      <c r="VC13" t="s">
        <v>1900</v>
      </c>
      <c r="VD13" t="s">
        <v>1900</v>
      </c>
      <c r="VE13" t="s">
        <v>1900</v>
      </c>
      <c r="VF13" t="s">
        <v>1900</v>
      </c>
      <c r="VG13" t="s">
        <v>1900</v>
      </c>
      <c r="VH13" t="s">
        <v>1900</v>
      </c>
      <c r="VI13" t="s">
        <v>1900</v>
      </c>
      <c r="VJ13" t="s">
        <v>1900</v>
      </c>
      <c r="VK13" t="s">
        <v>1900</v>
      </c>
      <c r="VL13" t="s">
        <v>1900</v>
      </c>
      <c r="VM13" t="s">
        <v>1900</v>
      </c>
      <c r="VN13" t="s">
        <v>1900</v>
      </c>
      <c r="VO13" t="s">
        <v>1900</v>
      </c>
      <c r="VP13" t="s">
        <v>1900</v>
      </c>
      <c r="VQ13" t="s">
        <v>1900</v>
      </c>
      <c r="VR13" t="s">
        <v>1900</v>
      </c>
      <c r="VS13" t="s">
        <v>1900</v>
      </c>
      <c r="VT13" t="s">
        <v>1900</v>
      </c>
      <c r="VU13" t="s">
        <v>1900</v>
      </c>
      <c r="VV13" t="s">
        <v>1900</v>
      </c>
      <c r="VW13" t="s">
        <v>1900</v>
      </c>
      <c r="VX13" t="s">
        <v>1900</v>
      </c>
      <c r="VY13" t="s">
        <v>1900</v>
      </c>
      <c r="VZ13" t="s">
        <v>1900</v>
      </c>
      <c r="WA13">
        <v>27253.4402285658</v>
      </c>
      <c r="WB13">
        <v>37414.7863912964</v>
      </c>
      <c r="WC13">
        <v>17341.4784357667</v>
      </c>
      <c r="WD13" t="s">
        <v>1900</v>
      </c>
      <c r="WE13">
        <v>7832.86933209896</v>
      </c>
      <c r="WF13" t="s">
        <v>1900</v>
      </c>
      <c r="WG13" t="s">
        <v>1900</v>
      </c>
      <c r="WH13" t="s">
        <v>1900</v>
      </c>
      <c r="WI13" t="s">
        <v>1900</v>
      </c>
      <c r="WJ13" t="s">
        <v>1900</v>
      </c>
      <c r="WK13" t="s">
        <v>1900</v>
      </c>
      <c r="WL13" t="s">
        <v>1900</v>
      </c>
      <c r="WM13" t="s">
        <v>1900</v>
      </c>
      <c r="WN13" t="s">
        <v>1900</v>
      </c>
      <c r="WO13" t="s">
        <v>1900</v>
      </c>
      <c r="WP13" t="s">
        <v>1900</v>
      </c>
      <c r="WQ13" t="s">
        <v>1900</v>
      </c>
      <c r="WR13" t="s">
        <v>1900</v>
      </c>
      <c r="WS13" t="s">
        <v>1900</v>
      </c>
      <c r="WT13" t="s">
        <v>1900</v>
      </c>
      <c r="WU13" t="s">
        <v>1900</v>
      </c>
      <c r="WV13" t="s">
        <v>1900</v>
      </c>
      <c r="WW13" t="s">
        <v>1900</v>
      </c>
      <c r="WX13" t="s">
        <v>1900</v>
      </c>
      <c r="WY13" t="s">
        <v>1900</v>
      </c>
      <c r="WZ13" t="s">
        <v>1900</v>
      </c>
      <c r="XA13" t="s">
        <v>1900</v>
      </c>
      <c r="XB13" t="s">
        <v>1900</v>
      </c>
      <c r="XC13" t="s">
        <v>1900</v>
      </c>
      <c r="XD13" t="s">
        <v>1900</v>
      </c>
      <c r="XE13" t="s">
        <v>1900</v>
      </c>
      <c r="XF13" t="s">
        <v>1900</v>
      </c>
      <c r="XG13" t="s">
        <v>1900</v>
      </c>
      <c r="XH13" t="s">
        <v>1900</v>
      </c>
      <c r="XI13" t="s">
        <v>1900</v>
      </c>
      <c r="XJ13">
        <v>0</v>
      </c>
      <c r="XK13">
        <v>0</v>
      </c>
      <c r="XL13">
        <v>0</v>
      </c>
      <c r="XM13" t="s">
        <v>1900</v>
      </c>
      <c r="XN13" t="s">
        <v>1900</v>
      </c>
      <c r="XO13" t="s">
        <v>1900</v>
      </c>
      <c r="XP13" t="s">
        <v>1900</v>
      </c>
      <c r="XQ13" t="s">
        <v>1900</v>
      </c>
      <c r="XR13" t="s">
        <v>1900</v>
      </c>
      <c r="XS13" t="s">
        <v>1900</v>
      </c>
      <c r="XT13" t="s">
        <v>1900</v>
      </c>
      <c r="XU13" t="s">
        <v>1900</v>
      </c>
      <c r="XV13" t="s">
        <v>1900</v>
      </c>
      <c r="XW13" t="s">
        <v>1900</v>
      </c>
      <c r="XX13" t="s">
        <v>1900</v>
      </c>
      <c r="XY13">
        <v>0</v>
      </c>
      <c r="XZ13">
        <v>0</v>
      </c>
      <c r="YA13">
        <v>0</v>
      </c>
      <c r="YB13" t="s">
        <v>1900</v>
      </c>
      <c r="YC13" t="s">
        <v>1900</v>
      </c>
      <c r="YD13" t="s">
        <v>1900</v>
      </c>
      <c r="YE13" t="s">
        <v>1900</v>
      </c>
      <c r="YF13" t="s">
        <v>1900</v>
      </c>
      <c r="YG13" t="s">
        <v>1900</v>
      </c>
      <c r="YH13" t="s">
        <v>1900</v>
      </c>
      <c r="YI13" t="s">
        <v>1900</v>
      </c>
      <c r="YJ13" t="s">
        <v>1900</v>
      </c>
      <c r="YK13" t="s">
        <v>1900</v>
      </c>
      <c r="YL13" t="s">
        <v>1900</v>
      </c>
      <c r="YM13" t="s">
        <v>1900</v>
      </c>
      <c r="YN13" t="s">
        <v>1900</v>
      </c>
      <c r="YO13" t="s">
        <v>1900</v>
      </c>
      <c r="YP13" t="s">
        <v>1900</v>
      </c>
      <c r="YQ13" t="s">
        <v>1900</v>
      </c>
      <c r="YR13" t="s">
        <v>1900</v>
      </c>
      <c r="YS13" t="s">
        <v>1900</v>
      </c>
      <c r="YT13" t="s">
        <v>1900</v>
      </c>
      <c r="YU13" t="s">
        <v>1900</v>
      </c>
      <c r="YV13" t="s">
        <v>1900</v>
      </c>
      <c r="YW13" t="s">
        <v>1900</v>
      </c>
      <c r="YX13" t="s">
        <v>1900</v>
      </c>
      <c r="YY13" t="s">
        <v>1900</v>
      </c>
      <c r="YZ13" t="s">
        <v>1900</v>
      </c>
      <c r="ZA13" t="s">
        <v>1900</v>
      </c>
      <c r="ZB13" t="s">
        <v>1900</v>
      </c>
      <c r="ZC13" t="s">
        <v>1900</v>
      </c>
      <c r="ZD13" t="s">
        <v>1900</v>
      </c>
      <c r="ZE13" t="s">
        <v>1900</v>
      </c>
      <c r="ZF13" t="s">
        <v>1900</v>
      </c>
      <c r="ZG13" t="s">
        <v>1900</v>
      </c>
      <c r="ZH13" t="s">
        <v>1900</v>
      </c>
      <c r="ZI13" t="s">
        <v>1900</v>
      </c>
      <c r="ZJ13" t="s">
        <v>1900</v>
      </c>
      <c r="ZK13" t="s">
        <v>1900</v>
      </c>
      <c r="ZL13" t="s">
        <v>1900</v>
      </c>
      <c r="ZM13" t="s">
        <v>1900</v>
      </c>
      <c r="ZN13" t="s">
        <v>1900</v>
      </c>
      <c r="ZO13" t="s">
        <v>1900</v>
      </c>
      <c r="ZP13" t="s">
        <v>1900</v>
      </c>
      <c r="ZQ13" t="s">
        <v>1900</v>
      </c>
      <c r="ZR13" t="s">
        <v>1900</v>
      </c>
      <c r="ZS13" t="s">
        <v>1900</v>
      </c>
      <c r="ZT13" t="s">
        <v>1900</v>
      </c>
      <c r="ZU13" t="s">
        <v>1900</v>
      </c>
      <c r="ZV13" t="s">
        <v>1900</v>
      </c>
      <c r="ZW13" t="s">
        <v>1900</v>
      </c>
      <c r="ZX13" t="s">
        <v>1900</v>
      </c>
      <c r="ZY13" t="s">
        <v>1900</v>
      </c>
      <c r="ZZ13" t="s">
        <v>1900</v>
      </c>
      <c r="AAA13" t="s">
        <v>1900</v>
      </c>
      <c r="AAB13" t="s">
        <v>1900</v>
      </c>
      <c r="AAC13" t="s">
        <v>1900</v>
      </c>
      <c r="AAD13" t="s">
        <v>1900</v>
      </c>
      <c r="AAE13" t="s">
        <v>1900</v>
      </c>
      <c r="AAF13" t="s">
        <v>1900</v>
      </c>
      <c r="AAG13" t="s">
        <v>1900</v>
      </c>
      <c r="AAH13" t="s">
        <v>1900</v>
      </c>
      <c r="AAI13" t="s">
        <v>1900</v>
      </c>
      <c r="AAJ13" t="s">
        <v>1900</v>
      </c>
      <c r="AAK13" t="s">
        <v>1900</v>
      </c>
      <c r="AAL13" t="s">
        <v>1900</v>
      </c>
      <c r="AAM13" t="s">
        <v>1900</v>
      </c>
      <c r="AAN13" t="s">
        <v>1900</v>
      </c>
      <c r="AAO13" t="s">
        <v>1900</v>
      </c>
      <c r="AAP13" t="s">
        <v>1900</v>
      </c>
      <c r="AAQ13" t="s">
        <v>1900</v>
      </c>
      <c r="AAR13" t="s">
        <v>1900</v>
      </c>
      <c r="AAS13" t="s">
        <v>1900</v>
      </c>
      <c r="AAT13" t="s">
        <v>1900</v>
      </c>
      <c r="AAU13" t="s">
        <v>1900</v>
      </c>
      <c r="AAV13" t="s">
        <v>1900</v>
      </c>
      <c r="AAW13" t="s">
        <v>1900</v>
      </c>
      <c r="AAX13" t="s">
        <v>1900</v>
      </c>
      <c r="AAY13" t="s">
        <v>1900</v>
      </c>
      <c r="AAZ13" t="s">
        <v>1900</v>
      </c>
      <c r="ABA13" t="s">
        <v>1900</v>
      </c>
      <c r="ABB13" t="s">
        <v>1900</v>
      </c>
      <c r="ABC13" t="s">
        <v>1900</v>
      </c>
      <c r="ABD13" t="s">
        <v>1900</v>
      </c>
      <c r="ABE13" t="s">
        <v>1900</v>
      </c>
      <c r="ABF13" t="s">
        <v>1900</v>
      </c>
      <c r="ABG13" t="s">
        <v>1900</v>
      </c>
      <c r="ABH13" t="s">
        <v>1900</v>
      </c>
      <c r="ABI13" t="s">
        <v>1900</v>
      </c>
      <c r="ABJ13" t="s">
        <v>1900</v>
      </c>
      <c r="ABK13" t="s">
        <v>1900</v>
      </c>
      <c r="ABL13" t="s">
        <v>1900</v>
      </c>
      <c r="ABM13" t="s">
        <v>1900</v>
      </c>
      <c r="ABN13" t="s">
        <v>1900</v>
      </c>
      <c r="ABO13" t="s">
        <v>1900</v>
      </c>
      <c r="ABP13" t="s">
        <v>1900</v>
      </c>
      <c r="ABQ13" t="s">
        <v>1900</v>
      </c>
      <c r="ABR13" t="s">
        <v>1900</v>
      </c>
      <c r="ABS13" t="s">
        <v>1900</v>
      </c>
      <c r="ABT13" t="s">
        <v>1900</v>
      </c>
      <c r="ABU13" t="s">
        <v>1900</v>
      </c>
      <c r="ABV13" t="s">
        <v>1900</v>
      </c>
      <c r="ABW13" t="s">
        <v>1900</v>
      </c>
      <c r="ABX13" t="s">
        <v>1900</v>
      </c>
      <c r="ABY13" t="s">
        <v>1900</v>
      </c>
      <c r="ABZ13" t="s">
        <v>1900</v>
      </c>
      <c r="ACA13" t="s">
        <v>1900</v>
      </c>
      <c r="ACB13" t="s">
        <v>1900</v>
      </c>
      <c r="ACC13" t="s">
        <v>1900</v>
      </c>
      <c r="ACD13" t="s">
        <v>1900</v>
      </c>
      <c r="ACE13">
        <v>3.758</v>
      </c>
      <c r="ACF13">
        <v>3.696</v>
      </c>
      <c r="ACG13">
        <v>18.354</v>
      </c>
      <c r="ACH13">
        <v>4.179</v>
      </c>
      <c r="ACI13">
        <v>5.891</v>
      </c>
      <c r="ACJ13" t="s">
        <v>1900</v>
      </c>
      <c r="ACK13" t="s">
        <v>1900</v>
      </c>
      <c r="ACL13">
        <v>18.374</v>
      </c>
      <c r="ACM13">
        <v>4.179</v>
      </c>
      <c r="ACN13" t="s">
        <v>1900</v>
      </c>
      <c r="ACO13">
        <v>3.743</v>
      </c>
      <c r="ACP13">
        <v>3.679</v>
      </c>
      <c r="ACQ13">
        <v>18.308</v>
      </c>
      <c r="ACR13">
        <v>4.179</v>
      </c>
      <c r="ACS13">
        <v>5.885</v>
      </c>
      <c r="ACT13">
        <v>3.484</v>
      </c>
      <c r="ACU13">
        <v>3.738</v>
      </c>
      <c r="ACV13">
        <v>18.061</v>
      </c>
      <c r="ACW13">
        <v>4.013</v>
      </c>
      <c r="ACX13">
        <v>5.854</v>
      </c>
      <c r="ACY13" t="s">
        <v>1900</v>
      </c>
      <c r="ACZ13" t="s">
        <v>1900</v>
      </c>
      <c r="ADA13">
        <v>18.081</v>
      </c>
      <c r="ADB13">
        <v>4.013</v>
      </c>
      <c r="ADC13" t="s">
        <v>1900</v>
      </c>
      <c r="ADD13">
        <v>3.47</v>
      </c>
      <c r="ADE13">
        <v>3.72</v>
      </c>
      <c r="ADF13">
        <v>18.016</v>
      </c>
      <c r="ADG13">
        <v>4.013</v>
      </c>
      <c r="ADH13">
        <v>5.847</v>
      </c>
      <c r="ADI13" t="s">
        <v>1901</v>
      </c>
      <c r="ADJ13" t="s">
        <v>1901</v>
      </c>
      <c r="ADK13" t="s">
        <v>1901</v>
      </c>
      <c r="ADL13" t="s">
        <v>1901</v>
      </c>
      <c r="ADM13" t="s">
        <v>1901</v>
      </c>
      <c r="ADN13">
        <v>99.774</v>
      </c>
      <c r="ADO13">
        <v>94.151</v>
      </c>
      <c r="ADP13">
        <v>99.569</v>
      </c>
      <c r="ADQ13">
        <v>100</v>
      </c>
      <c r="ADR13">
        <v>100</v>
      </c>
      <c r="ADS13">
        <v>195.281132054</v>
      </c>
      <c r="ADT13">
        <v>499.361386443</v>
      </c>
      <c r="ADU13" t="s">
        <v>1901</v>
      </c>
      <c r="ADV13">
        <v>319.367605997</v>
      </c>
      <c r="ADW13">
        <v>408.550526075</v>
      </c>
      <c r="ADX13" t="s">
        <v>1901</v>
      </c>
      <c r="ADY13" t="s">
        <v>1901</v>
      </c>
      <c r="ADZ13" t="s">
        <v>1901</v>
      </c>
      <c r="AEA13" t="s">
        <v>1901</v>
      </c>
      <c r="AEB13" t="s">
        <v>1901</v>
      </c>
      <c r="AEC13" t="s">
        <v>1901</v>
      </c>
      <c r="AED13" t="s">
        <v>1901</v>
      </c>
      <c r="AEE13" t="s">
        <v>1901</v>
      </c>
      <c r="AEF13" t="s">
        <v>1901</v>
      </c>
      <c r="AEG13" t="s">
        <v>1901</v>
      </c>
      <c r="AEH13" t="s">
        <v>1901</v>
      </c>
      <c r="AEI13" t="s">
        <v>1901</v>
      </c>
      <c r="AEJ13" t="s">
        <v>1900</v>
      </c>
      <c r="AEK13" t="s">
        <v>1900</v>
      </c>
      <c r="AEL13" t="s">
        <v>1901</v>
      </c>
      <c r="AEM13">
        <v>-204.952573342</v>
      </c>
      <c r="AEN13">
        <v>-125.039977172</v>
      </c>
      <c r="AEO13">
        <v>-106.651404535</v>
      </c>
      <c r="AEP13">
        <v>-145.58558204</v>
      </c>
      <c r="AEQ13">
        <v>-132.40960282</v>
      </c>
      <c r="AER13">
        <v>-1.044685654</v>
      </c>
      <c r="AES13">
        <v>-0.232350664</v>
      </c>
      <c r="AET13">
        <v>-0.066208396</v>
      </c>
      <c r="AEU13" t="s">
        <v>1900</v>
      </c>
      <c r="AEV13" t="s">
        <v>1900</v>
      </c>
      <c r="AEW13" t="s">
        <v>1900</v>
      </c>
      <c r="AEX13" t="s">
        <v>1900</v>
      </c>
      <c r="AEY13" t="s">
        <v>1900</v>
      </c>
      <c r="AEZ13" t="s">
        <v>1900</v>
      </c>
      <c r="AFA13" t="s">
        <v>1900</v>
      </c>
      <c r="AFB13" t="s">
        <v>1900</v>
      </c>
      <c r="AFC13" t="s">
        <v>1900</v>
      </c>
      <c r="AFD13" t="s">
        <v>1900</v>
      </c>
      <c r="AFE13" t="s">
        <v>1900</v>
      </c>
      <c r="AFF13" t="s">
        <v>1900</v>
      </c>
      <c r="AFG13">
        <v>0.014</v>
      </c>
      <c r="AFH13">
        <v>0.006</v>
      </c>
      <c r="AFI13">
        <v>0.011</v>
      </c>
      <c r="AFJ13">
        <v>0.013</v>
      </c>
      <c r="AFK13">
        <v>0.014</v>
      </c>
      <c r="AFL13" t="s">
        <v>1900</v>
      </c>
      <c r="AFM13" t="s">
        <v>1900</v>
      </c>
      <c r="AFN13">
        <v>512.636</v>
      </c>
      <c r="AFO13" t="s">
        <v>1901</v>
      </c>
      <c r="AFP13" t="s">
        <v>1900</v>
      </c>
      <c r="AFQ13" t="s">
        <v>1901</v>
      </c>
      <c r="AFR13" t="s">
        <v>1901</v>
      </c>
      <c r="AFS13" t="s">
        <v>1901</v>
      </c>
      <c r="AFT13" t="s">
        <v>1901</v>
      </c>
      <c r="AFU13" t="s">
        <v>1901</v>
      </c>
      <c r="AFV13">
        <v>109.753</v>
      </c>
      <c r="AFW13">
        <v>450.04</v>
      </c>
      <c r="AFX13">
        <v>0</v>
      </c>
      <c r="AFY13">
        <v>239.11</v>
      </c>
      <c r="AFZ13">
        <v>111.936</v>
      </c>
      <c r="AGA13">
        <v>0</v>
      </c>
      <c r="AGB13">
        <v>0</v>
      </c>
      <c r="AGC13">
        <v>0</v>
      </c>
      <c r="AGD13" t="s">
        <v>1900</v>
      </c>
      <c r="AGE13">
        <v>0</v>
      </c>
      <c r="AGF13" t="s">
        <v>1900</v>
      </c>
      <c r="AGG13" t="s">
        <v>1900</v>
      </c>
      <c r="AGH13" t="s">
        <v>1900</v>
      </c>
      <c r="AGI13" t="s">
        <v>1900</v>
      </c>
      <c r="AGJ13" t="s">
        <v>1900</v>
      </c>
      <c r="AGK13" t="s">
        <v>1900</v>
      </c>
      <c r="AGL13" t="s">
        <v>1900</v>
      </c>
      <c r="AGM13" t="s">
        <v>1900</v>
      </c>
      <c r="AGN13" t="s">
        <v>1900</v>
      </c>
      <c r="AGO13" t="s">
        <v>1900</v>
      </c>
      <c r="AGP13" t="s">
        <v>1900</v>
      </c>
      <c r="AGQ13" t="s">
        <v>1900</v>
      </c>
      <c r="AGR13" t="s">
        <v>1900</v>
      </c>
      <c r="AGS13" t="s">
        <v>1900</v>
      </c>
      <c r="AGT13" t="s">
        <v>1900</v>
      </c>
      <c r="AGU13">
        <v>0</v>
      </c>
      <c r="AGV13">
        <v>0</v>
      </c>
      <c r="AGW13">
        <v>0</v>
      </c>
      <c r="AGX13">
        <v>0</v>
      </c>
      <c r="AGY13">
        <v>0</v>
      </c>
      <c r="AGZ13">
        <v>88.399</v>
      </c>
      <c r="AHA13">
        <v>15.931</v>
      </c>
      <c r="AHB13" t="s">
        <v>1901</v>
      </c>
      <c r="AHC13" t="s">
        <v>1901</v>
      </c>
      <c r="AHD13" t="s">
        <v>1901</v>
      </c>
      <c r="AHE13">
        <v>88.399</v>
      </c>
      <c r="AHF13">
        <v>15.931</v>
      </c>
      <c r="AHG13" t="s">
        <v>1901</v>
      </c>
      <c r="AHH13" t="s">
        <v>1901</v>
      </c>
      <c r="AHI13" t="s">
        <v>1901</v>
      </c>
      <c r="AHJ13">
        <v>586.155</v>
      </c>
      <c r="AHK13">
        <v>782.275</v>
      </c>
      <c r="AHL13" t="s">
        <v>1901</v>
      </c>
      <c r="AHM13" t="s">
        <v>1901</v>
      </c>
      <c r="AHN13" t="s">
        <v>1901</v>
      </c>
      <c r="AHO13">
        <v>99.587</v>
      </c>
      <c r="AHP13">
        <v>99.533</v>
      </c>
      <c r="AHQ13">
        <v>99.75</v>
      </c>
      <c r="AHR13">
        <v>100</v>
      </c>
      <c r="AHS13">
        <v>99.88500000000001</v>
      </c>
      <c r="AHT13" t="s">
        <v>1901</v>
      </c>
      <c r="AHU13" t="s">
        <v>1901</v>
      </c>
      <c r="AHV13" t="s">
        <v>1901</v>
      </c>
      <c r="AHW13" t="s">
        <v>1901</v>
      </c>
      <c r="AHX13" t="s">
        <v>1901</v>
      </c>
      <c r="AHY13">
        <v>0.171</v>
      </c>
      <c r="AHZ13">
        <v>0.128</v>
      </c>
      <c r="AIA13">
        <v>0.079</v>
      </c>
      <c r="AIB13" t="s">
        <v>1900</v>
      </c>
      <c r="AIC13">
        <v>0</v>
      </c>
      <c r="AID13">
        <v>74.881097563</v>
      </c>
      <c r="AIE13">
        <v>92.145838681</v>
      </c>
      <c r="AIF13">
        <v>67.182135195</v>
      </c>
      <c r="AIG13">
        <v>76.169233965</v>
      </c>
      <c r="AIH13">
        <v>67.328783625</v>
      </c>
      <c r="AII13">
        <v>21.103778281</v>
      </c>
      <c r="AIJ13">
        <v>4.667304825</v>
      </c>
      <c r="AIK13">
        <v>32.729480712</v>
      </c>
      <c r="AIL13">
        <v>22.830466516</v>
      </c>
      <c r="AIM13">
        <v>32.071925303</v>
      </c>
      <c r="AIN13">
        <v>0.243495113</v>
      </c>
      <c r="AIO13">
        <v>0.339624327</v>
      </c>
      <c r="AIP13">
        <v>0.170856445</v>
      </c>
      <c r="AIQ13" t="s">
        <v>1900</v>
      </c>
      <c r="AIR13">
        <v>0.114964647</v>
      </c>
      <c r="AIS13">
        <v>0</v>
      </c>
      <c r="AIT13">
        <v>0</v>
      </c>
      <c r="AIU13">
        <v>0</v>
      </c>
      <c r="AIV13" t="s">
        <v>1900</v>
      </c>
      <c r="AIW13" t="s">
        <v>1900</v>
      </c>
      <c r="AIX13">
        <v>418.91827729534</v>
      </c>
      <c r="AIY13">
        <v>202.651140522342</v>
      </c>
      <c r="AIZ13">
        <v>1858.26055982888</v>
      </c>
      <c r="AJA13">
        <v>273.445447761655</v>
      </c>
      <c r="AJB13">
        <v>400.936694542307</v>
      </c>
      <c r="AJC13">
        <v>154.546476496657</v>
      </c>
      <c r="AJD13">
        <v>32.7504743230104</v>
      </c>
      <c r="AJE13">
        <v>110.238283448994</v>
      </c>
      <c r="AJF13">
        <v>84.2126044190168</v>
      </c>
      <c r="AJG13">
        <v>98.12602624239921</v>
      </c>
      <c r="AJH13">
        <v>20.577</v>
      </c>
      <c r="AJI13">
        <v>94.964</v>
      </c>
      <c r="AJJ13">
        <v>29.085</v>
      </c>
      <c r="AJK13">
        <v>34.557</v>
      </c>
      <c r="AJL13">
        <v>20.027</v>
      </c>
      <c r="AJM13">
        <v>31.8008811709118</v>
      </c>
      <c r="AJN13">
        <v>31.101205832839</v>
      </c>
      <c r="AJO13">
        <v>32.0623219288826</v>
      </c>
      <c r="AJP13">
        <v>29.1014513621092</v>
      </c>
      <c r="AJQ13">
        <v>19.6515044406652</v>
      </c>
      <c r="AJR13" t="s">
        <v>1901</v>
      </c>
      <c r="AJS13">
        <v>5482.54480792374</v>
      </c>
      <c r="AJT13" t="s">
        <v>1901</v>
      </c>
      <c r="AJU13">
        <v>6543.97365409663</v>
      </c>
      <c r="AJV13">
        <v>6805.45236761851</v>
      </c>
      <c r="AJW13">
        <v>47.1165979277623</v>
      </c>
      <c r="AJX13">
        <v>40.9417435491514</v>
      </c>
      <c r="AJY13" t="s">
        <v>1900</v>
      </c>
      <c r="AJZ13">
        <v>55.9334775101423</v>
      </c>
      <c r="AKA13">
        <v>30.5107565039575</v>
      </c>
      <c r="AKB13">
        <v>11192.6025508648</v>
      </c>
      <c r="AKC13">
        <v>5508.2606667647</v>
      </c>
      <c r="AKD13">
        <v>10149.7362091443</v>
      </c>
      <c r="AKE13">
        <v>6543.97365409663</v>
      </c>
      <c r="AKF13">
        <v>6813.28523695061</v>
      </c>
      <c r="AKG13">
        <v>0</v>
      </c>
      <c r="AKH13">
        <v>0</v>
      </c>
      <c r="AKI13">
        <v>0</v>
      </c>
      <c r="AKJ13" t="s">
        <v>1900</v>
      </c>
      <c r="AKK13" t="s">
        <v>1900</v>
      </c>
      <c r="AKL13">
        <v>0</v>
      </c>
      <c r="AKM13">
        <v>0</v>
      </c>
      <c r="AKN13">
        <v>0</v>
      </c>
      <c r="AKO13">
        <v>0</v>
      </c>
      <c r="AKP13">
        <v>0</v>
      </c>
      <c r="AKQ13">
        <v>0</v>
      </c>
      <c r="AKR13">
        <v>0</v>
      </c>
      <c r="AKS13">
        <v>0</v>
      </c>
      <c r="AKT13">
        <v>0</v>
      </c>
      <c r="AKU13">
        <v>0</v>
      </c>
      <c r="AKV13">
        <v>0</v>
      </c>
      <c r="AKW13">
        <v>0</v>
      </c>
      <c r="AKX13">
        <v>0</v>
      </c>
      <c r="AKY13">
        <v>0</v>
      </c>
      <c r="AKZ13">
        <v>0</v>
      </c>
      <c r="ALA13">
        <v>0</v>
      </c>
      <c r="ALB13">
        <v>0</v>
      </c>
      <c r="ALC13">
        <v>0</v>
      </c>
      <c r="ALD13">
        <v>0</v>
      </c>
      <c r="ALE13">
        <v>0</v>
      </c>
      <c r="ALF13">
        <v>260.297290419</v>
      </c>
      <c r="ALG13">
        <v>410.982196254</v>
      </c>
      <c r="ALH13">
        <v>8.137601604</v>
      </c>
      <c r="ALI13">
        <v>11.311678979</v>
      </c>
      <c r="ALJ13">
        <v>10.517753581</v>
      </c>
      <c r="ALK13">
        <v>3.594162206</v>
      </c>
      <c r="ALL13">
        <v>2.443577507</v>
      </c>
      <c r="ALM13">
        <v>0.088384093</v>
      </c>
      <c r="ALN13">
        <v>0.145566898</v>
      </c>
      <c r="ALO13">
        <v>0.151478373</v>
      </c>
      <c r="ALP13">
        <v>30.487008825</v>
      </c>
      <c r="ALQ13">
        <v>125.011146847</v>
      </c>
      <c r="ALR13">
        <v>0</v>
      </c>
      <c r="ALS13">
        <v>66.419365481</v>
      </c>
      <c r="ALT13">
        <v>31.093439399</v>
      </c>
      <c r="ALU13">
        <v>0</v>
      </c>
      <c r="ALV13">
        <v>0</v>
      </c>
      <c r="ALW13" t="s">
        <v>1900</v>
      </c>
      <c r="ALX13" t="s">
        <v>1900</v>
      </c>
      <c r="ALY13">
        <v>0</v>
      </c>
      <c r="ALZ13">
        <v>99.7744558511037</v>
      </c>
      <c r="AMA13">
        <v>94.15092063765201</v>
      </c>
      <c r="AMB13">
        <v>99.5690093067673</v>
      </c>
      <c r="AMC13">
        <v>100</v>
      </c>
      <c r="AMD13">
        <v>100</v>
      </c>
      <c r="AME13" t="s">
        <v>1901</v>
      </c>
      <c r="AMF13" t="s">
        <v>1901</v>
      </c>
      <c r="AMG13" t="s">
        <v>1901</v>
      </c>
      <c r="AMH13" t="s">
        <v>1901</v>
      </c>
      <c r="AMI13" t="s">
        <v>1901</v>
      </c>
      <c r="AMJ13">
        <v>44237.085717692</v>
      </c>
      <c r="AMK13">
        <v>1609.67076705652</v>
      </c>
      <c r="AML13">
        <v>23102.3571669099</v>
      </c>
      <c r="AMM13" t="s">
        <v>1900</v>
      </c>
      <c r="AMN13" t="s">
        <v>1900</v>
      </c>
      <c r="AMO13" t="s">
        <v>1901</v>
      </c>
      <c r="AMP13" t="s">
        <v>1901</v>
      </c>
      <c r="AMQ13" t="s">
        <v>1901</v>
      </c>
      <c r="AMR13" t="s">
        <v>1901</v>
      </c>
      <c r="AMS13" t="s">
        <v>1901</v>
      </c>
      <c r="AMT13" t="s">
        <v>1901</v>
      </c>
      <c r="AMU13" t="s">
        <v>1901</v>
      </c>
      <c r="AMV13" t="s">
        <v>1901</v>
      </c>
      <c r="AMW13" t="s">
        <v>1901</v>
      </c>
      <c r="AMX13" t="s">
        <v>1901</v>
      </c>
      <c r="AMY13">
        <v>-1.0446856538583</v>
      </c>
      <c r="AMZ13">
        <v>-0.232350663624707</v>
      </c>
      <c r="ANA13">
        <v>-0.066208396090427</v>
      </c>
      <c r="ANB13" t="s">
        <v>1900</v>
      </c>
      <c r="ANC13" t="s">
        <v>1900</v>
      </c>
      <c r="AND13" t="s">
        <v>1901</v>
      </c>
      <c r="ANE13" t="s">
        <v>1901</v>
      </c>
      <c r="ANF13" t="s">
        <v>1901</v>
      </c>
      <c r="ANG13" t="s">
        <v>1901</v>
      </c>
      <c r="ANH13" t="s">
        <v>1901</v>
      </c>
      <c r="ANI13" t="s">
        <v>1901</v>
      </c>
      <c r="ANJ13" t="s">
        <v>1901</v>
      </c>
      <c r="ANK13" t="s">
        <v>1901</v>
      </c>
      <c r="ANL13" t="s">
        <v>1901</v>
      </c>
      <c r="ANM13" t="s">
        <v>1901</v>
      </c>
      <c r="ANN13">
        <v>-204.952573342188</v>
      </c>
      <c r="ANO13">
        <v>-125.039977172195</v>
      </c>
      <c r="ANP13">
        <v>-106.651404535314</v>
      </c>
      <c r="ANQ13">
        <v>-145.585582039582</v>
      </c>
      <c r="ANR13">
        <v>-132.409602820062</v>
      </c>
      <c r="ANS13">
        <v>2.70300647019151</v>
      </c>
      <c r="ANT13">
        <v>2.97917179224058</v>
      </c>
      <c r="ANU13">
        <v>17.4451038329994</v>
      </c>
      <c r="ANV13">
        <v>4.10985423989775</v>
      </c>
      <c r="ANW13">
        <v>5.8907824898897</v>
      </c>
      <c r="ANX13">
        <v>99.77445517887899</v>
      </c>
      <c r="ANY13">
        <v>94.15092063765201</v>
      </c>
      <c r="ANZ13">
        <v>99.5690093067673</v>
      </c>
      <c r="AOA13" t="s">
        <v>1900</v>
      </c>
      <c r="AOB13" t="s">
        <v>1900</v>
      </c>
      <c r="AOC13">
        <v>-104.715858953898</v>
      </c>
      <c r="AOD13">
        <v>-23.5753690350796</v>
      </c>
      <c r="AOE13">
        <v>-6.62273760079787</v>
      </c>
      <c r="AOF13">
        <v>-45.5855820395823</v>
      </c>
      <c r="AOG13">
        <v>-32.4096028200618</v>
      </c>
      <c r="AOH13">
        <v>1.37767695458532</v>
      </c>
      <c r="AOI13">
        <v>0.5597932805606149</v>
      </c>
      <c r="AOJ13">
        <v>1.08143861520321</v>
      </c>
      <c r="AOK13">
        <v>1.28687260784277</v>
      </c>
      <c r="AOL13">
        <v>1.44021603132408</v>
      </c>
      <c r="AOM13">
        <v>86581.962327134</v>
      </c>
      <c r="AON13">
        <v>8537.43564599166</v>
      </c>
      <c r="AOO13">
        <v>372036.307105175</v>
      </c>
      <c r="AOP13" t="s">
        <v>1900</v>
      </c>
      <c r="AOQ13" t="s">
        <v>1900</v>
      </c>
      <c r="AOR13" t="s">
        <v>1901</v>
      </c>
      <c r="AOS13" t="s">
        <v>1901</v>
      </c>
      <c r="AOT13" t="s">
        <v>1901</v>
      </c>
      <c r="AOU13" t="s">
        <v>1901</v>
      </c>
      <c r="AOV13" t="s">
        <v>1901</v>
      </c>
      <c r="AOW13">
        <v>2.6964247812817</v>
      </c>
      <c r="AOX13">
        <v>2.96905380010359</v>
      </c>
      <c r="AOY13">
        <v>17.415297748812</v>
      </c>
      <c r="AOZ13">
        <v>4.10985423989775</v>
      </c>
      <c r="APA13">
        <v>5.88401017258572</v>
      </c>
      <c r="APB13">
        <v>251.295798759166</v>
      </c>
      <c r="APC13">
        <v>625.742105054503</v>
      </c>
      <c r="APD13">
        <v>1658.75243457253</v>
      </c>
      <c r="APE13">
        <v>311.841191241872</v>
      </c>
      <c r="APF13">
        <v>405.999599328914</v>
      </c>
      <c r="APG13">
        <v>864.185261600522</v>
      </c>
      <c r="APH13">
        <v>4363.43349038015</v>
      </c>
      <c r="API13">
        <v>163057.410524914</v>
      </c>
      <c r="APJ13">
        <v>19322.0258333333</v>
      </c>
      <c r="APK13">
        <v>3607.34433333333</v>
      </c>
      <c r="APL13">
        <v>111417.232951836</v>
      </c>
      <c r="APM13">
        <v>10698.1298472809</v>
      </c>
      <c r="APN13">
        <v>384869.66438433</v>
      </c>
      <c r="APO13" t="s">
        <v>1900</v>
      </c>
      <c r="APP13" t="s">
        <v>1900</v>
      </c>
      <c r="APQ13" t="s">
        <v>1901</v>
      </c>
      <c r="APR13" t="s">
        <v>1901</v>
      </c>
      <c r="APS13" t="s">
        <v>1901</v>
      </c>
      <c r="APT13" t="s">
        <v>1901</v>
      </c>
      <c r="APU13" t="s">
        <v>1901</v>
      </c>
      <c r="APV13">
        <v>-263.74140749855</v>
      </c>
      <c r="APW13">
        <v>-156.685680262461</v>
      </c>
      <c r="APX13">
        <v>-110.330334662794</v>
      </c>
      <c r="APY13">
        <v>-142.154622066774</v>
      </c>
      <c r="APZ13">
        <v>-131.582857593543</v>
      </c>
      <c r="AQA13">
        <v>3.46987039700086</v>
      </c>
      <c r="AQB13">
        <v>3.7204758424134</v>
      </c>
      <c r="AQC13">
        <v>18.016036799988</v>
      </c>
      <c r="AQD13">
        <v>4.01299887006222</v>
      </c>
      <c r="AQE13">
        <v>5.84727131664653</v>
      </c>
      <c r="AQF13">
        <v>-2.0446856538583</v>
      </c>
      <c r="AQG13">
        <v>-1.23235066362471</v>
      </c>
      <c r="AQH13">
        <v>-1.06620839609043</v>
      </c>
      <c r="AQI13" t="s">
        <v>1900</v>
      </c>
      <c r="AQJ13" t="s">
        <v>1900</v>
      </c>
      <c r="AQK13">
        <v>1</v>
      </c>
      <c r="AQO13" t="s">
        <v>1902</v>
      </c>
      <c r="AQP13">
        <v>1</v>
      </c>
      <c r="AQQ13">
        <v>1</v>
      </c>
      <c r="AQS13" t="s">
        <v>1905</v>
      </c>
      <c r="AQU13" t="s">
        <v>1906</v>
      </c>
      <c r="AQV13">
        <v>154546.476496657</v>
      </c>
      <c r="AQW13">
        <v>65500.9486460209</v>
      </c>
      <c r="AQX13">
        <v>110238.283448994</v>
      </c>
      <c r="AQY13">
        <v>301800.108851886</v>
      </c>
      <c r="AQZ13">
        <v>327086.445292377</v>
      </c>
      <c r="ARA13">
        <v>1767606.78154147</v>
      </c>
      <c r="ARB13">
        <v>330285.7085916719</v>
      </c>
      <c r="ARC13">
        <v>2396493.335685733</v>
      </c>
      <c r="ARD13">
        <v>-1.159851170937835</v>
      </c>
      <c r="ARE13">
        <v>-1.159851170937835</v>
      </c>
      <c r="ARF13">
        <v>-1.159851170937835</v>
      </c>
      <c r="ARG13">
        <v>-1.159851170937835</v>
      </c>
      <c r="ARH13">
        <v>-1.159851170937835</v>
      </c>
      <c r="ARI13">
        <v>-1.159851170937835</v>
      </c>
      <c r="ARJ13" t="s">
        <v>1174</v>
      </c>
      <c r="ARK13" t="s">
        <v>1512</v>
      </c>
      <c r="ARL13" t="s">
        <v>1908</v>
      </c>
      <c r="ARM13" t="s">
        <v>1908</v>
      </c>
      <c r="ARN13" t="s">
        <v>1909</v>
      </c>
      <c r="ARO13" t="s">
        <v>1909</v>
      </c>
      <c r="ARP13" t="s">
        <v>1907</v>
      </c>
      <c r="ARQ13" t="s">
        <v>1919</v>
      </c>
      <c r="ARR13">
        <f>HYPERLINK("C:\Users\Usuario\Documents\Proyectos\llmthon\evidence\atiud_com_233341.png", "Ver Evidencia")</f>
        <v>0</v>
      </c>
      <c r="ARS13">
        <v>100</v>
      </c>
    </row>
    <row r="14" spans="1:1163">
      <c r="A14">
        <v>380</v>
      </c>
      <c r="B14" t="s">
        <v>1175</v>
      </c>
      <c r="C14" t="s">
        <v>1298</v>
      </c>
      <c r="E14" s="2">
        <v>33410</v>
      </c>
      <c r="F14" t="s">
        <v>1431</v>
      </c>
      <c r="G14" t="s">
        <v>1433</v>
      </c>
      <c r="H14" t="s">
        <v>1434</v>
      </c>
      <c r="I14" t="s">
        <v>1440</v>
      </c>
      <c r="J14" t="s">
        <v>1459</v>
      </c>
      <c r="L14" t="s">
        <v>1513</v>
      </c>
      <c r="N14" t="s">
        <v>1626</v>
      </c>
      <c r="O14" t="s">
        <v>1650</v>
      </c>
      <c r="P14">
        <v>6920</v>
      </c>
      <c r="Q14">
        <v>6920</v>
      </c>
      <c r="R14" t="s">
        <v>1684</v>
      </c>
      <c r="Z14" t="s">
        <v>1899</v>
      </c>
      <c r="AA14" s="2">
        <v>45657</v>
      </c>
      <c r="AB14">
        <v>2024</v>
      </c>
      <c r="AC14">
        <v>1850631.88489654</v>
      </c>
      <c r="AD14">
        <v>1840260.82018644</v>
      </c>
      <c r="AE14">
        <v>1534145.60312935</v>
      </c>
      <c r="AF14">
        <v>1494586.07072411</v>
      </c>
      <c r="AG14">
        <v>1632911.36992873</v>
      </c>
      <c r="AH14">
        <v>1848522.77338258</v>
      </c>
      <c r="AI14">
        <v>1837213.74816896</v>
      </c>
      <c r="AJ14">
        <v>1533111.15094966</v>
      </c>
      <c r="AK14">
        <v>1491141.71992908</v>
      </c>
      <c r="AL14">
        <v>1625548.77413214</v>
      </c>
      <c r="AM14" t="s">
        <v>1900</v>
      </c>
      <c r="AN14" t="s">
        <v>1900</v>
      </c>
      <c r="AO14" t="s">
        <v>1900</v>
      </c>
      <c r="AP14" t="s">
        <v>1900</v>
      </c>
      <c r="AQ14">
        <v>797.614544630051</v>
      </c>
      <c r="AR14">
        <v>1850631.88489654</v>
      </c>
      <c r="AS14">
        <v>1840260.82018644</v>
      </c>
      <c r="AT14">
        <v>1534145.60312935</v>
      </c>
      <c r="AU14">
        <v>1494586.07072411</v>
      </c>
      <c r="AV14">
        <v>1632113.7553841</v>
      </c>
      <c r="AW14">
        <v>1819621.2935675</v>
      </c>
      <c r="AX14">
        <v>1669585.28343936</v>
      </c>
      <c r="AY14">
        <v>1343407.2912053</v>
      </c>
      <c r="AZ14">
        <v>1406014.56341379</v>
      </c>
      <c r="BA14">
        <v>1655868.0908744</v>
      </c>
      <c r="BB14">
        <v>31010.5902901483</v>
      </c>
      <c r="BC14">
        <v>170675.536747084</v>
      </c>
      <c r="BD14">
        <v>190738.311924046</v>
      </c>
      <c r="BE14">
        <v>88571.50731031891</v>
      </c>
      <c r="BF14">
        <v>-23754.3354902983</v>
      </c>
      <c r="BG14">
        <v>7873.94428843498</v>
      </c>
      <c r="BH14">
        <v>11756.0118759537</v>
      </c>
      <c r="BI14">
        <v>-27093.0989090562</v>
      </c>
      <c r="BJ14">
        <v>4918.45274720192</v>
      </c>
      <c r="BK14">
        <v>1666.75670742393</v>
      </c>
      <c r="BL14">
        <v>11053.3820544136</v>
      </c>
      <c r="BM14">
        <v>14603.8191540146</v>
      </c>
      <c r="BN14">
        <v>230.022845637798</v>
      </c>
      <c r="BO14">
        <v>5832.21202325821</v>
      </c>
      <c r="BP14">
        <v>3588.28377139568</v>
      </c>
      <c r="BQ14">
        <v>3179.43776597858</v>
      </c>
      <c r="BR14">
        <v>2847.80727806091</v>
      </c>
      <c r="BS14">
        <v>27323.121754694</v>
      </c>
      <c r="BT14">
        <v>913.75927605629</v>
      </c>
      <c r="BU14">
        <v>1921.52706397176</v>
      </c>
      <c r="BV14">
        <v>38884.5345785832</v>
      </c>
      <c r="BW14">
        <v>182431.548623037</v>
      </c>
      <c r="BX14">
        <v>163645.21301499</v>
      </c>
      <c r="BY14">
        <v>93489.9600575209</v>
      </c>
      <c r="BZ14">
        <v>-22087.5787828743</v>
      </c>
      <c r="CA14">
        <v>9684.777355211971</v>
      </c>
      <c r="CB14">
        <v>45676.676199131</v>
      </c>
      <c r="CC14">
        <v>41000.1056606412</v>
      </c>
      <c r="CD14">
        <v>23420.9058460236</v>
      </c>
      <c r="CE14">
        <v>-5600.12534380555</v>
      </c>
      <c r="CF14">
        <v>29199.7572233713</v>
      </c>
      <c r="CG14">
        <v>136754.872423906</v>
      </c>
      <c r="CH14">
        <v>122645.107354349</v>
      </c>
      <c r="CI14">
        <v>70069.05307889701</v>
      </c>
      <c r="CJ14">
        <v>-16487.4534390688</v>
      </c>
      <c r="CK14" t="s">
        <v>1900</v>
      </c>
      <c r="CL14" t="s">
        <v>1900</v>
      </c>
      <c r="CM14" t="s">
        <v>1900</v>
      </c>
      <c r="CN14" t="s">
        <v>1900</v>
      </c>
      <c r="CO14" t="s">
        <v>1900</v>
      </c>
      <c r="CP14" t="s">
        <v>1900</v>
      </c>
      <c r="CQ14" t="s">
        <v>1900</v>
      </c>
      <c r="CR14" t="s">
        <v>1900</v>
      </c>
      <c r="CS14" t="s">
        <v>1900</v>
      </c>
      <c r="CT14" t="s">
        <v>1900</v>
      </c>
      <c r="CU14" t="s">
        <v>1900</v>
      </c>
      <c r="CV14" t="s">
        <v>1900</v>
      </c>
      <c r="CW14" t="s">
        <v>1900</v>
      </c>
      <c r="CX14" t="s">
        <v>1900</v>
      </c>
      <c r="CY14" t="s">
        <v>1900</v>
      </c>
      <c r="CZ14">
        <v>29199.7572233713</v>
      </c>
      <c r="DA14">
        <v>136754.872423906</v>
      </c>
      <c r="DB14">
        <v>122645.107354349</v>
      </c>
      <c r="DC14">
        <v>70069.05307889701</v>
      </c>
      <c r="DD14">
        <v>-16487.4534390688</v>
      </c>
      <c r="DE14" t="s">
        <v>1900</v>
      </c>
      <c r="DF14" t="s">
        <v>1900</v>
      </c>
      <c r="DG14" t="s">
        <v>1900</v>
      </c>
      <c r="DH14" t="s">
        <v>1900</v>
      </c>
      <c r="DI14" t="s">
        <v>1900</v>
      </c>
      <c r="DJ14" t="s">
        <v>1900</v>
      </c>
      <c r="DK14" t="s">
        <v>1900</v>
      </c>
      <c r="DL14" t="s">
        <v>1900</v>
      </c>
      <c r="DM14" t="s">
        <v>1900</v>
      </c>
      <c r="DN14">
        <v>797.614544630051</v>
      </c>
      <c r="DO14">
        <v>1240156.92609378</v>
      </c>
      <c r="DP14">
        <v>1171570.99663667</v>
      </c>
      <c r="DQ14">
        <v>1004787.26408913</v>
      </c>
      <c r="DR14">
        <v>1047982.27743952</v>
      </c>
      <c r="DS14">
        <v>1218632.41243272</v>
      </c>
      <c r="DT14">
        <v>57331.5672746778</v>
      </c>
      <c r="DU14">
        <v>39098.5640469551</v>
      </c>
      <c r="DV14">
        <v>20780.7178196609</v>
      </c>
      <c r="DW14">
        <v>27729.4759796619</v>
      </c>
      <c r="DX14">
        <v>25035.2185520232</v>
      </c>
      <c r="DY14">
        <v>522132.800199038</v>
      </c>
      <c r="DZ14">
        <v>458915.722755737</v>
      </c>
      <c r="EA14">
        <v>317839.309296513</v>
      </c>
      <c r="EB14">
        <v>330302.809994602</v>
      </c>
      <c r="EC14">
        <v>412200.458662557</v>
      </c>
      <c r="ED14">
        <v>3179.43776597858</v>
      </c>
      <c r="EE14">
        <v>2847.80727806091</v>
      </c>
      <c r="EF14">
        <v>1020.07441858053</v>
      </c>
      <c r="EG14">
        <v>913.75927605629</v>
      </c>
      <c r="EH14">
        <v>1921.52706397176</v>
      </c>
      <c r="EI14" t="s">
        <v>1900</v>
      </c>
      <c r="EJ14" t="s">
        <v>1900</v>
      </c>
      <c r="EK14" t="s">
        <v>1900</v>
      </c>
      <c r="EL14" t="s">
        <v>1900</v>
      </c>
      <c r="EM14" t="s">
        <v>1900</v>
      </c>
      <c r="EN14">
        <v>86531.324498049</v>
      </c>
      <c r="EO14">
        <v>175853.436470861</v>
      </c>
      <c r="EP14">
        <v>143425.82517401</v>
      </c>
      <c r="EQ14">
        <v>97798.5301911593</v>
      </c>
      <c r="ER14">
        <v>8547.76388585508</v>
      </c>
      <c r="ES14">
        <v>1339552.46467412</v>
      </c>
      <c r="ET14">
        <v>1395948.91658472</v>
      </c>
      <c r="EU14">
        <v>1190233.26827576</v>
      </c>
      <c r="EV14">
        <v>1170115.47275276</v>
      </c>
      <c r="EW14">
        <v>1223501.57926584</v>
      </c>
      <c r="EX14">
        <v>88342.157564826</v>
      </c>
      <c r="EY14">
        <v>209774.099689038</v>
      </c>
      <c r="EZ14">
        <v>211519.029743707</v>
      </c>
      <c r="FA14">
        <v>116300.983289981</v>
      </c>
      <c r="FB14">
        <v>1280.8830617249</v>
      </c>
      <c r="FC14">
        <v>196151.152393086</v>
      </c>
      <c r="FD14">
        <v>255760.663332243</v>
      </c>
      <c r="FE14">
        <v>82200.188059336</v>
      </c>
      <c r="FF14">
        <v>103010.620894074</v>
      </c>
      <c r="FG14">
        <v>143544.345837408</v>
      </c>
      <c r="FH14">
        <v>117709.437339168</v>
      </c>
      <c r="FI14">
        <v>158551.106655788</v>
      </c>
      <c r="FJ14">
        <v>1161.14286689758</v>
      </c>
      <c r="FK14">
        <v>3794.87926418781</v>
      </c>
      <c r="FL14">
        <v>6887.14390202761</v>
      </c>
      <c r="FM14">
        <v>77549.8197980547</v>
      </c>
      <c r="FN14">
        <v>96272.0190056992</v>
      </c>
      <c r="FO14">
        <v>77620.2951847136</v>
      </c>
      <c r="FP14">
        <v>98286.86213972569</v>
      </c>
      <c r="FQ14">
        <v>129818.749333555</v>
      </c>
      <c r="FR14">
        <v>891.895255863667</v>
      </c>
      <c r="FS14">
        <v>937.537670755386</v>
      </c>
      <c r="FT14">
        <v>3418.75000772476</v>
      </c>
      <c r="FU14">
        <v>928.8794901609421</v>
      </c>
      <c r="FV14">
        <v>6838.45260182619</v>
      </c>
      <c r="FW14">
        <v>117709.437339168</v>
      </c>
      <c r="FX14">
        <v>158551.106655788</v>
      </c>
      <c r="FY14">
        <v>1161.14286689758</v>
      </c>
      <c r="FZ14">
        <v>3794.87926418781</v>
      </c>
      <c r="GA14">
        <v>6887.14390202761</v>
      </c>
      <c r="GB14">
        <v>77549.8197980547</v>
      </c>
      <c r="GC14">
        <v>96272.0190056992</v>
      </c>
      <c r="GD14">
        <v>77620.2951847136</v>
      </c>
      <c r="GE14">
        <v>98286.86213972569</v>
      </c>
      <c r="GF14">
        <v>129818.749333555</v>
      </c>
      <c r="GG14">
        <v>891.895255863667</v>
      </c>
      <c r="GH14">
        <v>937.537670755386</v>
      </c>
      <c r="GI14">
        <v>3418.75000772476</v>
      </c>
      <c r="GJ14">
        <v>928.8794901609421</v>
      </c>
      <c r="GK14">
        <v>6838.45260182619</v>
      </c>
      <c r="GL14">
        <v>691669.456359203</v>
      </c>
      <c r="GM14">
        <v>850055.079844274</v>
      </c>
      <c r="GN14">
        <v>1214329.37301334</v>
      </c>
      <c r="GO14">
        <v>1283771.49454472</v>
      </c>
      <c r="GP14">
        <v>1841371.85788555</v>
      </c>
      <c r="GQ14">
        <v>0</v>
      </c>
      <c r="GR14">
        <v>0</v>
      </c>
      <c r="GS14">
        <v>0</v>
      </c>
      <c r="GT14">
        <v>0</v>
      </c>
      <c r="GU14">
        <v>0</v>
      </c>
      <c r="GV14">
        <v>111419.108398919</v>
      </c>
      <c r="GW14">
        <v>297744.737274179</v>
      </c>
      <c r="GX14">
        <v>285358.080418617</v>
      </c>
      <c r="GY14">
        <v>230795.11798346</v>
      </c>
      <c r="GZ14">
        <v>370619.157094038</v>
      </c>
      <c r="HA14">
        <v>580250.347960284</v>
      </c>
      <c r="HB14">
        <v>552310.342570095</v>
      </c>
      <c r="HC14">
        <v>928971.292594719</v>
      </c>
      <c r="HD14">
        <v>1052976.37656126</v>
      </c>
      <c r="HE14">
        <v>1470752.70079151</v>
      </c>
      <c r="HF14">
        <v>405419.772448448</v>
      </c>
      <c r="HG14">
        <v>375021.985605259</v>
      </c>
      <c r="HH14">
        <v>352404.321596634</v>
      </c>
      <c r="HI14">
        <v>525403.6215522049</v>
      </c>
      <c r="HJ14">
        <v>536280.716162401</v>
      </c>
      <c r="HK14">
        <v>887820.608752289</v>
      </c>
      <c r="HL14">
        <v>1105815.74317652</v>
      </c>
      <c r="HM14">
        <v>1296529.56107267</v>
      </c>
      <c r="HN14">
        <v>1386782.11543879</v>
      </c>
      <c r="HO14">
        <v>1984916.20372296</v>
      </c>
      <c r="HP14">
        <v>668215.062932905</v>
      </c>
      <c r="HQ14">
        <v>816428.12465291</v>
      </c>
      <c r="HR14">
        <v>1005772.94067421</v>
      </c>
      <c r="HS14">
        <v>1098452.55543258</v>
      </c>
      <c r="HT14">
        <v>1769286.9403039</v>
      </c>
      <c r="HU14">
        <v>76670.7861185074</v>
      </c>
      <c r="HV14">
        <v>81549.0365982056</v>
      </c>
      <c r="HW14">
        <v>52476.6948223114</v>
      </c>
      <c r="HX14">
        <v>55723.9351272583</v>
      </c>
      <c r="HY14">
        <v>60373.2855319977</v>
      </c>
      <c r="HZ14">
        <v>591544.276814398</v>
      </c>
      <c r="IA14">
        <v>734879.0880547049</v>
      </c>
      <c r="IB14">
        <v>953296.245851898</v>
      </c>
      <c r="IC14">
        <v>1042728.62030532</v>
      </c>
      <c r="ID14">
        <v>1708913.6547719</v>
      </c>
      <c r="IE14">
        <v>24786.6366415679</v>
      </c>
      <c r="IF14">
        <v>38702.7086693001</v>
      </c>
      <c r="IG14">
        <v>0</v>
      </c>
      <c r="IH14">
        <v>1852.53769290447</v>
      </c>
      <c r="II14">
        <v>5610.76429473162</v>
      </c>
      <c r="IJ14">
        <v>23178.3058733034</v>
      </c>
      <c r="IK14">
        <v>38445.2656537628</v>
      </c>
      <c r="IL14" t="s">
        <v>1900</v>
      </c>
      <c r="IM14">
        <v>0</v>
      </c>
      <c r="IN14">
        <v>5485.34247533679</v>
      </c>
      <c r="IO14">
        <v>1608.33076826453</v>
      </c>
      <c r="IP14">
        <v>257.443015537262</v>
      </c>
      <c r="IQ14" t="s">
        <v>1900</v>
      </c>
      <c r="IR14">
        <v>1852.53769290447</v>
      </c>
      <c r="IS14">
        <v>125.421819394827</v>
      </c>
      <c r="IT14" t="s">
        <v>1900</v>
      </c>
      <c r="IU14" t="s">
        <v>1900</v>
      </c>
      <c r="IV14" t="s">
        <v>1900</v>
      </c>
      <c r="IW14" t="s">
        <v>1900</v>
      </c>
      <c r="IX14" t="s">
        <v>1900</v>
      </c>
      <c r="IY14">
        <v>194818.909177816</v>
      </c>
      <c r="IZ14">
        <v>250684.909854307</v>
      </c>
      <c r="JA14">
        <v>290756.620398462</v>
      </c>
      <c r="JB14">
        <v>286477.022313309</v>
      </c>
      <c r="JC14">
        <v>210018.49912433</v>
      </c>
      <c r="JD14">
        <v>12967.1700656939</v>
      </c>
      <c r="JE14">
        <v>13089.1839242649</v>
      </c>
      <c r="JF14">
        <v>0</v>
      </c>
      <c r="JG14">
        <v>5062.91591641903</v>
      </c>
      <c r="JH14">
        <v>5408.88191798925</v>
      </c>
      <c r="JI14">
        <v>0</v>
      </c>
      <c r="JJ14" t="s">
        <v>1900</v>
      </c>
      <c r="JK14">
        <v>0</v>
      </c>
      <c r="JL14">
        <v>0</v>
      </c>
      <c r="JM14">
        <v>0</v>
      </c>
      <c r="JN14">
        <v>181851.739112122</v>
      </c>
      <c r="JO14">
        <v>237595.724825042</v>
      </c>
      <c r="JP14">
        <v>290756.620398462</v>
      </c>
      <c r="JQ14">
        <v>281414.10639689</v>
      </c>
      <c r="JR14">
        <v>204609.617206341</v>
      </c>
      <c r="JS14">
        <v>887820.608752289</v>
      </c>
      <c r="JT14">
        <v>1105815.74317652</v>
      </c>
      <c r="JU14">
        <v>1296529.56107267</v>
      </c>
      <c r="JV14">
        <v>1386782.11543879</v>
      </c>
      <c r="JW14">
        <v>1984916.20372296</v>
      </c>
      <c r="JX14">
        <v>111419.108398919</v>
      </c>
      <c r="JY14">
        <v>297744.737274179</v>
      </c>
      <c r="JZ14">
        <v>285358.080418617</v>
      </c>
      <c r="KA14">
        <v>230795.11798346</v>
      </c>
      <c r="KB14">
        <v>370619.157094038</v>
      </c>
      <c r="KC14" t="s">
        <v>1900</v>
      </c>
      <c r="KD14" t="s">
        <v>1900</v>
      </c>
      <c r="KE14" t="s">
        <v>1900</v>
      </c>
      <c r="KF14" t="s">
        <v>1900</v>
      </c>
      <c r="KG14" t="s">
        <v>1900</v>
      </c>
      <c r="KH14" t="s">
        <v>1900</v>
      </c>
      <c r="KI14" t="s">
        <v>1900</v>
      </c>
      <c r="KJ14" t="s">
        <v>1900</v>
      </c>
      <c r="KK14" t="s">
        <v>1900</v>
      </c>
      <c r="KL14" t="s">
        <v>1900</v>
      </c>
      <c r="KM14">
        <v>37</v>
      </c>
      <c r="KN14">
        <v>34</v>
      </c>
      <c r="KO14">
        <v>33</v>
      </c>
      <c r="KP14">
        <v>33</v>
      </c>
      <c r="KQ14">
        <v>33</v>
      </c>
      <c r="KR14" t="s">
        <v>1900</v>
      </c>
      <c r="KS14" t="s">
        <v>1900</v>
      </c>
      <c r="KT14" t="s">
        <v>1900</v>
      </c>
      <c r="KU14" t="s">
        <v>1900</v>
      </c>
      <c r="KV14" t="s">
        <v>1900</v>
      </c>
      <c r="KW14" t="s">
        <v>1900</v>
      </c>
      <c r="KX14" t="s">
        <v>1900</v>
      </c>
      <c r="KY14" t="s">
        <v>1900</v>
      </c>
      <c r="KZ14" t="s">
        <v>1900</v>
      </c>
      <c r="LA14" t="s">
        <v>1900</v>
      </c>
      <c r="LB14" t="s">
        <v>1900</v>
      </c>
      <c r="LC14" t="s">
        <v>1900</v>
      </c>
      <c r="LD14" t="s">
        <v>1900</v>
      </c>
      <c r="LE14" t="s">
        <v>1900</v>
      </c>
      <c r="LF14" t="s">
        <v>1900</v>
      </c>
      <c r="LG14" t="s">
        <v>1900</v>
      </c>
      <c r="LH14" t="s">
        <v>1900</v>
      </c>
      <c r="LI14" t="s">
        <v>1900</v>
      </c>
      <c r="LJ14" t="s">
        <v>1900</v>
      </c>
      <c r="LK14" t="s">
        <v>1900</v>
      </c>
      <c r="LL14" t="s">
        <v>1900</v>
      </c>
      <c r="LM14" t="s">
        <v>1900</v>
      </c>
      <c r="LN14" t="s">
        <v>1900</v>
      </c>
      <c r="LO14" t="s">
        <v>1900</v>
      </c>
      <c r="LP14" t="s">
        <v>1900</v>
      </c>
      <c r="LQ14" t="s">
        <v>1900</v>
      </c>
      <c r="LR14" t="s">
        <v>1900</v>
      </c>
      <c r="LS14" t="s">
        <v>1900</v>
      </c>
      <c r="LT14" t="s">
        <v>1900</v>
      </c>
      <c r="LU14" t="s">
        <v>1900</v>
      </c>
      <c r="LV14" t="s">
        <v>1900</v>
      </c>
      <c r="LW14" t="s">
        <v>1900</v>
      </c>
      <c r="LX14" t="s">
        <v>1900</v>
      </c>
      <c r="LY14" t="s">
        <v>1900</v>
      </c>
      <c r="LZ14" t="s">
        <v>1900</v>
      </c>
      <c r="MA14" t="s">
        <v>1900</v>
      </c>
      <c r="MB14" t="s">
        <v>1900</v>
      </c>
      <c r="MC14" t="s">
        <v>1900</v>
      </c>
      <c r="MD14" t="s">
        <v>1900</v>
      </c>
      <c r="ME14" t="s">
        <v>1900</v>
      </c>
      <c r="MF14" t="s">
        <v>1900</v>
      </c>
      <c r="MG14" t="s">
        <v>1900</v>
      </c>
      <c r="MH14" t="s">
        <v>1900</v>
      </c>
      <c r="MI14" t="s">
        <v>1900</v>
      </c>
      <c r="MJ14" t="s">
        <v>1900</v>
      </c>
      <c r="MK14" t="s">
        <v>1900</v>
      </c>
      <c r="ML14" t="s">
        <v>1900</v>
      </c>
      <c r="MM14" t="s">
        <v>1900</v>
      </c>
      <c r="MN14" t="s">
        <v>1900</v>
      </c>
      <c r="MO14" t="s">
        <v>1900</v>
      </c>
      <c r="MP14">
        <v>580250.347960284</v>
      </c>
      <c r="MQ14">
        <v>552310.342570095</v>
      </c>
      <c r="MR14">
        <v>928971.292594719</v>
      </c>
      <c r="MS14">
        <v>1052976.37656126</v>
      </c>
      <c r="MT14">
        <v>1470752.70079151</v>
      </c>
      <c r="MU14" t="s">
        <v>1900</v>
      </c>
      <c r="MV14" t="s">
        <v>1900</v>
      </c>
      <c r="MW14" t="s">
        <v>1900</v>
      </c>
      <c r="MX14" t="s">
        <v>1900</v>
      </c>
      <c r="MY14" t="s">
        <v>1900</v>
      </c>
      <c r="MZ14" t="s">
        <v>1900</v>
      </c>
      <c r="NA14" t="s">
        <v>1900</v>
      </c>
      <c r="NB14" t="s">
        <v>1900</v>
      </c>
      <c r="NC14" t="s">
        <v>1900</v>
      </c>
      <c r="ND14" t="s">
        <v>1900</v>
      </c>
      <c r="NE14" t="s">
        <v>1900</v>
      </c>
      <c r="NF14" t="s">
        <v>1900</v>
      </c>
      <c r="NG14" t="s">
        <v>1900</v>
      </c>
      <c r="NH14" t="s">
        <v>1900</v>
      </c>
      <c r="NI14" t="s">
        <v>1900</v>
      </c>
      <c r="NJ14" t="s">
        <v>1900</v>
      </c>
      <c r="NK14" t="s">
        <v>1900</v>
      </c>
      <c r="NL14" t="s">
        <v>1900</v>
      </c>
      <c r="NM14" t="s">
        <v>1900</v>
      </c>
      <c r="NN14" t="s">
        <v>1900</v>
      </c>
      <c r="NO14" t="s">
        <v>1900</v>
      </c>
      <c r="NP14" t="s">
        <v>1900</v>
      </c>
      <c r="NQ14" t="s">
        <v>1900</v>
      </c>
      <c r="NR14" t="s">
        <v>1900</v>
      </c>
      <c r="NS14" t="s">
        <v>1900</v>
      </c>
      <c r="NT14">
        <v>196151.152393086</v>
      </c>
      <c r="NU14">
        <v>255760.663332243</v>
      </c>
      <c r="NV14">
        <v>82200.188059336</v>
      </c>
      <c r="NW14">
        <v>103010.620894074</v>
      </c>
      <c r="NX14">
        <v>143544.345837408</v>
      </c>
      <c r="NY14" t="s">
        <v>1900</v>
      </c>
      <c r="NZ14" t="s">
        <v>1900</v>
      </c>
      <c r="OA14" t="s">
        <v>1900</v>
      </c>
      <c r="OB14" t="s">
        <v>1900</v>
      </c>
      <c r="OC14" t="s">
        <v>1900</v>
      </c>
      <c r="OD14" t="s">
        <v>1900</v>
      </c>
      <c r="OE14" t="s">
        <v>1900</v>
      </c>
      <c r="OF14" t="s">
        <v>1900</v>
      </c>
      <c r="OG14" t="s">
        <v>1900</v>
      </c>
      <c r="OH14" t="s">
        <v>1900</v>
      </c>
      <c r="OI14" t="s">
        <v>1900</v>
      </c>
      <c r="OJ14" t="s">
        <v>1900</v>
      </c>
      <c r="OK14" t="s">
        <v>1900</v>
      </c>
      <c r="OL14" t="s">
        <v>1900</v>
      </c>
      <c r="OM14" t="s">
        <v>1900</v>
      </c>
      <c r="ON14" t="s">
        <v>1900</v>
      </c>
      <c r="OO14" t="s">
        <v>1900</v>
      </c>
      <c r="OP14" t="s">
        <v>1900</v>
      </c>
      <c r="OQ14" t="s">
        <v>1900</v>
      </c>
      <c r="OR14" t="s">
        <v>1900</v>
      </c>
      <c r="OS14" t="s">
        <v>1900</v>
      </c>
      <c r="OT14" t="s">
        <v>1900</v>
      </c>
      <c r="OU14" t="s">
        <v>1900</v>
      </c>
      <c r="OV14" t="s">
        <v>1900</v>
      </c>
      <c r="OW14" t="s">
        <v>1900</v>
      </c>
      <c r="OX14" t="s">
        <v>1900</v>
      </c>
      <c r="OY14" t="s">
        <v>1900</v>
      </c>
      <c r="OZ14" t="s">
        <v>1900</v>
      </c>
      <c r="PA14" t="s">
        <v>1900</v>
      </c>
      <c r="PB14" t="s">
        <v>1900</v>
      </c>
      <c r="PC14" t="s">
        <v>1900</v>
      </c>
      <c r="PD14" t="s">
        <v>1900</v>
      </c>
      <c r="PE14" t="s">
        <v>1900</v>
      </c>
      <c r="PF14" t="s">
        <v>1900</v>
      </c>
      <c r="PG14" t="s">
        <v>1900</v>
      </c>
      <c r="PH14" t="s">
        <v>1900</v>
      </c>
      <c r="PI14" t="s">
        <v>1900</v>
      </c>
      <c r="PJ14" t="s">
        <v>1900</v>
      </c>
      <c r="PK14" t="s">
        <v>1900</v>
      </c>
      <c r="PL14" t="s">
        <v>1900</v>
      </c>
      <c r="PM14" t="s">
        <v>1900</v>
      </c>
      <c r="PN14" t="s">
        <v>1900</v>
      </c>
      <c r="PO14" t="s">
        <v>1900</v>
      </c>
      <c r="PP14" t="s">
        <v>1900</v>
      </c>
      <c r="PQ14" t="s">
        <v>1900</v>
      </c>
      <c r="PR14" t="s">
        <v>1900</v>
      </c>
      <c r="PS14" t="s">
        <v>1900</v>
      </c>
      <c r="PT14" t="s">
        <v>1900</v>
      </c>
      <c r="PU14" t="s">
        <v>1900</v>
      </c>
      <c r="PV14" t="s">
        <v>1900</v>
      </c>
      <c r="PW14" t="s">
        <v>1900</v>
      </c>
      <c r="PX14" t="s">
        <v>1900</v>
      </c>
      <c r="PY14" t="s">
        <v>1900</v>
      </c>
      <c r="PZ14" t="s">
        <v>1900</v>
      </c>
      <c r="QA14" t="s">
        <v>1900</v>
      </c>
      <c r="QB14" t="s">
        <v>1900</v>
      </c>
      <c r="QC14" t="s">
        <v>1900</v>
      </c>
      <c r="QD14" t="s">
        <v>1900</v>
      </c>
      <c r="QE14" t="s">
        <v>1900</v>
      </c>
      <c r="QF14" t="s">
        <v>1900</v>
      </c>
      <c r="QG14" t="s">
        <v>1900</v>
      </c>
      <c r="QH14" t="s">
        <v>1900</v>
      </c>
      <c r="QI14" t="s">
        <v>1900</v>
      </c>
      <c r="QJ14" t="s">
        <v>1900</v>
      </c>
      <c r="QK14" t="s">
        <v>1900</v>
      </c>
      <c r="QL14" t="s">
        <v>1900</v>
      </c>
      <c r="QM14" t="s">
        <v>1900</v>
      </c>
      <c r="QN14" t="s">
        <v>1900</v>
      </c>
      <c r="QO14" t="s">
        <v>1900</v>
      </c>
      <c r="QP14" t="s">
        <v>1900</v>
      </c>
      <c r="QQ14" t="s">
        <v>1900</v>
      </c>
      <c r="QR14" t="s">
        <v>1900</v>
      </c>
      <c r="QS14" t="s">
        <v>1900</v>
      </c>
      <c r="QT14" t="s">
        <v>1900</v>
      </c>
      <c r="QU14" t="s">
        <v>1900</v>
      </c>
      <c r="QV14" t="s">
        <v>1900</v>
      </c>
      <c r="QW14" t="s">
        <v>1900</v>
      </c>
      <c r="QX14" t="s">
        <v>1900</v>
      </c>
      <c r="QY14" t="s">
        <v>1900</v>
      </c>
      <c r="QZ14" t="s">
        <v>1900</v>
      </c>
      <c r="RA14" t="s">
        <v>1900</v>
      </c>
      <c r="RB14" t="s">
        <v>1900</v>
      </c>
      <c r="RC14" t="s">
        <v>1900</v>
      </c>
      <c r="RD14" t="s">
        <v>1900</v>
      </c>
      <c r="RE14" t="s">
        <v>1900</v>
      </c>
      <c r="RF14" t="s">
        <v>1900</v>
      </c>
      <c r="RG14" t="s">
        <v>1900</v>
      </c>
      <c r="RH14" t="s">
        <v>1900</v>
      </c>
      <c r="RI14" t="s">
        <v>1900</v>
      </c>
      <c r="RJ14" t="s">
        <v>1900</v>
      </c>
      <c r="RK14" t="s">
        <v>1900</v>
      </c>
      <c r="RL14" t="s">
        <v>1900</v>
      </c>
      <c r="RM14" t="s">
        <v>1900</v>
      </c>
      <c r="RN14" t="s">
        <v>1900</v>
      </c>
      <c r="RO14" t="s">
        <v>1900</v>
      </c>
      <c r="RP14" t="s">
        <v>1900</v>
      </c>
      <c r="RQ14" t="s">
        <v>1900</v>
      </c>
      <c r="RR14" t="s">
        <v>1900</v>
      </c>
      <c r="RS14" t="s">
        <v>1900</v>
      </c>
      <c r="RT14" t="s">
        <v>1900</v>
      </c>
      <c r="RU14" t="s">
        <v>1900</v>
      </c>
      <c r="RV14" t="s">
        <v>1900</v>
      </c>
      <c r="RW14" t="s">
        <v>1900</v>
      </c>
      <c r="RX14" t="s">
        <v>1900</v>
      </c>
      <c r="RY14" t="s">
        <v>1900</v>
      </c>
      <c r="RZ14" t="s">
        <v>1900</v>
      </c>
      <c r="SA14" t="s">
        <v>1900</v>
      </c>
      <c r="SB14" t="s">
        <v>1900</v>
      </c>
      <c r="SC14" t="s">
        <v>1900</v>
      </c>
      <c r="SD14" t="s">
        <v>1900</v>
      </c>
      <c r="SE14" t="s">
        <v>1900</v>
      </c>
      <c r="SF14" t="s">
        <v>1900</v>
      </c>
      <c r="SG14" t="s">
        <v>1900</v>
      </c>
      <c r="SH14" t="s">
        <v>1900</v>
      </c>
      <c r="SI14" t="s">
        <v>1900</v>
      </c>
      <c r="SJ14">
        <v>891.895255863667</v>
      </c>
      <c r="SK14">
        <v>937.537670755386</v>
      </c>
      <c r="SL14">
        <v>3418.75000772476</v>
      </c>
      <c r="SM14">
        <v>928.8794901609421</v>
      </c>
      <c r="SN14">
        <v>6838.45260182619</v>
      </c>
      <c r="SO14" t="s">
        <v>1900</v>
      </c>
      <c r="SP14" t="s">
        <v>1900</v>
      </c>
      <c r="SQ14" t="s">
        <v>1900</v>
      </c>
      <c r="SR14" t="s">
        <v>1900</v>
      </c>
      <c r="SS14" t="s">
        <v>1900</v>
      </c>
      <c r="ST14" t="s">
        <v>1900</v>
      </c>
      <c r="SU14" t="s">
        <v>1900</v>
      </c>
      <c r="SV14" t="s">
        <v>1900</v>
      </c>
      <c r="SW14" t="s">
        <v>1900</v>
      </c>
      <c r="SX14" t="s">
        <v>1900</v>
      </c>
      <c r="SY14" t="s">
        <v>1900</v>
      </c>
      <c r="SZ14" t="s">
        <v>1900</v>
      </c>
      <c r="TA14" t="s">
        <v>1900</v>
      </c>
      <c r="TB14" t="s">
        <v>1900</v>
      </c>
      <c r="TC14" t="s">
        <v>1900</v>
      </c>
      <c r="TD14" t="s">
        <v>1900</v>
      </c>
      <c r="TE14" t="s">
        <v>1900</v>
      </c>
      <c r="TF14" t="s">
        <v>1900</v>
      </c>
      <c r="TG14" t="s">
        <v>1900</v>
      </c>
      <c r="TH14" t="s">
        <v>1900</v>
      </c>
      <c r="TI14" t="s">
        <v>1900</v>
      </c>
      <c r="TJ14" t="s">
        <v>1900</v>
      </c>
      <c r="TK14" t="s">
        <v>1900</v>
      </c>
      <c r="TL14" t="s">
        <v>1900</v>
      </c>
      <c r="TM14" t="s">
        <v>1900</v>
      </c>
      <c r="TN14" t="s">
        <v>1900</v>
      </c>
      <c r="TO14" t="s">
        <v>1900</v>
      </c>
      <c r="TP14" t="s">
        <v>1900</v>
      </c>
      <c r="TQ14" t="s">
        <v>1900</v>
      </c>
      <c r="TR14" t="s">
        <v>1900</v>
      </c>
      <c r="TS14">
        <v>887820.608752289</v>
      </c>
      <c r="TT14">
        <v>1105815.74317652</v>
      </c>
      <c r="TU14">
        <v>1296529.56107267</v>
      </c>
      <c r="TV14">
        <v>1386782.11543879</v>
      </c>
      <c r="TW14">
        <v>1984916.20372296</v>
      </c>
      <c r="TX14" t="s">
        <v>1900</v>
      </c>
      <c r="TY14" t="s">
        <v>1900</v>
      </c>
      <c r="TZ14" t="s">
        <v>1900</v>
      </c>
      <c r="UA14" t="s">
        <v>1900</v>
      </c>
      <c r="UB14" t="s">
        <v>1900</v>
      </c>
      <c r="UC14">
        <v>12967.1700656939</v>
      </c>
      <c r="UD14">
        <v>13089.1839242649</v>
      </c>
      <c r="UE14">
        <v>0</v>
      </c>
      <c r="UF14">
        <v>5062.91591641903</v>
      </c>
      <c r="UG14">
        <v>5408.88191798925</v>
      </c>
      <c r="UH14" t="s">
        <v>1900</v>
      </c>
      <c r="UI14" t="s">
        <v>1900</v>
      </c>
      <c r="UJ14" t="s">
        <v>1900</v>
      </c>
      <c r="UK14" t="s">
        <v>1900</v>
      </c>
      <c r="UL14" t="s">
        <v>1900</v>
      </c>
      <c r="UM14" t="s">
        <v>1900</v>
      </c>
      <c r="UN14" t="s">
        <v>1900</v>
      </c>
      <c r="UO14" t="s">
        <v>1900</v>
      </c>
      <c r="UP14" t="s">
        <v>1900</v>
      </c>
      <c r="UQ14" t="s">
        <v>1900</v>
      </c>
      <c r="UR14" t="s">
        <v>1900</v>
      </c>
      <c r="US14" t="s">
        <v>1900</v>
      </c>
      <c r="UT14" t="s">
        <v>1900</v>
      </c>
      <c r="UU14" t="s">
        <v>1900</v>
      </c>
      <c r="UV14" t="s">
        <v>1900</v>
      </c>
      <c r="UW14" t="s">
        <v>1900</v>
      </c>
      <c r="UX14" t="s">
        <v>1900</v>
      </c>
      <c r="UY14" t="s">
        <v>1900</v>
      </c>
      <c r="UZ14" t="s">
        <v>1900</v>
      </c>
      <c r="VA14" t="s">
        <v>1900</v>
      </c>
      <c r="VB14" t="s">
        <v>1900</v>
      </c>
      <c r="VC14" t="s">
        <v>1900</v>
      </c>
      <c r="VD14" t="s">
        <v>1900</v>
      </c>
      <c r="VE14" t="s">
        <v>1900</v>
      </c>
      <c r="VF14" t="s">
        <v>1900</v>
      </c>
      <c r="VG14" t="s">
        <v>1900</v>
      </c>
      <c r="VH14" t="s">
        <v>1900</v>
      </c>
      <c r="VI14" t="s">
        <v>1900</v>
      </c>
      <c r="VJ14" t="s">
        <v>1900</v>
      </c>
      <c r="VK14" t="s">
        <v>1900</v>
      </c>
      <c r="VL14" t="s">
        <v>1900</v>
      </c>
      <c r="VM14" t="s">
        <v>1900</v>
      </c>
      <c r="VN14" t="s">
        <v>1900</v>
      </c>
      <c r="VO14" t="s">
        <v>1900</v>
      </c>
      <c r="VP14" t="s">
        <v>1900</v>
      </c>
      <c r="VQ14" t="s">
        <v>1900</v>
      </c>
      <c r="VR14" t="s">
        <v>1900</v>
      </c>
      <c r="VS14" t="s">
        <v>1900</v>
      </c>
      <c r="VT14" t="s">
        <v>1900</v>
      </c>
      <c r="VU14" t="s">
        <v>1900</v>
      </c>
      <c r="VV14" t="s">
        <v>1900</v>
      </c>
      <c r="VW14" t="s">
        <v>1900</v>
      </c>
      <c r="VX14" t="s">
        <v>1900</v>
      </c>
      <c r="VY14" t="s">
        <v>1900</v>
      </c>
      <c r="VZ14" t="s">
        <v>1900</v>
      </c>
      <c r="WA14">
        <v>181851.739112122</v>
      </c>
      <c r="WB14">
        <v>237595.724825042</v>
      </c>
      <c r="WC14">
        <v>290756.620398462</v>
      </c>
      <c r="WD14">
        <v>281414.10639689</v>
      </c>
      <c r="WE14">
        <v>204609.617206341</v>
      </c>
      <c r="WF14" t="s">
        <v>1900</v>
      </c>
      <c r="WG14" t="s">
        <v>1900</v>
      </c>
      <c r="WH14" t="s">
        <v>1900</v>
      </c>
      <c r="WI14" t="s">
        <v>1900</v>
      </c>
      <c r="WJ14" t="s">
        <v>1900</v>
      </c>
      <c r="WK14" t="s">
        <v>1900</v>
      </c>
      <c r="WL14" t="s">
        <v>1900</v>
      </c>
      <c r="WM14" t="s">
        <v>1900</v>
      </c>
      <c r="WN14" t="s">
        <v>1900</v>
      </c>
      <c r="WO14" t="s">
        <v>1900</v>
      </c>
      <c r="WP14" t="s">
        <v>1900</v>
      </c>
      <c r="WQ14" t="s">
        <v>1900</v>
      </c>
      <c r="WR14" t="s">
        <v>1900</v>
      </c>
      <c r="WS14" t="s">
        <v>1900</v>
      </c>
      <c r="WT14" t="s">
        <v>1900</v>
      </c>
      <c r="WU14" t="s">
        <v>1900</v>
      </c>
      <c r="WV14" t="s">
        <v>1900</v>
      </c>
      <c r="WW14" t="s">
        <v>1900</v>
      </c>
      <c r="WX14" t="s">
        <v>1900</v>
      </c>
      <c r="WY14" t="s">
        <v>1900</v>
      </c>
      <c r="WZ14" t="s">
        <v>1900</v>
      </c>
      <c r="XA14" t="s">
        <v>1900</v>
      </c>
      <c r="XB14" t="s">
        <v>1900</v>
      </c>
      <c r="XC14" t="s">
        <v>1900</v>
      </c>
      <c r="XD14" t="s">
        <v>1900</v>
      </c>
      <c r="XE14" t="s">
        <v>1900</v>
      </c>
      <c r="XF14" t="s">
        <v>1900</v>
      </c>
      <c r="XG14" t="s">
        <v>1900</v>
      </c>
      <c r="XH14" t="s">
        <v>1900</v>
      </c>
      <c r="XI14" t="s">
        <v>1900</v>
      </c>
      <c r="XJ14">
        <v>1608.33076826453</v>
      </c>
      <c r="XK14">
        <v>257.443015537262</v>
      </c>
      <c r="XL14" t="s">
        <v>1900</v>
      </c>
      <c r="XM14">
        <v>1852.53769290447</v>
      </c>
      <c r="XN14">
        <v>125.421819394827</v>
      </c>
      <c r="XO14" t="s">
        <v>1900</v>
      </c>
      <c r="XP14" t="s">
        <v>1900</v>
      </c>
      <c r="XQ14" t="s">
        <v>1900</v>
      </c>
      <c r="XR14" t="s">
        <v>1900</v>
      </c>
      <c r="XS14" t="s">
        <v>1900</v>
      </c>
      <c r="XT14" t="s">
        <v>1900</v>
      </c>
      <c r="XU14" t="s">
        <v>1900</v>
      </c>
      <c r="XV14" t="s">
        <v>1900</v>
      </c>
      <c r="XW14" t="s">
        <v>1900</v>
      </c>
      <c r="XX14" t="s">
        <v>1900</v>
      </c>
      <c r="XY14" t="s">
        <v>1900</v>
      </c>
      <c r="XZ14" t="s">
        <v>1900</v>
      </c>
      <c r="YA14" t="s">
        <v>1900</v>
      </c>
      <c r="YB14" t="s">
        <v>1900</v>
      </c>
      <c r="YC14" t="s">
        <v>1900</v>
      </c>
      <c r="YD14" t="s">
        <v>1900</v>
      </c>
      <c r="YE14" t="s">
        <v>1900</v>
      </c>
      <c r="YF14" t="s">
        <v>1900</v>
      </c>
      <c r="YG14" t="s">
        <v>1900</v>
      </c>
      <c r="YH14" t="s">
        <v>1900</v>
      </c>
      <c r="YI14" t="s">
        <v>1900</v>
      </c>
      <c r="YJ14" t="s">
        <v>1900</v>
      </c>
      <c r="YK14" t="s">
        <v>1900</v>
      </c>
      <c r="YL14" t="s">
        <v>1900</v>
      </c>
      <c r="YM14" t="s">
        <v>1900</v>
      </c>
      <c r="YN14" t="s">
        <v>1900</v>
      </c>
      <c r="YO14" t="s">
        <v>1900</v>
      </c>
      <c r="YP14" t="s">
        <v>1900</v>
      </c>
      <c r="YQ14" t="s">
        <v>1900</v>
      </c>
      <c r="YR14" t="s">
        <v>1900</v>
      </c>
      <c r="YS14" t="s">
        <v>1900</v>
      </c>
      <c r="YT14" t="s">
        <v>1900</v>
      </c>
      <c r="YU14" t="s">
        <v>1900</v>
      </c>
      <c r="YV14" t="s">
        <v>1900</v>
      </c>
      <c r="YW14" t="s">
        <v>1900</v>
      </c>
      <c r="YX14" t="s">
        <v>1900</v>
      </c>
      <c r="YY14" t="s">
        <v>1900</v>
      </c>
      <c r="YZ14" t="s">
        <v>1900</v>
      </c>
      <c r="ZA14" t="s">
        <v>1900</v>
      </c>
      <c r="ZB14" t="s">
        <v>1900</v>
      </c>
      <c r="ZC14" t="s">
        <v>1900</v>
      </c>
      <c r="ZD14" t="s">
        <v>1900</v>
      </c>
      <c r="ZE14" t="s">
        <v>1900</v>
      </c>
      <c r="ZF14" t="s">
        <v>1900</v>
      </c>
      <c r="ZG14" t="s">
        <v>1900</v>
      </c>
      <c r="ZH14" t="s">
        <v>1900</v>
      </c>
      <c r="ZI14" t="s">
        <v>1900</v>
      </c>
      <c r="ZJ14" t="s">
        <v>1900</v>
      </c>
      <c r="ZK14" t="s">
        <v>1900</v>
      </c>
      <c r="ZL14" t="s">
        <v>1900</v>
      </c>
      <c r="ZM14" t="s">
        <v>1900</v>
      </c>
      <c r="ZN14" t="s">
        <v>1900</v>
      </c>
      <c r="ZO14" t="s">
        <v>1900</v>
      </c>
      <c r="ZP14" t="s">
        <v>1900</v>
      </c>
      <c r="ZQ14" t="s">
        <v>1900</v>
      </c>
      <c r="ZR14" t="s">
        <v>1900</v>
      </c>
      <c r="ZS14" t="s">
        <v>1900</v>
      </c>
      <c r="ZT14" t="s">
        <v>1900</v>
      </c>
      <c r="ZU14" t="s">
        <v>1900</v>
      </c>
      <c r="ZV14" t="s">
        <v>1900</v>
      </c>
      <c r="ZW14" t="s">
        <v>1900</v>
      </c>
      <c r="ZX14" t="s">
        <v>1900</v>
      </c>
      <c r="ZY14" t="s">
        <v>1900</v>
      </c>
      <c r="ZZ14" t="s">
        <v>1900</v>
      </c>
      <c r="AAA14" t="s">
        <v>1900</v>
      </c>
      <c r="AAB14" t="s">
        <v>1900</v>
      </c>
      <c r="AAC14" t="s">
        <v>1900</v>
      </c>
      <c r="AAD14" t="s">
        <v>1900</v>
      </c>
      <c r="AAE14" t="s">
        <v>1900</v>
      </c>
      <c r="AAF14" t="s">
        <v>1900</v>
      </c>
      <c r="AAG14" t="s">
        <v>1900</v>
      </c>
      <c r="AAH14" t="s">
        <v>1900</v>
      </c>
      <c r="AAI14" t="s">
        <v>1900</v>
      </c>
      <c r="AAJ14" t="s">
        <v>1900</v>
      </c>
      <c r="AAK14" t="s">
        <v>1900</v>
      </c>
      <c r="AAL14" t="s">
        <v>1900</v>
      </c>
      <c r="AAM14" t="s">
        <v>1900</v>
      </c>
      <c r="AAN14" t="s">
        <v>1900</v>
      </c>
      <c r="AAO14" t="s">
        <v>1900</v>
      </c>
      <c r="AAP14" t="s">
        <v>1900</v>
      </c>
      <c r="AAQ14" t="s">
        <v>1900</v>
      </c>
      <c r="AAR14" t="s">
        <v>1900</v>
      </c>
      <c r="AAS14" t="s">
        <v>1900</v>
      </c>
      <c r="AAT14" t="s">
        <v>1900</v>
      </c>
      <c r="AAU14" t="s">
        <v>1900</v>
      </c>
      <c r="AAV14" t="s">
        <v>1900</v>
      </c>
      <c r="AAW14" t="s">
        <v>1900</v>
      </c>
      <c r="AAX14" t="s">
        <v>1900</v>
      </c>
      <c r="AAY14" t="s">
        <v>1900</v>
      </c>
      <c r="AAZ14" t="s">
        <v>1900</v>
      </c>
      <c r="ABA14" t="s">
        <v>1900</v>
      </c>
      <c r="ABB14" t="s">
        <v>1900</v>
      </c>
      <c r="ABC14" t="s">
        <v>1900</v>
      </c>
      <c r="ABD14" t="s">
        <v>1900</v>
      </c>
      <c r="ABE14" t="s">
        <v>1900</v>
      </c>
      <c r="ABF14" t="s">
        <v>1900</v>
      </c>
      <c r="ABG14" t="s">
        <v>1900</v>
      </c>
      <c r="ABH14" t="s">
        <v>1900</v>
      </c>
      <c r="ABI14" t="s">
        <v>1900</v>
      </c>
      <c r="ABJ14" t="s">
        <v>1900</v>
      </c>
      <c r="ABK14" t="s">
        <v>1900</v>
      </c>
      <c r="ABL14" t="s">
        <v>1900</v>
      </c>
      <c r="ABM14" t="s">
        <v>1900</v>
      </c>
      <c r="ABN14" t="s">
        <v>1900</v>
      </c>
      <c r="ABO14" t="s">
        <v>1900</v>
      </c>
      <c r="ABP14" t="s">
        <v>1900</v>
      </c>
      <c r="ABQ14" t="s">
        <v>1900</v>
      </c>
      <c r="ABR14" t="s">
        <v>1900</v>
      </c>
      <c r="ABS14" t="s">
        <v>1900</v>
      </c>
      <c r="ABT14" t="s">
        <v>1900</v>
      </c>
      <c r="ABU14" t="s">
        <v>1900</v>
      </c>
      <c r="ABV14" t="s">
        <v>1900</v>
      </c>
      <c r="ABW14" t="s">
        <v>1900</v>
      </c>
      <c r="ABX14" t="s">
        <v>1900</v>
      </c>
      <c r="ABY14" t="s">
        <v>1900</v>
      </c>
      <c r="ABZ14" t="s">
        <v>1900</v>
      </c>
      <c r="ACA14" t="s">
        <v>1900</v>
      </c>
      <c r="ACB14" t="s">
        <v>1900</v>
      </c>
      <c r="ACC14" t="s">
        <v>1900</v>
      </c>
      <c r="ACD14" t="s">
        <v>1900</v>
      </c>
      <c r="ACE14">
        <v>5.819</v>
      </c>
      <c r="ACF14">
        <v>22.345</v>
      </c>
      <c r="ACG14">
        <v>16.271</v>
      </c>
      <c r="ACH14">
        <v>8.510999999999999</v>
      </c>
      <c r="ACI14">
        <v>-1.248</v>
      </c>
      <c r="ACJ14">
        <v>6.07</v>
      </c>
      <c r="ACK14">
        <v>21.667</v>
      </c>
      <c r="ACL14">
        <v>16.372</v>
      </c>
      <c r="ACM14">
        <v>8.58</v>
      </c>
      <c r="ACN14">
        <v>-1.136</v>
      </c>
      <c r="ACO14">
        <v>4.38</v>
      </c>
      <c r="ACP14">
        <v>16.497</v>
      </c>
      <c r="ACQ14">
        <v>12.622</v>
      </c>
      <c r="ACR14">
        <v>6.742</v>
      </c>
      <c r="ACS14">
        <v>-1.113</v>
      </c>
      <c r="ACT14">
        <v>4.37</v>
      </c>
      <c r="ACU14">
        <v>16.75</v>
      </c>
      <c r="ACV14">
        <v>12.194</v>
      </c>
      <c r="ACW14">
        <v>6.379</v>
      </c>
      <c r="ACX14">
        <v>-0.9320000000000001</v>
      </c>
      <c r="ACY14">
        <v>4.672</v>
      </c>
      <c r="ACZ14">
        <v>16.325</v>
      </c>
      <c r="ADA14">
        <v>12.296</v>
      </c>
      <c r="ADB14">
        <v>6.451</v>
      </c>
      <c r="ADC14">
        <v>-0.821</v>
      </c>
      <c r="ADD14">
        <v>3.289</v>
      </c>
      <c r="ADE14">
        <v>12.367</v>
      </c>
      <c r="ADF14">
        <v>9.459</v>
      </c>
      <c r="ADG14">
        <v>5.053</v>
      </c>
      <c r="ADH14">
        <v>-0.831</v>
      </c>
      <c r="ADI14">
        <v>2.101</v>
      </c>
      <c r="ADJ14">
        <v>9.913</v>
      </c>
      <c r="ADK14">
        <v>10.667</v>
      </c>
      <c r="ADL14">
        <v>6.255</v>
      </c>
      <c r="ADM14">
        <v>-1.353</v>
      </c>
      <c r="ADN14">
        <v>100</v>
      </c>
      <c r="ADO14">
        <v>100</v>
      </c>
      <c r="ADP14">
        <v>100</v>
      </c>
      <c r="ADQ14">
        <v>100</v>
      </c>
      <c r="ADR14">
        <v>99.95099999999999</v>
      </c>
      <c r="ADS14">
        <v>1.675675781</v>
      </c>
      <c r="ADT14">
        <v>9.274529723000001</v>
      </c>
      <c r="ADU14">
        <v>12.432868923</v>
      </c>
      <c r="ADV14">
        <v>5.926156348</v>
      </c>
      <c r="ADW14">
        <v>-1.454722891</v>
      </c>
      <c r="ADX14">
        <v>4.774</v>
      </c>
      <c r="ADY14">
        <v>11.399</v>
      </c>
      <c r="ADZ14">
        <v>13.787</v>
      </c>
      <c r="AEA14">
        <v>7.781</v>
      </c>
      <c r="AEB14">
        <v>0.078</v>
      </c>
      <c r="AEC14">
        <v>1.676</v>
      </c>
      <c r="AED14">
        <v>9.275</v>
      </c>
      <c r="AEE14">
        <v>12.433</v>
      </c>
      <c r="AEF14">
        <v>5.926</v>
      </c>
      <c r="AEG14">
        <v>-1.455</v>
      </c>
      <c r="AEH14">
        <v>4.676</v>
      </c>
      <c r="AEI14">
        <v>9.555999999999999</v>
      </c>
      <c r="AEJ14">
        <v>9.349</v>
      </c>
      <c r="AEK14">
        <v>6.544</v>
      </c>
      <c r="AEL14">
        <v>0.523</v>
      </c>
      <c r="AEM14">
        <v>1.704233204</v>
      </c>
      <c r="AEN14">
        <v>10.22263064</v>
      </c>
      <c r="AEO14">
        <v>14.198100098</v>
      </c>
      <c r="AEP14">
        <v>6.299472965</v>
      </c>
      <c r="AEQ14">
        <v>-1.433864141</v>
      </c>
      <c r="AER14" t="s">
        <v>1900</v>
      </c>
      <c r="AES14" t="s">
        <v>1900</v>
      </c>
      <c r="AET14" t="s">
        <v>1900</v>
      </c>
      <c r="AEU14" t="s">
        <v>1900</v>
      </c>
      <c r="AEV14">
        <v>0.985654452</v>
      </c>
      <c r="AEW14" t="s">
        <v>1900</v>
      </c>
      <c r="AEX14" t="s">
        <v>1900</v>
      </c>
      <c r="AEY14" t="s">
        <v>1900</v>
      </c>
      <c r="AEZ14" t="s">
        <v>1900</v>
      </c>
      <c r="AFA14" t="s">
        <v>1900</v>
      </c>
      <c r="AFB14" t="s">
        <v>1900</v>
      </c>
      <c r="AFC14" t="s">
        <v>1900</v>
      </c>
      <c r="AFD14" t="s">
        <v>1900</v>
      </c>
      <c r="AFE14" t="s">
        <v>1900</v>
      </c>
      <c r="AFF14" t="s">
        <v>1900</v>
      </c>
      <c r="AFG14">
        <v>2.67</v>
      </c>
      <c r="AFH14">
        <v>2.152</v>
      </c>
      <c r="AFI14">
        <v>1.525</v>
      </c>
      <c r="AFJ14">
        <v>1.358</v>
      </c>
      <c r="AFK14">
        <v>0.92</v>
      </c>
      <c r="AFL14">
        <v>9.753</v>
      </c>
      <c r="AFM14">
        <v>59.932</v>
      </c>
      <c r="AFN14">
        <v>186.985</v>
      </c>
      <c r="AFO14">
        <v>96.931</v>
      </c>
      <c r="AFP14">
        <v>-12.362</v>
      </c>
      <c r="AFQ14" t="s">
        <v>1901</v>
      </c>
      <c r="AFR14" t="s">
        <v>1901</v>
      </c>
      <c r="AFS14" t="s">
        <v>1901</v>
      </c>
      <c r="AFT14" t="s">
        <v>1901</v>
      </c>
      <c r="AFU14" t="s">
        <v>1901</v>
      </c>
      <c r="AFV14">
        <v>21.674</v>
      </c>
      <c r="AFW14">
        <v>58.246</v>
      </c>
      <c r="AFX14">
        <v>66.962</v>
      </c>
      <c r="AFY14">
        <v>55.591</v>
      </c>
      <c r="AFZ14">
        <v>81.709</v>
      </c>
      <c r="AGA14">
        <v>0</v>
      </c>
      <c r="AGB14" t="s">
        <v>1900</v>
      </c>
      <c r="AGC14">
        <v>0</v>
      </c>
      <c r="AGD14">
        <v>0</v>
      </c>
      <c r="AGE14">
        <v>0</v>
      </c>
      <c r="AGF14" t="s">
        <v>1900</v>
      </c>
      <c r="AGG14" t="s">
        <v>1900</v>
      </c>
      <c r="AGH14" t="s">
        <v>1900</v>
      </c>
      <c r="AGI14" t="s">
        <v>1900</v>
      </c>
      <c r="AGJ14" t="s">
        <v>1900</v>
      </c>
      <c r="AGK14" t="s">
        <v>1900</v>
      </c>
      <c r="AGL14" t="s">
        <v>1900</v>
      </c>
      <c r="AGM14" t="s">
        <v>1900</v>
      </c>
      <c r="AGN14" t="s">
        <v>1900</v>
      </c>
      <c r="AGO14" t="s">
        <v>1900</v>
      </c>
      <c r="AGP14" t="s">
        <v>1900</v>
      </c>
      <c r="AGQ14" t="s">
        <v>1900</v>
      </c>
      <c r="AGR14" t="s">
        <v>1900</v>
      </c>
      <c r="AGS14" t="s">
        <v>1900</v>
      </c>
      <c r="AGT14" t="s">
        <v>1900</v>
      </c>
      <c r="AGU14">
        <v>0</v>
      </c>
      <c r="AGV14">
        <v>0</v>
      </c>
      <c r="AGW14">
        <v>0</v>
      </c>
      <c r="AGX14">
        <v>0</v>
      </c>
      <c r="AGY14">
        <v>0</v>
      </c>
      <c r="AGZ14">
        <v>3.55</v>
      </c>
      <c r="AHA14">
        <v>3.391</v>
      </c>
      <c r="AHB14">
        <v>4.176</v>
      </c>
      <c r="AHC14">
        <v>4.481</v>
      </c>
      <c r="AHD14">
        <v>8.768000000000001</v>
      </c>
      <c r="AHE14">
        <v>3.55</v>
      </c>
      <c r="AHF14">
        <v>3.391</v>
      </c>
      <c r="AHG14">
        <v>4.176</v>
      </c>
      <c r="AHH14">
        <v>4.481</v>
      </c>
      <c r="AHI14">
        <v>8.768000000000001</v>
      </c>
      <c r="AHJ14">
        <v>26.959</v>
      </c>
      <c r="AHK14">
        <v>21.095</v>
      </c>
      <c r="AHL14" t="s">
        <v>1901</v>
      </c>
      <c r="AHM14">
        <v>592.9450000000001</v>
      </c>
      <c r="AHN14">
        <v>315.338</v>
      </c>
      <c r="AHO14">
        <v>75.265</v>
      </c>
      <c r="AHP14">
        <v>73.83</v>
      </c>
      <c r="AHQ14">
        <v>77.574</v>
      </c>
      <c r="AHR14">
        <v>79.209</v>
      </c>
      <c r="AHS14">
        <v>89.137</v>
      </c>
      <c r="AHT14" t="s">
        <v>1901</v>
      </c>
      <c r="AHU14" t="s">
        <v>1901</v>
      </c>
      <c r="AHV14" t="s">
        <v>1901</v>
      </c>
      <c r="AHW14" t="s">
        <v>1901</v>
      </c>
      <c r="AHX14" t="s">
        <v>1901</v>
      </c>
      <c r="AHY14">
        <v>5.65</v>
      </c>
      <c r="AHZ14">
        <v>6.344</v>
      </c>
      <c r="AIA14">
        <v>0</v>
      </c>
      <c r="AIB14">
        <v>0.63</v>
      </c>
      <c r="AIC14">
        <v>0.623</v>
      </c>
      <c r="AID14">
        <v>0.100458949</v>
      </c>
      <c r="AIE14">
        <v>0.084782449</v>
      </c>
      <c r="AIF14">
        <v>0.263684694</v>
      </c>
      <c r="AIG14">
        <v>0.066980925</v>
      </c>
      <c r="AIH14">
        <v>0.344520972</v>
      </c>
      <c r="AII14">
        <v>65.356710831</v>
      </c>
      <c r="AIJ14">
        <v>49.945964866</v>
      </c>
      <c r="AIK14">
        <v>71.650606395</v>
      </c>
      <c r="AIL14">
        <v>75.929474778</v>
      </c>
      <c r="AIM14">
        <v>74.096463016</v>
      </c>
      <c r="AIN14">
        <v>20.482937355</v>
      </c>
      <c r="AIO14">
        <v>21.486013949</v>
      </c>
      <c r="AIP14">
        <v>22.42576098</v>
      </c>
      <c r="AIQ14">
        <v>20.292597032</v>
      </c>
      <c r="AIR14">
        <v>10.308224439</v>
      </c>
      <c r="AIS14" t="s">
        <v>1900</v>
      </c>
      <c r="AIT14" t="s">
        <v>1900</v>
      </c>
      <c r="AIU14" t="s">
        <v>1900</v>
      </c>
      <c r="AIV14" t="s">
        <v>1900</v>
      </c>
      <c r="AIW14">
        <v>0</v>
      </c>
      <c r="AIX14">
        <v>1.05093311428344</v>
      </c>
      <c r="AIY14">
        <v>5.36563378303051</v>
      </c>
      <c r="AIZ14">
        <v>4.95894633375704</v>
      </c>
      <c r="AJA14">
        <v>2.83302864647627</v>
      </c>
      <c r="AJB14">
        <v>-0.669320085775256</v>
      </c>
      <c r="AJC14">
        <v>50.0170776613148</v>
      </c>
      <c r="AJD14">
        <v>54.1253177207775</v>
      </c>
      <c r="AJE14">
        <v>46.4892607332104</v>
      </c>
      <c r="AJF14">
        <v>45.2904867857122</v>
      </c>
      <c r="AJG14">
        <v>49.4821632457006</v>
      </c>
      <c r="AJH14">
        <v>67.01300000000001</v>
      </c>
      <c r="AJI14">
        <v>63.663</v>
      </c>
      <c r="AJJ14">
        <v>65.495</v>
      </c>
      <c r="AJK14">
        <v>70.119</v>
      </c>
      <c r="AJL14">
        <v>74.629</v>
      </c>
      <c r="AJM14">
        <v>33.5177551243101</v>
      </c>
      <c r="AJN14">
        <v>34.4579708143139</v>
      </c>
      <c r="AJO14">
        <v>30.4480993319672</v>
      </c>
      <c r="AJP14">
        <v>31.7570389162159</v>
      </c>
      <c r="AJQ14">
        <v>36.9282551453125</v>
      </c>
      <c r="AJR14">
        <v>18.0598670430864</v>
      </c>
      <c r="AJS14">
        <v>24.0125922915564</v>
      </c>
      <c r="AJT14">
        <v>30.4779683840364</v>
      </c>
      <c r="AJU14">
        <v>33.2864412109995</v>
      </c>
      <c r="AJV14">
        <v>53.614756361742</v>
      </c>
      <c r="AJW14">
        <v>3.01132719786811</v>
      </c>
      <c r="AJX14">
        <v>8.757198545123099</v>
      </c>
      <c r="AJY14">
        <v>8.647214299570321</v>
      </c>
      <c r="AJZ14">
        <v>6.9937910421896</v>
      </c>
      <c r="AKA14">
        <v>11.2308839945221</v>
      </c>
      <c r="AKB14">
        <v>23.9951520652319</v>
      </c>
      <c r="AKC14">
        <v>32.5239923163681</v>
      </c>
      <c r="AKD14">
        <v>39.2887745133173</v>
      </c>
      <c r="AKE14">
        <v>42.0237005364847</v>
      </c>
      <c r="AKF14">
        <v>60.1489754613596</v>
      </c>
      <c r="AKG14" t="s">
        <v>1900</v>
      </c>
      <c r="AKH14" t="s">
        <v>1900</v>
      </c>
      <c r="AKI14" t="s">
        <v>1900</v>
      </c>
      <c r="AKJ14" t="s">
        <v>1900</v>
      </c>
      <c r="AKK14">
        <v>0</v>
      </c>
      <c r="AKL14">
        <v>0</v>
      </c>
      <c r="AKM14">
        <v>0</v>
      </c>
      <c r="AKN14">
        <v>0</v>
      </c>
      <c r="AKO14">
        <v>0</v>
      </c>
      <c r="AKP14">
        <v>0</v>
      </c>
      <c r="AKQ14">
        <v>0</v>
      </c>
      <c r="AKR14">
        <v>0</v>
      </c>
      <c r="AKS14">
        <v>0</v>
      </c>
      <c r="AKT14">
        <v>0</v>
      </c>
      <c r="AKU14">
        <v>0</v>
      </c>
      <c r="AKV14">
        <v>6.3604998</v>
      </c>
      <c r="AKW14">
        <v>8.615686695999999</v>
      </c>
      <c r="AKX14">
        <v>0.075686614</v>
      </c>
      <c r="AKY14">
        <v>0.253908379</v>
      </c>
      <c r="AKZ14">
        <v>0.421770834</v>
      </c>
      <c r="ALA14">
        <v>13.258245661</v>
      </c>
      <c r="ALB14">
        <v>14.337931761</v>
      </c>
      <c r="ALC14">
        <v>0.089557763</v>
      </c>
      <c r="ALD14">
        <v>0.273646395</v>
      </c>
      <c r="ALE14">
        <v>0.346974038</v>
      </c>
      <c r="ALF14">
        <v>4.190450863</v>
      </c>
      <c r="ALG14">
        <v>5.23143339</v>
      </c>
      <c r="ALH14">
        <v>5.059512932</v>
      </c>
      <c r="ALI14">
        <v>6.576192838</v>
      </c>
      <c r="ALJ14">
        <v>7.950140572</v>
      </c>
      <c r="ALK14">
        <v>8.734852405</v>
      </c>
      <c r="ALL14">
        <v>8.705972907</v>
      </c>
      <c r="ALM14">
        <v>5.98677404</v>
      </c>
      <c r="ALN14">
        <v>7.087404795</v>
      </c>
      <c r="ALO14">
        <v>6.540263468</v>
      </c>
      <c r="ALP14">
        <v>6.020598116</v>
      </c>
      <c r="ALQ14">
        <v>16.179485756</v>
      </c>
      <c r="ALR14">
        <v>18.600456165</v>
      </c>
      <c r="ALS14">
        <v>15.442076071</v>
      </c>
      <c r="ALT14">
        <v>22.696832414</v>
      </c>
      <c r="ALU14">
        <v>0</v>
      </c>
      <c r="ALV14" t="s">
        <v>1900</v>
      </c>
      <c r="ALW14">
        <v>0</v>
      </c>
      <c r="ALX14">
        <v>0</v>
      </c>
      <c r="ALY14">
        <v>0</v>
      </c>
      <c r="ALZ14">
        <v>100</v>
      </c>
      <c r="AMA14">
        <v>100</v>
      </c>
      <c r="AMB14">
        <v>100</v>
      </c>
      <c r="AMC14">
        <v>100</v>
      </c>
      <c r="AMD14">
        <v>99.9511538372922</v>
      </c>
      <c r="AME14" t="s">
        <v>1901</v>
      </c>
      <c r="AMF14" t="s">
        <v>1901</v>
      </c>
      <c r="AMG14" t="s">
        <v>1901</v>
      </c>
      <c r="AMH14" t="s">
        <v>1901</v>
      </c>
      <c r="AMI14" t="s">
        <v>1901</v>
      </c>
      <c r="AMJ14" t="s">
        <v>1900</v>
      </c>
      <c r="AMK14" t="s">
        <v>1900</v>
      </c>
      <c r="AML14" t="s">
        <v>1900</v>
      </c>
      <c r="AMM14" t="s">
        <v>1900</v>
      </c>
      <c r="AMN14">
        <v>204624.372307692</v>
      </c>
      <c r="AMO14">
        <v>1.0170423326209</v>
      </c>
      <c r="AMP14">
        <v>1.10222630640077</v>
      </c>
      <c r="AMQ14">
        <v>1.14198100097619</v>
      </c>
      <c r="AMR14">
        <v>1.06299472965292</v>
      </c>
      <c r="AMS14">
        <v>0.985654451812188</v>
      </c>
      <c r="AMT14">
        <v>1.01704233204996</v>
      </c>
      <c r="AMU14">
        <v>1.10222630640077</v>
      </c>
      <c r="AMV14">
        <v>1.14198100097619</v>
      </c>
      <c r="AMW14">
        <v>1.06299472965292</v>
      </c>
      <c r="AMX14">
        <v>0.985654451812188</v>
      </c>
      <c r="AMY14" t="s">
        <v>1900</v>
      </c>
      <c r="AMZ14" t="s">
        <v>1900</v>
      </c>
      <c r="ANA14" t="s">
        <v>1900</v>
      </c>
      <c r="ANB14" t="s">
        <v>1900</v>
      </c>
      <c r="ANC14">
        <v>0.985654451812188</v>
      </c>
      <c r="AND14">
        <v>1.67567578097153</v>
      </c>
      <c r="ANE14">
        <v>9.27452972290047</v>
      </c>
      <c r="ANF14">
        <v>12.4328689229353</v>
      </c>
      <c r="ANG14">
        <v>5.92615634825282</v>
      </c>
      <c r="ANH14">
        <v>-1.45472289113493</v>
      </c>
      <c r="ANI14">
        <v>1.67758767902018</v>
      </c>
      <c r="ANJ14">
        <v>9.28991179807935</v>
      </c>
      <c r="ANK14">
        <v>12.4412578830893</v>
      </c>
      <c r="ANL14">
        <v>5.93984502791135</v>
      </c>
      <c r="ANM14">
        <v>-1.4613117654978</v>
      </c>
      <c r="ANN14">
        <v>1.70423320402261</v>
      </c>
      <c r="ANO14">
        <v>10.2226306400767</v>
      </c>
      <c r="ANP14">
        <v>14.1981000976194</v>
      </c>
      <c r="ANQ14">
        <v>6.29947296529193</v>
      </c>
      <c r="ANR14">
        <v>-1.43386414124448</v>
      </c>
      <c r="ANS14">
        <v>4.47482167925271</v>
      </c>
      <c r="ANT14">
        <v>19.9589969272893</v>
      </c>
      <c r="ANU14">
        <v>18.9643511184728</v>
      </c>
      <c r="ANV14">
        <v>8.04972256001524</v>
      </c>
      <c r="ANW14">
        <v>-1.33834955269549</v>
      </c>
      <c r="ANX14" t="s">
        <v>1900</v>
      </c>
      <c r="ANY14" t="s">
        <v>1900</v>
      </c>
      <c r="ANZ14" t="s">
        <v>1900</v>
      </c>
      <c r="AOA14" t="s">
        <v>1900</v>
      </c>
      <c r="AOB14">
        <v>99.9511538372922</v>
      </c>
      <c r="AOC14">
        <v>101.704233204023</v>
      </c>
      <c r="AOD14">
        <v>110.222630640077</v>
      </c>
      <c r="AOE14">
        <v>114.198100097619</v>
      </c>
      <c r="AOF14">
        <v>106.299472965292</v>
      </c>
      <c r="AOG14">
        <v>98.5179900836591</v>
      </c>
      <c r="AOH14" t="s">
        <v>1901</v>
      </c>
      <c r="AOI14" t="s">
        <v>1901</v>
      </c>
      <c r="AOJ14" t="s">
        <v>1901</v>
      </c>
      <c r="AOK14" t="s">
        <v>1901</v>
      </c>
      <c r="AOL14">
        <v>82.2258265776089</v>
      </c>
      <c r="AOM14" t="s">
        <v>1900</v>
      </c>
      <c r="AON14" t="s">
        <v>1900</v>
      </c>
      <c r="AOO14" t="s">
        <v>1900</v>
      </c>
      <c r="AOP14" t="s">
        <v>1900</v>
      </c>
      <c r="AOQ14">
        <v>-2978.17230769231</v>
      </c>
      <c r="AOR14">
        <v>1.70423320499563</v>
      </c>
      <c r="AOS14">
        <v>10.2226306400767</v>
      </c>
      <c r="AOT14">
        <v>14.1981000976194</v>
      </c>
      <c r="AOU14">
        <v>6.29947296529193</v>
      </c>
      <c r="AOV14">
        <v>-1.43455481878116</v>
      </c>
      <c r="AOW14">
        <v>3.49288921483017</v>
      </c>
      <c r="AOX14">
        <v>15.4343558409477</v>
      </c>
      <c r="AOY14">
        <v>14.7114510652762</v>
      </c>
      <c r="AOZ14">
        <v>6.38683657109998</v>
      </c>
      <c r="APA14">
        <v>-1.19674248443053</v>
      </c>
      <c r="APB14">
        <v>1.57782633389587</v>
      </c>
      <c r="APC14">
        <v>7.43127663882184</v>
      </c>
      <c r="APD14">
        <v>7.99435901678288</v>
      </c>
      <c r="APE14">
        <v>4.68819122909058</v>
      </c>
      <c r="APF14">
        <v>-1.00969677489528</v>
      </c>
      <c r="APG14">
        <v>1.57962658852935</v>
      </c>
      <c r="APH14">
        <v>7.44360162557035</v>
      </c>
      <c r="API14">
        <v>7.99975313455767</v>
      </c>
      <c r="APJ14">
        <v>4.69902036422331</v>
      </c>
      <c r="APK14">
        <v>-1.01426999309025</v>
      </c>
      <c r="APL14" t="s">
        <v>1900</v>
      </c>
      <c r="APM14" t="s">
        <v>1900</v>
      </c>
      <c r="APN14" t="s">
        <v>1900</v>
      </c>
      <c r="APO14" t="s">
        <v>1900</v>
      </c>
      <c r="APP14">
        <v>-2067.09538461538</v>
      </c>
      <c r="APQ14">
        <v>1.60471617509614</v>
      </c>
      <c r="APR14">
        <v>8.1909486014509</v>
      </c>
      <c r="APS14">
        <v>9.12940611214878</v>
      </c>
      <c r="APT14">
        <v>4.98352256812832</v>
      </c>
      <c r="APU14">
        <v>-0.995698481656376</v>
      </c>
      <c r="APV14">
        <v>1.60471617417994</v>
      </c>
      <c r="APW14">
        <v>8.1909486014509</v>
      </c>
      <c r="APX14">
        <v>9.12940611214878</v>
      </c>
      <c r="APY14">
        <v>4.98352256812832</v>
      </c>
      <c r="APZ14">
        <v>-0.995219094904759</v>
      </c>
      <c r="AQA14">
        <v>3.28892536797581</v>
      </c>
      <c r="AQB14">
        <v>12.3668769655124</v>
      </c>
      <c r="AQC14">
        <v>9.45949178766735</v>
      </c>
      <c r="AQD14">
        <v>5.05263604850617</v>
      </c>
      <c r="AQE14">
        <v>-0.830637253509468</v>
      </c>
      <c r="AQF14" t="s">
        <v>1900</v>
      </c>
      <c r="AQG14" t="s">
        <v>1900</v>
      </c>
      <c r="AQH14" t="s">
        <v>1900</v>
      </c>
      <c r="AQI14" t="s">
        <v>1900</v>
      </c>
      <c r="AQJ14">
        <v>-0.0143455481878116</v>
      </c>
      <c r="AQK14">
        <v>8</v>
      </c>
      <c r="AQO14" t="s">
        <v>1903</v>
      </c>
      <c r="AQP14">
        <v>5</v>
      </c>
      <c r="AQQ14">
        <v>0</v>
      </c>
      <c r="AQS14" t="s">
        <v>1905</v>
      </c>
      <c r="AQU14" t="s">
        <v>1906</v>
      </c>
      <c r="AQV14">
        <v>1850631.88489654</v>
      </c>
      <c r="AQW14">
        <v>1840260.82018644</v>
      </c>
      <c r="AQX14">
        <v>1534145.60312935</v>
      </c>
      <c r="AQY14">
        <v>31010.5902901483</v>
      </c>
      <c r="AQZ14">
        <v>170675.536747084</v>
      </c>
      <c r="ARA14">
        <v>190738.311924046</v>
      </c>
      <c r="ARB14">
        <v>5225038.308212331</v>
      </c>
      <c r="ARC14">
        <v>392424.4389612783</v>
      </c>
      <c r="ARD14">
        <v>0.08120335072872176</v>
      </c>
      <c r="ARE14">
        <v>0.08120335072872176</v>
      </c>
      <c r="ARF14">
        <v>0.08120335072872176</v>
      </c>
      <c r="ARG14">
        <v>0.08120335072872176</v>
      </c>
      <c r="ARH14">
        <v>0.08120335072872176</v>
      </c>
      <c r="ARI14">
        <v>0.08120335072872176</v>
      </c>
      <c r="ARJ14" t="s">
        <v>1175</v>
      </c>
      <c r="ARK14" t="s">
        <v>1513</v>
      </c>
      <c r="ARL14" t="s">
        <v>1908</v>
      </c>
      <c r="ARM14" t="s">
        <v>1908</v>
      </c>
      <c r="ARN14" t="s">
        <v>1909</v>
      </c>
      <c r="ARO14" t="s">
        <v>1908</v>
      </c>
      <c r="ARP14" t="s">
        <v>1907</v>
      </c>
      <c r="ARQ14" t="s">
        <v>1920</v>
      </c>
      <c r="ARR14">
        <f>HYPERLINK("C:\Users\Usuario\Documents\Proyectos\llmthon\evidence\asirec_es_233404.png", "Ver Evidencia")</f>
        <v>0</v>
      </c>
      <c r="ARS14">
        <v>95</v>
      </c>
    </row>
    <row r="15" spans="1:1163">
      <c r="A15">
        <v>193</v>
      </c>
      <c r="B15" t="s">
        <v>1176</v>
      </c>
      <c r="C15" t="s">
        <v>1299</v>
      </c>
      <c r="E15" s="2">
        <v>35612</v>
      </c>
      <c r="F15" t="s">
        <v>1431</v>
      </c>
      <c r="G15" t="s">
        <v>1433</v>
      </c>
      <c r="H15" t="s">
        <v>1434</v>
      </c>
      <c r="I15" t="s">
        <v>1441</v>
      </c>
      <c r="J15" t="s">
        <v>1460</v>
      </c>
      <c r="L15" t="s">
        <v>1514</v>
      </c>
      <c r="N15" t="s">
        <v>1633</v>
      </c>
      <c r="O15" t="s">
        <v>1657</v>
      </c>
      <c r="P15">
        <v>6311</v>
      </c>
      <c r="Q15">
        <v>6311</v>
      </c>
      <c r="R15" t="s">
        <v>1685</v>
      </c>
      <c r="S15" t="s">
        <v>1796</v>
      </c>
      <c r="Z15" t="s">
        <v>1899</v>
      </c>
      <c r="AA15" s="2">
        <v>45291</v>
      </c>
      <c r="AB15">
        <v>2023</v>
      </c>
      <c r="AC15" t="s">
        <v>1900</v>
      </c>
      <c r="AD15">
        <v>4467878.06387877</v>
      </c>
      <c r="AE15">
        <v>4546081.62604738</v>
      </c>
      <c r="AF15">
        <v>5146016.83965826</v>
      </c>
      <c r="AG15">
        <v>5049910.2401935</v>
      </c>
      <c r="AH15" t="s">
        <v>1900</v>
      </c>
      <c r="AI15">
        <v>4433763.33936851</v>
      </c>
      <c r="AJ15">
        <v>4518890.23999548</v>
      </c>
      <c r="AK15">
        <v>5114732.6296576</v>
      </c>
      <c r="AL15">
        <v>5030635.57794769</v>
      </c>
      <c r="AM15" t="s">
        <v>1900</v>
      </c>
      <c r="AN15">
        <v>317072.113098068</v>
      </c>
      <c r="AO15">
        <v>270229.817252976</v>
      </c>
      <c r="AP15">
        <v>261138.850666809</v>
      </c>
      <c r="AQ15">
        <v>258154.009240055</v>
      </c>
      <c r="AR15" t="s">
        <v>1900</v>
      </c>
      <c r="AS15">
        <v>4150805.95078071</v>
      </c>
      <c r="AT15">
        <v>4275851.8087944</v>
      </c>
      <c r="AU15">
        <v>4884877.98899145</v>
      </c>
      <c r="AV15">
        <v>4791756.23095344</v>
      </c>
      <c r="AW15" t="s">
        <v>1900</v>
      </c>
      <c r="AX15">
        <v>3612949.69869243</v>
      </c>
      <c r="AY15">
        <v>3350112.88008003</v>
      </c>
      <c r="AZ15">
        <v>3636509.38168088</v>
      </c>
      <c r="BA15">
        <v>3855867.78106101</v>
      </c>
      <c r="BB15" t="s">
        <v>1900</v>
      </c>
      <c r="BC15">
        <v>537856.2509832761</v>
      </c>
      <c r="BD15">
        <v>925738.930847567</v>
      </c>
      <c r="BE15">
        <v>1248368.60617797</v>
      </c>
      <c r="BF15">
        <v>935888.449892431</v>
      </c>
      <c r="BG15" t="s">
        <v>1900</v>
      </c>
      <c r="BH15">
        <v>-83513.4390748053</v>
      </c>
      <c r="BI15">
        <v>-62153.45067752</v>
      </c>
      <c r="BJ15">
        <v>-69396.1423908234</v>
      </c>
      <c r="BK15">
        <v>-65189.4784883618</v>
      </c>
      <c r="BL15" t="s">
        <v>1900</v>
      </c>
      <c r="BM15">
        <v>13077.3272689438</v>
      </c>
      <c r="BN15" t="s">
        <v>1900</v>
      </c>
      <c r="BO15" t="s">
        <v>1900</v>
      </c>
      <c r="BP15">
        <v>17.1303062200546</v>
      </c>
      <c r="BQ15" t="s">
        <v>1900</v>
      </c>
      <c r="BR15">
        <v>96590.7674487495</v>
      </c>
      <c r="BS15">
        <v>62153.45067752</v>
      </c>
      <c r="BT15">
        <v>69396.1423908234</v>
      </c>
      <c r="BU15">
        <v>65206.6087945819</v>
      </c>
      <c r="BV15" t="s">
        <v>1900</v>
      </c>
      <c r="BW15">
        <v>454342.810803471</v>
      </c>
      <c r="BX15">
        <v>863585.480170047</v>
      </c>
      <c r="BY15">
        <v>1178972.46378715</v>
      </c>
      <c r="BZ15">
        <v>870698.97140407</v>
      </c>
      <c r="CA15" t="s">
        <v>1900</v>
      </c>
      <c r="CB15">
        <v>57339.2934331703</v>
      </c>
      <c r="CC15">
        <v>115940.985604906</v>
      </c>
      <c r="CD15">
        <v>59013.7879143476</v>
      </c>
      <c r="CE15">
        <v>64317.9189399481</v>
      </c>
      <c r="CF15" t="s">
        <v>1900</v>
      </c>
      <c r="CG15">
        <v>397003.5173703</v>
      </c>
      <c r="CH15">
        <v>747644.494565141</v>
      </c>
      <c r="CI15">
        <v>1119958.6747402</v>
      </c>
      <c r="CJ15">
        <v>806381.052464121</v>
      </c>
      <c r="CK15" t="s">
        <v>1900</v>
      </c>
      <c r="CL15" t="s">
        <v>1900</v>
      </c>
      <c r="CM15" t="s">
        <v>1900</v>
      </c>
      <c r="CN15" t="s">
        <v>1900</v>
      </c>
      <c r="CO15" t="s">
        <v>1900</v>
      </c>
      <c r="CP15" t="s">
        <v>1900</v>
      </c>
      <c r="CQ15" t="s">
        <v>1900</v>
      </c>
      <c r="CR15" t="s">
        <v>1900</v>
      </c>
      <c r="CS15" t="s">
        <v>1900</v>
      </c>
      <c r="CT15" t="s">
        <v>1900</v>
      </c>
      <c r="CU15" t="s">
        <v>1900</v>
      </c>
      <c r="CV15" t="s">
        <v>1900</v>
      </c>
      <c r="CW15" t="s">
        <v>1900</v>
      </c>
      <c r="CX15" t="s">
        <v>1900</v>
      </c>
      <c r="CY15" t="s">
        <v>1900</v>
      </c>
      <c r="CZ15" t="s">
        <v>1900</v>
      </c>
      <c r="DA15">
        <v>397003.5173703</v>
      </c>
      <c r="DB15">
        <v>747644.494565141</v>
      </c>
      <c r="DC15">
        <v>1119958.6747402</v>
      </c>
      <c r="DD15">
        <v>806381.052464121</v>
      </c>
      <c r="DE15" t="s">
        <v>1900</v>
      </c>
      <c r="DF15" t="s">
        <v>1900</v>
      </c>
      <c r="DG15" t="s">
        <v>1900</v>
      </c>
      <c r="DH15" t="s">
        <v>1900</v>
      </c>
      <c r="DI15" t="s">
        <v>1900</v>
      </c>
      <c r="DJ15" t="s">
        <v>1900</v>
      </c>
      <c r="DK15">
        <v>317072.113098068</v>
      </c>
      <c r="DL15">
        <v>270229.817252976</v>
      </c>
      <c r="DM15">
        <v>261138.850666809</v>
      </c>
      <c r="DN15">
        <v>258154.009240055</v>
      </c>
      <c r="DO15" t="s">
        <v>1900</v>
      </c>
      <c r="DP15">
        <v>3240384.27394465</v>
      </c>
      <c r="DQ15">
        <v>3107579.41974068</v>
      </c>
      <c r="DR15">
        <v>3259080.87485976</v>
      </c>
      <c r="DS15">
        <v>3385330.81186953</v>
      </c>
      <c r="DT15" t="s">
        <v>1900</v>
      </c>
      <c r="DU15">
        <v>320566.721366405</v>
      </c>
      <c r="DV15">
        <v>330981.382893103</v>
      </c>
      <c r="DW15">
        <v>350794.245145369</v>
      </c>
      <c r="DX15">
        <v>162509.275949049</v>
      </c>
      <c r="DY15" t="s">
        <v>1900</v>
      </c>
      <c r="DZ15">
        <v>51998.7033813791</v>
      </c>
      <c r="EA15">
        <v>-88447.92255374791</v>
      </c>
      <c r="EB15">
        <v>26634.2628083467</v>
      </c>
      <c r="EC15">
        <v>308027.693242431</v>
      </c>
      <c r="ED15" t="s">
        <v>1900</v>
      </c>
      <c r="EE15">
        <v>96590.7674487495</v>
      </c>
      <c r="EF15">
        <v>62153.45067752</v>
      </c>
      <c r="EG15">
        <v>69396.1423908234</v>
      </c>
      <c r="EH15">
        <v>65206.6087945819</v>
      </c>
      <c r="EI15" t="s">
        <v>1900</v>
      </c>
      <c r="EJ15" t="s">
        <v>1900</v>
      </c>
      <c r="EK15" t="s">
        <v>1900</v>
      </c>
      <c r="EL15" t="s">
        <v>1900</v>
      </c>
      <c r="EM15" t="s">
        <v>1900</v>
      </c>
      <c r="EN15" t="s">
        <v>1900</v>
      </c>
      <c r="EO15">
        <v>717570.238736706</v>
      </c>
      <c r="EP15">
        <v>1078625.87745824</v>
      </c>
      <c r="EQ15">
        <v>1470752.91988557</v>
      </c>
      <c r="ER15">
        <v>968890.3284131699</v>
      </c>
      <c r="ES15" t="s">
        <v>1900</v>
      </c>
      <c r="ET15">
        <v>4111884.57356327</v>
      </c>
      <c r="EU15">
        <v>4364299.73241475</v>
      </c>
      <c r="EV15">
        <v>4858243.7261831</v>
      </c>
      <c r="EW15">
        <v>4483745.66679013</v>
      </c>
      <c r="EX15" t="s">
        <v>1900</v>
      </c>
      <c r="EY15">
        <v>858422.972349682</v>
      </c>
      <c r="EZ15">
        <v>1256720.31374067</v>
      </c>
      <c r="FA15">
        <v>1599162.85132334</v>
      </c>
      <c r="FB15">
        <v>1098397.72584148</v>
      </c>
      <c r="FC15" t="s">
        <v>1900</v>
      </c>
      <c r="FD15">
        <v>4877748.68217367</v>
      </c>
      <c r="FE15">
        <v>4836540.80597975</v>
      </c>
      <c r="FF15">
        <v>5825400.4970531</v>
      </c>
      <c r="FG15">
        <v>6323003.82281753</v>
      </c>
      <c r="FH15" t="s">
        <v>1900</v>
      </c>
      <c r="FI15">
        <v>323301.166643591</v>
      </c>
      <c r="FJ15">
        <v>187522.471802968</v>
      </c>
      <c r="FK15">
        <v>211177.087559795</v>
      </c>
      <c r="FL15">
        <v>94818.77275255921</v>
      </c>
      <c r="FM15" t="s">
        <v>1900</v>
      </c>
      <c r="FN15">
        <v>4524007.79061911</v>
      </c>
      <c r="FO15">
        <v>4620024.16033784</v>
      </c>
      <c r="FP15">
        <v>5582967.09543822</v>
      </c>
      <c r="FQ15">
        <v>6158948.3894802</v>
      </c>
      <c r="FR15" t="s">
        <v>1900</v>
      </c>
      <c r="FS15">
        <v>30439.7249109745</v>
      </c>
      <c r="FT15">
        <v>28994.1738389432</v>
      </c>
      <c r="FU15">
        <v>31256.3140550852</v>
      </c>
      <c r="FV15">
        <v>69236.6605847657</v>
      </c>
      <c r="FW15" t="s">
        <v>1900</v>
      </c>
      <c r="FX15">
        <v>323301.166643591</v>
      </c>
      <c r="FY15">
        <v>187522.471802968</v>
      </c>
      <c r="FZ15">
        <v>211177.087559795</v>
      </c>
      <c r="GA15">
        <v>94818.77275255921</v>
      </c>
      <c r="GB15" t="s">
        <v>1900</v>
      </c>
      <c r="GC15">
        <v>4524007.79061911</v>
      </c>
      <c r="GD15">
        <v>4620024.16033784</v>
      </c>
      <c r="GE15">
        <v>5582967.09543822</v>
      </c>
      <c r="GF15">
        <v>6158948.3894802</v>
      </c>
      <c r="GG15" t="s">
        <v>1900</v>
      </c>
      <c r="GH15">
        <v>30439.7249109745</v>
      </c>
      <c r="GI15">
        <v>28994.1738389432</v>
      </c>
      <c r="GJ15">
        <v>31256.3140550852</v>
      </c>
      <c r="GK15">
        <v>69236.6605847657</v>
      </c>
      <c r="GL15" t="s">
        <v>1900</v>
      </c>
      <c r="GM15">
        <v>3015583.48135681</v>
      </c>
      <c r="GN15">
        <v>3000418.11582538</v>
      </c>
      <c r="GO15">
        <v>2528489.54871569</v>
      </c>
      <c r="GP15">
        <v>1947749.21886314</v>
      </c>
      <c r="GQ15" t="s">
        <v>1900</v>
      </c>
      <c r="GR15">
        <v>0</v>
      </c>
      <c r="GS15">
        <v>0</v>
      </c>
      <c r="GT15">
        <v>0</v>
      </c>
      <c r="GU15">
        <v>2454.19859886169</v>
      </c>
      <c r="GV15" t="s">
        <v>1900</v>
      </c>
      <c r="GW15">
        <v>1411825.38690989</v>
      </c>
      <c r="GX15">
        <v>1561599.32999138</v>
      </c>
      <c r="GY15">
        <v>1817610.74583893</v>
      </c>
      <c r="GZ15">
        <v>1469893.65765595</v>
      </c>
      <c r="HA15" t="s">
        <v>1900</v>
      </c>
      <c r="HB15">
        <v>1603758.09444693</v>
      </c>
      <c r="HC15">
        <v>1438818.78583401</v>
      </c>
      <c r="HD15">
        <v>710878.802876759</v>
      </c>
      <c r="HE15">
        <v>475401.360154127</v>
      </c>
      <c r="HF15" t="s">
        <v>1900</v>
      </c>
      <c r="HG15">
        <v>1593287.35284779</v>
      </c>
      <c r="HH15">
        <v>1428039.15544195</v>
      </c>
      <c r="HI15">
        <v>692086.098297143</v>
      </c>
      <c r="HJ15">
        <v>456784.057457221</v>
      </c>
      <c r="HK15" t="s">
        <v>1900</v>
      </c>
      <c r="HL15">
        <v>7893332.16353048</v>
      </c>
      <c r="HM15">
        <v>7836958.92180513</v>
      </c>
      <c r="HN15">
        <v>8353890.04576879</v>
      </c>
      <c r="HO15">
        <v>8270753.04168067</v>
      </c>
      <c r="HP15" t="s">
        <v>1900</v>
      </c>
      <c r="HQ15">
        <v>4639488.4288354</v>
      </c>
      <c r="HR15">
        <v>4506058.41032523</v>
      </c>
      <c r="HS15">
        <v>4283568.14041514</v>
      </c>
      <c r="HT15">
        <v>3218194.95434787</v>
      </c>
      <c r="HU15" t="s">
        <v>1900</v>
      </c>
      <c r="HV15">
        <v>134085.544825945</v>
      </c>
      <c r="HW15">
        <v>129425.800281054</v>
      </c>
      <c r="HX15">
        <v>137434.625467086</v>
      </c>
      <c r="HY15">
        <v>148901.542332906</v>
      </c>
      <c r="HZ15" t="s">
        <v>1900</v>
      </c>
      <c r="IA15">
        <v>4505402.88621945</v>
      </c>
      <c r="IB15">
        <v>4376632.60897758</v>
      </c>
      <c r="IC15">
        <v>4146133.51494806</v>
      </c>
      <c r="ID15">
        <v>3069293.41078786</v>
      </c>
      <c r="IE15" t="s">
        <v>1900</v>
      </c>
      <c r="IF15">
        <v>2545565.50921852</v>
      </c>
      <c r="IG15">
        <v>2608110.59014783</v>
      </c>
      <c r="IH15">
        <v>3309708.86744564</v>
      </c>
      <c r="II15">
        <v>3664346.00003963</v>
      </c>
      <c r="IJ15" t="s">
        <v>1900</v>
      </c>
      <c r="IK15">
        <v>2476690.51890827</v>
      </c>
      <c r="IL15">
        <v>2531664.45034377</v>
      </c>
      <c r="IM15">
        <v>3125541.78284619</v>
      </c>
      <c r="IN15">
        <v>3506506.36457762</v>
      </c>
      <c r="IO15" t="s">
        <v>1900</v>
      </c>
      <c r="IP15">
        <v>68874.9903102493</v>
      </c>
      <c r="IQ15">
        <v>76446.1398040593</v>
      </c>
      <c r="IR15">
        <v>184167.083466847</v>
      </c>
      <c r="IS15">
        <v>157839.635462016</v>
      </c>
      <c r="IT15" t="s">
        <v>1900</v>
      </c>
      <c r="IU15" t="s">
        <v>1900</v>
      </c>
      <c r="IV15" t="s">
        <v>1900</v>
      </c>
      <c r="IW15">
        <v>88936.28389134409</v>
      </c>
      <c r="IX15">
        <v>145773.7643866</v>
      </c>
      <c r="IY15" t="s">
        <v>1900</v>
      </c>
      <c r="IZ15">
        <v>708278.223266563</v>
      </c>
      <c r="JA15">
        <v>722789.921332067</v>
      </c>
      <c r="JB15">
        <v>760613.037908006</v>
      </c>
      <c r="JC15">
        <v>1388212.08729317</v>
      </c>
      <c r="JD15" t="s">
        <v>1900</v>
      </c>
      <c r="JE15">
        <v>152343.83267004</v>
      </c>
      <c r="JF15">
        <v>134669.736665076</v>
      </c>
      <c r="JG15">
        <v>145561.576321292</v>
      </c>
      <c r="JH15">
        <v>727529.087188876</v>
      </c>
      <c r="JI15" t="s">
        <v>1900</v>
      </c>
      <c r="JJ15">
        <v>70242.32897389409</v>
      </c>
      <c r="JK15">
        <v>71193.0626624227</v>
      </c>
      <c r="JL15">
        <v>64887.3625008345</v>
      </c>
      <c r="JM15">
        <v>210524.493520451</v>
      </c>
      <c r="JN15" t="s">
        <v>1900</v>
      </c>
      <c r="JO15">
        <v>485692.060517629</v>
      </c>
      <c r="JP15">
        <v>516927.120937969</v>
      </c>
      <c r="JQ15">
        <v>550164.097953279</v>
      </c>
      <c r="JR15">
        <v>450158.506583846</v>
      </c>
      <c r="JS15" t="s">
        <v>1900</v>
      </c>
      <c r="JT15">
        <v>7893332.16353048</v>
      </c>
      <c r="JU15">
        <v>7836958.92180513</v>
      </c>
      <c r="JV15">
        <v>8353890.04576879</v>
      </c>
      <c r="JW15">
        <v>8270753.04168067</v>
      </c>
      <c r="JX15" t="s">
        <v>1900</v>
      </c>
      <c r="JY15">
        <v>1341583.05793599</v>
      </c>
      <c r="JZ15">
        <v>1490406.26732895</v>
      </c>
      <c r="KA15">
        <v>1752723.38220549</v>
      </c>
      <c r="KB15">
        <v>1261823.36150727</v>
      </c>
      <c r="KC15" t="s">
        <v>1900</v>
      </c>
      <c r="KD15" t="s">
        <v>1900</v>
      </c>
      <c r="KE15" t="s">
        <v>1900</v>
      </c>
      <c r="KF15" t="s">
        <v>1900</v>
      </c>
      <c r="KG15" t="s">
        <v>1900</v>
      </c>
      <c r="KH15" t="s">
        <v>1900</v>
      </c>
      <c r="KI15" t="s">
        <v>1900</v>
      </c>
      <c r="KJ15" t="s">
        <v>1900</v>
      </c>
      <c r="KK15" t="s">
        <v>1900</v>
      </c>
      <c r="KL15" t="s">
        <v>1900</v>
      </c>
      <c r="KM15" t="s">
        <v>1900</v>
      </c>
      <c r="KN15">
        <v>78</v>
      </c>
      <c r="KO15">
        <v>82</v>
      </c>
      <c r="KP15">
        <v>89</v>
      </c>
      <c r="KQ15">
        <v>84</v>
      </c>
      <c r="KR15" t="s">
        <v>1900</v>
      </c>
      <c r="KS15" t="s">
        <v>1900</v>
      </c>
      <c r="KT15" t="s">
        <v>1900</v>
      </c>
      <c r="KU15" t="s">
        <v>1900</v>
      </c>
      <c r="KV15" t="s">
        <v>1900</v>
      </c>
      <c r="KW15" t="s">
        <v>1900</v>
      </c>
      <c r="KX15" t="s">
        <v>1900</v>
      </c>
      <c r="KY15" t="s">
        <v>1900</v>
      </c>
      <c r="KZ15" t="s">
        <v>1900</v>
      </c>
      <c r="LA15" t="s">
        <v>1900</v>
      </c>
      <c r="LB15" t="s">
        <v>1900</v>
      </c>
      <c r="LC15" t="s">
        <v>1900</v>
      </c>
      <c r="LD15" t="s">
        <v>1900</v>
      </c>
      <c r="LE15" t="s">
        <v>1900</v>
      </c>
      <c r="LF15" t="s">
        <v>1900</v>
      </c>
      <c r="LG15" t="s">
        <v>1900</v>
      </c>
      <c r="LH15" t="s">
        <v>1900</v>
      </c>
      <c r="LI15" t="s">
        <v>1900</v>
      </c>
      <c r="LJ15" t="s">
        <v>1900</v>
      </c>
      <c r="LK15" t="s">
        <v>1900</v>
      </c>
      <c r="LL15" t="s">
        <v>1900</v>
      </c>
      <c r="LM15" t="s">
        <v>1900</v>
      </c>
      <c r="LN15" t="s">
        <v>1900</v>
      </c>
      <c r="LO15" t="s">
        <v>1900</v>
      </c>
      <c r="LP15" t="s">
        <v>1900</v>
      </c>
      <c r="LQ15" t="s">
        <v>1900</v>
      </c>
      <c r="LR15" t="s">
        <v>1900</v>
      </c>
      <c r="LS15" t="s">
        <v>1900</v>
      </c>
      <c r="LT15" t="s">
        <v>1900</v>
      </c>
      <c r="LU15" t="s">
        <v>1900</v>
      </c>
      <c r="LV15" t="s">
        <v>1900</v>
      </c>
      <c r="LW15" t="s">
        <v>1900</v>
      </c>
      <c r="LX15" t="s">
        <v>1900</v>
      </c>
      <c r="LY15" t="s">
        <v>1900</v>
      </c>
      <c r="LZ15" t="s">
        <v>1900</v>
      </c>
      <c r="MA15" t="s">
        <v>1900</v>
      </c>
      <c r="MB15" t="s">
        <v>1900</v>
      </c>
      <c r="MC15" t="s">
        <v>1900</v>
      </c>
      <c r="MD15" t="s">
        <v>1900</v>
      </c>
      <c r="ME15" t="s">
        <v>1900</v>
      </c>
      <c r="MF15" t="s">
        <v>1900</v>
      </c>
      <c r="MG15" t="s">
        <v>1900</v>
      </c>
      <c r="MH15" t="s">
        <v>1900</v>
      </c>
      <c r="MI15" t="s">
        <v>1900</v>
      </c>
      <c r="MJ15" t="s">
        <v>1900</v>
      </c>
      <c r="MK15" t="s">
        <v>1900</v>
      </c>
      <c r="ML15" t="s">
        <v>1900</v>
      </c>
      <c r="MM15" t="s">
        <v>1900</v>
      </c>
      <c r="MN15" t="s">
        <v>1900</v>
      </c>
      <c r="MO15" t="s">
        <v>1900</v>
      </c>
      <c r="MP15" t="s">
        <v>1900</v>
      </c>
      <c r="MQ15">
        <v>1603758.09444693</v>
      </c>
      <c r="MR15">
        <v>1438818.78583401</v>
      </c>
      <c r="MS15">
        <v>710878.802876759</v>
      </c>
      <c r="MT15">
        <v>475401.360154127</v>
      </c>
      <c r="MU15" t="s">
        <v>1900</v>
      </c>
      <c r="MV15" t="s">
        <v>1900</v>
      </c>
      <c r="MW15" t="s">
        <v>1900</v>
      </c>
      <c r="MX15" t="s">
        <v>1900</v>
      </c>
      <c r="MY15" t="s">
        <v>1900</v>
      </c>
      <c r="MZ15" t="s">
        <v>1900</v>
      </c>
      <c r="NA15" t="s">
        <v>1900</v>
      </c>
      <c r="NB15" t="s">
        <v>1900</v>
      </c>
      <c r="NC15" t="s">
        <v>1900</v>
      </c>
      <c r="ND15" t="s">
        <v>1900</v>
      </c>
      <c r="NE15" t="s">
        <v>1900</v>
      </c>
      <c r="NF15" t="s">
        <v>1900</v>
      </c>
      <c r="NG15" t="s">
        <v>1900</v>
      </c>
      <c r="NH15" t="s">
        <v>1900</v>
      </c>
      <c r="NI15" t="s">
        <v>1900</v>
      </c>
      <c r="NJ15" t="s">
        <v>1900</v>
      </c>
      <c r="NK15" t="s">
        <v>1900</v>
      </c>
      <c r="NL15" t="s">
        <v>1900</v>
      </c>
      <c r="NM15" t="s">
        <v>1900</v>
      </c>
      <c r="NN15" t="s">
        <v>1900</v>
      </c>
      <c r="NO15" t="s">
        <v>1900</v>
      </c>
      <c r="NP15" t="s">
        <v>1900</v>
      </c>
      <c r="NQ15" t="s">
        <v>1900</v>
      </c>
      <c r="NR15" t="s">
        <v>1900</v>
      </c>
      <c r="NS15" t="s">
        <v>1900</v>
      </c>
      <c r="NT15" t="s">
        <v>1900</v>
      </c>
      <c r="NU15">
        <v>4877748.68217367</v>
      </c>
      <c r="NV15">
        <v>4836540.80597975</v>
      </c>
      <c r="NW15">
        <v>5825400.4970531</v>
      </c>
      <c r="NX15">
        <v>6323003.82281753</v>
      </c>
      <c r="NY15" t="s">
        <v>1900</v>
      </c>
      <c r="NZ15" t="s">
        <v>1900</v>
      </c>
      <c r="OA15" t="s">
        <v>1900</v>
      </c>
      <c r="OB15" t="s">
        <v>1900</v>
      </c>
      <c r="OC15" t="s">
        <v>1900</v>
      </c>
      <c r="OD15" t="s">
        <v>1900</v>
      </c>
      <c r="OE15" t="s">
        <v>1900</v>
      </c>
      <c r="OF15" t="s">
        <v>1900</v>
      </c>
      <c r="OG15" t="s">
        <v>1900</v>
      </c>
      <c r="OH15" t="s">
        <v>1900</v>
      </c>
      <c r="OI15" t="s">
        <v>1900</v>
      </c>
      <c r="OJ15" t="s">
        <v>1900</v>
      </c>
      <c r="OK15" t="s">
        <v>1900</v>
      </c>
      <c r="OL15" t="s">
        <v>1900</v>
      </c>
      <c r="OM15" t="s">
        <v>1900</v>
      </c>
      <c r="ON15" t="s">
        <v>1900</v>
      </c>
      <c r="OO15" t="s">
        <v>1900</v>
      </c>
      <c r="OP15" t="s">
        <v>1900</v>
      </c>
      <c r="OQ15" t="s">
        <v>1900</v>
      </c>
      <c r="OR15" t="s">
        <v>1900</v>
      </c>
      <c r="OS15" t="s">
        <v>1900</v>
      </c>
      <c r="OT15" t="s">
        <v>1900</v>
      </c>
      <c r="OU15" t="s">
        <v>1900</v>
      </c>
      <c r="OV15" t="s">
        <v>1900</v>
      </c>
      <c r="OW15" t="s">
        <v>1900</v>
      </c>
      <c r="OX15" t="s">
        <v>1900</v>
      </c>
      <c r="OY15" t="s">
        <v>1900</v>
      </c>
      <c r="OZ15" t="s">
        <v>1900</v>
      </c>
      <c r="PA15" t="s">
        <v>1900</v>
      </c>
      <c r="PB15" t="s">
        <v>1900</v>
      </c>
      <c r="PC15" t="s">
        <v>1900</v>
      </c>
      <c r="PD15" t="s">
        <v>1900</v>
      </c>
      <c r="PE15" t="s">
        <v>1900</v>
      </c>
      <c r="PF15" t="s">
        <v>1900</v>
      </c>
      <c r="PG15" t="s">
        <v>1900</v>
      </c>
      <c r="PH15" t="s">
        <v>1900</v>
      </c>
      <c r="PI15" t="s">
        <v>1900</v>
      </c>
      <c r="PJ15" t="s">
        <v>1900</v>
      </c>
      <c r="PK15" t="s">
        <v>1900</v>
      </c>
      <c r="PL15" t="s">
        <v>1900</v>
      </c>
      <c r="PM15" t="s">
        <v>1900</v>
      </c>
      <c r="PN15" t="s">
        <v>1900</v>
      </c>
      <c r="PO15" t="s">
        <v>1900</v>
      </c>
      <c r="PP15" t="s">
        <v>1900</v>
      </c>
      <c r="PQ15" t="s">
        <v>1900</v>
      </c>
      <c r="PR15" t="s">
        <v>1900</v>
      </c>
      <c r="PS15" t="s">
        <v>1900</v>
      </c>
      <c r="PT15" t="s">
        <v>1900</v>
      </c>
      <c r="PU15" t="s">
        <v>1900</v>
      </c>
      <c r="PV15" t="s">
        <v>1900</v>
      </c>
      <c r="PW15" t="s">
        <v>1900</v>
      </c>
      <c r="PX15" t="s">
        <v>1900</v>
      </c>
      <c r="PY15" t="s">
        <v>1900</v>
      </c>
      <c r="PZ15" t="s">
        <v>1900</v>
      </c>
      <c r="QA15" t="s">
        <v>1900</v>
      </c>
      <c r="QB15" t="s">
        <v>1900</v>
      </c>
      <c r="QC15" t="s">
        <v>1900</v>
      </c>
      <c r="QD15" t="s">
        <v>1900</v>
      </c>
      <c r="QE15" t="s">
        <v>1900</v>
      </c>
      <c r="QF15" t="s">
        <v>1900</v>
      </c>
      <c r="QG15" t="s">
        <v>1900</v>
      </c>
      <c r="QH15" t="s">
        <v>1900</v>
      </c>
      <c r="QI15" t="s">
        <v>1900</v>
      </c>
      <c r="QJ15" t="s">
        <v>1900</v>
      </c>
      <c r="QK15" t="s">
        <v>1900</v>
      </c>
      <c r="QL15" t="s">
        <v>1900</v>
      </c>
      <c r="QM15" t="s">
        <v>1900</v>
      </c>
      <c r="QN15" t="s">
        <v>1900</v>
      </c>
      <c r="QO15" t="s">
        <v>1900</v>
      </c>
      <c r="QP15" t="s">
        <v>1900</v>
      </c>
      <c r="QQ15" t="s">
        <v>1900</v>
      </c>
      <c r="QR15" t="s">
        <v>1900</v>
      </c>
      <c r="QS15" t="s">
        <v>1900</v>
      </c>
      <c r="QT15" t="s">
        <v>1900</v>
      </c>
      <c r="QU15" t="s">
        <v>1900</v>
      </c>
      <c r="QV15" t="s">
        <v>1900</v>
      </c>
      <c r="QW15" t="s">
        <v>1900</v>
      </c>
      <c r="QX15" t="s">
        <v>1900</v>
      </c>
      <c r="QY15" t="s">
        <v>1900</v>
      </c>
      <c r="QZ15" t="s">
        <v>1900</v>
      </c>
      <c r="RA15" t="s">
        <v>1900</v>
      </c>
      <c r="RB15" t="s">
        <v>1900</v>
      </c>
      <c r="RC15" t="s">
        <v>1900</v>
      </c>
      <c r="RD15" t="s">
        <v>1900</v>
      </c>
      <c r="RE15" t="s">
        <v>1900</v>
      </c>
      <c r="RF15" t="s">
        <v>1900</v>
      </c>
      <c r="RG15" t="s">
        <v>1900</v>
      </c>
      <c r="RH15" t="s">
        <v>1900</v>
      </c>
      <c r="RI15" t="s">
        <v>1900</v>
      </c>
      <c r="RJ15" t="s">
        <v>1900</v>
      </c>
      <c r="RK15" t="s">
        <v>1900</v>
      </c>
      <c r="RL15" t="s">
        <v>1900</v>
      </c>
      <c r="RM15" t="s">
        <v>1900</v>
      </c>
      <c r="RN15" t="s">
        <v>1900</v>
      </c>
      <c r="RO15" t="s">
        <v>1900</v>
      </c>
      <c r="RP15" t="s">
        <v>1900</v>
      </c>
      <c r="RQ15" t="s">
        <v>1900</v>
      </c>
      <c r="RR15" t="s">
        <v>1900</v>
      </c>
      <c r="RS15" t="s">
        <v>1900</v>
      </c>
      <c r="RT15" t="s">
        <v>1900</v>
      </c>
      <c r="RU15" t="s">
        <v>1900</v>
      </c>
      <c r="RV15" t="s">
        <v>1900</v>
      </c>
      <c r="RW15" t="s">
        <v>1900</v>
      </c>
      <c r="RX15" t="s">
        <v>1900</v>
      </c>
      <c r="RY15" t="s">
        <v>1900</v>
      </c>
      <c r="RZ15" t="s">
        <v>1900</v>
      </c>
      <c r="SA15" t="s">
        <v>1900</v>
      </c>
      <c r="SB15" t="s">
        <v>1900</v>
      </c>
      <c r="SC15" t="s">
        <v>1900</v>
      </c>
      <c r="SD15" t="s">
        <v>1900</v>
      </c>
      <c r="SE15" t="s">
        <v>1900</v>
      </c>
      <c r="SF15" t="s">
        <v>1900</v>
      </c>
      <c r="SG15" t="s">
        <v>1900</v>
      </c>
      <c r="SH15" t="s">
        <v>1900</v>
      </c>
      <c r="SI15" t="s">
        <v>1900</v>
      </c>
      <c r="SJ15" t="s">
        <v>1900</v>
      </c>
      <c r="SK15">
        <v>30439.7249109745</v>
      </c>
      <c r="SL15">
        <v>28994.1738389432</v>
      </c>
      <c r="SM15">
        <v>31256.3140550852</v>
      </c>
      <c r="SN15">
        <v>69236.6605847657</v>
      </c>
      <c r="SO15" t="s">
        <v>1900</v>
      </c>
      <c r="SP15" t="s">
        <v>1900</v>
      </c>
      <c r="SQ15" t="s">
        <v>1900</v>
      </c>
      <c r="SR15" t="s">
        <v>1900</v>
      </c>
      <c r="SS15" t="s">
        <v>1900</v>
      </c>
      <c r="ST15" t="s">
        <v>1900</v>
      </c>
      <c r="SU15" t="s">
        <v>1900</v>
      </c>
      <c r="SV15" t="s">
        <v>1900</v>
      </c>
      <c r="SW15" t="s">
        <v>1900</v>
      </c>
      <c r="SX15" t="s">
        <v>1900</v>
      </c>
      <c r="SY15" t="s">
        <v>1900</v>
      </c>
      <c r="SZ15" t="s">
        <v>1900</v>
      </c>
      <c r="TA15" t="s">
        <v>1900</v>
      </c>
      <c r="TB15" t="s">
        <v>1900</v>
      </c>
      <c r="TC15" t="s">
        <v>1900</v>
      </c>
      <c r="TD15" t="s">
        <v>1900</v>
      </c>
      <c r="TE15" t="s">
        <v>1900</v>
      </c>
      <c r="TF15" t="s">
        <v>1900</v>
      </c>
      <c r="TG15" t="s">
        <v>1900</v>
      </c>
      <c r="TH15" t="s">
        <v>1900</v>
      </c>
      <c r="TI15" t="s">
        <v>1900</v>
      </c>
      <c r="TJ15" t="s">
        <v>1900</v>
      </c>
      <c r="TK15" t="s">
        <v>1900</v>
      </c>
      <c r="TL15" t="s">
        <v>1900</v>
      </c>
      <c r="TM15" t="s">
        <v>1900</v>
      </c>
      <c r="TN15" t="s">
        <v>1900</v>
      </c>
      <c r="TO15" t="s">
        <v>1900</v>
      </c>
      <c r="TP15" t="s">
        <v>1900</v>
      </c>
      <c r="TQ15" t="s">
        <v>1900</v>
      </c>
      <c r="TR15" t="s">
        <v>1900</v>
      </c>
      <c r="TS15" t="s">
        <v>1900</v>
      </c>
      <c r="TT15">
        <v>7893332.16353048</v>
      </c>
      <c r="TU15">
        <v>7836958.92180513</v>
      </c>
      <c r="TV15">
        <v>8353890.04576879</v>
      </c>
      <c r="TW15">
        <v>8270753.04168067</v>
      </c>
      <c r="TX15" t="s">
        <v>1900</v>
      </c>
      <c r="TY15" t="s">
        <v>1900</v>
      </c>
      <c r="TZ15" t="s">
        <v>1900</v>
      </c>
      <c r="UA15" t="s">
        <v>1900</v>
      </c>
      <c r="UB15" t="s">
        <v>1900</v>
      </c>
      <c r="UC15" t="s">
        <v>1900</v>
      </c>
      <c r="UD15">
        <v>152343.83267004</v>
      </c>
      <c r="UE15">
        <v>134669.736665076</v>
      </c>
      <c r="UF15">
        <v>145561.576321292</v>
      </c>
      <c r="UG15">
        <v>727529.087188876</v>
      </c>
      <c r="UH15" t="s">
        <v>1900</v>
      </c>
      <c r="UI15" t="s">
        <v>1900</v>
      </c>
      <c r="UJ15" t="s">
        <v>1900</v>
      </c>
      <c r="UK15" t="s">
        <v>1900</v>
      </c>
      <c r="UL15" t="s">
        <v>1900</v>
      </c>
      <c r="UM15" t="s">
        <v>1900</v>
      </c>
      <c r="UN15" t="s">
        <v>1900</v>
      </c>
      <c r="UO15" t="s">
        <v>1900</v>
      </c>
      <c r="UP15" t="s">
        <v>1900</v>
      </c>
      <c r="UQ15" t="s">
        <v>1900</v>
      </c>
      <c r="UR15" t="s">
        <v>1900</v>
      </c>
      <c r="US15" t="s">
        <v>1900</v>
      </c>
      <c r="UT15" t="s">
        <v>1900</v>
      </c>
      <c r="UU15" t="s">
        <v>1900</v>
      </c>
      <c r="UV15" t="s">
        <v>1900</v>
      </c>
      <c r="UW15" t="s">
        <v>1900</v>
      </c>
      <c r="UX15" t="s">
        <v>1900</v>
      </c>
      <c r="UY15" t="s">
        <v>1900</v>
      </c>
      <c r="UZ15" t="s">
        <v>1900</v>
      </c>
      <c r="VA15" t="s">
        <v>1900</v>
      </c>
      <c r="VB15" t="s">
        <v>1900</v>
      </c>
      <c r="VC15" t="s">
        <v>1900</v>
      </c>
      <c r="VD15" t="s">
        <v>1900</v>
      </c>
      <c r="VE15" t="s">
        <v>1900</v>
      </c>
      <c r="VF15" t="s">
        <v>1900</v>
      </c>
      <c r="VG15" t="s">
        <v>1900</v>
      </c>
      <c r="VH15" t="s">
        <v>1900</v>
      </c>
      <c r="VI15" t="s">
        <v>1900</v>
      </c>
      <c r="VJ15" t="s">
        <v>1900</v>
      </c>
      <c r="VK15" t="s">
        <v>1900</v>
      </c>
      <c r="VL15" t="s">
        <v>1900</v>
      </c>
      <c r="VM15" t="s">
        <v>1900</v>
      </c>
      <c r="VN15" t="s">
        <v>1900</v>
      </c>
      <c r="VO15" t="s">
        <v>1900</v>
      </c>
      <c r="VP15" t="s">
        <v>1900</v>
      </c>
      <c r="VQ15" t="s">
        <v>1900</v>
      </c>
      <c r="VR15" t="s">
        <v>1900</v>
      </c>
      <c r="VS15" t="s">
        <v>1900</v>
      </c>
      <c r="VT15" t="s">
        <v>1900</v>
      </c>
      <c r="VU15" t="s">
        <v>1900</v>
      </c>
      <c r="VV15" t="s">
        <v>1900</v>
      </c>
      <c r="VW15" t="s">
        <v>1900</v>
      </c>
      <c r="VX15" t="s">
        <v>1900</v>
      </c>
      <c r="VY15" t="s">
        <v>1900</v>
      </c>
      <c r="VZ15" t="s">
        <v>1900</v>
      </c>
      <c r="WA15" t="s">
        <v>1900</v>
      </c>
      <c r="WB15">
        <v>485692.060517629</v>
      </c>
      <c r="WC15">
        <v>516927.120937969</v>
      </c>
      <c r="WD15">
        <v>550164.097953279</v>
      </c>
      <c r="WE15">
        <v>450158.506583846</v>
      </c>
      <c r="WF15" t="s">
        <v>1900</v>
      </c>
      <c r="WG15" t="s">
        <v>1900</v>
      </c>
      <c r="WH15" t="s">
        <v>1900</v>
      </c>
      <c r="WI15" t="s">
        <v>1900</v>
      </c>
      <c r="WJ15" t="s">
        <v>1900</v>
      </c>
      <c r="WK15" t="s">
        <v>1900</v>
      </c>
      <c r="WL15" t="s">
        <v>1900</v>
      </c>
      <c r="WM15" t="s">
        <v>1900</v>
      </c>
      <c r="WN15" t="s">
        <v>1900</v>
      </c>
      <c r="WO15" t="s">
        <v>1900</v>
      </c>
      <c r="WP15" t="s">
        <v>1900</v>
      </c>
      <c r="WQ15" t="s">
        <v>1900</v>
      </c>
      <c r="WR15" t="s">
        <v>1900</v>
      </c>
      <c r="WS15" t="s">
        <v>1900</v>
      </c>
      <c r="WT15" t="s">
        <v>1900</v>
      </c>
      <c r="WU15" t="s">
        <v>1900</v>
      </c>
      <c r="WV15" t="s">
        <v>1900</v>
      </c>
      <c r="WW15" t="s">
        <v>1900</v>
      </c>
      <c r="WX15" t="s">
        <v>1900</v>
      </c>
      <c r="WY15" t="s">
        <v>1900</v>
      </c>
      <c r="WZ15" t="s">
        <v>1900</v>
      </c>
      <c r="XA15" t="s">
        <v>1900</v>
      </c>
      <c r="XB15" t="s">
        <v>1900</v>
      </c>
      <c r="XC15" t="s">
        <v>1900</v>
      </c>
      <c r="XD15" t="s">
        <v>1900</v>
      </c>
      <c r="XE15" t="s">
        <v>1900</v>
      </c>
      <c r="XF15" t="s">
        <v>1900</v>
      </c>
      <c r="XG15" t="s">
        <v>1900</v>
      </c>
      <c r="XH15" t="s">
        <v>1900</v>
      </c>
      <c r="XI15" t="s">
        <v>1900</v>
      </c>
      <c r="XJ15" t="s">
        <v>1900</v>
      </c>
      <c r="XK15">
        <v>68874.9903102493</v>
      </c>
      <c r="XL15">
        <v>76446.1398040593</v>
      </c>
      <c r="XM15">
        <v>184167.083466847</v>
      </c>
      <c r="XN15">
        <v>157839.635462016</v>
      </c>
      <c r="XO15" t="s">
        <v>1900</v>
      </c>
      <c r="XP15" t="s">
        <v>1900</v>
      </c>
      <c r="XQ15" t="s">
        <v>1900</v>
      </c>
      <c r="XR15" t="s">
        <v>1900</v>
      </c>
      <c r="XS15" t="s">
        <v>1900</v>
      </c>
      <c r="XT15" t="s">
        <v>1900</v>
      </c>
      <c r="XU15" t="s">
        <v>1900</v>
      </c>
      <c r="XV15" t="s">
        <v>1900</v>
      </c>
      <c r="XW15" t="s">
        <v>1900</v>
      </c>
      <c r="XX15" t="s">
        <v>1900</v>
      </c>
      <c r="XY15" t="s">
        <v>1900</v>
      </c>
      <c r="XZ15" t="s">
        <v>1900</v>
      </c>
      <c r="YA15" t="s">
        <v>1900</v>
      </c>
      <c r="YB15">
        <v>88936.28389134409</v>
      </c>
      <c r="YC15">
        <v>145773.7643866</v>
      </c>
      <c r="YD15" t="s">
        <v>1900</v>
      </c>
      <c r="YE15" t="s">
        <v>1900</v>
      </c>
      <c r="YF15" t="s">
        <v>1900</v>
      </c>
      <c r="YG15" t="s">
        <v>1900</v>
      </c>
      <c r="YH15" t="s">
        <v>1900</v>
      </c>
      <c r="YI15" t="s">
        <v>1900</v>
      </c>
      <c r="YJ15" t="s">
        <v>1900</v>
      </c>
      <c r="YK15" t="s">
        <v>1900</v>
      </c>
      <c r="YL15" t="s">
        <v>1900</v>
      </c>
      <c r="YM15" t="s">
        <v>1900</v>
      </c>
      <c r="YN15" t="s">
        <v>1900</v>
      </c>
      <c r="YO15" t="s">
        <v>1900</v>
      </c>
      <c r="YP15" t="s">
        <v>1900</v>
      </c>
      <c r="YQ15" t="s">
        <v>1900</v>
      </c>
      <c r="YR15" t="s">
        <v>1900</v>
      </c>
      <c r="YS15" t="s">
        <v>1900</v>
      </c>
      <c r="YT15" t="s">
        <v>1900</v>
      </c>
      <c r="YU15" t="s">
        <v>1900</v>
      </c>
      <c r="YV15" t="s">
        <v>1900</v>
      </c>
      <c r="YW15" t="s">
        <v>1900</v>
      </c>
      <c r="YX15" t="s">
        <v>1900</v>
      </c>
      <c r="YY15" t="s">
        <v>1900</v>
      </c>
      <c r="YZ15" t="s">
        <v>1900</v>
      </c>
      <c r="ZA15" t="s">
        <v>1900</v>
      </c>
      <c r="ZB15" t="s">
        <v>1900</v>
      </c>
      <c r="ZC15" t="s">
        <v>1900</v>
      </c>
      <c r="ZD15" t="s">
        <v>1900</v>
      </c>
      <c r="ZE15" t="s">
        <v>1900</v>
      </c>
      <c r="ZF15" t="s">
        <v>1900</v>
      </c>
      <c r="ZG15" t="s">
        <v>1900</v>
      </c>
      <c r="ZH15" t="s">
        <v>1900</v>
      </c>
      <c r="ZI15" t="s">
        <v>1900</v>
      </c>
      <c r="ZJ15" t="s">
        <v>1900</v>
      </c>
      <c r="ZK15" t="s">
        <v>1900</v>
      </c>
      <c r="ZL15" t="s">
        <v>1900</v>
      </c>
      <c r="ZM15" t="s">
        <v>1900</v>
      </c>
      <c r="ZN15" t="s">
        <v>1900</v>
      </c>
      <c r="ZO15" t="s">
        <v>1900</v>
      </c>
      <c r="ZP15" t="s">
        <v>1900</v>
      </c>
      <c r="ZQ15" t="s">
        <v>1900</v>
      </c>
      <c r="ZR15" t="s">
        <v>1900</v>
      </c>
      <c r="ZS15" t="s">
        <v>1900</v>
      </c>
      <c r="ZT15" t="s">
        <v>1900</v>
      </c>
      <c r="ZU15" t="s">
        <v>1900</v>
      </c>
      <c r="ZV15" t="s">
        <v>1900</v>
      </c>
      <c r="ZW15" t="s">
        <v>1900</v>
      </c>
      <c r="ZX15" t="s">
        <v>1900</v>
      </c>
      <c r="ZY15" t="s">
        <v>1900</v>
      </c>
      <c r="ZZ15" t="s">
        <v>1900</v>
      </c>
      <c r="AAA15" t="s">
        <v>1900</v>
      </c>
      <c r="AAB15" t="s">
        <v>1900</v>
      </c>
      <c r="AAC15" t="s">
        <v>1900</v>
      </c>
      <c r="AAD15" t="s">
        <v>1900</v>
      </c>
      <c r="AAE15" t="s">
        <v>1900</v>
      </c>
      <c r="AAF15" t="s">
        <v>1900</v>
      </c>
      <c r="AAG15" t="s">
        <v>1900</v>
      </c>
      <c r="AAH15" t="s">
        <v>1900</v>
      </c>
      <c r="AAI15" t="s">
        <v>1900</v>
      </c>
      <c r="AAJ15" t="s">
        <v>1900</v>
      </c>
      <c r="AAK15" t="s">
        <v>1900</v>
      </c>
      <c r="AAL15" t="s">
        <v>1900</v>
      </c>
      <c r="AAM15" t="s">
        <v>1900</v>
      </c>
      <c r="AAN15" t="s">
        <v>1900</v>
      </c>
      <c r="AAO15" t="s">
        <v>1900</v>
      </c>
      <c r="AAP15" t="s">
        <v>1900</v>
      </c>
      <c r="AAQ15" t="s">
        <v>1900</v>
      </c>
      <c r="AAR15" t="s">
        <v>1900</v>
      </c>
      <c r="AAS15" t="s">
        <v>1900</v>
      </c>
      <c r="AAT15" t="s">
        <v>1900</v>
      </c>
      <c r="AAU15" t="s">
        <v>1900</v>
      </c>
      <c r="AAV15" t="s">
        <v>1900</v>
      </c>
      <c r="AAW15" t="s">
        <v>1900</v>
      </c>
      <c r="AAX15" t="s">
        <v>1900</v>
      </c>
      <c r="AAY15" t="s">
        <v>1900</v>
      </c>
      <c r="AAZ15" t="s">
        <v>1900</v>
      </c>
      <c r="ABA15" t="s">
        <v>1900</v>
      </c>
      <c r="ABB15" t="s">
        <v>1900</v>
      </c>
      <c r="ABC15" t="s">
        <v>1900</v>
      </c>
      <c r="ABD15" t="s">
        <v>1900</v>
      </c>
      <c r="ABE15" t="s">
        <v>1900</v>
      </c>
      <c r="ABF15" t="s">
        <v>1900</v>
      </c>
      <c r="ABG15" t="s">
        <v>1900</v>
      </c>
      <c r="ABH15" t="s">
        <v>1900</v>
      </c>
      <c r="ABI15" t="s">
        <v>1900</v>
      </c>
      <c r="ABJ15" t="s">
        <v>1900</v>
      </c>
      <c r="ABK15" t="s">
        <v>1900</v>
      </c>
      <c r="ABL15" t="s">
        <v>1900</v>
      </c>
      <c r="ABM15" t="s">
        <v>1900</v>
      </c>
      <c r="ABN15" t="s">
        <v>1900</v>
      </c>
      <c r="ABO15" t="s">
        <v>1900</v>
      </c>
      <c r="ABP15" t="s">
        <v>1900</v>
      </c>
      <c r="ABQ15" t="s">
        <v>1900</v>
      </c>
      <c r="ABR15" t="s">
        <v>1900</v>
      </c>
      <c r="ABS15" t="s">
        <v>1900</v>
      </c>
      <c r="ABT15" t="s">
        <v>1900</v>
      </c>
      <c r="ABU15" t="s">
        <v>1900</v>
      </c>
      <c r="ABV15" t="s">
        <v>1900</v>
      </c>
      <c r="ABW15" t="s">
        <v>1900</v>
      </c>
      <c r="ABX15" t="s">
        <v>1900</v>
      </c>
      <c r="ABY15" t="s">
        <v>1900</v>
      </c>
      <c r="ABZ15" t="s">
        <v>1900</v>
      </c>
      <c r="ACA15" t="s">
        <v>1900</v>
      </c>
      <c r="ACB15" t="s">
        <v>1900</v>
      </c>
      <c r="ACC15" t="s">
        <v>1900</v>
      </c>
      <c r="ACD15" t="s">
        <v>1900</v>
      </c>
      <c r="ACE15" t="s">
        <v>1900</v>
      </c>
      <c r="ACF15">
        <v>9.792999999999999</v>
      </c>
      <c r="ACG15">
        <v>19.165</v>
      </c>
      <c r="ACH15">
        <v>27.523</v>
      </c>
      <c r="ACI15">
        <v>27.056</v>
      </c>
      <c r="ACJ15" t="s">
        <v>1900</v>
      </c>
      <c r="ACK15">
        <v>7.668</v>
      </c>
      <c r="ACL15">
        <v>13.013</v>
      </c>
      <c r="ACM15">
        <v>16.44</v>
      </c>
      <c r="ACN15">
        <v>13.598</v>
      </c>
      <c r="ACO15" t="s">
        <v>1900</v>
      </c>
      <c r="ACP15">
        <v>5.756</v>
      </c>
      <c r="ACQ15">
        <v>11.019</v>
      </c>
      <c r="ACR15">
        <v>14.113</v>
      </c>
      <c r="ACS15">
        <v>10.527</v>
      </c>
      <c r="ACT15" t="s">
        <v>1900</v>
      </c>
      <c r="ACU15">
        <v>8.557</v>
      </c>
      <c r="ACV15">
        <v>16.592</v>
      </c>
      <c r="ACW15">
        <v>26.145</v>
      </c>
      <c r="ACX15">
        <v>25.057</v>
      </c>
      <c r="ACY15" t="s">
        <v>1900</v>
      </c>
      <c r="ACZ15">
        <v>6.87</v>
      </c>
      <c r="ADA15">
        <v>11.383</v>
      </c>
      <c r="ADB15">
        <v>15.663</v>
      </c>
      <c r="ADC15">
        <v>12.664</v>
      </c>
      <c r="ADD15" t="s">
        <v>1900</v>
      </c>
      <c r="ADE15">
        <v>5.03</v>
      </c>
      <c r="ADF15">
        <v>9.539999999999999</v>
      </c>
      <c r="ADG15">
        <v>13.406</v>
      </c>
      <c r="ADH15">
        <v>9.75</v>
      </c>
      <c r="ADI15" t="s">
        <v>1900</v>
      </c>
      <c r="ADJ15">
        <v>10.169</v>
      </c>
      <c r="ADK15">
        <v>18.996</v>
      </c>
      <c r="ADL15">
        <v>22.91</v>
      </c>
      <c r="ADM15">
        <v>17.242</v>
      </c>
      <c r="ADN15" t="s">
        <v>1900</v>
      </c>
      <c r="ADO15">
        <v>92.90300000000001</v>
      </c>
      <c r="ADP15">
        <v>94.056</v>
      </c>
      <c r="ADQ15">
        <v>94.925</v>
      </c>
      <c r="ADR15">
        <v>94.88800000000001</v>
      </c>
      <c r="ADS15" t="s">
        <v>1900</v>
      </c>
      <c r="ADT15">
        <v>12.038292972</v>
      </c>
      <c r="ADU15">
        <v>20.363447184</v>
      </c>
      <c r="ADV15">
        <v>24.258929675</v>
      </c>
      <c r="ADW15">
        <v>18.532773958</v>
      </c>
      <c r="ADX15" t="s">
        <v>1900</v>
      </c>
      <c r="ADY15">
        <v>19.213</v>
      </c>
      <c r="ADZ15">
        <v>27.644</v>
      </c>
      <c r="AEA15">
        <v>31.076</v>
      </c>
      <c r="AEB15">
        <v>21.751</v>
      </c>
      <c r="AEC15" t="s">
        <v>1900</v>
      </c>
      <c r="AED15">
        <v>12.038</v>
      </c>
      <c r="AEE15">
        <v>20.363</v>
      </c>
      <c r="AEF15">
        <v>24.259</v>
      </c>
      <c r="AEG15">
        <v>18.533</v>
      </c>
      <c r="AEH15" t="s">
        <v>1900</v>
      </c>
      <c r="AEI15">
        <v>16.061</v>
      </c>
      <c r="AEJ15">
        <v>23.726</v>
      </c>
      <c r="AEK15">
        <v>28.58</v>
      </c>
      <c r="AEL15">
        <v>19.186</v>
      </c>
      <c r="AEM15" t="s">
        <v>1900</v>
      </c>
      <c r="AEN15">
        <v>13.685833733</v>
      </c>
      <c r="AEO15">
        <v>25.570477957</v>
      </c>
      <c r="AEP15">
        <v>32.028765332</v>
      </c>
      <c r="AEQ15">
        <v>22.748748004</v>
      </c>
      <c r="AER15" t="s">
        <v>1900</v>
      </c>
      <c r="AES15">
        <v>1.148869012</v>
      </c>
      <c r="AET15">
        <v>1.276330668</v>
      </c>
      <c r="AEU15">
        <v>1.343287608</v>
      </c>
      <c r="AEV15">
        <v>1.242717983</v>
      </c>
      <c r="AEW15" t="s">
        <v>1900</v>
      </c>
      <c r="AEX15" t="s">
        <v>1900</v>
      </c>
      <c r="AEY15" t="s">
        <v>1900</v>
      </c>
      <c r="AEZ15" t="s">
        <v>1900</v>
      </c>
      <c r="AFA15" t="s">
        <v>1900</v>
      </c>
      <c r="AFB15" t="s">
        <v>1900</v>
      </c>
      <c r="AFC15" t="s">
        <v>1900</v>
      </c>
      <c r="AFD15" t="s">
        <v>1900</v>
      </c>
      <c r="AFE15" t="s">
        <v>1900</v>
      </c>
      <c r="AFF15" t="s">
        <v>1900</v>
      </c>
      <c r="AFG15" t="s">
        <v>1900</v>
      </c>
      <c r="AFH15">
        <v>0.622</v>
      </c>
      <c r="AFI15">
        <v>0.639</v>
      </c>
      <c r="AFJ15">
        <v>0.678</v>
      </c>
      <c r="AFK15">
        <v>0.734</v>
      </c>
      <c r="AFL15" t="s">
        <v>1900</v>
      </c>
      <c r="AFM15">
        <v>5.568</v>
      </c>
      <c r="AFN15">
        <v>14.894</v>
      </c>
      <c r="AFO15">
        <v>17.989</v>
      </c>
      <c r="AFP15">
        <v>14.353</v>
      </c>
      <c r="AFQ15" t="s">
        <v>1900</v>
      </c>
      <c r="AFR15" t="s">
        <v>1901</v>
      </c>
      <c r="AFS15" t="s">
        <v>1901</v>
      </c>
      <c r="AFT15" t="s">
        <v>1901</v>
      </c>
      <c r="AFU15" t="s">
        <v>1901</v>
      </c>
      <c r="AFV15" t="s">
        <v>1900</v>
      </c>
      <c r="AFW15">
        <v>113.758</v>
      </c>
      <c r="AFX15">
        <v>123.662</v>
      </c>
      <c r="AFY15">
        <v>127.155</v>
      </c>
      <c r="AFZ15">
        <v>104.786</v>
      </c>
      <c r="AGA15" t="s">
        <v>1900</v>
      </c>
      <c r="AGB15">
        <v>5.66</v>
      </c>
      <c r="AGC15">
        <v>5.638</v>
      </c>
      <c r="AGD15">
        <v>4.539</v>
      </c>
      <c r="AGE15">
        <v>15.008</v>
      </c>
      <c r="AGF15" t="s">
        <v>1900</v>
      </c>
      <c r="AGG15" t="s">
        <v>1900</v>
      </c>
      <c r="AGH15" t="s">
        <v>1900</v>
      </c>
      <c r="AGI15" t="s">
        <v>1900</v>
      </c>
      <c r="AGJ15" t="s">
        <v>1900</v>
      </c>
      <c r="AGK15" t="s">
        <v>1900</v>
      </c>
      <c r="AGL15" t="s">
        <v>1900</v>
      </c>
      <c r="AGM15" t="s">
        <v>1900</v>
      </c>
      <c r="AGN15" t="s">
        <v>1900</v>
      </c>
      <c r="AGO15" t="s">
        <v>1900</v>
      </c>
      <c r="AGP15" t="s">
        <v>1900</v>
      </c>
      <c r="AGQ15" t="s">
        <v>1900</v>
      </c>
      <c r="AGR15" t="s">
        <v>1900</v>
      </c>
      <c r="AGS15" t="s">
        <v>1900</v>
      </c>
      <c r="AGT15" t="s">
        <v>1900</v>
      </c>
      <c r="AGU15">
        <v>0</v>
      </c>
      <c r="AGV15">
        <v>0</v>
      </c>
      <c r="AGW15">
        <v>0</v>
      </c>
      <c r="AGX15">
        <v>0</v>
      </c>
      <c r="AGY15">
        <v>0</v>
      </c>
      <c r="AGZ15" t="s">
        <v>1900</v>
      </c>
      <c r="AHA15">
        <v>4.258</v>
      </c>
      <c r="AHB15">
        <v>4.151</v>
      </c>
      <c r="AHC15">
        <v>3.324</v>
      </c>
      <c r="AHD15">
        <v>1.403</v>
      </c>
      <c r="AHE15" t="s">
        <v>1900</v>
      </c>
      <c r="AHF15">
        <v>4.258</v>
      </c>
      <c r="AHG15">
        <v>4.151</v>
      </c>
      <c r="AHH15">
        <v>3.324</v>
      </c>
      <c r="AHI15">
        <v>1.401</v>
      </c>
      <c r="AHJ15" t="s">
        <v>1900</v>
      </c>
      <c r="AHK15">
        <v>1.823</v>
      </c>
      <c r="AHL15">
        <v>1.728</v>
      </c>
      <c r="AHM15">
        <v>1.294</v>
      </c>
      <c r="AHN15">
        <v>0.878</v>
      </c>
      <c r="AHO15" t="s">
        <v>1900</v>
      </c>
      <c r="AHP15">
        <v>58.777</v>
      </c>
      <c r="AHQ15">
        <v>57.498</v>
      </c>
      <c r="AHR15">
        <v>51.276</v>
      </c>
      <c r="AHS15">
        <v>38.911</v>
      </c>
      <c r="AHT15" t="s">
        <v>1900</v>
      </c>
      <c r="AHU15" t="s">
        <v>1901</v>
      </c>
      <c r="AHV15" t="s">
        <v>1901</v>
      </c>
      <c r="AHW15" t="s">
        <v>1901</v>
      </c>
      <c r="AHX15">
        <v>63.694</v>
      </c>
      <c r="AHY15" t="s">
        <v>1900</v>
      </c>
      <c r="AHZ15">
        <v>58.151</v>
      </c>
      <c r="AIA15">
        <v>60.869</v>
      </c>
      <c r="AIB15">
        <v>80.663</v>
      </c>
      <c r="AIC15">
        <v>136.47</v>
      </c>
      <c r="AID15" t="s">
        <v>1900</v>
      </c>
      <c r="AIE15">
        <v>0.385638464</v>
      </c>
      <c r="AIF15">
        <v>0.369967153</v>
      </c>
      <c r="AIG15">
        <v>0.374152806</v>
      </c>
      <c r="AIH15">
        <v>0.837126441</v>
      </c>
      <c r="AII15" t="s">
        <v>1900</v>
      </c>
      <c r="AIJ15">
        <v>20.317884275</v>
      </c>
      <c r="AIK15">
        <v>18.359401908</v>
      </c>
      <c r="AIL15">
        <v>8.509554219</v>
      </c>
      <c r="AIM15">
        <v>5.747981565</v>
      </c>
      <c r="AIN15" t="s">
        <v>1900</v>
      </c>
      <c r="AIO15">
        <v>6.153194246</v>
      </c>
      <c r="AIP15">
        <v>6.596016721</v>
      </c>
      <c r="AIQ15">
        <v>6.585723477</v>
      </c>
      <c r="AIR15">
        <v>5.442775335</v>
      </c>
      <c r="AIS15" t="s">
        <v>1900</v>
      </c>
      <c r="AIT15">
        <v>0</v>
      </c>
      <c r="AIU15">
        <v>0</v>
      </c>
      <c r="AIV15">
        <v>0</v>
      </c>
      <c r="AIW15">
        <v>0.950672277</v>
      </c>
      <c r="AIX15" t="s">
        <v>1900</v>
      </c>
      <c r="AIY15">
        <v>5.82490734914684</v>
      </c>
      <c r="AIZ15">
        <v>10.5315297516984</v>
      </c>
      <c r="AJA15">
        <v>13.2468818701029</v>
      </c>
      <c r="AJB15">
        <v>10.3654636239034</v>
      </c>
      <c r="AJC15" t="s">
        <v>1900</v>
      </c>
      <c r="AJD15">
        <v>57.2804875167789</v>
      </c>
      <c r="AJE15">
        <v>55.4400196477437</v>
      </c>
      <c r="AJF15">
        <v>57.8204134069848</v>
      </c>
      <c r="AJG15">
        <v>60.117978933056</v>
      </c>
      <c r="AJH15" t="s">
        <v>1900</v>
      </c>
      <c r="AJI15">
        <v>72.526</v>
      </c>
      <c r="AJJ15">
        <v>68.357</v>
      </c>
      <c r="AJK15">
        <v>63.332</v>
      </c>
      <c r="AJL15">
        <v>67.03700000000001</v>
      </c>
      <c r="AJM15" t="s">
        <v>1900</v>
      </c>
      <c r="AJN15">
        <v>41.5433875891619</v>
      </c>
      <c r="AJO15">
        <v>37.8973101529253</v>
      </c>
      <c r="AJP15">
        <v>36.6188865652514</v>
      </c>
      <c r="AJQ15">
        <v>40.3015572549444</v>
      </c>
      <c r="AJR15" t="s">
        <v>1900</v>
      </c>
      <c r="AJS15">
        <v>59.4806208541717</v>
      </c>
      <c r="AJT15">
        <v>54.9519319893223</v>
      </c>
      <c r="AJU15">
        <v>48.1299791821432</v>
      </c>
      <c r="AJV15">
        <v>38.3118451913005</v>
      </c>
      <c r="AJW15" t="s">
        <v>1900</v>
      </c>
      <c r="AJX15">
        <v>17.199782454051</v>
      </c>
      <c r="AJY15">
        <v>18.1756861609238</v>
      </c>
      <c r="AJZ15">
        <v>19.6935216319585</v>
      </c>
      <c r="AKA15">
        <v>15.0217066407853</v>
      </c>
      <c r="AKB15" t="s">
        <v>1900</v>
      </c>
      <c r="AKC15">
        <v>101.196566425776</v>
      </c>
      <c r="AKD15">
        <v>95.5726695439798</v>
      </c>
      <c r="AKE15">
        <v>93.8639333530426</v>
      </c>
      <c r="AKF15">
        <v>98.4613458511603</v>
      </c>
      <c r="AKG15" t="s">
        <v>1900</v>
      </c>
      <c r="AKH15">
        <v>0</v>
      </c>
      <c r="AKI15">
        <v>0</v>
      </c>
      <c r="AKJ15">
        <v>0</v>
      </c>
      <c r="AKK15">
        <v>0.950672277</v>
      </c>
      <c r="AKL15" t="s">
        <v>1900</v>
      </c>
      <c r="AKM15">
        <v>0</v>
      </c>
      <c r="AKN15">
        <v>0</v>
      </c>
      <c r="AKO15">
        <v>0</v>
      </c>
      <c r="AKP15">
        <v>0.048598856</v>
      </c>
      <c r="AKQ15" t="s">
        <v>1900</v>
      </c>
      <c r="AKR15">
        <v>0</v>
      </c>
      <c r="AKS15">
        <v>0</v>
      </c>
      <c r="AKT15">
        <v>0</v>
      </c>
      <c r="AKU15">
        <v>0.029673218</v>
      </c>
      <c r="AKV15" t="s">
        <v>1900</v>
      </c>
      <c r="AKW15">
        <v>7.236123323</v>
      </c>
      <c r="AKX15">
        <v>4.124925314</v>
      </c>
      <c r="AKY15">
        <v>4.103699893</v>
      </c>
      <c r="AKZ15">
        <v>1.877632834</v>
      </c>
      <c r="ALA15" t="s">
        <v>1900</v>
      </c>
      <c r="ALB15">
        <v>4.095876874</v>
      </c>
      <c r="ALC15">
        <v>2.392796411</v>
      </c>
      <c r="ALD15">
        <v>2.52788924</v>
      </c>
      <c r="ALE15">
        <v>1.146434578</v>
      </c>
      <c r="ALF15" t="s">
        <v>1900</v>
      </c>
      <c r="ALG15">
        <v>101.256294956</v>
      </c>
      <c r="ALH15">
        <v>101.626511365</v>
      </c>
      <c r="ALI15">
        <v>108.491038203</v>
      </c>
      <c r="ALJ15">
        <v>121.96154182</v>
      </c>
      <c r="ALK15" t="s">
        <v>1900</v>
      </c>
      <c r="ALL15">
        <v>57.314296382</v>
      </c>
      <c r="ALM15">
        <v>58.951746544</v>
      </c>
      <c r="ALN15">
        <v>66.83074669200001</v>
      </c>
      <c r="ALO15">
        <v>74.466597642</v>
      </c>
      <c r="ALP15" t="s">
        <v>1900</v>
      </c>
      <c r="ALQ15">
        <v>31.599461013</v>
      </c>
      <c r="ALR15">
        <v>34.35044635</v>
      </c>
      <c r="ALS15">
        <v>35.320730625</v>
      </c>
      <c r="ALT15">
        <v>29.107322462</v>
      </c>
      <c r="ALU15" t="s">
        <v>1900</v>
      </c>
      <c r="ALV15">
        <v>4.975284453</v>
      </c>
      <c r="ALW15">
        <v>4.55898394</v>
      </c>
      <c r="ALX15">
        <v>3.569926215</v>
      </c>
      <c r="ALY15">
        <v>14.322430226</v>
      </c>
      <c r="ALZ15" t="s">
        <v>1900</v>
      </c>
      <c r="AMA15">
        <v>92.9032952877232</v>
      </c>
      <c r="AMB15">
        <v>94.05576407373201</v>
      </c>
      <c r="AMC15">
        <v>94.9254178755437</v>
      </c>
      <c r="AMD15">
        <v>94.8879485582666</v>
      </c>
      <c r="AME15" t="s">
        <v>1900</v>
      </c>
      <c r="AMF15">
        <v>93.6181215159738</v>
      </c>
      <c r="AMG15">
        <v>94.6217230715185</v>
      </c>
      <c r="AMH15">
        <v>95.5060282265128</v>
      </c>
      <c r="AMI15">
        <v>95.2515076217924</v>
      </c>
      <c r="AMJ15" t="s">
        <v>1900</v>
      </c>
      <c r="AMK15">
        <v>1309.10470499085</v>
      </c>
      <c r="AML15">
        <v>1582.30200214788</v>
      </c>
      <c r="AMM15">
        <v>1870.60560943654</v>
      </c>
      <c r="AMN15">
        <v>1856.16184891308</v>
      </c>
      <c r="AMO15" t="s">
        <v>1900</v>
      </c>
      <c r="AMP15">
        <v>1.14886901201058</v>
      </c>
      <c r="AMQ15">
        <v>1.27633066760791</v>
      </c>
      <c r="AMR15">
        <v>1.34328760805604</v>
      </c>
      <c r="AMS15">
        <v>1.24271798283366</v>
      </c>
      <c r="AMT15" t="s">
        <v>1900</v>
      </c>
      <c r="AMU15">
        <v>1.14886901170474</v>
      </c>
      <c r="AMV15">
        <v>1.27633066824466</v>
      </c>
      <c r="AMW15">
        <v>1.34328760774459</v>
      </c>
      <c r="AMX15">
        <v>1.24271798283366</v>
      </c>
      <c r="AMY15" t="s">
        <v>1900</v>
      </c>
      <c r="AMZ15">
        <v>1.14886901165921</v>
      </c>
      <c r="ANA15">
        <v>1.27633066842062</v>
      </c>
      <c r="ANB15">
        <v>1.34328760763767</v>
      </c>
      <c r="ANC15">
        <v>1.24271798283366</v>
      </c>
      <c r="AND15" t="s">
        <v>1900</v>
      </c>
      <c r="ANE15">
        <v>12.0382929724886</v>
      </c>
      <c r="ANF15">
        <v>20.3634471836894</v>
      </c>
      <c r="ANG15">
        <v>24.2589296746428</v>
      </c>
      <c r="ANH15">
        <v>18.5327739579104</v>
      </c>
      <c r="ANI15" t="s">
        <v>1900</v>
      </c>
      <c r="ANJ15">
        <v>12.1309192623683</v>
      </c>
      <c r="ANK15">
        <v>20.4859795587444</v>
      </c>
      <c r="ANL15">
        <v>24.4073091707541</v>
      </c>
      <c r="ANM15">
        <v>18.6037814783284</v>
      </c>
      <c r="ANN15" t="s">
        <v>1900</v>
      </c>
      <c r="ANO15">
        <v>13.685833732994</v>
      </c>
      <c r="ANP15">
        <v>25.5704779571006</v>
      </c>
      <c r="ANQ15">
        <v>32.0287653322496</v>
      </c>
      <c r="ANR15">
        <v>22.7487480036887</v>
      </c>
      <c r="ANS15" t="s">
        <v>1900</v>
      </c>
      <c r="ANT15">
        <v>7.48576497065963</v>
      </c>
      <c r="ANU15">
        <v>13.0126080893778</v>
      </c>
      <c r="ANV15">
        <v>16.4404460009246</v>
      </c>
      <c r="ANW15">
        <v>13.5980077139362</v>
      </c>
      <c r="ANX15" t="s">
        <v>1900</v>
      </c>
      <c r="ANY15">
        <v>92.9032952877232</v>
      </c>
      <c r="ANZ15">
        <v>94.05576407373201</v>
      </c>
      <c r="AOA15">
        <v>94.9254178755437</v>
      </c>
      <c r="AOB15">
        <v>94.8879485582666</v>
      </c>
      <c r="AOC15" t="s">
        <v>1900</v>
      </c>
      <c r="AOD15">
        <v>105.617885813273</v>
      </c>
      <c r="AOE15">
        <v>118.106272493588</v>
      </c>
      <c r="AOF15">
        <v>125.328857207559</v>
      </c>
      <c r="AOG15">
        <v>116.473768861656</v>
      </c>
      <c r="AOH15" t="s">
        <v>1900</v>
      </c>
      <c r="AOI15">
        <v>52.5862318319588</v>
      </c>
      <c r="AOJ15">
        <v>54.560089589056</v>
      </c>
      <c r="AOK15">
        <v>58.4742911652952</v>
      </c>
      <c r="AOL15">
        <v>57.936154142256</v>
      </c>
      <c r="AOM15" t="s">
        <v>1900</v>
      </c>
      <c r="AON15">
        <v>169.632152675919</v>
      </c>
      <c r="AOO15">
        <v>342.574679677534</v>
      </c>
      <c r="AOP15">
        <v>478.047828957778</v>
      </c>
      <c r="AOQ15">
        <v>362.531053709942</v>
      </c>
      <c r="AOR15" t="s">
        <v>1900</v>
      </c>
      <c r="AOS15">
        <v>14.8869011704739</v>
      </c>
      <c r="AOT15">
        <v>27.6330668244663</v>
      </c>
      <c r="AOU15">
        <v>34.3287607744587</v>
      </c>
      <c r="AOV15">
        <v>24.2717982833661</v>
      </c>
      <c r="AOW15" t="s">
        <v>1900</v>
      </c>
      <c r="AOX15">
        <v>6.81405824359363</v>
      </c>
      <c r="AOY15">
        <v>11.8124764986561</v>
      </c>
      <c r="AOZ15">
        <v>14.9435604172246</v>
      </c>
      <c r="APA15">
        <v>11.315637707667</v>
      </c>
      <c r="APB15" t="s">
        <v>1900</v>
      </c>
      <c r="APC15">
        <v>8.88572856497437</v>
      </c>
      <c r="APD15">
        <v>16.4459100400092</v>
      </c>
      <c r="APE15">
        <v>21.7636029891923</v>
      </c>
      <c r="APF15">
        <v>15.9682254556909</v>
      </c>
      <c r="APG15" t="s">
        <v>1900</v>
      </c>
      <c r="APH15">
        <v>8.95409806484721</v>
      </c>
      <c r="API15">
        <v>16.5448695334076</v>
      </c>
      <c r="APJ15">
        <v>21.896719845064</v>
      </c>
      <c r="APK15">
        <v>16.0294070196413</v>
      </c>
      <c r="APL15" t="s">
        <v>1900</v>
      </c>
      <c r="APM15">
        <v>125.209219281769</v>
      </c>
      <c r="APN15">
        <v>276.669873874515</v>
      </c>
      <c r="APO15">
        <v>428.874781320522</v>
      </c>
      <c r="APP15">
        <v>312.364334312653</v>
      </c>
      <c r="APQ15" t="s">
        <v>1900</v>
      </c>
      <c r="APR15">
        <v>10.9883488694565</v>
      </c>
      <c r="APS15">
        <v>22.3169941231139</v>
      </c>
      <c r="APT15">
        <v>30.7976291875406</v>
      </c>
      <c r="APU15">
        <v>20.9130887844456</v>
      </c>
      <c r="APV15" t="s">
        <v>1900</v>
      </c>
      <c r="APW15">
        <v>10.1018146023419</v>
      </c>
      <c r="APX15">
        <v>20.6512078416344</v>
      </c>
      <c r="APY15">
        <v>28.7342163184431</v>
      </c>
      <c r="APZ15">
        <v>19.6007968252669</v>
      </c>
      <c r="AQA15" t="s">
        <v>1900</v>
      </c>
      <c r="AQB15">
        <v>5.02960611748449</v>
      </c>
      <c r="AQC15">
        <v>9.53998230723062</v>
      </c>
      <c r="AQD15">
        <v>13.406433034242</v>
      </c>
      <c r="AQE15">
        <v>9.74978999373266</v>
      </c>
      <c r="AQF15" t="s">
        <v>1900</v>
      </c>
      <c r="AQG15">
        <v>0.148869011659208</v>
      </c>
      <c r="AQH15">
        <v>0.276330668420618</v>
      </c>
      <c r="AQI15">
        <v>0.343287607637669</v>
      </c>
      <c r="AQJ15">
        <v>0.242717982833661</v>
      </c>
      <c r="AQK15">
        <v>4</v>
      </c>
      <c r="AQO15" t="s">
        <v>1902</v>
      </c>
      <c r="AQP15">
        <v>1</v>
      </c>
      <c r="AQQ15">
        <v>0</v>
      </c>
      <c r="AQS15" t="s">
        <v>1905</v>
      </c>
      <c r="AQU15" t="s">
        <v>1906</v>
      </c>
      <c r="AQV15" t="s">
        <v>1900</v>
      </c>
      <c r="AQW15">
        <v>4467878.06387877</v>
      </c>
      <c r="AQX15">
        <v>4546081.62604738</v>
      </c>
      <c r="AQY15" t="s">
        <v>1900</v>
      </c>
      <c r="AQZ15">
        <v>537856.2509832761</v>
      </c>
      <c r="ARA15">
        <v>925738.930847567</v>
      </c>
      <c r="ARB15">
        <v>9013959.689926151</v>
      </c>
      <c r="ARC15">
        <v>1463595.181830843</v>
      </c>
      <c r="ARD15">
        <v>0.1938443078160814</v>
      </c>
      <c r="ARE15">
        <v>0.1938443078160814</v>
      </c>
      <c r="ARF15">
        <v>0.1938443078160814</v>
      </c>
      <c r="ARG15">
        <v>0.1938443078160814</v>
      </c>
      <c r="ARH15">
        <v>0.1938443078160814</v>
      </c>
      <c r="ARI15">
        <v>0.1938443078160814</v>
      </c>
      <c r="ARJ15" t="s">
        <v>1176</v>
      </c>
      <c r="ARK15" t="s">
        <v>1514</v>
      </c>
      <c r="ARL15" t="s">
        <v>1908</v>
      </c>
      <c r="ARM15" t="s">
        <v>1908</v>
      </c>
      <c r="ARN15" t="s">
        <v>1908</v>
      </c>
      <c r="ARO15" t="s">
        <v>1908</v>
      </c>
      <c r="ARP15" t="s">
        <v>1904</v>
      </c>
      <c r="ARQ15" t="s">
        <v>1921</v>
      </c>
      <c r="ARR15">
        <f>HYPERLINK("C:\Users\Usuario\Documents\Proyectos\llmthon\evidence\atecna_com_233435.png", "Ver Evidencia")</f>
        <v>0</v>
      </c>
      <c r="ARS15">
        <v>95</v>
      </c>
    </row>
    <row r="16" spans="1:1163">
      <c r="A16">
        <v>320</v>
      </c>
      <c r="B16" t="s">
        <v>1177</v>
      </c>
      <c r="C16" t="s">
        <v>1300</v>
      </c>
      <c r="E16" s="2">
        <v>37890</v>
      </c>
      <c r="F16" t="s">
        <v>1431</v>
      </c>
      <c r="G16" t="s">
        <v>1433</v>
      </c>
      <c r="H16" t="s">
        <v>1434</v>
      </c>
      <c r="I16" t="s">
        <v>1442</v>
      </c>
      <c r="J16" t="s">
        <v>1461</v>
      </c>
      <c r="L16" t="s">
        <v>1515</v>
      </c>
      <c r="N16" t="s">
        <v>1629</v>
      </c>
      <c r="O16" t="s">
        <v>1653</v>
      </c>
      <c r="P16">
        <v>7022</v>
      </c>
      <c r="Q16">
        <v>7022</v>
      </c>
      <c r="R16" t="s">
        <v>1686</v>
      </c>
      <c r="Z16" t="s">
        <v>1899</v>
      </c>
      <c r="AA16" s="2">
        <v>45657</v>
      </c>
      <c r="AB16">
        <v>2024</v>
      </c>
      <c r="AC16">
        <v>2298718.65892807</v>
      </c>
      <c r="AD16">
        <v>1977289.31283315</v>
      </c>
      <c r="AE16">
        <v>1636227.34430775</v>
      </c>
      <c r="AF16">
        <v>1971607.72538216</v>
      </c>
      <c r="AG16">
        <v>1875130.46400226</v>
      </c>
      <c r="AH16">
        <v>2242876.86320605</v>
      </c>
      <c r="AI16">
        <v>1969358.44802387</v>
      </c>
      <c r="AJ16">
        <v>1620972.39045489</v>
      </c>
      <c r="AK16">
        <v>1964651.38490174</v>
      </c>
      <c r="AL16">
        <v>1842422.90524849</v>
      </c>
      <c r="AM16">
        <v>577192.118603742</v>
      </c>
      <c r="AN16">
        <v>509229.378835888</v>
      </c>
      <c r="AO16">
        <v>367559.421471999</v>
      </c>
      <c r="AP16">
        <v>516831.151041055</v>
      </c>
      <c r="AQ16">
        <v>502517.005312604</v>
      </c>
      <c r="AR16">
        <v>1721526.54032433</v>
      </c>
      <c r="AS16">
        <v>1468059.93399726</v>
      </c>
      <c r="AT16">
        <v>1268667.92283575</v>
      </c>
      <c r="AU16">
        <v>1454776.57434111</v>
      </c>
      <c r="AV16">
        <v>1372613.45868966</v>
      </c>
      <c r="AW16">
        <v>1346572.29952189</v>
      </c>
      <c r="AX16">
        <v>1133347.32778235</v>
      </c>
      <c r="AY16">
        <v>1284385.34356072</v>
      </c>
      <c r="AZ16">
        <v>1170134.83908542</v>
      </c>
      <c r="BA16">
        <v>997051.202029711</v>
      </c>
      <c r="BB16">
        <v>374954.240802434</v>
      </c>
      <c r="BC16">
        <v>334712.606214905</v>
      </c>
      <c r="BD16">
        <v>-15717.4207249701</v>
      </c>
      <c r="BE16">
        <v>284641.734123087</v>
      </c>
      <c r="BF16">
        <v>375562.256659949</v>
      </c>
      <c r="BG16">
        <v>58.9783269369602</v>
      </c>
      <c r="BH16">
        <v>9415.024125347139</v>
      </c>
      <c r="BI16">
        <v>-40348.626693213</v>
      </c>
      <c r="BJ16">
        <v>-48024.7334311724</v>
      </c>
      <c r="BK16">
        <v>2114.15711199641</v>
      </c>
      <c r="BL16">
        <v>58.9783269369602</v>
      </c>
      <c r="BM16">
        <v>9415.024125347139</v>
      </c>
      <c r="BN16">
        <v>16.3829681396484</v>
      </c>
      <c r="BO16">
        <v>3.19393286705017</v>
      </c>
      <c r="BP16">
        <v>2344.2382306397</v>
      </c>
      <c r="BQ16" t="s">
        <v>1900</v>
      </c>
      <c r="BR16" t="s">
        <v>1900</v>
      </c>
      <c r="BS16">
        <v>40365.0096613526</v>
      </c>
      <c r="BT16">
        <v>48027.9273640394</v>
      </c>
      <c r="BU16">
        <v>230.081118643284</v>
      </c>
      <c r="BV16">
        <v>375013.21912937</v>
      </c>
      <c r="BW16">
        <v>344127.630340252</v>
      </c>
      <c r="BX16">
        <v>-56066.0474181831</v>
      </c>
      <c r="BY16">
        <v>236617.000691915</v>
      </c>
      <c r="BZ16">
        <v>377676.413771945</v>
      </c>
      <c r="CA16">
        <v>43272.9397403085</v>
      </c>
      <c r="CB16">
        <v>68156.1101376247</v>
      </c>
      <c r="CC16">
        <v>-12516.8436425686</v>
      </c>
      <c r="CD16">
        <v>55841.1139550686</v>
      </c>
      <c r="CE16">
        <v>90177.0487745881</v>
      </c>
      <c r="CF16">
        <v>331740.279389062</v>
      </c>
      <c r="CG16">
        <v>275971.520202627</v>
      </c>
      <c r="CH16">
        <v>-43549.2037756145</v>
      </c>
      <c r="CI16">
        <v>180775.886736846</v>
      </c>
      <c r="CJ16">
        <v>287499.364997357</v>
      </c>
      <c r="CK16" t="s">
        <v>1900</v>
      </c>
      <c r="CL16" t="s">
        <v>1900</v>
      </c>
      <c r="CM16" t="s">
        <v>1900</v>
      </c>
      <c r="CN16" t="s">
        <v>1900</v>
      </c>
      <c r="CO16" t="s">
        <v>1900</v>
      </c>
      <c r="CP16" t="s">
        <v>1900</v>
      </c>
      <c r="CQ16" t="s">
        <v>1900</v>
      </c>
      <c r="CR16" t="s">
        <v>1900</v>
      </c>
      <c r="CS16" t="s">
        <v>1900</v>
      </c>
      <c r="CT16" t="s">
        <v>1900</v>
      </c>
      <c r="CU16" t="s">
        <v>1900</v>
      </c>
      <c r="CV16" t="s">
        <v>1900</v>
      </c>
      <c r="CW16" t="s">
        <v>1900</v>
      </c>
      <c r="CX16" t="s">
        <v>1900</v>
      </c>
      <c r="CY16" t="s">
        <v>1900</v>
      </c>
      <c r="CZ16">
        <v>331740.279389062</v>
      </c>
      <c r="DA16">
        <v>275971.520202627</v>
      </c>
      <c r="DB16">
        <v>-43549.2037756145</v>
      </c>
      <c r="DC16">
        <v>180775.886736846</v>
      </c>
      <c r="DD16">
        <v>287499.364997357</v>
      </c>
      <c r="DE16" t="s">
        <v>1900</v>
      </c>
      <c r="DF16" t="s">
        <v>1900</v>
      </c>
      <c r="DG16" t="s">
        <v>1900</v>
      </c>
      <c r="DH16" t="s">
        <v>1900</v>
      </c>
      <c r="DI16" t="s">
        <v>1900</v>
      </c>
      <c r="DJ16">
        <v>577192.118603742</v>
      </c>
      <c r="DK16">
        <v>509229.378835888</v>
      </c>
      <c r="DL16">
        <v>507486.99124583</v>
      </c>
      <c r="DM16">
        <v>531106.943660474</v>
      </c>
      <c r="DN16">
        <v>680865.629934734</v>
      </c>
      <c r="DO16">
        <v>1036875.12047779</v>
      </c>
      <c r="DP16">
        <v>827400.293377085</v>
      </c>
      <c r="DQ16">
        <v>871435.3644217669</v>
      </c>
      <c r="DR16">
        <v>831444.649254513</v>
      </c>
      <c r="DS16">
        <v>692099.859001947</v>
      </c>
      <c r="DT16">
        <v>18892.336206311</v>
      </c>
      <c r="DU16">
        <v>37538.656946888</v>
      </c>
      <c r="DV16">
        <v>37521.0501178503</v>
      </c>
      <c r="DW16">
        <v>44462.7281162024</v>
      </c>
      <c r="DX16">
        <v>50690.7235289156</v>
      </c>
      <c r="DY16">
        <v>290804.84283779</v>
      </c>
      <c r="DZ16">
        <v>268408.377458382</v>
      </c>
      <c r="EA16">
        <v>375428.930087704</v>
      </c>
      <c r="EB16">
        <v>294227.462847304</v>
      </c>
      <c r="EC16">
        <v>254260.619498849</v>
      </c>
      <c r="ED16" t="s">
        <v>1900</v>
      </c>
      <c r="EE16" t="s">
        <v>1900</v>
      </c>
      <c r="EF16">
        <v>671.723025715351</v>
      </c>
      <c r="EG16">
        <v>51.125577878952</v>
      </c>
      <c r="EH16">
        <v>230.081118643284</v>
      </c>
      <c r="EI16" t="s">
        <v>1900</v>
      </c>
      <c r="EJ16" t="s">
        <v>1900</v>
      </c>
      <c r="EK16" t="s">
        <v>1900</v>
      </c>
      <c r="EL16" t="s">
        <v>1900</v>
      </c>
      <c r="EM16" t="s">
        <v>1900</v>
      </c>
      <c r="EN16">
        <v>350632.615595373</v>
      </c>
      <c r="EO16">
        <v>313510.177149515</v>
      </c>
      <c r="EP16">
        <v>-6028.1536577642</v>
      </c>
      <c r="EQ16">
        <v>225238.614853048</v>
      </c>
      <c r="ER16">
        <v>338190.088526273</v>
      </c>
      <c r="ES16">
        <v>1430780.67581347</v>
      </c>
      <c r="ET16">
        <v>1209066.58066422</v>
      </c>
      <c r="EU16">
        <v>853562.09014715</v>
      </c>
      <c r="EV16">
        <v>1112575.50250791</v>
      </c>
      <c r="EW16">
        <v>1120697.07742145</v>
      </c>
      <c r="EX16">
        <v>393846.577008744</v>
      </c>
      <c r="EY16">
        <v>372251.263161793</v>
      </c>
      <c r="EZ16">
        <v>21803.6283262807</v>
      </c>
      <c r="FA16">
        <v>329104.462239289</v>
      </c>
      <c r="FB16">
        <v>426252.980188865</v>
      </c>
      <c r="FC16">
        <v>177872.701925493</v>
      </c>
      <c r="FD16">
        <v>198973.825947008</v>
      </c>
      <c r="FE16">
        <v>256747.039781851</v>
      </c>
      <c r="FF16">
        <v>270293.840168095</v>
      </c>
      <c r="FG16">
        <v>290385.306213731</v>
      </c>
      <c r="FH16">
        <v>44027.1496400166</v>
      </c>
      <c r="FI16">
        <v>53574.5567436027</v>
      </c>
      <c r="FJ16">
        <v>58224.4288086176</v>
      </c>
      <c r="FK16">
        <v>58232.5428742647</v>
      </c>
      <c r="FL16">
        <v>0</v>
      </c>
      <c r="FM16">
        <v>25205.0534316659</v>
      </c>
      <c r="FN16">
        <v>29846.4169947052</v>
      </c>
      <c r="FO16">
        <v>50607.1379073024</v>
      </c>
      <c r="FP16">
        <v>82605.0255206108</v>
      </c>
      <c r="FQ16">
        <v>159944.589329267</v>
      </c>
      <c r="FR16">
        <v>108640.498853811</v>
      </c>
      <c r="FS16">
        <v>115552.8522087</v>
      </c>
      <c r="FT16">
        <v>147915.471999331</v>
      </c>
      <c r="FU16">
        <v>129456.271773219</v>
      </c>
      <c r="FV16">
        <v>130440.716884464</v>
      </c>
      <c r="FW16">
        <v>44027.1496400166</v>
      </c>
      <c r="FX16">
        <v>53574.5567436027</v>
      </c>
      <c r="FY16">
        <v>58224.4288086176</v>
      </c>
      <c r="FZ16">
        <v>58232.5428742647</v>
      </c>
      <c r="GA16">
        <v>0</v>
      </c>
      <c r="GB16">
        <v>25205.0534316659</v>
      </c>
      <c r="GC16">
        <v>29846.4169947052</v>
      </c>
      <c r="GD16">
        <v>50607.1379073024</v>
      </c>
      <c r="GE16">
        <v>82605.0255206108</v>
      </c>
      <c r="GF16">
        <v>159944.589329267</v>
      </c>
      <c r="GG16">
        <v>108640.498853811</v>
      </c>
      <c r="GH16">
        <v>115552.8522087</v>
      </c>
      <c r="GI16">
        <v>147915.471999331</v>
      </c>
      <c r="GJ16">
        <v>129456.271773219</v>
      </c>
      <c r="GK16">
        <v>130440.716884464</v>
      </c>
      <c r="GL16">
        <v>1411508.7568819</v>
      </c>
      <c r="GM16">
        <v>1588564.75752834</v>
      </c>
      <c r="GN16">
        <v>1309220.84706154</v>
      </c>
      <c r="GO16">
        <v>1391664.94790633</v>
      </c>
      <c r="GP16">
        <v>1470842.04589151</v>
      </c>
      <c r="GQ16">
        <v>23925.4616451287</v>
      </c>
      <c r="GR16">
        <v>80730.7505809689</v>
      </c>
      <c r="GS16">
        <v>171102.748644954</v>
      </c>
      <c r="GT16">
        <v>64618.3586018085</v>
      </c>
      <c r="GU16">
        <v>217616.378940588</v>
      </c>
      <c r="GV16">
        <v>419710.50052925</v>
      </c>
      <c r="GW16">
        <v>628794.664645319</v>
      </c>
      <c r="GX16">
        <v>731732.707415426</v>
      </c>
      <c r="GY16">
        <v>1018101.89154196</v>
      </c>
      <c r="GZ16">
        <v>632416.5100510539</v>
      </c>
      <c r="HA16">
        <v>967872.794707526</v>
      </c>
      <c r="HB16">
        <v>879039.342302055</v>
      </c>
      <c r="HC16">
        <v>406385.391001165</v>
      </c>
      <c r="HD16">
        <v>308944.697762561</v>
      </c>
      <c r="HE16">
        <v>620809.156899864</v>
      </c>
      <c r="HF16">
        <v>924208.75084605</v>
      </c>
      <c r="HG16">
        <v>840119.158485155</v>
      </c>
      <c r="HH16">
        <v>366164.457598686</v>
      </c>
      <c r="HI16">
        <v>264165.566424465</v>
      </c>
      <c r="HJ16">
        <v>519370.011632973</v>
      </c>
      <c r="HK16">
        <v>1589381.4588074</v>
      </c>
      <c r="HL16">
        <v>1787538.58347535</v>
      </c>
      <c r="HM16">
        <v>1565967.8868434</v>
      </c>
      <c r="HN16">
        <v>1661958.78807442</v>
      </c>
      <c r="HO16">
        <v>1761227.35210524</v>
      </c>
      <c r="HP16">
        <v>949686.743965101</v>
      </c>
      <c r="HQ16">
        <v>1119949.1083694</v>
      </c>
      <c r="HR16">
        <v>866088.501187128</v>
      </c>
      <c r="HS16">
        <v>1112151.1069793</v>
      </c>
      <c r="HT16">
        <v>1112376.44838882</v>
      </c>
      <c r="HU16">
        <v>30616.3694703579</v>
      </c>
      <c r="HV16">
        <v>32564.3646144867</v>
      </c>
      <c r="HW16">
        <v>31432.6869189739</v>
      </c>
      <c r="HX16">
        <v>32063.9147043228</v>
      </c>
      <c r="HY16">
        <v>34739.1811668873</v>
      </c>
      <c r="HZ16">
        <v>919070.373455844</v>
      </c>
      <c r="IA16">
        <v>1087384.74375491</v>
      </c>
      <c r="IB16">
        <v>834655.814268154</v>
      </c>
      <c r="IC16">
        <v>1080087.19227498</v>
      </c>
      <c r="ID16">
        <v>1077637.26722193</v>
      </c>
      <c r="IE16">
        <v>26427.9420812607</v>
      </c>
      <c r="IF16">
        <v>28109.4446151733</v>
      </c>
      <c r="IG16">
        <v>86124.890200311</v>
      </c>
      <c r="IH16">
        <v>26047.7910431385</v>
      </c>
      <c r="II16">
        <v>22171.0706192076</v>
      </c>
      <c r="IJ16">
        <v>0</v>
      </c>
      <c r="IK16">
        <v>0</v>
      </c>
      <c r="IL16">
        <v>0</v>
      </c>
      <c r="IM16">
        <v>0</v>
      </c>
      <c r="IN16">
        <v>0</v>
      </c>
      <c r="IO16">
        <v>26427.9420812607</v>
      </c>
      <c r="IP16">
        <v>28109.4446151733</v>
      </c>
      <c r="IQ16">
        <v>86124.890200311</v>
      </c>
      <c r="IR16">
        <v>26047.7910431385</v>
      </c>
      <c r="IS16">
        <v>22171.0706192076</v>
      </c>
      <c r="IT16" t="s">
        <v>1900</v>
      </c>
      <c r="IU16" t="s">
        <v>1900</v>
      </c>
      <c r="IV16">
        <v>58992.3057781994</v>
      </c>
      <c r="IW16" t="s">
        <v>1900</v>
      </c>
      <c r="IX16" t="s">
        <v>1900</v>
      </c>
      <c r="IY16">
        <v>613266.7727610359</v>
      </c>
      <c r="IZ16">
        <v>639480.03049078</v>
      </c>
      <c r="JA16">
        <v>613754.495455956</v>
      </c>
      <c r="JB16">
        <v>523759.890051985</v>
      </c>
      <c r="JC16">
        <v>626679.8330972079</v>
      </c>
      <c r="JD16">
        <v>0</v>
      </c>
      <c r="JE16">
        <v>0</v>
      </c>
      <c r="JF16">
        <v>0</v>
      </c>
      <c r="JG16">
        <v>0</v>
      </c>
      <c r="JH16">
        <v>0</v>
      </c>
      <c r="JI16">
        <v>179157.61287768</v>
      </c>
      <c r="JJ16">
        <v>155153.837881136</v>
      </c>
      <c r="JK16">
        <v>205698.393682379</v>
      </c>
      <c r="JL16">
        <v>92515.42544896599</v>
      </c>
      <c r="JM16">
        <v>255411.69999668</v>
      </c>
      <c r="JN16">
        <v>434109.159883356</v>
      </c>
      <c r="JO16">
        <v>484326.191504643</v>
      </c>
      <c r="JP16">
        <v>408056.101773578</v>
      </c>
      <c r="JQ16">
        <v>431244.463470418</v>
      </c>
      <c r="JR16">
        <v>371268.131873428</v>
      </c>
      <c r="JS16">
        <v>1589381.4588074</v>
      </c>
      <c r="JT16">
        <v>1787538.58347535</v>
      </c>
      <c r="JU16">
        <v>1565967.8868434</v>
      </c>
      <c r="JV16">
        <v>1661958.78807442</v>
      </c>
      <c r="JW16">
        <v>1761227.35210524</v>
      </c>
      <c r="JX16">
        <v>264478.349296699</v>
      </c>
      <c r="JY16">
        <v>554371.576240151</v>
      </c>
      <c r="JZ16">
        <v>697137.0623780011</v>
      </c>
      <c r="KA16">
        <v>990204.8246948</v>
      </c>
      <c r="KB16">
        <v>594621.188994962</v>
      </c>
      <c r="KC16" t="s">
        <v>1900</v>
      </c>
      <c r="KD16" t="s">
        <v>1900</v>
      </c>
      <c r="KE16" t="s">
        <v>1900</v>
      </c>
      <c r="KF16" t="s">
        <v>1900</v>
      </c>
      <c r="KG16" t="s">
        <v>1900</v>
      </c>
      <c r="KH16" t="s">
        <v>1900</v>
      </c>
      <c r="KI16" t="s">
        <v>1900</v>
      </c>
      <c r="KJ16" t="s">
        <v>1900</v>
      </c>
      <c r="KK16" t="s">
        <v>1900</v>
      </c>
      <c r="KL16" t="s">
        <v>1900</v>
      </c>
      <c r="KM16">
        <v>23</v>
      </c>
      <c r="KN16">
        <v>19</v>
      </c>
      <c r="KO16">
        <v>16</v>
      </c>
      <c r="KP16">
        <v>17</v>
      </c>
      <c r="KQ16">
        <v>17</v>
      </c>
      <c r="KR16" t="s">
        <v>1900</v>
      </c>
      <c r="KS16" t="s">
        <v>1900</v>
      </c>
      <c r="KT16" t="s">
        <v>1900</v>
      </c>
      <c r="KU16" t="s">
        <v>1900</v>
      </c>
      <c r="KV16" t="s">
        <v>1900</v>
      </c>
      <c r="KW16" t="s">
        <v>1900</v>
      </c>
      <c r="KX16" t="s">
        <v>1900</v>
      </c>
      <c r="KY16" t="s">
        <v>1900</v>
      </c>
      <c r="KZ16" t="s">
        <v>1900</v>
      </c>
      <c r="LA16" t="s">
        <v>1900</v>
      </c>
      <c r="LB16" t="s">
        <v>1900</v>
      </c>
      <c r="LC16" t="s">
        <v>1900</v>
      </c>
      <c r="LD16" t="s">
        <v>1900</v>
      </c>
      <c r="LE16" t="s">
        <v>1900</v>
      </c>
      <c r="LF16" t="s">
        <v>1900</v>
      </c>
      <c r="LG16" t="s">
        <v>1900</v>
      </c>
      <c r="LH16" t="s">
        <v>1900</v>
      </c>
      <c r="LI16" t="s">
        <v>1900</v>
      </c>
      <c r="LJ16" t="s">
        <v>1900</v>
      </c>
      <c r="LK16" t="s">
        <v>1900</v>
      </c>
      <c r="LL16" t="s">
        <v>1900</v>
      </c>
      <c r="LM16" t="s">
        <v>1900</v>
      </c>
      <c r="LN16" t="s">
        <v>1900</v>
      </c>
      <c r="LO16" t="s">
        <v>1900</v>
      </c>
      <c r="LP16" t="s">
        <v>1900</v>
      </c>
      <c r="LQ16" t="s">
        <v>1900</v>
      </c>
      <c r="LR16" t="s">
        <v>1900</v>
      </c>
      <c r="LS16" t="s">
        <v>1900</v>
      </c>
      <c r="LT16" t="s">
        <v>1900</v>
      </c>
      <c r="LU16" t="s">
        <v>1900</v>
      </c>
      <c r="LV16" t="s">
        <v>1900</v>
      </c>
      <c r="LW16" t="s">
        <v>1900</v>
      </c>
      <c r="LX16" t="s">
        <v>1900</v>
      </c>
      <c r="LY16" t="s">
        <v>1900</v>
      </c>
      <c r="LZ16" t="s">
        <v>1900</v>
      </c>
      <c r="MA16" t="s">
        <v>1900</v>
      </c>
      <c r="MB16" t="s">
        <v>1900</v>
      </c>
      <c r="MC16" t="s">
        <v>1900</v>
      </c>
      <c r="MD16" t="s">
        <v>1900</v>
      </c>
      <c r="ME16" t="s">
        <v>1900</v>
      </c>
      <c r="MF16" t="s">
        <v>1900</v>
      </c>
      <c r="MG16" t="s">
        <v>1900</v>
      </c>
      <c r="MH16" t="s">
        <v>1900</v>
      </c>
      <c r="MI16" t="s">
        <v>1900</v>
      </c>
      <c r="MJ16" t="s">
        <v>1900</v>
      </c>
      <c r="MK16" t="s">
        <v>1900</v>
      </c>
      <c r="ML16" t="s">
        <v>1900</v>
      </c>
      <c r="MM16" t="s">
        <v>1900</v>
      </c>
      <c r="MN16" t="s">
        <v>1900</v>
      </c>
      <c r="MO16" t="s">
        <v>1900</v>
      </c>
      <c r="MP16">
        <v>967872.794707526</v>
      </c>
      <c r="MQ16">
        <v>879039.342302055</v>
      </c>
      <c r="MR16">
        <v>406385.391001165</v>
      </c>
      <c r="MS16">
        <v>308944.697762561</v>
      </c>
      <c r="MT16">
        <v>620809.156899864</v>
      </c>
      <c r="MU16" t="s">
        <v>1900</v>
      </c>
      <c r="MV16" t="s">
        <v>1900</v>
      </c>
      <c r="MW16" t="s">
        <v>1900</v>
      </c>
      <c r="MX16" t="s">
        <v>1900</v>
      </c>
      <c r="MY16" t="s">
        <v>1900</v>
      </c>
      <c r="MZ16" t="s">
        <v>1900</v>
      </c>
      <c r="NA16" t="s">
        <v>1900</v>
      </c>
      <c r="NB16" t="s">
        <v>1900</v>
      </c>
      <c r="NC16" t="s">
        <v>1900</v>
      </c>
      <c r="ND16" t="s">
        <v>1900</v>
      </c>
      <c r="NE16" t="s">
        <v>1900</v>
      </c>
      <c r="NF16" t="s">
        <v>1900</v>
      </c>
      <c r="NG16" t="s">
        <v>1900</v>
      </c>
      <c r="NH16" t="s">
        <v>1900</v>
      </c>
      <c r="NI16" t="s">
        <v>1900</v>
      </c>
      <c r="NJ16" t="s">
        <v>1900</v>
      </c>
      <c r="NK16" t="s">
        <v>1900</v>
      </c>
      <c r="NL16" t="s">
        <v>1900</v>
      </c>
      <c r="NM16" t="s">
        <v>1900</v>
      </c>
      <c r="NN16" t="s">
        <v>1900</v>
      </c>
      <c r="NO16" t="s">
        <v>1900</v>
      </c>
      <c r="NP16" t="s">
        <v>1900</v>
      </c>
      <c r="NQ16" t="s">
        <v>1900</v>
      </c>
      <c r="NR16" t="s">
        <v>1900</v>
      </c>
      <c r="NS16" t="s">
        <v>1900</v>
      </c>
      <c r="NT16">
        <v>177872.701925493</v>
      </c>
      <c r="NU16">
        <v>198973.825947008</v>
      </c>
      <c r="NV16">
        <v>256747.039781851</v>
      </c>
      <c r="NW16">
        <v>270293.840168095</v>
      </c>
      <c r="NX16">
        <v>290385.306213731</v>
      </c>
      <c r="NY16" t="s">
        <v>1900</v>
      </c>
      <c r="NZ16" t="s">
        <v>1900</v>
      </c>
      <c r="OA16" t="s">
        <v>1900</v>
      </c>
      <c r="OB16" t="s">
        <v>1900</v>
      </c>
      <c r="OC16" t="s">
        <v>1900</v>
      </c>
      <c r="OD16" t="s">
        <v>1900</v>
      </c>
      <c r="OE16" t="s">
        <v>1900</v>
      </c>
      <c r="OF16" t="s">
        <v>1900</v>
      </c>
      <c r="OG16" t="s">
        <v>1900</v>
      </c>
      <c r="OH16" t="s">
        <v>1900</v>
      </c>
      <c r="OI16" t="s">
        <v>1900</v>
      </c>
      <c r="OJ16" t="s">
        <v>1900</v>
      </c>
      <c r="OK16" t="s">
        <v>1900</v>
      </c>
      <c r="OL16" t="s">
        <v>1900</v>
      </c>
      <c r="OM16" t="s">
        <v>1900</v>
      </c>
      <c r="ON16" t="s">
        <v>1900</v>
      </c>
      <c r="OO16" t="s">
        <v>1900</v>
      </c>
      <c r="OP16" t="s">
        <v>1900</v>
      </c>
      <c r="OQ16" t="s">
        <v>1900</v>
      </c>
      <c r="OR16" t="s">
        <v>1900</v>
      </c>
      <c r="OS16" t="s">
        <v>1900</v>
      </c>
      <c r="OT16" t="s">
        <v>1900</v>
      </c>
      <c r="OU16" t="s">
        <v>1900</v>
      </c>
      <c r="OV16" t="s">
        <v>1900</v>
      </c>
      <c r="OW16" t="s">
        <v>1900</v>
      </c>
      <c r="OX16" t="s">
        <v>1900</v>
      </c>
      <c r="OY16" t="s">
        <v>1900</v>
      </c>
      <c r="OZ16" t="s">
        <v>1900</v>
      </c>
      <c r="PA16" t="s">
        <v>1900</v>
      </c>
      <c r="PB16" t="s">
        <v>1900</v>
      </c>
      <c r="PC16" t="s">
        <v>1900</v>
      </c>
      <c r="PD16" t="s">
        <v>1900</v>
      </c>
      <c r="PE16" t="s">
        <v>1900</v>
      </c>
      <c r="PF16" t="s">
        <v>1900</v>
      </c>
      <c r="PG16" t="s">
        <v>1900</v>
      </c>
      <c r="PH16" t="s">
        <v>1900</v>
      </c>
      <c r="PI16" t="s">
        <v>1900</v>
      </c>
      <c r="PJ16" t="s">
        <v>1900</v>
      </c>
      <c r="PK16" t="s">
        <v>1900</v>
      </c>
      <c r="PL16" t="s">
        <v>1900</v>
      </c>
      <c r="PM16" t="s">
        <v>1900</v>
      </c>
      <c r="PN16" t="s">
        <v>1900</v>
      </c>
      <c r="PO16" t="s">
        <v>1900</v>
      </c>
      <c r="PP16" t="s">
        <v>1900</v>
      </c>
      <c r="PQ16" t="s">
        <v>1900</v>
      </c>
      <c r="PR16" t="s">
        <v>1900</v>
      </c>
      <c r="PS16" t="s">
        <v>1900</v>
      </c>
      <c r="PT16" t="s">
        <v>1900</v>
      </c>
      <c r="PU16" t="s">
        <v>1900</v>
      </c>
      <c r="PV16" t="s">
        <v>1900</v>
      </c>
      <c r="PW16" t="s">
        <v>1900</v>
      </c>
      <c r="PX16" t="s">
        <v>1900</v>
      </c>
      <c r="PY16" t="s">
        <v>1900</v>
      </c>
      <c r="PZ16" t="s">
        <v>1900</v>
      </c>
      <c r="QA16" t="s">
        <v>1900</v>
      </c>
      <c r="QB16" t="s">
        <v>1900</v>
      </c>
      <c r="QC16" t="s">
        <v>1900</v>
      </c>
      <c r="QD16" t="s">
        <v>1900</v>
      </c>
      <c r="QE16" t="s">
        <v>1900</v>
      </c>
      <c r="QF16" t="s">
        <v>1900</v>
      </c>
      <c r="QG16" t="s">
        <v>1900</v>
      </c>
      <c r="QH16" t="s">
        <v>1900</v>
      </c>
      <c r="QI16" t="s">
        <v>1900</v>
      </c>
      <c r="QJ16" t="s">
        <v>1900</v>
      </c>
      <c r="QK16" t="s">
        <v>1900</v>
      </c>
      <c r="QL16" t="s">
        <v>1900</v>
      </c>
      <c r="QM16" t="s">
        <v>1900</v>
      </c>
      <c r="QN16" t="s">
        <v>1900</v>
      </c>
      <c r="QO16" t="s">
        <v>1900</v>
      </c>
      <c r="QP16" t="s">
        <v>1900</v>
      </c>
      <c r="QQ16" t="s">
        <v>1900</v>
      </c>
      <c r="QR16" t="s">
        <v>1900</v>
      </c>
      <c r="QS16" t="s">
        <v>1900</v>
      </c>
      <c r="QT16" t="s">
        <v>1900</v>
      </c>
      <c r="QU16" t="s">
        <v>1900</v>
      </c>
      <c r="QV16" t="s">
        <v>1900</v>
      </c>
      <c r="QW16" t="s">
        <v>1900</v>
      </c>
      <c r="QX16" t="s">
        <v>1900</v>
      </c>
      <c r="QY16" t="s">
        <v>1900</v>
      </c>
      <c r="QZ16" t="s">
        <v>1900</v>
      </c>
      <c r="RA16" t="s">
        <v>1900</v>
      </c>
      <c r="RB16" t="s">
        <v>1900</v>
      </c>
      <c r="RC16" t="s">
        <v>1900</v>
      </c>
      <c r="RD16" t="s">
        <v>1900</v>
      </c>
      <c r="RE16" t="s">
        <v>1900</v>
      </c>
      <c r="RF16" t="s">
        <v>1900</v>
      </c>
      <c r="RG16" t="s">
        <v>1900</v>
      </c>
      <c r="RH16" t="s">
        <v>1900</v>
      </c>
      <c r="RI16" t="s">
        <v>1900</v>
      </c>
      <c r="RJ16" t="s">
        <v>1900</v>
      </c>
      <c r="RK16" t="s">
        <v>1900</v>
      </c>
      <c r="RL16" t="s">
        <v>1900</v>
      </c>
      <c r="RM16" t="s">
        <v>1900</v>
      </c>
      <c r="RN16" t="s">
        <v>1900</v>
      </c>
      <c r="RO16" t="s">
        <v>1900</v>
      </c>
      <c r="RP16" t="s">
        <v>1900</v>
      </c>
      <c r="RQ16" t="s">
        <v>1900</v>
      </c>
      <c r="RR16" t="s">
        <v>1900</v>
      </c>
      <c r="RS16" t="s">
        <v>1900</v>
      </c>
      <c r="RT16" t="s">
        <v>1900</v>
      </c>
      <c r="RU16" t="s">
        <v>1900</v>
      </c>
      <c r="RV16" t="s">
        <v>1900</v>
      </c>
      <c r="RW16" t="s">
        <v>1900</v>
      </c>
      <c r="RX16" t="s">
        <v>1900</v>
      </c>
      <c r="RY16" t="s">
        <v>1900</v>
      </c>
      <c r="RZ16" t="s">
        <v>1900</v>
      </c>
      <c r="SA16" t="s">
        <v>1900</v>
      </c>
      <c r="SB16" t="s">
        <v>1900</v>
      </c>
      <c r="SC16" t="s">
        <v>1900</v>
      </c>
      <c r="SD16" t="s">
        <v>1900</v>
      </c>
      <c r="SE16" t="s">
        <v>1900</v>
      </c>
      <c r="SF16" t="s">
        <v>1900</v>
      </c>
      <c r="SG16" t="s">
        <v>1900</v>
      </c>
      <c r="SH16" t="s">
        <v>1900</v>
      </c>
      <c r="SI16" t="s">
        <v>1900</v>
      </c>
      <c r="SJ16">
        <v>108640.498853811</v>
      </c>
      <c r="SK16">
        <v>115552.8522087</v>
      </c>
      <c r="SL16">
        <v>147915.471999331</v>
      </c>
      <c r="SM16">
        <v>129456.271773219</v>
      </c>
      <c r="SN16">
        <v>130440.716884464</v>
      </c>
      <c r="SO16" t="s">
        <v>1900</v>
      </c>
      <c r="SP16" t="s">
        <v>1900</v>
      </c>
      <c r="SQ16" t="s">
        <v>1900</v>
      </c>
      <c r="SR16" t="s">
        <v>1900</v>
      </c>
      <c r="SS16" t="s">
        <v>1900</v>
      </c>
      <c r="ST16" t="s">
        <v>1900</v>
      </c>
      <c r="SU16" t="s">
        <v>1900</v>
      </c>
      <c r="SV16" t="s">
        <v>1900</v>
      </c>
      <c r="SW16" t="s">
        <v>1900</v>
      </c>
      <c r="SX16" t="s">
        <v>1900</v>
      </c>
      <c r="SY16" t="s">
        <v>1900</v>
      </c>
      <c r="SZ16" t="s">
        <v>1900</v>
      </c>
      <c r="TA16" t="s">
        <v>1900</v>
      </c>
      <c r="TB16" t="s">
        <v>1900</v>
      </c>
      <c r="TC16" t="s">
        <v>1900</v>
      </c>
      <c r="TD16" t="s">
        <v>1900</v>
      </c>
      <c r="TE16" t="s">
        <v>1900</v>
      </c>
      <c r="TF16" t="s">
        <v>1900</v>
      </c>
      <c r="TG16" t="s">
        <v>1900</v>
      </c>
      <c r="TH16" t="s">
        <v>1900</v>
      </c>
      <c r="TI16" t="s">
        <v>1900</v>
      </c>
      <c r="TJ16" t="s">
        <v>1900</v>
      </c>
      <c r="TK16" t="s">
        <v>1900</v>
      </c>
      <c r="TL16" t="s">
        <v>1900</v>
      </c>
      <c r="TM16" t="s">
        <v>1900</v>
      </c>
      <c r="TN16" t="s">
        <v>1900</v>
      </c>
      <c r="TO16" t="s">
        <v>1900</v>
      </c>
      <c r="TP16" t="s">
        <v>1900</v>
      </c>
      <c r="TQ16" t="s">
        <v>1900</v>
      </c>
      <c r="TR16" t="s">
        <v>1900</v>
      </c>
      <c r="TS16">
        <v>1589381.4588074</v>
      </c>
      <c r="TT16">
        <v>1787538.58347535</v>
      </c>
      <c r="TU16">
        <v>1565967.8868434</v>
      </c>
      <c r="TV16">
        <v>1661958.78807442</v>
      </c>
      <c r="TW16">
        <v>1761227.35210524</v>
      </c>
      <c r="TX16" t="s">
        <v>1900</v>
      </c>
      <c r="TY16" t="s">
        <v>1900</v>
      </c>
      <c r="TZ16" t="s">
        <v>1900</v>
      </c>
      <c r="UA16" t="s">
        <v>1900</v>
      </c>
      <c r="UB16" t="s">
        <v>1900</v>
      </c>
      <c r="UC16">
        <v>0</v>
      </c>
      <c r="UD16">
        <v>0</v>
      </c>
      <c r="UE16">
        <v>0</v>
      </c>
      <c r="UF16">
        <v>0</v>
      </c>
      <c r="UG16">
        <v>0</v>
      </c>
      <c r="UH16" t="s">
        <v>1900</v>
      </c>
      <c r="UI16" t="s">
        <v>1900</v>
      </c>
      <c r="UJ16" t="s">
        <v>1900</v>
      </c>
      <c r="UK16" t="s">
        <v>1900</v>
      </c>
      <c r="UL16" t="s">
        <v>1900</v>
      </c>
      <c r="UM16" t="s">
        <v>1900</v>
      </c>
      <c r="UN16" t="s">
        <v>1900</v>
      </c>
      <c r="UO16" t="s">
        <v>1900</v>
      </c>
      <c r="UP16" t="s">
        <v>1900</v>
      </c>
      <c r="UQ16" t="s">
        <v>1900</v>
      </c>
      <c r="UR16" t="s">
        <v>1900</v>
      </c>
      <c r="US16" t="s">
        <v>1900</v>
      </c>
      <c r="UT16" t="s">
        <v>1900</v>
      </c>
      <c r="UU16" t="s">
        <v>1900</v>
      </c>
      <c r="UV16" t="s">
        <v>1900</v>
      </c>
      <c r="UW16" t="s">
        <v>1900</v>
      </c>
      <c r="UX16" t="s">
        <v>1900</v>
      </c>
      <c r="UY16" t="s">
        <v>1900</v>
      </c>
      <c r="UZ16" t="s">
        <v>1900</v>
      </c>
      <c r="VA16" t="s">
        <v>1900</v>
      </c>
      <c r="VB16" t="s">
        <v>1900</v>
      </c>
      <c r="VC16" t="s">
        <v>1900</v>
      </c>
      <c r="VD16" t="s">
        <v>1900</v>
      </c>
      <c r="VE16" t="s">
        <v>1900</v>
      </c>
      <c r="VF16" t="s">
        <v>1900</v>
      </c>
      <c r="VG16" t="s">
        <v>1900</v>
      </c>
      <c r="VH16" t="s">
        <v>1900</v>
      </c>
      <c r="VI16" t="s">
        <v>1900</v>
      </c>
      <c r="VJ16" t="s">
        <v>1900</v>
      </c>
      <c r="VK16" t="s">
        <v>1900</v>
      </c>
      <c r="VL16" t="s">
        <v>1900</v>
      </c>
      <c r="VM16" t="s">
        <v>1900</v>
      </c>
      <c r="VN16" t="s">
        <v>1900</v>
      </c>
      <c r="VO16" t="s">
        <v>1900</v>
      </c>
      <c r="VP16" t="s">
        <v>1900</v>
      </c>
      <c r="VQ16" t="s">
        <v>1900</v>
      </c>
      <c r="VR16" t="s">
        <v>1900</v>
      </c>
      <c r="VS16" t="s">
        <v>1900</v>
      </c>
      <c r="VT16" t="s">
        <v>1900</v>
      </c>
      <c r="VU16" t="s">
        <v>1900</v>
      </c>
      <c r="VV16" t="s">
        <v>1900</v>
      </c>
      <c r="VW16" t="s">
        <v>1900</v>
      </c>
      <c r="VX16" t="s">
        <v>1900</v>
      </c>
      <c r="VY16" t="s">
        <v>1900</v>
      </c>
      <c r="VZ16" t="s">
        <v>1900</v>
      </c>
      <c r="WA16">
        <v>434109.159883356</v>
      </c>
      <c r="WB16">
        <v>484326.191504643</v>
      </c>
      <c r="WC16">
        <v>408056.101773578</v>
      </c>
      <c r="WD16">
        <v>431244.463470418</v>
      </c>
      <c r="WE16">
        <v>371268.131873428</v>
      </c>
      <c r="WF16" t="s">
        <v>1900</v>
      </c>
      <c r="WG16" t="s">
        <v>1900</v>
      </c>
      <c r="WH16" t="s">
        <v>1900</v>
      </c>
      <c r="WI16" t="s">
        <v>1900</v>
      </c>
      <c r="WJ16" t="s">
        <v>1900</v>
      </c>
      <c r="WK16" t="s">
        <v>1900</v>
      </c>
      <c r="WL16" t="s">
        <v>1900</v>
      </c>
      <c r="WM16" t="s">
        <v>1900</v>
      </c>
      <c r="WN16" t="s">
        <v>1900</v>
      </c>
      <c r="WO16" t="s">
        <v>1900</v>
      </c>
      <c r="WP16" t="s">
        <v>1900</v>
      </c>
      <c r="WQ16" t="s">
        <v>1900</v>
      </c>
      <c r="WR16" t="s">
        <v>1900</v>
      </c>
      <c r="WS16" t="s">
        <v>1900</v>
      </c>
      <c r="WT16" t="s">
        <v>1900</v>
      </c>
      <c r="WU16" t="s">
        <v>1900</v>
      </c>
      <c r="WV16" t="s">
        <v>1900</v>
      </c>
      <c r="WW16" t="s">
        <v>1900</v>
      </c>
      <c r="WX16" t="s">
        <v>1900</v>
      </c>
      <c r="WY16" t="s">
        <v>1900</v>
      </c>
      <c r="WZ16" t="s">
        <v>1900</v>
      </c>
      <c r="XA16" t="s">
        <v>1900</v>
      </c>
      <c r="XB16" t="s">
        <v>1900</v>
      </c>
      <c r="XC16" t="s">
        <v>1900</v>
      </c>
      <c r="XD16" t="s">
        <v>1900</v>
      </c>
      <c r="XE16" t="s">
        <v>1900</v>
      </c>
      <c r="XF16" t="s">
        <v>1900</v>
      </c>
      <c r="XG16" t="s">
        <v>1900</v>
      </c>
      <c r="XH16" t="s">
        <v>1900</v>
      </c>
      <c r="XI16" t="s">
        <v>1900</v>
      </c>
      <c r="XJ16">
        <v>26427.9420812607</v>
      </c>
      <c r="XK16">
        <v>28109.4446151733</v>
      </c>
      <c r="XL16">
        <v>86124.890200311</v>
      </c>
      <c r="XM16">
        <v>26047.7910431385</v>
      </c>
      <c r="XN16">
        <v>22171.0706192076</v>
      </c>
      <c r="XO16" t="s">
        <v>1900</v>
      </c>
      <c r="XP16" t="s">
        <v>1900</v>
      </c>
      <c r="XQ16" t="s">
        <v>1900</v>
      </c>
      <c r="XR16" t="s">
        <v>1900</v>
      </c>
      <c r="XS16" t="s">
        <v>1900</v>
      </c>
      <c r="XT16" t="s">
        <v>1900</v>
      </c>
      <c r="XU16" t="s">
        <v>1900</v>
      </c>
      <c r="XV16" t="s">
        <v>1900</v>
      </c>
      <c r="XW16" t="s">
        <v>1900</v>
      </c>
      <c r="XX16" t="s">
        <v>1900</v>
      </c>
      <c r="XY16" t="s">
        <v>1900</v>
      </c>
      <c r="XZ16" t="s">
        <v>1900</v>
      </c>
      <c r="YA16">
        <v>58992.3057781994</v>
      </c>
      <c r="YB16" t="s">
        <v>1900</v>
      </c>
      <c r="YC16" t="s">
        <v>1900</v>
      </c>
      <c r="YD16" t="s">
        <v>1900</v>
      </c>
      <c r="YE16" t="s">
        <v>1900</v>
      </c>
      <c r="YF16" t="s">
        <v>1900</v>
      </c>
      <c r="YG16" t="s">
        <v>1900</v>
      </c>
      <c r="YH16" t="s">
        <v>1900</v>
      </c>
      <c r="YI16" t="s">
        <v>1900</v>
      </c>
      <c r="YJ16" t="s">
        <v>1900</v>
      </c>
      <c r="YK16" t="s">
        <v>1900</v>
      </c>
      <c r="YL16" t="s">
        <v>1900</v>
      </c>
      <c r="YM16" t="s">
        <v>1900</v>
      </c>
      <c r="YN16" t="s">
        <v>1900</v>
      </c>
      <c r="YO16" t="s">
        <v>1900</v>
      </c>
      <c r="YP16" t="s">
        <v>1900</v>
      </c>
      <c r="YQ16" t="s">
        <v>1900</v>
      </c>
      <c r="YR16" t="s">
        <v>1900</v>
      </c>
      <c r="YS16" t="s">
        <v>1900</v>
      </c>
      <c r="YT16" t="s">
        <v>1900</v>
      </c>
      <c r="YU16" t="s">
        <v>1900</v>
      </c>
      <c r="YV16" t="s">
        <v>1900</v>
      </c>
      <c r="YW16" t="s">
        <v>1900</v>
      </c>
      <c r="YX16" t="s">
        <v>1900</v>
      </c>
      <c r="YY16" t="s">
        <v>1900</v>
      </c>
      <c r="YZ16" t="s">
        <v>1900</v>
      </c>
      <c r="ZA16" t="s">
        <v>1900</v>
      </c>
      <c r="ZB16" t="s">
        <v>1900</v>
      </c>
      <c r="ZC16" t="s">
        <v>1900</v>
      </c>
      <c r="ZD16" t="s">
        <v>1900</v>
      </c>
      <c r="ZE16" t="s">
        <v>1900</v>
      </c>
      <c r="ZF16" t="s">
        <v>1900</v>
      </c>
      <c r="ZG16" t="s">
        <v>1900</v>
      </c>
      <c r="ZH16" t="s">
        <v>1900</v>
      </c>
      <c r="ZI16" t="s">
        <v>1900</v>
      </c>
      <c r="ZJ16" t="s">
        <v>1900</v>
      </c>
      <c r="ZK16" t="s">
        <v>1900</v>
      </c>
      <c r="ZL16" t="s">
        <v>1900</v>
      </c>
      <c r="ZM16" t="s">
        <v>1900</v>
      </c>
      <c r="ZN16" t="s">
        <v>1900</v>
      </c>
      <c r="ZO16" t="s">
        <v>1900</v>
      </c>
      <c r="ZP16" t="s">
        <v>1900</v>
      </c>
      <c r="ZQ16" t="s">
        <v>1900</v>
      </c>
      <c r="ZR16" t="s">
        <v>1900</v>
      </c>
      <c r="ZS16" t="s">
        <v>1900</v>
      </c>
      <c r="ZT16" t="s">
        <v>1900</v>
      </c>
      <c r="ZU16" t="s">
        <v>1900</v>
      </c>
      <c r="ZV16" t="s">
        <v>1900</v>
      </c>
      <c r="ZW16" t="s">
        <v>1900</v>
      </c>
      <c r="ZX16" t="s">
        <v>1900</v>
      </c>
      <c r="ZY16" t="s">
        <v>1900</v>
      </c>
      <c r="ZZ16" t="s">
        <v>1900</v>
      </c>
      <c r="AAA16" t="s">
        <v>1900</v>
      </c>
      <c r="AAB16" t="s">
        <v>1900</v>
      </c>
      <c r="AAC16" t="s">
        <v>1900</v>
      </c>
      <c r="AAD16" t="s">
        <v>1900</v>
      </c>
      <c r="AAE16" t="s">
        <v>1900</v>
      </c>
      <c r="AAF16" t="s">
        <v>1900</v>
      </c>
      <c r="AAG16" t="s">
        <v>1900</v>
      </c>
      <c r="AAH16" t="s">
        <v>1900</v>
      </c>
      <c r="AAI16" t="s">
        <v>1900</v>
      </c>
      <c r="AAJ16" t="s">
        <v>1900</v>
      </c>
      <c r="AAK16" t="s">
        <v>1900</v>
      </c>
      <c r="AAL16" t="s">
        <v>1900</v>
      </c>
      <c r="AAM16" t="s">
        <v>1900</v>
      </c>
      <c r="AAN16" t="s">
        <v>1900</v>
      </c>
      <c r="AAO16" t="s">
        <v>1900</v>
      </c>
      <c r="AAP16" t="s">
        <v>1900</v>
      </c>
      <c r="AAQ16" t="s">
        <v>1900</v>
      </c>
      <c r="AAR16" t="s">
        <v>1900</v>
      </c>
      <c r="AAS16" t="s">
        <v>1900</v>
      </c>
      <c r="AAT16" t="s">
        <v>1900</v>
      </c>
      <c r="AAU16" t="s">
        <v>1900</v>
      </c>
      <c r="AAV16" t="s">
        <v>1900</v>
      </c>
      <c r="AAW16" t="s">
        <v>1900</v>
      </c>
      <c r="AAX16" t="s">
        <v>1900</v>
      </c>
      <c r="AAY16" t="s">
        <v>1900</v>
      </c>
      <c r="AAZ16" t="s">
        <v>1900</v>
      </c>
      <c r="ABA16" t="s">
        <v>1900</v>
      </c>
      <c r="ABB16" t="s">
        <v>1900</v>
      </c>
      <c r="ABC16" t="s">
        <v>1900</v>
      </c>
      <c r="ABD16" t="s">
        <v>1900</v>
      </c>
      <c r="ABE16" t="s">
        <v>1900</v>
      </c>
      <c r="ABF16" t="s">
        <v>1900</v>
      </c>
      <c r="ABG16" t="s">
        <v>1900</v>
      </c>
      <c r="ABH16" t="s">
        <v>1900</v>
      </c>
      <c r="ABI16" t="s">
        <v>1900</v>
      </c>
      <c r="ABJ16" t="s">
        <v>1900</v>
      </c>
      <c r="ABK16" t="s">
        <v>1900</v>
      </c>
      <c r="ABL16" t="s">
        <v>1900</v>
      </c>
      <c r="ABM16" t="s">
        <v>1900</v>
      </c>
      <c r="ABN16" t="s">
        <v>1900</v>
      </c>
      <c r="ABO16" t="s">
        <v>1900</v>
      </c>
      <c r="ABP16" t="s">
        <v>1900</v>
      </c>
      <c r="ABQ16" t="s">
        <v>1900</v>
      </c>
      <c r="ABR16" t="s">
        <v>1900</v>
      </c>
      <c r="ABS16" t="s">
        <v>1900</v>
      </c>
      <c r="ABT16" t="s">
        <v>1900</v>
      </c>
      <c r="ABU16" t="s">
        <v>1900</v>
      </c>
      <c r="ABV16" t="s">
        <v>1900</v>
      </c>
      <c r="ABW16" t="s">
        <v>1900</v>
      </c>
      <c r="ABX16" t="s">
        <v>1900</v>
      </c>
      <c r="ABY16" t="s">
        <v>1900</v>
      </c>
      <c r="ABZ16" t="s">
        <v>1900</v>
      </c>
      <c r="ACA16" t="s">
        <v>1900</v>
      </c>
      <c r="ACB16" t="s">
        <v>1900</v>
      </c>
      <c r="ACC16" t="s">
        <v>1900</v>
      </c>
      <c r="ACD16" t="s">
        <v>1900</v>
      </c>
      <c r="ACE16">
        <v>39.488</v>
      </c>
      <c r="ACF16">
        <v>30.727</v>
      </c>
      <c r="ACG16">
        <v>-6.473</v>
      </c>
      <c r="ACH16">
        <v>21.276</v>
      </c>
      <c r="ACI16">
        <v>33.952</v>
      </c>
      <c r="ACJ16" t="s">
        <v>1900</v>
      </c>
      <c r="ACK16" t="s">
        <v>1900</v>
      </c>
      <c r="ACL16">
        <v>-5.817</v>
      </c>
      <c r="ACM16">
        <v>20.793</v>
      </c>
      <c r="ACN16">
        <v>33.309</v>
      </c>
      <c r="ACO16">
        <v>23.595</v>
      </c>
      <c r="ACP16">
        <v>19.251</v>
      </c>
      <c r="ACQ16">
        <v>-3.58</v>
      </c>
      <c r="ACR16">
        <v>14.237</v>
      </c>
      <c r="ACS16">
        <v>21.444</v>
      </c>
      <c r="ACT16">
        <v>34.932</v>
      </c>
      <c r="ACU16">
        <v>24.641</v>
      </c>
      <c r="ACV16">
        <v>-5.028</v>
      </c>
      <c r="ACW16">
        <v>16.255</v>
      </c>
      <c r="ACX16">
        <v>25.846</v>
      </c>
      <c r="ACY16" t="s">
        <v>1900</v>
      </c>
      <c r="ACZ16" t="s">
        <v>1900</v>
      </c>
      <c r="ADA16">
        <v>-4.503</v>
      </c>
      <c r="ADB16">
        <v>15.887</v>
      </c>
      <c r="ADC16">
        <v>25.361</v>
      </c>
      <c r="ADD16">
        <v>20.872</v>
      </c>
      <c r="ADE16">
        <v>15.439</v>
      </c>
      <c r="ADF16">
        <v>-2.781</v>
      </c>
      <c r="ADG16">
        <v>10.877</v>
      </c>
      <c r="ADH16">
        <v>16.324</v>
      </c>
      <c r="ADI16">
        <v>16.314</v>
      </c>
      <c r="ADJ16">
        <v>17.404</v>
      </c>
      <c r="ADK16">
        <v>-3.427</v>
      </c>
      <c r="ADL16">
        <v>12.001</v>
      </c>
      <c r="ADM16">
        <v>20.141</v>
      </c>
      <c r="ADN16">
        <v>74.89100000000001</v>
      </c>
      <c r="ADO16">
        <v>74.246</v>
      </c>
      <c r="ADP16">
        <v>77.536</v>
      </c>
      <c r="ADQ16">
        <v>73.786</v>
      </c>
      <c r="ADR16">
        <v>73.20099999999999</v>
      </c>
      <c r="ADS16">
        <v>16.311445481</v>
      </c>
      <c r="ADT16">
        <v>16.927851885</v>
      </c>
      <c r="ADU16">
        <v>-0.960589051</v>
      </c>
      <c r="ADV16">
        <v>14.437036864</v>
      </c>
      <c r="ADW16">
        <v>20.028593416</v>
      </c>
      <c r="ADX16">
        <v>17.133</v>
      </c>
      <c r="ADY16">
        <v>18.826</v>
      </c>
      <c r="ADZ16">
        <v>1.333</v>
      </c>
      <c r="AEA16">
        <v>16.692</v>
      </c>
      <c r="AEB16">
        <v>22.732</v>
      </c>
      <c r="AEC16">
        <v>16.311</v>
      </c>
      <c r="AED16">
        <v>16.928</v>
      </c>
      <c r="AEE16">
        <v>-0.961</v>
      </c>
      <c r="AEF16">
        <v>14.437</v>
      </c>
      <c r="AEG16">
        <v>20.029</v>
      </c>
      <c r="AEH16">
        <v>15.253</v>
      </c>
      <c r="AEI16">
        <v>15.856</v>
      </c>
      <c r="AEJ16">
        <v>-0.368</v>
      </c>
      <c r="AEK16">
        <v>11.424</v>
      </c>
      <c r="AEL16">
        <v>18.036</v>
      </c>
      <c r="AEM16">
        <v>19.490652664</v>
      </c>
      <c r="AEN16">
        <v>20.377289223</v>
      </c>
      <c r="AEO16">
        <v>-0.951449531</v>
      </c>
      <c r="AEP16">
        <v>16.872997772</v>
      </c>
      <c r="AEQ16">
        <v>25.044693187</v>
      </c>
      <c r="AER16">
        <v>1.278450879</v>
      </c>
      <c r="AES16">
        <v>1.295331006</v>
      </c>
      <c r="AET16">
        <v>0.987762691</v>
      </c>
      <c r="AEU16">
        <v>1.243255499</v>
      </c>
      <c r="AEV16">
        <v>1.376672989</v>
      </c>
      <c r="AEW16" t="s">
        <v>1900</v>
      </c>
      <c r="AEX16" t="s">
        <v>1900</v>
      </c>
      <c r="AEY16" t="s">
        <v>1900</v>
      </c>
      <c r="AEZ16" t="s">
        <v>1900</v>
      </c>
      <c r="AFA16" t="s">
        <v>1900</v>
      </c>
      <c r="AFB16" t="s">
        <v>1900</v>
      </c>
      <c r="AFC16" t="s">
        <v>1900</v>
      </c>
      <c r="AFD16" t="s">
        <v>1900</v>
      </c>
      <c r="AFE16" t="s">
        <v>1900</v>
      </c>
      <c r="AFF16" t="s">
        <v>1900</v>
      </c>
      <c r="AFG16">
        <v>2.355</v>
      </c>
      <c r="AFH16">
        <v>1.722</v>
      </c>
      <c r="AFI16">
        <v>1.718</v>
      </c>
      <c r="AFJ16">
        <v>1.732</v>
      </c>
      <c r="AFK16">
        <v>1.653</v>
      </c>
      <c r="AFL16" t="s">
        <v>1900</v>
      </c>
      <c r="AFM16" t="s">
        <v>1900</v>
      </c>
      <c r="AFN16">
        <v>-23.399</v>
      </c>
      <c r="AFO16" t="s">
        <v>1901</v>
      </c>
      <c r="AFP16" t="s">
        <v>1901</v>
      </c>
      <c r="AFQ16">
        <v>96.078</v>
      </c>
      <c r="AFR16">
        <v>24.492</v>
      </c>
      <c r="AFS16">
        <v>9.563000000000001</v>
      </c>
      <c r="AFT16">
        <v>30.512</v>
      </c>
      <c r="AFU16">
        <v>8.617000000000001</v>
      </c>
      <c r="AFV16">
        <v>65.73</v>
      </c>
      <c r="AFW16">
        <v>114.483</v>
      </c>
      <c r="AFX16">
        <v>160.995</v>
      </c>
      <c r="AFY16">
        <v>185.897</v>
      </c>
      <c r="AFZ16">
        <v>121.416</v>
      </c>
      <c r="AGA16">
        <v>28.058</v>
      </c>
      <c r="AGB16">
        <v>28.248</v>
      </c>
      <c r="AGC16">
        <v>45.257</v>
      </c>
      <c r="AGD16">
        <v>16.893</v>
      </c>
      <c r="AGE16">
        <v>49.036</v>
      </c>
      <c r="AGF16" t="s">
        <v>1900</v>
      </c>
      <c r="AGG16" t="s">
        <v>1900</v>
      </c>
      <c r="AGH16" t="s">
        <v>1900</v>
      </c>
      <c r="AGI16" t="s">
        <v>1900</v>
      </c>
      <c r="AGJ16" t="s">
        <v>1900</v>
      </c>
      <c r="AGK16" t="s">
        <v>1900</v>
      </c>
      <c r="AGL16" t="s">
        <v>1900</v>
      </c>
      <c r="AGM16" t="s">
        <v>1900</v>
      </c>
      <c r="AGN16" t="s">
        <v>1900</v>
      </c>
      <c r="AGO16" t="s">
        <v>1900</v>
      </c>
      <c r="AGP16" t="s">
        <v>1900</v>
      </c>
      <c r="AGQ16" t="s">
        <v>1900</v>
      </c>
      <c r="AGR16" t="s">
        <v>1900</v>
      </c>
      <c r="AGS16" t="s">
        <v>1900</v>
      </c>
      <c r="AGT16" t="s">
        <v>1900</v>
      </c>
      <c r="AGU16">
        <v>0</v>
      </c>
      <c r="AGV16">
        <v>0</v>
      </c>
      <c r="AGW16">
        <v>0</v>
      </c>
      <c r="AGX16">
        <v>0</v>
      </c>
      <c r="AGY16">
        <v>0</v>
      </c>
      <c r="AGZ16">
        <v>2.302</v>
      </c>
      <c r="AHA16">
        <v>2.484</v>
      </c>
      <c r="AHB16">
        <v>2.133</v>
      </c>
      <c r="AHC16">
        <v>2.657</v>
      </c>
      <c r="AHD16">
        <v>2.347</v>
      </c>
      <c r="AHE16">
        <v>2.263</v>
      </c>
      <c r="AHF16">
        <v>2.358</v>
      </c>
      <c r="AHG16">
        <v>1.854</v>
      </c>
      <c r="AHH16">
        <v>2.534</v>
      </c>
      <c r="AHI16">
        <v>2</v>
      </c>
      <c r="AHJ16">
        <v>35.935</v>
      </c>
      <c r="AHK16">
        <v>39.842</v>
      </c>
      <c r="AHL16">
        <v>10.056</v>
      </c>
      <c r="AHM16">
        <v>42.697</v>
      </c>
      <c r="AHN16">
        <v>50.172</v>
      </c>
      <c r="AHO16">
        <v>59.752</v>
      </c>
      <c r="AHP16">
        <v>62.653</v>
      </c>
      <c r="AHQ16">
        <v>55.307</v>
      </c>
      <c r="AHR16">
        <v>66.91800000000001</v>
      </c>
      <c r="AHS16">
        <v>63.159</v>
      </c>
      <c r="AHT16" t="s">
        <v>1901</v>
      </c>
      <c r="AHU16" t="s">
        <v>1901</v>
      </c>
      <c r="AHV16" t="s">
        <v>1901</v>
      </c>
      <c r="AHW16" t="s">
        <v>1901</v>
      </c>
      <c r="AHX16" t="s">
        <v>1901</v>
      </c>
      <c r="AHY16">
        <v>2.783</v>
      </c>
      <c r="AHZ16">
        <v>2.51</v>
      </c>
      <c r="AIA16">
        <v>9.944000000000001</v>
      </c>
      <c r="AIB16">
        <v>2.342</v>
      </c>
      <c r="AIC16">
        <v>1.993</v>
      </c>
      <c r="AID16">
        <v>6.83539488</v>
      </c>
      <c r="AIE16">
        <v>6.464355694</v>
      </c>
      <c r="AIF16">
        <v>9.445626136</v>
      </c>
      <c r="AIG16">
        <v>7.789379177</v>
      </c>
      <c r="AIH16">
        <v>7.40623956</v>
      </c>
      <c r="AII16">
        <v>60.896192625</v>
      </c>
      <c r="AIJ16">
        <v>49.175964672</v>
      </c>
      <c r="AIK16">
        <v>25.951067989</v>
      </c>
      <c r="AIL16">
        <v>18.589191259</v>
      </c>
      <c r="AIM16">
        <v>35.248666571</v>
      </c>
      <c r="AIN16">
        <v>27.313088213</v>
      </c>
      <c r="AIO16">
        <v>27.094586712</v>
      </c>
      <c r="AIP16">
        <v>26.057756688</v>
      </c>
      <c r="AIQ16">
        <v>25.947963726</v>
      </c>
      <c r="AIR16">
        <v>21.080079834</v>
      </c>
      <c r="AIS16">
        <v>4.145146975</v>
      </c>
      <c r="AIT16">
        <v>15.853513944</v>
      </c>
      <c r="AIU16">
        <v>46.551044171</v>
      </c>
      <c r="AIV16">
        <v>12.502798733</v>
      </c>
      <c r="AIW16">
        <v>43.305276566</v>
      </c>
      <c r="AIX16">
        <v>16.3049226160117</v>
      </c>
      <c r="AIY16">
        <v>18.1119802534342</v>
      </c>
      <c r="AIZ16">
        <v>-3.50412809696138</v>
      </c>
      <c r="AJA16">
        <v>13.9186474992657</v>
      </c>
      <c r="AJB16">
        <v>22.2162597780085</v>
      </c>
      <c r="AJC16">
        <v>99.9442894734422</v>
      </c>
      <c r="AJD16">
        <v>104.067858279376</v>
      </c>
      <c r="AJE16">
        <v>102.26420861926</v>
      </c>
      <c r="AJF16">
        <v>115.976924822609</v>
      </c>
      <c r="AJG16">
        <v>110.301791422675</v>
      </c>
      <c r="AJH16">
        <v>45.107</v>
      </c>
      <c r="AJI16">
        <v>41.845</v>
      </c>
      <c r="AJJ16">
        <v>53.259</v>
      </c>
      <c r="AJK16">
        <v>42.171</v>
      </c>
      <c r="AJL16">
        <v>36.909</v>
      </c>
      <c r="AJM16">
        <v>45.0815267062781</v>
      </c>
      <c r="AJN16">
        <v>43.5473833385305</v>
      </c>
      <c r="AJO16">
        <v>54.4647104096854</v>
      </c>
      <c r="AJP16">
        <v>48.9085082466888</v>
      </c>
      <c r="AJQ16">
        <v>40.7117569171554</v>
      </c>
      <c r="AJR16">
        <v>41.2907277274654</v>
      </c>
      <c r="AJS16">
        <v>58.9446900886526</v>
      </c>
      <c r="AJT16">
        <v>54.1305309242207</v>
      </c>
      <c r="AJU16">
        <v>65.42065301860571</v>
      </c>
      <c r="AJV16">
        <v>65.4339093062127</v>
      </c>
      <c r="AJW16">
        <v>11.4990585295652</v>
      </c>
      <c r="AJX16">
        <v>29.1774519044819</v>
      </c>
      <c r="AJY16">
        <v>43.5710669319248</v>
      </c>
      <c r="AJZ16">
        <v>58.2473425624824</v>
      </c>
      <c r="AKA16">
        <v>34.9777169997036</v>
      </c>
      <c r="AKB16">
        <v>69.1035415969391</v>
      </c>
      <c r="AKC16">
        <v>94.0809776123867</v>
      </c>
      <c r="AKD16">
        <v>97.8729929277122</v>
      </c>
      <c r="AKE16">
        <v>97.7622813183189</v>
      </c>
      <c r="AKF16">
        <v>103.601608369908</v>
      </c>
      <c r="AKG16">
        <v>4.145146975</v>
      </c>
      <c r="AKH16">
        <v>15.853513944</v>
      </c>
      <c r="AKI16">
        <v>46.551044171</v>
      </c>
      <c r="AKJ16">
        <v>12.502798733</v>
      </c>
      <c r="AKK16">
        <v>43.305276566</v>
      </c>
      <c r="AKL16">
        <v>1.040817307</v>
      </c>
      <c r="AKM16">
        <v>4.082900264</v>
      </c>
      <c r="AKN16">
        <v>10.457150056</v>
      </c>
      <c r="AKO16">
        <v>3.277444989</v>
      </c>
      <c r="AKP16">
        <v>11.605399364</v>
      </c>
      <c r="AKQ16">
        <v>1.505331619</v>
      </c>
      <c r="AKR16">
        <v>4.516308142</v>
      </c>
      <c r="AKS16">
        <v>10.926325507</v>
      </c>
      <c r="AKT16">
        <v>3.888084293</v>
      </c>
      <c r="AKU16">
        <v>12.35595045</v>
      </c>
      <c r="AKV16">
        <v>1.915290915</v>
      </c>
      <c r="AKW16">
        <v>2.709495085</v>
      </c>
      <c r="AKX16">
        <v>3.558455921</v>
      </c>
      <c r="AKY16">
        <v>2.953556234</v>
      </c>
      <c r="AKZ16">
        <v>0</v>
      </c>
      <c r="ALA16">
        <v>2.770080738</v>
      </c>
      <c r="ALB16">
        <v>2.997113306</v>
      </c>
      <c r="ALC16">
        <v>3.718111291</v>
      </c>
      <c r="ALD16">
        <v>3.503849993</v>
      </c>
      <c r="ALE16">
        <v>0</v>
      </c>
      <c r="ALF16">
        <v>1.096482744</v>
      </c>
      <c r="ALG16">
        <v>1.509461301</v>
      </c>
      <c r="ALH16">
        <v>3.092916035</v>
      </c>
      <c r="ALI16">
        <v>4.189729248</v>
      </c>
      <c r="ALJ16">
        <v>8.529784588</v>
      </c>
      <c r="ALK16">
        <v>1.585840409</v>
      </c>
      <c r="ALL16">
        <v>1.669693581</v>
      </c>
      <c r="ALM16">
        <v>3.231684272</v>
      </c>
      <c r="ALN16">
        <v>4.97034139</v>
      </c>
      <c r="ALO16">
        <v>9.081427741000001</v>
      </c>
      <c r="ALP16">
        <v>18.258454505</v>
      </c>
      <c r="ALQ16">
        <v>31.800842728</v>
      </c>
      <c r="ALR16">
        <v>44.720723557</v>
      </c>
      <c r="ALS16">
        <v>51.638156943</v>
      </c>
      <c r="ALT16">
        <v>33.726533817</v>
      </c>
      <c r="ALU16">
        <v>42.685997289</v>
      </c>
      <c r="ALV16">
        <v>24.674801904</v>
      </c>
      <c r="ALW16">
        <v>28.111138343</v>
      </c>
      <c r="ALX16">
        <v>9.087049756000001</v>
      </c>
      <c r="ALY16">
        <v>40.386627474</v>
      </c>
      <c r="ALZ16">
        <v>74.8907019846919</v>
      </c>
      <c r="AMA16">
        <v>74.2460865220456</v>
      </c>
      <c r="AMB16">
        <v>77.5361643508345</v>
      </c>
      <c r="AMC16">
        <v>73.7863092953302</v>
      </c>
      <c r="AMD16">
        <v>73.2009577488259</v>
      </c>
      <c r="AME16">
        <v>76.7552855248378</v>
      </c>
      <c r="AMF16">
        <v>74.5450852520203</v>
      </c>
      <c r="AMG16">
        <v>78.26585636537121</v>
      </c>
      <c r="AMH16">
        <v>74.0475682108797</v>
      </c>
      <c r="AMI16">
        <v>74.5004556108974</v>
      </c>
      <c r="AMJ16">
        <v>298.25884395109</v>
      </c>
      <c r="AMK16">
        <v>288.290502278813</v>
      </c>
      <c r="AML16">
        <v>345.159952030341</v>
      </c>
      <c r="AMM16">
        <v>281.480048447301</v>
      </c>
      <c r="AMN16">
        <v>273.147663497634</v>
      </c>
      <c r="AMO16">
        <v>1.27845087926995</v>
      </c>
      <c r="AMP16">
        <v>1.29533100578253</v>
      </c>
      <c r="AMQ16">
        <v>0.9877626906879859</v>
      </c>
      <c r="AMR16">
        <v>1.24325549992013</v>
      </c>
      <c r="AMS16">
        <v>1.37667298920598</v>
      </c>
      <c r="AMT16">
        <v>1.27845087926995</v>
      </c>
      <c r="AMU16">
        <v>1.29533100578253</v>
      </c>
      <c r="AMV16">
        <v>0.9877626906879859</v>
      </c>
      <c r="AMW16">
        <v>1.24325549895221</v>
      </c>
      <c r="AMX16">
        <v>1.37667298920598</v>
      </c>
      <c r="AMY16">
        <v>1.27845087926995</v>
      </c>
      <c r="AMZ16">
        <v>1.29533100578253</v>
      </c>
      <c r="ANA16">
        <v>0.9862664913595171</v>
      </c>
      <c r="ANB16">
        <v>1.24625990056007</v>
      </c>
      <c r="ANC16">
        <v>1.45872856275739</v>
      </c>
      <c r="AND16">
        <v>16.3114454805566</v>
      </c>
      <c r="ANE16">
        <v>16.9278518850291</v>
      </c>
      <c r="ANF16">
        <v>-0.960589051371695</v>
      </c>
      <c r="ANG16">
        <v>14.4370368638069</v>
      </c>
      <c r="ANH16">
        <v>20.028593416287</v>
      </c>
      <c r="ANI16">
        <v>16.7175580145965</v>
      </c>
      <c r="ANJ16">
        <v>16.996022565154</v>
      </c>
      <c r="ANK16">
        <v>-0.969629144674038</v>
      </c>
      <c r="ANL16">
        <v>14.4881548100872</v>
      </c>
      <c r="ANM16">
        <v>20.3841504352822</v>
      </c>
      <c r="ANN16">
        <v>19.4906526635813</v>
      </c>
      <c r="ANO16">
        <v>20.3772892228586</v>
      </c>
      <c r="ANP16">
        <v>-0.951449531344275</v>
      </c>
      <c r="ANQ16">
        <v>16.8729977722102</v>
      </c>
      <c r="ANR16">
        <v>25.0446931870847</v>
      </c>
      <c r="ANS16">
        <v>38.4129289480462</v>
      </c>
      <c r="ANT16">
        <v>29.1546633527326</v>
      </c>
      <c r="ANU16">
        <v>-1.65061958455224</v>
      </c>
      <c r="ANV16">
        <v>25.0080837907713</v>
      </c>
      <c r="ANW16">
        <v>33.1023822596972</v>
      </c>
      <c r="ANX16">
        <v>74.8907019846919</v>
      </c>
      <c r="ANY16">
        <v>74.2460865220456</v>
      </c>
      <c r="ANZ16">
        <v>68.9843228075047</v>
      </c>
      <c r="AOA16">
        <v>73.06224068697399</v>
      </c>
      <c r="AOB16">
        <v>63.6896929037407</v>
      </c>
      <c r="AOC16">
        <v>89.48738858584601</v>
      </c>
      <c r="AOD16">
        <v>89.3754263092967</v>
      </c>
      <c r="AOE16">
        <v>76.79844687849609</v>
      </c>
      <c r="AOF16">
        <v>86.2362716189274</v>
      </c>
      <c r="AOG16">
        <v>91.5339130270268</v>
      </c>
      <c r="AOH16" t="s">
        <v>1901</v>
      </c>
      <c r="AOI16">
        <v>82.12745434244231</v>
      </c>
      <c r="AOJ16">
        <v>81.01493865197151</v>
      </c>
      <c r="AOK16">
        <v>87.5338537140647</v>
      </c>
      <c r="AOL16">
        <v>77.9350523400027</v>
      </c>
      <c r="AOM16">
        <v>64.961774202577</v>
      </c>
      <c r="AON16">
        <v>65.729241109393</v>
      </c>
      <c r="AOO16">
        <v>-4.27615776029495</v>
      </c>
      <c r="AOP16">
        <v>55.0744152224052</v>
      </c>
      <c r="AOQ16">
        <v>74.73622836431591</v>
      </c>
      <c r="AOR16">
        <v>27.8450879269953</v>
      </c>
      <c r="AOS16">
        <v>29.5331005782529</v>
      </c>
      <c r="AOT16">
        <v>-1.22373093120141</v>
      </c>
      <c r="AOU16">
        <v>24.3255498952209</v>
      </c>
      <c r="AOV16">
        <v>37.6672989205982</v>
      </c>
      <c r="AOW16">
        <v>23.5912051650447</v>
      </c>
      <c r="AOX16">
        <v>18.7247765899494</v>
      </c>
      <c r="AOY16">
        <v>-1.00368729506022</v>
      </c>
      <c r="AOZ16">
        <v>17.1268828183687</v>
      </c>
      <c r="APA16">
        <v>21.3238941702234</v>
      </c>
      <c r="APB16">
        <v>14.4315302832126</v>
      </c>
      <c r="APC16">
        <v>13.9570632588512</v>
      </c>
      <c r="APD16">
        <v>-2.66156191113156</v>
      </c>
      <c r="APE16">
        <v>9.16895812536978</v>
      </c>
      <c r="APF16">
        <v>15.3322326374945</v>
      </c>
      <c r="APG16">
        <v>14.7908378222271</v>
      </c>
      <c r="APH16">
        <v>14.0132701834726</v>
      </c>
      <c r="API16">
        <v>-2.6866098418489</v>
      </c>
      <c r="APJ16">
        <v>9.201423118936059</v>
      </c>
      <c r="APK16">
        <v>15.6044176490837</v>
      </c>
      <c r="APL16">
        <v>57.4748456703738</v>
      </c>
      <c r="APM16">
        <v>54.1939510311651</v>
      </c>
      <c r="APN16">
        <v>-11.8482077268511</v>
      </c>
      <c r="APO16">
        <v>34.9777458987734</v>
      </c>
      <c r="APP16">
        <v>57.2118678488324</v>
      </c>
      <c r="APQ16">
        <v>24.6359055140855</v>
      </c>
      <c r="APR16">
        <v>24.3501275767444</v>
      </c>
      <c r="APS16">
        <v>-3.39066495845261</v>
      </c>
      <c r="APT16">
        <v>15.4491500208763</v>
      </c>
      <c r="APU16">
        <v>28.8349649859597</v>
      </c>
      <c r="APV16">
        <v>17.2443297247531</v>
      </c>
      <c r="APW16">
        <v>16.8011344061247</v>
      </c>
      <c r="APX16">
        <v>-2.63623849280166</v>
      </c>
      <c r="APY16">
        <v>10.7160362255983</v>
      </c>
      <c r="APZ16">
        <v>19.1721432602851</v>
      </c>
      <c r="AQA16">
        <v>20.8722882446348</v>
      </c>
      <c r="AQB16">
        <v>15.4386329198042</v>
      </c>
      <c r="AQC16">
        <v>-2.78097680939032</v>
      </c>
      <c r="AQD16">
        <v>10.8772785483024</v>
      </c>
      <c r="AQE16">
        <v>16.3238076364021</v>
      </c>
      <c r="AQF16">
        <v>0.278450879269953</v>
      </c>
      <c r="AQG16">
        <v>0.295331005782529</v>
      </c>
      <c r="AQH16">
        <v>-0.0137335086404829</v>
      </c>
      <c r="AQI16">
        <v>0.246259900560069</v>
      </c>
      <c r="AQJ16">
        <v>0.458728562757388</v>
      </c>
      <c r="AQK16">
        <v>3</v>
      </c>
      <c r="AQO16" t="s">
        <v>1902</v>
      </c>
      <c r="AQP16">
        <v>4</v>
      </c>
      <c r="AQQ16">
        <v>0</v>
      </c>
      <c r="AQS16" t="s">
        <v>1905</v>
      </c>
      <c r="AQU16" t="s">
        <v>1906</v>
      </c>
      <c r="AQV16">
        <v>2298718.65892807</v>
      </c>
      <c r="AQW16">
        <v>1977289.31283315</v>
      </c>
      <c r="AQX16">
        <v>1636227.34430775</v>
      </c>
      <c r="AQY16">
        <v>374954.240802434</v>
      </c>
      <c r="AQZ16">
        <v>334712.606214905</v>
      </c>
      <c r="ARA16">
        <v>-15717.4207249701</v>
      </c>
      <c r="ARB16">
        <v>5912235.31606897</v>
      </c>
      <c r="ARC16">
        <v>693949.4262923689</v>
      </c>
      <c r="ARD16">
        <v>0.132984171613119</v>
      </c>
      <c r="ARE16">
        <v>0.132984171613119</v>
      </c>
      <c r="ARF16">
        <v>0.132984171613119</v>
      </c>
      <c r="ARG16">
        <v>0.132984171613119</v>
      </c>
      <c r="ARH16">
        <v>0.132984171613119</v>
      </c>
      <c r="ARI16">
        <v>0.132984171613119</v>
      </c>
      <c r="ARJ16" t="s">
        <v>1177</v>
      </c>
      <c r="ARK16" t="s">
        <v>1515</v>
      </c>
      <c r="ARL16" t="s">
        <v>1908</v>
      </c>
      <c r="ARM16" t="s">
        <v>1908</v>
      </c>
      <c r="ARN16" t="s">
        <v>1908</v>
      </c>
      <c r="ARO16" t="s">
        <v>1909</v>
      </c>
      <c r="ARP16" t="s">
        <v>1907</v>
      </c>
      <c r="ARQ16" t="s">
        <v>1922</v>
      </c>
      <c r="ARR16">
        <f>HYPERLINK("C:\Users\Usuario\Documents\Proyectos\llmthon\evidence\auren_com_233507.png", "Ver Evidencia")</f>
        <v>0</v>
      </c>
      <c r="ARS16">
        <v>70</v>
      </c>
    </row>
    <row r="17" spans="1:1163">
      <c r="A17">
        <v>590</v>
      </c>
      <c r="B17" t="s">
        <v>1178</v>
      </c>
      <c r="C17" t="s">
        <v>1301</v>
      </c>
      <c r="E17" s="2">
        <v>42726</v>
      </c>
      <c r="F17" t="s">
        <v>1431</v>
      </c>
      <c r="G17" t="s">
        <v>1433</v>
      </c>
      <c r="H17" t="s">
        <v>1434</v>
      </c>
      <c r="I17" t="s">
        <v>1437</v>
      </c>
      <c r="J17" t="s">
        <v>1453</v>
      </c>
      <c r="L17" t="s">
        <v>1516</v>
      </c>
      <c r="N17" t="s">
        <v>1624</v>
      </c>
      <c r="O17" t="s">
        <v>1648</v>
      </c>
      <c r="P17">
        <v>6209</v>
      </c>
      <c r="Q17">
        <v>6209</v>
      </c>
      <c r="R17" t="s">
        <v>1687</v>
      </c>
      <c r="S17" t="s">
        <v>1797</v>
      </c>
      <c r="T17" t="s">
        <v>1851</v>
      </c>
      <c r="U17" t="s">
        <v>1873</v>
      </c>
      <c r="X17" t="s">
        <v>1878</v>
      </c>
      <c r="Z17" t="s">
        <v>1899</v>
      </c>
      <c r="AA17" s="2">
        <v>45657</v>
      </c>
      <c r="AB17">
        <v>2024</v>
      </c>
      <c r="AC17">
        <v>1121579.90374801</v>
      </c>
      <c r="AD17">
        <v>741102.01989748</v>
      </c>
      <c r="AE17">
        <v>601085.4054024339</v>
      </c>
      <c r="AF17">
        <v>753949.214108992</v>
      </c>
      <c r="AG17">
        <v>392284.086065209</v>
      </c>
      <c r="AH17">
        <v>1121579.90374801</v>
      </c>
      <c r="AI17">
        <v>741102.01989748</v>
      </c>
      <c r="AJ17">
        <v>601085.4054024339</v>
      </c>
      <c r="AK17">
        <v>753949.214108992</v>
      </c>
      <c r="AL17">
        <v>392284.086065209</v>
      </c>
      <c r="AM17">
        <v>278991.910940028</v>
      </c>
      <c r="AN17">
        <v>228211.829668665</v>
      </c>
      <c r="AO17">
        <v>182959.932502019</v>
      </c>
      <c r="AP17">
        <v>233227.26388371</v>
      </c>
      <c r="AQ17">
        <v>165487.82634955</v>
      </c>
      <c r="AR17">
        <v>842587.9928079779</v>
      </c>
      <c r="AS17">
        <v>512890.190228815</v>
      </c>
      <c r="AT17">
        <v>418125.472900414</v>
      </c>
      <c r="AU17">
        <v>520721.950225282</v>
      </c>
      <c r="AV17">
        <v>226796.259715658</v>
      </c>
      <c r="AW17">
        <v>524316.27718104</v>
      </c>
      <c r="AX17">
        <v>490292.442782224</v>
      </c>
      <c r="AY17">
        <v>331679.184276307</v>
      </c>
      <c r="AZ17">
        <v>297734.469091344</v>
      </c>
      <c r="BA17">
        <v>250069.130524832</v>
      </c>
      <c r="BB17">
        <v>318271.715626938</v>
      </c>
      <c r="BC17">
        <v>22597.7463415909</v>
      </c>
      <c r="BD17">
        <v>86446.28862410779</v>
      </c>
      <c r="BE17">
        <v>222987.481133938</v>
      </c>
      <c r="BF17">
        <v>-23272.8708091736</v>
      </c>
      <c r="BG17">
        <v>0</v>
      </c>
      <c r="BH17">
        <v>0</v>
      </c>
      <c r="BI17">
        <v>-25.1504159331322</v>
      </c>
      <c r="BJ17">
        <v>0</v>
      </c>
      <c r="BK17">
        <v>0</v>
      </c>
      <c r="BL17" t="s">
        <v>1900</v>
      </c>
      <c r="BM17" t="s">
        <v>1900</v>
      </c>
      <c r="BN17" t="s">
        <v>1900</v>
      </c>
      <c r="BO17" t="s">
        <v>1900</v>
      </c>
      <c r="BP17" t="s">
        <v>1900</v>
      </c>
      <c r="BQ17" t="s">
        <v>1900</v>
      </c>
      <c r="BR17" t="s">
        <v>1900</v>
      </c>
      <c r="BS17">
        <v>25.1504159331322</v>
      </c>
      <c r="BT17" t="s">
        <v>1900</v>
      </c>
      <c r="BU17" t="s">
        <v>1900</v>
      </c>
      <c r="BV17">
        <v>318271.715626938</v>
      </c>
      <c r="BW17">
        <v>22597.7463415909</v>
      </c>
      <c r="BX17">
        <v>86421.1382081747</v>
      </c>
      <c r="BY17">
        <v>222987.481133938</v>
      </c>
      <c r="BZ17">
        <v>-23272.8708091736</v>
      </c>
      <c r="CA17">
        <v>79567.95487922311</v>
      </c>
      <c r="CB17">
        <v>5649.43658539772</v>
      </c>
      <c r="CC17">
        <v>21605.2738860488</v>
      </c>
      <c r="CD17">
        <v>41344.3396896601</v>
      </c>
      <c r="CE17" t="s">
        <v>1900</v>
      </c>
      <c r="CF17">
        <v>238703.759708816</v>
      </c>
      <c r="CG17">
        <v>16948.3086511927</v>
      </c>
      <c r="CH17">
        <v>64815.8643221259</v>
      </c>
      <c r="CI17">
        <v>181643.141444278</v>
      </c>
      <c r="CJ17">
        <v>-23272.8708091736</v>
      </c>
      <c r="CK17" t="s">
        <v>1900</v>
      </c>
      <c r="CL17" t="s">
        <v>1900</v>
      </c>
      <c r="CM17" t="s">
        <v>1900</v>
      </c>
      <c r="CN17" t="s">
        <v>1900</v>
      </c>
      <c r="CO17" t="s">
        <v>1900</v>
      </c>
      <c r="CP17" t="s">
        <v>1900</v>
      </c>
      <c r="CQ17" t="s">
        <v>1900</v>
      </c>
      <c r="CR17" t="s">
        <v>1900</v>
      </c>
      <c r="CS17" t="s">
        <v>1900</v>
      </c>
      <c r="CT17" t="s">
        <v>1900</v>
      </c>
      <c r="CU17" t="s">
        <v>1900</v>
      </c>
      <c r="CV17" t="s">
        <v>1900</v>
      </c>
      <c r="CW17" t="s">
        <v>1900</v>
      </c>
      <c r="CX17" t="s">
        <v>1900</v>
      </c>
      <c r="CY17" t="s">
        <v>1900</v>
      </c>
      <c r="CZ17">
        <v>238703.759708816</v>
      </c>
      <c r="DA17">
        <v>16948.3086511927</v>
      </c>
      <c r="DB17">
        <v>64815.8643221259</v>
      </c>
      <c r="DC17">
        <v>181643.141444278</v>
      </c>
      <c r="DD17">
        <v>-23272.8708091736</v>
      </c>
      <c r="DE17" t="s">
        <v>1900</v>
      </c>
      <c r="DF17" t="s">
        <v>1900</v>
      </c>
      <c r="DG17" t="s">
        <v>1900</v>
      </c>
      <c r="DH17" t="s">
        <v>1900</v>
      </c>
      <c r="DI17" t="s">
        <v>1900</v>
      </c>
      <c r="DJ17">
        <v>278991.910940028</v>
      </c>
      <c r="DK17">
        <v>228211.829668665</v>
      </c>
      <c r="DL17">
        <v>182959.932502019</v>
      </c>
      <c r="DM17">
        <v>233227.26388371</v>
      </c>
      <c r="DN17">
        <v>165487.82634955</v>
      </c>
      <c r="DO17">
        <v>414490.695231928</v>
      </c>
      <c r="DP17">
        <v>392552.928972931</v>
      </c>
      <c r="DQ17">
        <v>271350.173355442</v>
      </c>
      <c r="DR17">
        <v>222415.144220567</v>
      </c>
      <c r="DS17">
        <v>207547.673329961</v>
      </c>
      <c r="DT17">
        <v>1562.50490951538</v>
      </c>
      <c r="DU17">
        <v>517.968982458115</v>
      </c>
      <c r="DV17">
        <v>499.968510121107</v>
      </c>
      <c r="DW17">
        <v>1129.12322452068</v>
      </c>
      <c r="DX17" t="s">
        <v>1900</v>
      </c>
      <c r="DY17">
        <v>108263.077039597</v>
      </c>
      <c r="DZ17">
        <v>97221.54593183519</v>
      </c>
      <c r="EA17">
        <v>59829.0424107432</v>
      </c>
      <c r="EB17">
        <v>74190.20164625641</v>
      </c>
      <c r="EC17">
        <v>42521.4571948707</v>
      </c>
      <c r="ED17" t="s">
        <v>1900</v>
      </c>
      <c r="EE17" t="s">
        <v>1900</v>
      </c>
      <c r="EF17">
        <v>25.1504159331322</v>
      </c>
      <c r="EG17" t="s">
        <v>1900</v>
      </c>
      <c r="EH17" t="s">
        <v>1900</v>
      </c>
      <c r="EI17" t="s">
        <v>1900</v>
      </c>
      <c r="EJ17" t="s">
        <v>1900</v>
      </c>
      <c r="EK17" t="s">
        <v>1900</v>
      </c>
      <c r="EL17" t="s">
        <v>1900</v>
      </c>
      <c r="EM17" t="s">
        <v>1900</v>
      </c>
      <c r="EN17">
        <v>240266.264618331</v>
      </c>
      <c r="EO17">
        <v>17466.2776336508</v>
      </c>
      <c r="EP17">
        <v>65315.832832247</v>
      </c>
      <c r="EQ17">
        <v>182772.264668798</v>
      </c>
      <c r="ER17" t="s">
        <v>1900</v>
      </c>
      <c r="ES17">
        <v>734324.915768381</v>
      </c>
      <c r="ET17">
        <v>415668.64429698</v>
      </c>
      <c r="EU17">
        <v>358296.430489671</v>
      </c>
      <c r="EV17">
        <v>446531.748579025</v>
      </c>
      <c r="EW17">
        <v>184274.802520788</v>
      </c>
      <c r="EX17">
        <v>319834.220536454</v>
      </c>
      <c r="EY17">
        <v>23115.715324049</v>
      </c>
      <c r="EZ17">
        <v>86946.2571342289</v>
      </c>
      <c r="FA17">
        <v>224116.604358459</v>
      </c>
      <c r="FB17">
        <v>-23272.8708091736</v>
      </c>
      <c r="FC17">
        <v>7716.06272520423</v>
      </c>
      <c r="FD17">
        <v>9868.92517905235</v>
      </c>
      <c r="FE17">
        <v>6436.2026239872</v>
      </c>
      <c r="FF17">
        <v>7365.37908146381</v>
      </c>
      <c r="FG17">
        <v>0</v>
      </c>
      <c r="FH17">
        <v>0</v>
      </c>
      <c r="FI17">
        <v>0</v>
      </c>
      <c r="FJ17">
        <v>0</v>
      </c>
      <c r="FK17">
        <v>0</v>
      </c>
      <c r="FL17" t="s">
        <v>1900</v>
      </c>
      <c r="FM17">
        <v>7716.06272520423</v>
      </c>
      <c r="FN17">
        <v>9868.92517905235</v>
      </c>
      <c r="FO17">
        <v>6436.2026239872</v>
      </c>
      <c r="FP17">
        <v>7365.37908146381</v>
      </c>
      <c r="FQ17" t="s">
        <v>1900</v>
      </c>
      <c r="FR17">
        <v>0</v>
      </c>
      <c r="FS17">
        <v>0</v>
      </c>
      <c r="FT17">
        <v>0</v>
      </c>
      <c r="FU17">
        <v>0</v>
      </c>
      <c r="FV17" t="s">
        <v>1900</v>
      </c>
      <c r="FW17">
        <v>0</v>
      </c>
      <c r="FX17">
        <v>0</v>
      </c>
      <c r="FY17">
        <v>0</v>
      </c>
      <c r="FZ17">
        <v>0</v>
      </c>
      <c r="GA17" t="s">
        <v>1900</v>
      </c>
      <c r="GB17">
        <v>7716.06272520423</v>
      </c>
      <c r="GC17">
        <v>9868.92517905235</v>
      </c>
      <c r="GD17">
        <v>6436.2026239872</v>
      </c>
      <c r="GE17">
        <v>7365.37908146381</v>
      </c>
      <c r="GF17" t="s">
        <v>1900</v>
      </c>
      <c r="GG17">
        <v>0</v>
      </c>
      <c r="GH17">
        <v>0</v>
      </c>
      <c r="GI17">
        <v>0</v>
      </c>
      <c r="GJ17">
        <v>0</v>
      </c>
      <c r="GK17" t="s">
        <v>1900</v>
      </c>
      <c r="GL17">
        <v>891513.96934316</v>
      </c>
      <c r="GM17">
        <v>593989.281675091</v>
      </c>
      <c r="GN17">
        <v>552422.251722431</v>
      </c>
      <c r="GO17">
        <v>568831.9911116119</v>
      </c>
      <c r="GP17">
        <v>310933.476654476</v>
      </c>
      <c r="GQ17">
        <v>0</v>
      </c>
      <c r="GR17">
        <v>0</v>
      </c>
      <c r="GS17">
        <v>0</v>
      </c>
      <c r="GT17">
        <v>0</v>
      </c>
      <c r="GU17">
        <v>0</v>
      </c>
      <c r="GV17">
        <v>646990.979041014</v>
      </c>
      <c r="GW17">
        <v>145430.187117281</v>
      </c>
      <c r="GX17">
        <v>217416.844944006</v>
      </c>
      <c r="GY17">
        <v>409747.767397356</v>
      </c>
      <c r="GZ17">
        <v>110753.552938157</v>
      </c>
      <c r="HA17">
        <v>244522.990302147</v>
      </c>
      <c r="HB17">
        <v>448559.093452809</v>
      </c>
      <c r="HC17">
        <v>335005.406778425</v>
      </c>
      <c r="HD17">
        <v>159084.223714256</v>
      </c>
      <c r="HE17">
        <v>200179.923716319</v>
      </c>
      <c r="HF17">
        <v>111968.239529253</v>
      </c>
      <c r="HG17">
        <v>311129.442531071</v>
      </c>
      <c r="HH17">
        <v>259694.928779489</v>
      </c>
      <c r="HI17">
        <v>84665.39536993499</v>
      </c>
      <c r="HJ17">
        <v>126934.943269962</v>
      </c>
      <c r="HK17">
        <v>899230.032068365</v>
      </c>
      <c r="HL17">
        <v>603858.2068541429</v>
      </c>
      <c r="HM17">
        <v>558858.454346418</v>
      </c>
      <c r="HN17">
        <v>576197.370193076</v>
      </c>
      <c r="HO17">
        <v>310933.476654476</v>
      </c>
      <c r="HP17">
        <v>685540.406183684</v>
      </c>
      <c r="HQ17">
        <v>475267.04494401</v>
      </c>
      <c r="HR17">
        <v>442391.229885995</v>
      </c>
      <c r="HS17">
        <v>419287.727743149</v>
      </c>
      <c r="HT17">
        <v>277351.572836882</v>
      </c>
      <c r="HU17">
        <v>3122.93201994896</v>
      </c>
      <c r="HV17">
        <v>3321.6314907074</v>
      </c>
      <c r="HW17">
        <v>3206.19806170464</v>
      </c>
      <c r="HX17">
        <v>3404.59652423859</v>
      </c>
      <c r="HY17">
        <v>3688.66049408913</v>
      </c>
      <c r="HZ17">
        <v>682417.4741637351</v>
      </c>
      <c r="IA17">
        <v>471945.413453302</v>
      </c>
      <c r="IB17">
        <v>439185.031824291</v>
      </c>
      <c r="IC17">
        <v>415883.13008631</v>
      </c>
      <c r="ID17">
        <v>273662.912342793</v>
      </c>
      <c r="IE17">
        <v>0</v>
      </c>
      <c r="IF17">
        <v>0</v>
      </c>
      <c r="IG17">
        <v>0</v>
      </c>
      <c r="IH17">
        <v>0</v>
      </c>
      <c r="II17">
        <v>0</v>
      </c>
      <c r="IJ17" t="s">
        <v>1900</v>
      </c>
      <c r="IK17" t="s">
        <v>1900</v>
      </c>
      <c r="IL17" t="s">
        <v>1900</v>
      </c>
      <c r="IM17" t="s">
        <v>1900</v>
      </c>
      <c r="IN17" t="s">
        <v>1900</v>
      </c>
      <c r="IO17" t="s">
        <v>1900</v>
      </c>
      <c r="IP17" t="s">
        <v>1900</v>
      </c>
      <c r="IQ17" t="s">
        <v>1900</v>
      </c>
      <c r="IR17" t="s">
        <v>1900</v>
      </c>
      <c r="IS17" t="s">
        <v>1900</v>
      </c>
      <c r="IT17" t="s">
        <v>1900</v>
      </c>
      <c r="IU17" t="s">
        <v>1900</v>
      </c>
      <c r="IV17" t="s">
        <v>1900</v>
      </c>
      <c r="IW17" t="s">
        <v>1900</v>
      </c>
      <c r="IX17" t="s">
        <v>1900</v>
      </c>
      <c r="IY17">
        <v>213689.625884681</v>
      </c>
      <c r="IZ17">
        <v>128591.161910133</v>
      </c>
      <c r="JA17">
        <v>116467.224460423</v>
      </c>
      <c r="JB17">
        <v>156909.642449927</v>
      </c>
      <c r="JC17">
        <v>33581.9038175941</v>
      </c>
      <c r="JD17">
        <v>0</v>
      </c>
      <c r="JE17">
        <v>0</v>
      </c>
      <c r="JF17">
        <v>0</v>
      </c>
      <c r="JG17">
        <v>0</v>
      </c>
      <c r="JH17">
        <v>0</v>
      </c>
      <c r="JI17">
        <v>0</v>
      </c>
      <c r="JJ17">
        <v>0</v>
      </c>
      <c r="JK17">
        <v>0</v>
      </c>
      <c r="JL17">
        <v>0</v>
      </c>
      <c r="JM17">
        <v>0</v>
      </c>
      <c r="JN17">
        <v>213689.625884681</v>
      </c>
      <c r="JO17">
        <v>128591.161910133</v>
      </c>
      <c r="JP17">
        <v>116467.224460423</v>
      </c>
      <c r="JQ17">
        <v>156909.642449927</v>
      </c>
      <c r="JR17">
        <v>33581.9038175941</v>
      </c>
      <c r="JS17">
        <v>899230.032068365</v>
      </c>
      <c r="JT17">
        <v>603858.2068541429</v>
      </c>
      <c r="JU17">
        <v>558858.454346418</v>
      </c>
      <c r="JV17">
        <v>576197.370193076</v>
      </c>
      <c r="JW17">
        <v>310933.476654476</v>
      </c>
      <c r="JX17">
        <v>646990.979041014</v>
      </c>
      <c r="JY17">
        <v>145430.187117281</v>
      </c>
      <c r="JZ17">
        <v>217416.844944006</v>
      </c>
      <c r="KA17">
        <v>409747.767397356</v>
      </c>
      <c r="KB17">
        <v>110753.552938157</v>
      </c>
      <c r="KC17" t="s">
        <v>1900</v>
      </c>
      <c r="KD17" t="s">
        <v>1900</v>
      </c>
      <c r="KE17" t="s">
        <v>1900</v>
      </c>
      <c r="KF17" t="s">
        <v>1900</v>
      </c>
      <c r="KG17" t="s">
        <v>1900</v>
      </c>
      <c r="KH17" t="s">
        <v>1900</v>
      </c>
      <c r="KI17" t="s">
        <v>1900</v>
      </c>
      <c r="KJ17" t="s">
        <v>1900</v>
      </c>
      <c r="KK17" t="s">
        <v>1900</v>
      </c>
      <c r="KL17" t="s">
        <v>1900</v>
      </c>
      <c r="KM17">
        <v>8</v>
      </c>
      <c r="KN17">
        <v>8</v>
      </c>
      <c r="KO17">
        <v>8</v>
      </c>
      <c r="KP17">
        <v>7</v>
      </c>
      <c r="KQ17">
        <v>6</v>
      </c>
      <c r="KR17" t="s">
        <v>1900</v>
      </c>
      <c r="KS17" t="s">
        <v>1900</v>
      </c>
      <c r="KT17" t="s">
        <v>1900</v>
      </c>
      <c r="KU17" t="s">
        <v>1900</v>
      </c>
      <c r="KV17" t="s">
        <v>1900</v>
      </c>
      <c r="KW17" t="s">
        <v>1900</v>
      </c>
      <c r="KX17" t="s">
        <v>1900</v>
      </c>
      <c r="KY17" t="s">
        <v>1900</v>
      </c>
      <c r="KZ17" t="s">
        <v>1900</v>
      </c>
      <c r="LA17" t="s">
        <v>1900</v>
      </c>
      <c r="LB17" t="s">
        <v>1900</v>
      </c>
      <c r="LC17" t="s">
        <v>1900</v>
      </c>
      <c r="LD17" t="s">
        <v>1900</v>
      </c>
      <c r="LE17" t="s">
        <v>1900</v>
      </c>
      <c r="LF17" t="s">
        <v>1900</v>
      </c>
      <c r="LG17" t="s">
        <v>1900</v>
      </c>
      <c r="LH17" t="s">
        <v>1900</v>
      </c>
      <c r="LI17" t="s">
        <v>1900</v>
      </c>
      <c r="LJ17" t="s">
        <v>1900</v>
      </c>
      <c r="LK17" t="s">
        <v>1900</v>
      </c>
      <c r="LL17" t="s">
        <v>1900</v>
      </c>
      <c r="LM17" t="s">
        <v>1900</v>
      </c>
      <c r="LN17" t="s">
        <v>1900</v>
      </c>
      <c r="LO17" t="s">
        <v>1900</v>
      </c>
      <c r="LP17" t="s">
        <v>1900</v>
      </c>
      <c r="LQ17" t="s">
        <v>1900</v>
      </c>
      <c r="LR17" t="s">
        <v>1900</v>
      </c>
      <c r="LS17" t="s">
        <v>1900</v>
      </c>
      <c r="LT17" t="s">
        <v>1900</v>
      </c>
      <c r="LU17" t="s">
        <v>1900</v>
      </c>
      <c r="LV17" t="s">
        <v>1900</v>
      </c>
      <c r="LW17" t="s">
        <v>1900</v>
      </c>
      <c r="LX17" t="s">
        <v>1900</v>
      </c>
      <c r="LY17" t="s">
        <v>1900</v>
      </c>
      <c r="LZ17" t="s">
        <v>1900</v>
      </c>
      <c r="MA17" t="s">
        <v>1900</v>
      </c>
      <c r="MB17" t="s">
        <v>1900</v>
      </c>
      <c r="MC17" t="s">
        <v>1900</v>
      </c>
      <c r="MD17" t="s">
        <v>1900</v>
      </c>
      <c r="ME17" t="s">
        <v>1900</v>
      </c>
      <c r="MF17" t="s">
        <v>1900</v>
      </c>
      <c r="MG17" t="s">
        <v>1900</v>
      </c>
      <c r="MH17" t="s">
        <v>1900</v>
      </c>
      <c r="MI17" t="s">
        <v>1900</v>
      </c>
      <c r="MJ17" t="s">
        <v>1900</v>
      </c>
      <c r="MK17" t="s">
        <v>1900</v>
      </c>
      <c r="ML17" t="s">
        <v>1900</v>
      </c>
      <c r="MM17" t="s">
        <v>1900</v>
      </c>
      <c r="MN17" t="s">
        <v>1900</v>
      </c>
      <c r="MO17" t="s">
        <v>1900</v>
      </c>
      <c r="MP17">
        <v>244522.990302147</v>
      </c>
      <c r="MQ17">
        <v>448559.093452809</v>
      </c>
      <c r="MR17">
        <v>335005.406778425</v>
      </c>
      <c r="MS17">
        <v>159084.223714256</v>
      </c>
      <c r="MT17">
        <v>200179.923716319</v>
      </c>
      <c r="MU17" t="s">
        <v>1900</v>
      </c>
      <c r="MV17" t="s">
        <v>1900</v>
      </c>
      <c r="MW17" t="s">
        <v>1900</v>
      </c>
      <c r="MX17" t="s">
        <v>1900</v>
      </c>
      <c r="MY17" t="s">
        <v>1900</v>
      </c>
      <c r="MZ17" t="s">
        <v>1900</v>
      </c>
      <c r="NA17" t="s">
        <v>1900</v>
      </c>
      <c r="NB17" t="s">
        <v>1900</v>
      </c>
      <c r="NC17" t="s">
        <v>1900</v>
      </c>
      <c r="ND17" t="s">
        <v>1900</v>
      </c>
      <c r="NE17" t="s">
        <v>1900</v>
      </c>
      <c r="NF17" t="s">
        <v>1900</v>
      </c>
      <c r="NG17" t="s">
        <v>1900</v>
      </c>
      <c r="NH17" t="s">
        <v>1900</v>
      </c>
      <c r="NI17" t="s">
        <v>1900</v>
      </c>
      <c r="NJ17" t="s">
        <v>1900</v>
      </c>
      <c r="NK17" t="s">
        <v>1900</v>
      </c>
      <c r="NL17" t="s">
        <v>1900</v>
      </c>
      <c r="NM17" t="s">
        <v>1900</v>
      </c>
      <c r="NN17" t="s">
        <v>1900</v>
      </c>
      <c r="NO17" t="s">
        <v>1900</v>
      </c>
      <c r="NP17" t="s">
        <v>1900</v>
      </c>
      <c r="NQ17" t="s">
        <v>1900</v>
      </c>
      <c r="NR17" t="s">
        <v>1900</v>
      </c>
      <c r="NS17" t="s">
        <v>1900</v>
      </c>
      <c r="NT17">
        <v>7716.06272520423</v>
      </c>
      <c r="NU17">
        <v>9868.92517905235</v>
      </c>
      <c r="NV17">
        <v>6436.2026239872</v>
      </c>
      <c r="NW17">
        <v>7365.37908146381</v>
      </c>
      <c r="NX17">
        <v>0</v>
      </c>
      <c r="NY17" t="s">
        <v>1900</v>
      </c>
      <c r="NZ17" t="s">
        <v>1900</v>
      </c>
      <c r="OA17" t="s">
        <v>1900</v>
      </c>
      <c r="OB17" t="s">
        <v>1900</v>
      </c>
      <c r="OC17" t="s">
        <v>1900</v>
      </c>
      <c r="OD17" t="s">
        <v>1900</v>
      </c>
      <c r="OE17" t="s">
        <v>1900</v>
      </c>
      <c r="OF17" t="s">
        <v>1900</v>
      </c>
      <c r="OG17" t="s">
        <v>1900</v>
      </c>
      <c r="OH17" t="s">
        <v>1900</v>
      </c>
      <c r="OI17" t="s">
        <v>1900</v>
      </c>
      <c r="OJ17" t="s">
        <v>1900</v>
      </c>
      <c r="OK17" t="s">
        <v>1900</v>
      </c>
      <c r="OL17" t="s">
        <v>1900</v>
      </c>
      <c r="OM17" t="s">
        <v>1900</v>
      </c>
      <c r="ON17" t="s">
        <v>1900</v>
      </c>
      <c r="OO17" t="s">
        <v>1900</v>
      </c>
      <c r="OP17" t="s">
        <v>1900</v>
      </c>
      <c r="OQ17" t="s">
        <v>1900</v>
      </c>
      <c r="OR17" t="s">
        <v>1900</v>
      </c>
      <c r="OS17" t="s">
        <v>1900</v>
      </c>
      <c r="OT17" t="s">
        <v>1900</v>
      </c>
      <c r="OU17" t="s">
        <v>1900</v>
      </c>
      <c r="OV17" t="s">
        <v>1900</v>
      </c>
      <c r="OW17" t="s">
        <v>1900</v>
      </c>
      <c r="OX17" t="s">
        <v>1900</v>
      </c>
      <c r="OY17" t="s">
        <v>1900</v>
      </c>
      <c r="OZ17" t="s">
        <v>1900</v>
      </c>
      <c r="PA17" t="s">
        <v>1900</v>
      </c>
      <c r="PB17" t="s">
        <v>1900</v>
      </c>
      <c r="PC17" t="s">
        <v>1900</v>
      </c>
      <c r="PD17" t="s">
        <v>1900</v>
      </c>
      <c r="PE17" t="s">
        <v>1900</v>
      </c>
      <c r="PF17" t="s">
        <v>1900</v>
      </c>
      <c r="PG17" t="s">
        <v>1900</v>
      </c>
      <c r="PH17" t="s">
        <v>1900</v>
      </c>
      <c r="PI17" t="s">
        <v>1900</v>
      </c>
      <c r="PJ17" t="s">
        <v>1900</v>
      </c>
      <c r="PK17" t="s">
        <v>1900</v>
      </c>
      <c r="PL17" t="s">
        <v>1900</v>
      </c>
      <c r="PM17" t="s">
        <v>1900</v>
      </c>
      <c r="PN17" t="s">
        <v>1900</v>
      </c>
      <c r="PO17" t="s">
        <v>1900</v>
      </c>
      <c r="PP17" t="s">
        <v>1900</v>
      </c>
      <c r="PQ17" t="s">
        <v>1900</v>
      </c>
      <c r="PR17" t="s">
        <v>1900</v>
      </c>
      <c r="PS17" t="s">
        <v>1900</v>
      </c>
      <c r="PT17" t="s">
        <v>1900</v>
      </c>
      <c r="PU17" t="s">
        <v>1900</v>
      </c>
      <c r="PV17" t="s">
        <v>1900</v>
      </c>
      <c r="PW17" t="s">
        <v>1900</v>
      </c>
      <c r="PX17" t="s">
        <v>1900</v>
      </c>
      <c r="PY17" t="s">
        <v>1900</v>
      </c>
      <c r="PZ17" t="s">
        <v>1900</v>
      </c>
      <c r="QA17" t="s">
        <v>1900</v>
      </c>
      <c r="QB17" t="s">
        <v>1900</v>
      </c>
      <c r="QC17" t="s">
        <v>1900</v>
      </c>
      <c r="QD17" t="s">
        <v>1900</v>
      </c>
      <c r="QE17" t="s">
        <v>1900</v>
      </c>
      <c r="QF17" t="s">
        <v>1900</v>
      </c>
      <c r="QG17" t="s">
        <v>1900</v>
      </c>
      <c r="QH17" t="s">
        <v>1900</v>
      </c>
      <c r="QI17" t="s">
        <v>1900</v>
      </c>
      <c r="QJ17" t="s">
        <v>1900</v>
      </c>
      <c r="QK17" t="s">
        <v>1900</v>
      </c>
      <c r="QL17" t="s">
        <v>1900</v>
      </c>
      <c r="QM17" t="s">
        <v>1900</v>
      </c>
      <c r="QN17" t="s">
        <v>1900</v>
      </c>
      <c r="QO17" t="s">
        <v>1900</v>
      </c>
      <c r="QP17" t="s">
        <v>1900</v>
      </c>
      <c r="QQ17" t="s">
        <v>1900</v>
      </c>
      <c r="QR17" t="s">
        <v>1900</v>
      </c>
      <c r="QS17" t="s">
        <v>1900</v>
      </c>
      <c r="QT17" t="s">
        <v>1900</v>
      </c>
      <c r="QU17" t="s">
        <v>1900</v>
      </c>
      <c r="QV17" t="s">
        <v>1900</v>
      </c>
      <c r="QW17" t="s">
        <v>1900</v>
      </c>
      <c r="QX17" t="s">
        <v>1900</v>
      </c>
      <c r="QY17" t="s">
        <v>1900</v>
      </c>
      <c r="QZ17" t="s">
        <v>1900</v>
      </c>
      <c r="RA17" t="s">
        <v>1900</v>
      </c>
      <c r="RB17" t="s">
        <v>1900</v>
      </c>
      <c r="RC17" t="s">
        <v>1900</v>
      </c>
      <c r="RD17" t="s">
        <v>1900</v>
      </c>
      <c r="RE17" t="s">
        <v>1900</v>
      </c>
      <c r="RF17" t="s">
        <v>1900</v>
      </c>
      <c r="RG17" t="s">
        <v>1900</v>
      </c>
      <c r="RH17" t="s">
        <v>1900</v>
      </c>
      <c r="RI17" t="s">
        <v>1900</v>
      </c>
      <c r="RJ17" t="s">
        <v>1900</v>
      </c>
      <c r="RK17" t="s">
        <v>1900</v>
      </c>
      <c r="RL17" t="s">
        <v>1900</v>
      </c>
      <c r="RM17" t="s">
        <v>1900</v>
      </c>
      <c r="RN17" t="s">
        <v>1900</v>
      </c>
      <c r="RO17" t="s">
        <v>1900</v>
      </c>
      <c r="RP17" t="s">
        <v>1900</v>
      </c>
      <c r="RQ17" t="s">
        <v>1900</v>
      </c>
      <c r="RR17" t="s">
        <v>1900</v>
      </c>
      <c r="RS17" t="s">
        <v>1900</v>
      </c>
      <c r="RT17" t="s">
        <v>1900</v>
      </c>
      <c r="RU17" t="s">
        <v>1900</v>
      </c>
      <c r="RV17" t="s">
        <v>1900</v>
      </c>
      <c r="RW17" t="s">
        <v>1900</v>
      </c>
      <c r="RX17" t="s">
        <v>1900</v>
      </c>
      <c r="RY17" t="s">
        <v>1900</v>
      </c>
      <c r="RZ17" t="s">
        <v>1900</v>
      </c>
      <c r="SA17" t="s">
        <v>1900</v>
      </c>
      <c r="SB17" t="s">
        <v>1900</v>
      </c>
      <c r="SC17" t="s">
        <v>1900</v>
      </c>
      <c r="SD17" t="s">
        <v>1900</v>
      </c>
      <c r="SE17" t="s">
        <v>1900</v>
      </c>
      <c r="SF17" t="s">
        <v>1900</v>
      </c>
      <c r="SG17" t="s">
        <v>1900</v>
      </c>
      <c r="SH17" t="s">
        <v>1900</v>
      </c>
      <c r="SI17" t="s">
        <v>1900</v>
      </c>
      <c r="SJ17">
        <v>0</v>
      </c>
      <c r="SK17">
        <v>0</v>
      </c>
      <c r="SL17">
        <v>0</v>
      </c>
      <c r="SM17">
        <v>0</v>
      </c>
      <c r="SN17" t="s">
        <v>1900</v>
      </c>
      <c r="SO17" t="s">
        <v>1900</v>
      </c>
      <c r="SP17" t="s">
        <v>1900</v>
      </c>
      <c r="SQ17" t="s">
        <v>1900</v>
      </c>
      <c r="SR17" t="s">
        <v>1900</v>
      </c>
      <c r="SS17" t="s">
        <v>1900</v>
      </c>
      <c r="ST17" t="s">
        <v>1900</v>
      </c>
      <c r="SU17" t="s">
        <v>1900</v>
      </c>
      <c r="SV17" t="s">
        <v>1900</v>
      </c>
      <c r="SW17" t="s">
        <v>1900</v>
      </c>
      <c r="SX17" t="s">
        <v>1900</v>
      </c>
      <c r="SY17" t="s">
        <v>1900</v>
      </c>
      <c r="SZ17" t="s">
        <v>1900</v>
      </c>
      <c r="TA17" t="s">
        <v>1900</v>
      </c>
      <c r="TB17" t="s">
        <v>1900</v>
      </c>
      <c r="TC17" t="s">
        <v>1900</v>
      </c>
      <c r="TD17" t="s">
        <v>1900</v>
      </c>
      <c r="TE17" t="s">
        <v>1900</v>
      </c>
      <c r="TF17" t="s">
        <v>1900</v>
      </c>
      <c r="TG17" t="s">
        <v>1900</v>
      </c>
      <c r="TH17" t="s">
        <v>1900</v>
      </c>
      <c r="TI17" t="s">
        <v>1900</v>
      </c>
      <c r="TJ17" t="s">
        <v>1900</v>
      </c>
      <c r="TK17" t="s">
        <v>1900</v>
      </c>
      <c r="TL17" t="s">
        <v>1900</v>
      </c>
      <c r="TM17" t="s">
        <v>1900</v>
      </c>
      <c r="TN17" t="s">
        <v>1900</v>
      </c>
      <c r="TO17" t="s">
        <v>1900</v>
      </c>
      <c r="TP17" t="s">
        <v>1900</v>
      </c>
      <c r="TQ17" t="s">
        <v>1900</v>
      </c>
      <c r="TR17" t="s">
        <v>1900</v>
      </c>
      <c r="TS17">
        <v>899230.032068365</v>
      </c>
      <c r="TT17">
        <v>603858.2068541429</v>
      </c>
      <c r="TU17">
        <v>558858.454346418</v>
      </c>
      <c r="TV17">
        <v>576197.370193076</v>
      </c>
      <c r="TW17">
        <v>310933.476654476</v>
      </c>
      <c r="TX17" t="s">
        <v>1900</v>
      </c>
      <c r="TY17" t="s">
        <v>1900</v>
      </c>
      <c r="TZ17" t="s">
        <v>1900</v>
      </c>
      <c r="UA17" t="s">
        <v>1900</v>
      </c>
      <c r="UB17" t="s">
        <v>1900</v>
      </c>
      <c r="UC17">
        <v>0</v>
      </c>
      <c r="UD17">
        <v>0</v>
      </c>
      <c r="UE17">
        <v>0</v>
      </c>
      <c r="UF17">
        <v>0</v>
      </c>
      <c r="UG17">
        <v>0</v>
      </c>
      <c r="UH17" t="s">
        <v>1900</v>
      </c>
      <c r="UI17" t="s">
        <v>1900</v>
      </c>
      <c r="UJ17" t="s">
        <v>1900</v>
      </c>
      <c r="UK17" t="s">
        <v>1900</v>
      </c>
      <c r="UL17" t="s">
        <v>1900</v>
      </c>
      <c r="UM17" t="s">
        <v>1900</v>
      </c>
      <c r="UN17" t="s">
        <v>1900</v>
      </c>
      <c r="UO17" t="s">
        <v>1900</v>
      </c>
      <c r="UP17" t="s">
        <v>1900</v>
      </c>
      <c r="UQ17" t="s">
        <v>1900</v>
      </c>
      <c r="UR17" t="s">
        <v>1900</v>
      </c>
      <c r="US17" t="s">
        <v>1900</v>
      </c>
      <c r="UT17" t="s">
        <v>1900</v>
      </c>
      <c r="UU17" t="s">
        <v>1900</v>
      </c>
      <c r="UV17" t="s">
        <v>1900</v>
      </c>
      <c r="UW17" t="s">
        <v>1900</v>
      </c>
      <c r="UX17" t="s">
        <v>1900</v>
      </c>
      <c r="UY17" t="s">
        <v>1900</v>
      </c>
      <c r="UZ17" t="s">
        <v>1900</v>
      </c>
      <c r="VA17" t="s">
        <v>1900</v>
      </c>
      <c r="VB17" t="s">
        <v>1900</v>
      </c>
      <c r="VC17" t="s">
        <v>1900</v>
      </c>
      <c r="VD17" t="s">
        <v>1900</v>
      </c>
      <c r="VE17" t="s">
        <v>1900</v>
      </c>
      <c r="VF17" t="s">
        <v>1900</v>
      </c>
      <c r="VG17" t="s">
        <v>1900</v>
      </c>
      <c r="VH17" t="s">
        <v>1900</v>
      </c>
      <c r="VI17" t="s">
        <v>1900</v>
      </c>
      <c r="VJ17" t="s">
        <v>1900</v>
      </c>
      <c r="VK17" t="s">
        <v>1900</v>
      </c>
      <c r="VL17" t="s">
        <v>1900</v>
      </c>
      <c r="VM17" t="s">
        <v>1900</v>
      </c>
      <c r="VN17" t="s">
        <v>1900</v>
      </c>
      <c r="VO17" t="s">
        <v>1900</v>
      </c>
      <c r="VP17" t="s">
        <v>1900</v>
      </c>
      <c r="VQ17" t="s">
        <v>1900</v>
      </c>
      <c r="VR17" t="s">
        <v>1900</v>
      </c>
      <c r="VS17" t="s">
        <v>1900</v>
      </c>
      <c r="VT17" t="s">
        <v>1900</v>
      </c>
      <c r="VU17" t="s">
        <v>1900</v>
      </c>
      <c r="VV17" t="s">
        <v>1900</v>
      </c>
      <c r="VW17" t="s">
        <v>1900</v>
      </c>
      <c r="VX17" t="s">
        <v>1900</v>
      </c>
      <c r="VY17" t="s">
        <v>1900</v>
      </c>
      <c r="VZ17" t="s">
        <v>1900</v>
      </c>
      <c r="WA17">
        <v>213689.625884681</v>
      </c>
      <c r="WB17">
        <v>128591.161910133</v>
      </c>
      <c r="WC17">
        <v>116467.224460423</v>
      </c>
      <c r="WD17">
        <v>156909.642449927</v>
      </c>
      <c r="WE17">
        <v>33581.9038175941</v>
      </c>
      <c r="WF17" t="s">
        <v>1900</v>
      </c>
      <c r="WG17" t="s">
        <v>1900</v>
      </c>
      <c r="WH17" t="s">
        <v>1900</v>
      </c>
      <c r="WI17" t="s">
        <v>1900</v>
      </c>
      <c r="WJ17" t="s">
        <v>1900</v>
      </c>
      <c r="WK17" t="s">
        <v>1900</v>
      </c>
      <c r="WL17" t="s">
        <v>1900</v>
      </c>
      <c r="WM17" t="s">
        <v>1900</v>
      </c>
      <c r="WN17" t="s">
        <v>1900</v>
      </c>
      <c r="WO17" t="s">
        <v>1900</v>
      </c>
      <c r="WP17" t="s">
        <v>1900</v>
      </c>
      <c r="WQ17" t="s">
        <v>1900</v>
      </c>
      <c r="WR17" t="s">
        <v>1900</v>
      </c>
      <c r="WS17" t="s">
        <v>1900</v>
      </c>
      <c r="WT17" t="s">
        <v>1900</v>
      </c>
      <c r="WU17" t="s">
        <v>1900</v>
      </c>
      <c r="WV17" t="s">
        <v>1900</v>
      </c>
      <c r="WW17" t="s">
        <v>1900</v>
      </c>
      <c r="WX17" t="s">
        <v>1900</v>
      </c>
      <c r="WY17" t="s">
        <v>1900</v>
      </c>
      <c r="WZ17" t="s">
        <v>1900</v>
      </c>
      <c r="XA17" t="s">
        <v>1900</v>
      </c>
      <c r="XB17" t="s">
        <v>1900</v>
      </c>
      <c r="XC17" t="s">
        <v>1900</v>
      </c>
      <c r="XD17" t="s">
        <v>1900</v>
      </c>
      <c r="XE17" t="s">
        <v>1900</v>
      </c>
      <c r="XF17" t="s">
        <v>1900</v>
      </c>
      <c r="XG17" t="s">
        <v>1900</v>
      </c>
      <c r="XH17" t="s">
        <v>1900</v>
      </c>
      <c r="XI17" t="s">
        <v>1900</v>
      </c>
      <c r="XJ17" t="s">
        <v>1900</v>
      </c>
      <c r="XK17" t="s">
        <v>1900</v>
      </c>
      <c r="XL17" t="s">
        <v>1900</v>
      </c>
      <c r="XM17" t="s">
        <v>1900</v>
      </c>
      <c r="XN17" t="s">
        <v>1900</v>
      </c>
      <c r="XO17" t="s">
        <v>1900</v>
      </c>
      <c r="XP17" t="s">
        <v>1900</v>
      </c>
      <c r="XQ17" t="s">
        <v>1900</v>
      </c>
      <c r="XR17" t="s">
        <v>1900</v>
      </c>
      <c r="XS17" t="s">
        <v>1900</v>
      </c>
      <c r="XT17" t="s">
        <v>1900</v>
      </c>
      <c r="XU17" t="s">
        <v>1900</v>
      </c>
      <c r="XV17" t="s">
        <v>1900</v>
      </c>
      <c r="XW17" t="s">
        <v>1900</v>
      </c>
      <c r="XX17" t="s">
        <v>1900</v>
      </c>
      <c r="XY17" t="s">
        <v>1900</v>
      </c>
      <c r="XZ17" t="s">
        <v>1900</v>
      </c>
      <c r="YA17" t="s">
        <v>1900</v>
      </c>
      <c r="YB17" t="s">
        <v>1900</v>
      </c>
      <c r="YC17" t="s">
        <v>1900</v>
      </c>
      <c r="YD17" t="s">
        <v>1900</v>
      </c>
      <c r="YE17" t="s">
        <v>1900</v>
      </c>
      <c r="YF17" t="s">
        <v>1900</v>
      </c>
      <c r="YG17" t="s">
        <v>1900</v>
      </c>
      <c r="YH17" t="s">
        <v>1900</v>
      </c>
      <c r="YI17" t="s">
        <v>1900</v>
      </c>
      <c r="YJ17" t="s">
        <v>1900</v>
      </c>
      <c r="YK17" t="s">
        <v>1900</v>
      </c>
      <c r="YL17" t="s">
        <v>1900</v>
      </c>
      <c r="YM17" t="s">
        <v>1900</v>
      </c>
      <c r="YN17" t="s">
        <v>1900</v>
      </c>
      <c r="YO17" t="s">
        <v>1900</v>
      </c>
      <c r="YP17" t="s">
        <v>1900</v>
      </c>
      <c r="YQ17" t="s">
        <v>1900</v>
      </c>
      <c r="YR17" t="s">
        <v>1900</v>
      </c>
      <c r="YS17" t="s">
        <v>1900</v>
      </c>
      <c r="YT17" t="s">
        <v>1900</v>
      </c>
      <c r="YU17" t="s">
        <v>1900</v>
      </c>
      <c r="YV17" t="s">
        <v>1900</v>
      </c>
      <c r="YW17" t="s">
        <v>1900</v>
      </c>
      <c r="YX17" t="s">
        <v>1900</v>
      </c>
      <c r="YY17" t="s">
        <v>1900</v>
      </c>
      <c r="YZ17" t="s">
        <v>1900</v>
      </c>
      <c r="ZA17" t="s">
        <v>1900</v>
      </c>
      <c r="ZB17" t="s">
        <v>1900</v>
      </c>
      <c r="ZC17" t="s">
        <v>1900</v>
      </c>
      <c r="ZD17" t="s">
        <v>1900</v>
      </c>
      <c r="ZE17" t="s">
        <v>1900</v>
      </c>
      <c r="ZF17" t="s">
        <v>1900</v>
      </c>
      <c r="ZG17" t="s">
        <v>1900</v>
      </c>
      <c r="ZH17" t="s">
        <v>1900</v>
      </c>
      <c r="ZI17" t="s">
        <v>1900</v>
      </c>
      <c r="ZJ17" t="s">
        <v>1900</v>
      </c>
      <c r="ZK17" t="s">
        <v>1900</v>
      </c>
      <c r="ZL17" t="s">
        <v>1900</v>
      </c>
      <c r="ZM17" t="s">
        <v>1900</v>
      </c>
      <c r="ZN17" t="s">
        <v>1900</v>
      </c>
      <c r="ZO17" t="s">
        <v>1900</v>
      </c>
      <c r="ZP17" t="s">
        <v>1900</v>
      </c>
      <c r="ZQ17" t="s">
        <v>1900</v>
      </c>
      <c r="ZR17" t="s">
        <v>1900</v>
      </c>
      <c r="ZS17" t="s">
        <v>1900</v>
      </c>
      <c r="ZT17" t="s">
        <v>1900</v>
      </c>
      <c r="ZU17" t="s">
        <v>1900</v>
      </c>
      <c r="ZV17" t="s">
        <v>1900</v>
      </c>
      <c r="ZW17" t="s">
        <v>1900</v>
      </c>
      <c r="ZX17" t="s">
        <v>1900</v>
      </c>
      <c r="ZY17" t="s">
        <v>1900</v>
      </c>
      <c r="ZZ17" t="s">
        <v>1900</v>
      </c>
      <c r="AAA17" t="s">
        <v>1900</v>
      </c>
      <c r="AAB17" t="s">
        <v>1900</v>
      </c>
      <c r="AAC17" t="s">
        <v>1900</v>
      </c>
      <c r="AAD17" t="s">
        <v>1900</v>
      </c>
      <c r="AAE17" t="s">
        <v>1900</v>
      </c>
      <c r="AAF17" t="s">
        <v>1900</v>
      </c>
      <c r="AAG17" t="s">
        <v>1900</v>
      </c>
      <c r="AAH17" t="s">
        <v>1900</v>
      </c>
      <c r="AAI17" t="s">
        <v>1900</v>
      </c>
      <c r="AAJ17" t="s">
        <v>1900</v>
      </c>
      <c r="AAK17" t="s">
        <v>1900</v>
      </c>
      <c r="AAL17" t="s">
        <v>1900</v>
      </c>
      <c r="AAM17" t="s">
        <v>1900</v>
      </c>
      <c r="AAN17" t="s">
        <v>1900</v>
      </c>
      <c r="AAO17" t="s">
        <v>1900</v>
      </c>
      <c r="AAP17" t="s">
        <v>1900</v>
      </c>
      <c r="AAQ17" t="s">
        <v>1900</v>
      </c>
      <c r="AAR17" t="s">
        <v>1900</v>
      </c>
      <c r="AAS17" t="s">
        <v>1900</v>
      </c>
      <c r="AAT17" t="s">
        <v>1900</v>
      </c>
      <c r="AAU17" t="s">
        <v>1900</v>
      </c>
      <c r="AAV17" t="s">
        <v>1900</v>
      </c>
      <c r="AAW17" t="s">
        <v>1900</v>
      </c>
      <c r="AAX17" t="s">
        <v>1900</v>
      </c>
      <c r="AAY17" t="s">
        <v>1900</v>
      </c>
      <c r="AAZ17" t="s">
        <v>1900</v>
      </c>
      <c r="ABA17" t="s">
        <v>1900</v>
      </c>
      <c r="ABB17" t="s">
        <v>1900</v>
      </c>
      <c r="ABC17" t="s">
        <v>1900</v>
      </c>
      <c r="ABD17" t="s">
        <v>1900</v>
      </c>
      <c r="ABE17" t="s">
        <v>1900</v>
      </c>
      <c r="ABF17" t="s">
        <v>1900</v>
      </c>
      <c r="ABG17" t="s">
        <v>1900</v>
      </c>
      <c r="ABH17" t="s">
        <v>1900</v>
      </c>
      <c r="ABI17" t="s">
        <v>1900</v>
      </c>
      <c r="ABJ17" t="s">
        <v>1900</v>
      </c>
      <c r="ABK17" t="s">
        <v>1900</v>
      </c>
      <c r="ABL17" t="s">
        <v>1900</v>
      </c>
      <c r="ABM17" t="s">
        <v>1900</v>
      </c>
      <c r="ABN17" t="s">
        <v>1900</v>
      </c>
      <c r="ABO17" t="s">
        <v>1900</v>
      </c>
      <c r="ABP17" t="s">
        <v>1900</v>
      </c>
      <c r="ABQ17" t="s">
        <v>1900</v>
      </c>
      <c r="ABR17" t="s">
        <v>1900</v>
      </c>
      <c r="ABS17" t="s">
        <v>1900</v>
      </c>
      <c r="ABT17" t="s">
        <v>1900</v>
      </c>
      <c r="ABU17" t="s">
        <v>1900</v>
      </c>
      <c r="ABV17" t="s">
        <v>1900</v>
      </c>
      <c r="ABW17" t="s">
        <v>1900</v>
      </c>
      <c r="ABX17" t="s">
        <v>1900</v>
      </c>
      <c r="ABY17" t="s">
        <v>1900</v>
      </c>
      <c r="ABZ17" t="s">
        <v>1900</v>
      </c>
      <c r="ACA17" t="s">
        <v>1900</v>
      </c>
      <c r="ACB17" t="s">
        <v>1900</v>
      </c>
      <c r="ACC17" t="s">
        <v>1900</v>
      </c>
      <c r="ACD17" t="s">
        <v>1900</v>
      </c>
      <c r="ACE17">
        <v>46.426</v>
      </c>
      <c r="ACF17">
        <v>4.755</v>
      </c>
      <c r="ACG17">
        <v>19.535</v>
      </c>
      <c r="ACH17">
        <v>53.182</v>
      </c>
      <c r="ACI17">
        <v>-8.391</v>
      </c>
      <c r="ACJ17" t="s">
        <v>1900</v>
      </c>
      <c r="ACK17" t="s">
        <v>1900</v>
      </c>
      <c r="ACL17">
        <v>19.541</v>
      </c>
      <c r="ACM17" t="s">
        <v>1900</v>
      </c>
      <c r="ACN17" t="s">
        <v>1900</v>
      </c>
      <c r="ACO17">
        <v>35.394</v>
      </c>
      <c r="ACP17">
        <v>3.742</v>
      </c>
      <c r="ACQ17">
        <v>15.464</v>
      </c>
      <c r="ACR17">
        <v>38.7</v>
      </c>
      <c r="ACS17">
        <v>-7.485</v>
      </c>
      <c r="ACT17">
        <v>34.82</v>
      </c>
      <c r="ACU17">
        <v>3.566</v>
      </c>
      <c r="ACV17">
        <v>14.651</v>
      </c>
      <c r="ACW17">
        <v>43.322</v>
      </c>
      <c r="ACX17">
        <v>-8.391</v>
      </c>
      <c r="ACY17" t="s">
        <v>1900</v>
      </c>
      <c r="ACZ17" t="s">
        <v>1900</v>
      </c>
      <c r="ADA17">
        <v>14.657</v>
      </c>
      <c r="ADB17" t="s">
        <v>1900</v>
      </c>
      <c r="ADC17" t="s">
        <v>1900</v>
      </c>
      <c r="ADD17">
        <v>26.545</v>
      </c>
      <c r="ADE17">
        <v>2.807</v>
      </c>
      <c r="ADF17">
        <v>11.598</v>
      </c>
      <c r="ADG17">
        <v>31.524</v>
      </c>
      <c r="ADH17">
        <v>-7.485</v>
      </c>
      <c r="ADI17">
        <v>28.377</v>
      </c>
      <c r="ADJ17">
        <v>3.049</v>
      </c>
      <c r="ADK17">
        <v>14.378</v>
      </c>
      <c r="ADL17">
        <v>29.576</v>
      </c>
      <c r="ADM17">
        <v>-5.933</v>
      </c>
      <c r="ADN17">
        <v>75.125</v>
      </c>
      <c r="ADO17">
        <v>69.206</v>
      </c>
      <c r="ADP17">
        <v>69.562</v>
      </c>
      <c r="ADQ17">
        <v>69.066</v>
      </c>
      <c r="ADR17">
        <v>57.814</v>
      </c>
      <c r="ADS17">
        <v>28.377087942</v>
      </c>
      <c r="ADT17">
        <v>3.049208575</v>
      </c>
      <c r="ADU17">
        <v>14.381698149</v>
      </c>
      <c r="ADV17">
        <v>29.575928585</v>
      </c>
      <c r="ADW17">
        <v>-5.932657387</v>
      </c>
      <c r="ADX17">
        <v>28.516</v>
      </c>
      <c r="ADY17">
        <v>3.119</v>
      </c>
      <c r="ADZ17">
        <v>14.465</v>
      </c>
      <c r="AEA17">
        <v>29.726</v>
      </c>
      <c r="AEB17">
        <v>-5.933</v>
      </c>
      <c r="AEC17">
        <v>28.377</v>
      </c>
      <c r="AED17">
        <v>3.049</v>
      </c>
      <c r="AEE17">
        <v>14.382</v>
      </c>
      <c r="AEF17">
        <v>29.576</v>
      </c>
      <c r="AEG17">
        <v>-5.933</v>
      </c>
      <c r="AEH17">
        <v>21.422</v>
      </c>
      <c r="AEI17">
        <v>2.357</v>
      </c>
      <c r="AEJ17">
        <v>10.866</v>
      </c>
      <c r="AEK17">
        <v>24.242</v>
      </c>
      <c r="AEL17" t="s">
        <v>1900</v>
      </c>
      <c r="AEM17">
        <v>39.620125916</v>
      </c>
      <c r="AEN17">
        <v>3.145109525</v>
      </c>
      <c r="AEO17">
        <v>16.797457831</v>
      </c>
      <c r="AEP17">
        <v>41.996902467</v>
      </c>
      <c r="AEQ17">
        <v>-5.600404571</v>
      </c>
      <c r="AER17">
        <v>1.607022382</v>
      </c>
      <c r="AES17">
        <v>1.046090342</v>
      </c>
      <c r="AET17">
        <v>1.26063224</v>
      </c>
      <c r="AEU17">
        <v>1.748947483</v>
      </c>
      <c r="AEV17">
        <v>0.906934251</v>
      </c>
      <c r="AEW17" t="s">
        <v>1900</v>
      </c>
      <c r="AEX17" t="s">
        <v>1900</v>
      </c>
      <c r="AEY17" t="s">
        <v>1900</v>
      </c>
      <c r="AEZ17" t="s">
        <v>1900</v>
      </c>
      <c r="AFA17" t="s">
        <v>1900</v>
      </c>
      <c r="AFB17" t="s">
        <v>1900</v>
      </c>
      <c r="AFC17" t="s">
        <v>1900</v>
      </c>
      <c r="AFD17" t="s">
        <v>1900</v>
      </c>
      <c r="AFE17" t="s">
        <v>1900</v>
      </c>
      <c r="AFF17" t="s">
        <v>1900</v>
      </c>
      <c r="AFG17">
        <v>1.636</v>
      </c>
      <c r="AFH17">
        <v>1.559</v>
      </c>
      <c r="AFI17">
        <v>1.359</v>
      </c>
      <c r="AFJ17">
        <v>1.798</v>
      </c>
      <c r="AFK17">
        <v>1.414</v>
      </c>
      <c r="AFL17" t="s">
        <v>1900</v>
      </c>
      <c r="AFM17" t="s">
        <v>1900</v>
      </c>
      <c r="AFN17" t="s">
        <v>1901</v>
      </c>
      <c r="AFO17" t="s">
        <v>1900</v>
      </c>
      <c r="AFP17" t="s">
        <v>1900</v>
      </c>
      <c r="AFQ17" t="s">
        <v>1901</v>
      </c>
      <c r="AFR17" t="s">
        <v>1901</v>
      </c>
      <c r="AFS17" t="s">
        <v>1901</v>
      </c>
      <c r="AFT17" t="s">
        <v>1901</v>
      </c>
      <c r="AFU17" t="s">
        <v>1901</v>
      </c>
      <c r="AFV17">
        <v>207.668</v>
      </c>
      <c r="AFW17">
        <v>70.645</v>
      </c>
      <c r="AFX17">
        <v>130.215</v>
      </c>
      <c r="AFY17">
        <v>195.649</v>
      </c>
      <c r="AFZ17">
        <v>101.639</v>
      </c>
      <c r="AGA17">
        <v>0</v>
      </c>
      <c r="AGB17">
        <v>0</v>
      </c>
      <c r="AGC17">
        <v>0</v>
      </c>
      <c r="AGD17">
        <v>0</v>
      </c>
      <c r="AGE17">
        <v>0</v>
      </c>
      <c r="AGF17" t="s">
        <v>1900</v>
      </c>
      <c r="AGG17" t="s">
        <v>1900</v>
      </c>
      <c r="AGH17" t="s">
        <v>1900</v>
      </c>
      <c r="AGI17" t="s">
        <v>1900</v>
      </c>
      <c r="AGJ17" t="s">
        <v>1900</v>
      </c>
      <c r="AGK17" t="s">
        <v>1900</v>
      </c>
      <c r="AGL17" t="s">
        <v>1900</v>
      </c>
      <c r="AGM17" t="s">
        <v>1900</v>
      </c>
      <c r="AGN17" t="s">
        <v>1900</v>
      </c>
      <c r="AGO17" t="s">
        <v>1900</v>
      </c>
      <c r="AGP17" t="s">
        <v>1900</v>
      </c>
      <c r="AGQ17" t="s">
        <v>1900</v>
      </c>
      <c r="AGR17" t="s">
        <v>1900</v>
      </c>
      <c r="AGS17" t="s">
        <v>1900</v>
      </c>
      <c r="AGT17" t="s">
        <v>1900</v>
      </c>
      <c r="AGU17">
        <v>0</v>
      </c>
      <c r="AGV17">
        <v>0</v>
      </c>
      <c r="AGW17">
        <v>0</v>
      </c>
      <c r="AGX17">
        <v>0</v>
      </c>
      <c r="AGY17">
        <v>0</v>
      </c>
      <c r="AGZ17">
        <v>4.172</v>
      </c>
      <c r="AHA17">
        <v>4.619</v>
      </c>
      <c r="AHB17">
        <v>4.743</v>
      </c>
      <c r="AHC17">
        <v>3.625</v>
      </c>
      <c r="AHD17">
        <v>9.259</v>
      </c>
      <c r="AHE17">
        <v>4.172</v>
      </c>
      <c r="AHF17">
        <v>4.619</v>
      </c>
      <c r="AHG17">
        <v>4.743</v>
      </c>
      <c r="AHH17">
        <v>3.625</v>
      </c>
      <c r="AHI17">
        <v>9.259</v>
      </c>
      <c r="AHJ17" t="s">
        <v>1901</v>
      </c>
      <c r="AHK17" t="s">
        <v>1901</v>
      </c>
      <c r="AHL17" t="s">
        <v>1901</v>
      </c>
      <c r="AHM17" t="s">
        <v>1901</v>
      </c>
      <c r="AHN17" t="s">
        <v>1901</v>
      </c>
      <c r="AHO17">
        <v>76.236</v>
      </c>
      <c r="AHP17">
        <v>78.705</v>
      </c>
      <c r="AHQ17">
        <v>79.16</v>
      </c>
      <c r="AHR17">
        <v>72.768</v>
      </c>
      <c r="AHS17">
        <v>89.2</v>
      </c>
      <c r="AHT17" t="s">
        <v>1901</v>
      </c>
      <c r="AHU17" t="s">
        <v>1901</v>
      </c>
      <c r="AHV17" t="s">
        <v>1901</v>
      </c>
      <c r="AHW17" t="s">
        <v>1901</v>
      </c>
      <c r="AHX17" t="s">
        <v>1901</v>
      </c>
      <c r="AHY17">
        <v>0</v>
      </c>
      <c r="AHZ17">
        <v>0</v>
      </c>
      <c r="AIA17">
        <v>0</v>
      </c>
      <c r="AIB17">
        <v>0</v>
      </c>
      <c r="AIC17">
        <v>0</v>
      </c>
      <c r="AID17">
        <v>0</v>
      </c>
      <c r="AIE17">
        <v>0</v>
      </c>
      <c r="AIF17">
        <v>0</v>
      </c>
      <c r="AIG17">
        <v>0</v>
      </c>
      <c r="AIH17" t="s">
        <v>1900</v>
      </c>
      <c r="AII17">
        <v>27.192484857</v>
      </c>
      <c r="AIJ17">
        <v>74.28218882500001</v>
      </c>
      <c r="AIK17">
        <v>59.944589578</v>
      </c>
      <c r="AIL17">
        <v>27.609328321</v>
      </c>
      <c r="AIM17">
        <v>64.38030599699999</v>
      </c>
      <c r="AIN17">
        <v>23.763622017</v>
      </c>
      <c r="AIO17">
        <v>21.294926599</v>
      </c>
      <c r="AIP17">
        <v>20.840200869</v>
      </c>
      <c r="AIQ17">
        <v>27.231926171</v>
      </c>
      <c r="AIR17">
        <v>10.800350023</v>
      </c>
      <c r="AIS17">
        <v>0</v>
      </c>
      <c r="AIT17">
        <v>0</v>
      </c>
      <c r="AIU17">
        <v>0</v>
      </c>
      <c r="AIV17">
        <v>0</v>
      </c>
      <c r="AIW17">
        <v>0</v>
      </c>
      <c r="AIX17">
        <v>39.7839649728171</v>
      </c>
      <c r="AIY17">
        <v>2.82471829269886</v>
      </c>
      <c r="AIZ17">
        <v>10.8026422760218</v>
      </c>
      <c r="AJA17">
        <v>31.8553542859054</v>
      </c>
      <c r="AJB17">
        <v>-3.87881180152893</v>
      </c>
      <c r="AJC17">
        <v>140.197487968501</v>
      </c>
      <c r="AJD17">
        <v>92.63775303968519</v>
      </c>
      <c r="AJE17">
        <v>75.135676208604</v>
      </c>
      <c r="AJF17">
        <v>107.707030748799</v>
      </c>
      <c r="AJG17">
        <v>65.38068141990129</v>
      </c>
      <c r="AJH17">
        <v>36.956</v>
      </c>
      <c r="AJI17">
        <v>52.969</v>
      </c>
      <c r="AJJ17">
        <v>45.143</v>
      </c>
      <c r="AJK17">
        <v>29.5</v>
      </c>
      <c r="AJL17">
        <v>52.907</v>
      </c>
      <c r="AJM17">
        <v>51.8113371637158</v>
      </c>
      <c r="AJN17">
        <v>49.0691161216164</v>
      </c>
      <c r="AJO17">
        <v>33.9187714027804</v>
      </c>
      <c r="AJP17">
        <v>31.7735918697095</v>
      </c>
      <c r="AJQ17">
        <v>34.5912788883269</v>
      </c>
      <c r="AJR17">
        <v>85.6925512924102</v>
      </c>
      <c r="AJS17">
        <v>59.4083803417511</v>
      </c>
      <c r="AJT17">
        <v>55.2989042690492</v>
      </c>
      <c r="AJU17">
        <v>59.8982468204498</v>
      </c>
      <c r="AJV17">
        <v>46.2252625485134</v>
      </c>
      <c r="AJW17">
        <v>80.8738723801267</v>
      </c>
      <c r="AJX17">
        <v>18.17877311341</v>
      </c>
      <c r="AJY17">
        <v>27.1771053513509</v>
      </c>
      <c r="AJZ17">
        <v>58.5353956660795</v>
      </c>
      <c r="AKA17">
        <v>18.458925898726</v>
      </c>
      <c r="AKB17">
        <v>112.403754527995</v>
      </c>
      <c r="AKC17">
        <v>75.48227558051779</v>
      </c>
      <c r="AKD17">
        <v>69.8573067933023</v>
      </c>
      <c r="AKE17">
        <v>82.31390986578231</v>
      </c>
      <c r="AKF17">
        <v>51.8222465181124</v>
      </c>
      <c r="AKG17">
        <v>0</v>
      </c>
      <c r="AKH17">
        <v>0</v>
      </c>
      <c r="AKI17">
        <v>0</v>
      </c>
      <c r="AKJ17">
        <v>0</v>
      </c>
      <c r="AKK17">
        <v>0</v>
      </c>
      <c r="AKL17">
        <v>0</v>
      </c>
      <c r="AKM17">
        <v>0</v>
      </c>
      <c r="AKN17">
        <v>0</v>
      </c>
      <c r="AKO17">
        <v>0</v>
      </c>
      <c r="AKP17">
        <v>0</v>
      </c>
      <c r="AKQ17">
        <v>0</v>
      </c>
      <c r="AKR17">
        <v>0</v>
      </c>
      <c r="AKS17">
        <v>0</v>
      </c>
      <c r="AKT17">
        <v>0</v>
      </c>
      <c r="AKU17">
        <v>0</v>
      </c>
      <c r="AKV17">
        <v>0</v>
      </c>
      <c r="AKW17">
        <v>0</v>
      </c>
      <c r="AKX17">
        <v>0</v>
      </c>
      <c r="AKY17">
        <v>0</v>
      </c>
      <c r="AKZ17" t="s">
        <v>1900</v>
      </c>
      <c r="ALA17">
        <v>0</v>
      </c>
      <c r="ALB17">
        <v>0</v>
      </c>
      <c r="ALC17">
        <v>0</v>
      </c>
      <c r="ALD17">
        <v>0</v>
      </c>
      <c r="ALE17" t="s">
        <v>1900</v>
      </c>
      <c r="ALF17">
        <v>0.687963711</v>
      </c>
      <c r="ALG17">
        <v>1.331655415</v>
      </c>
      <c r="ALH17">
        <v>1.070763417</v>
      </c>
      <c r="ALI17">
        <v>0.976906527</v>
      </c>
      <c r="ALJ17" t="s">
        <v>1900</v>
      </c>
      <c r="ALK17">
        <v>0.858074403</v>
      </c>
      <c r="ALL17">
        <v>1.634311676</v>
      </c>
      <c r="ALM17">
        <v>1.151669546</v>
      </c>
      <c r="ALN17">
        <v>1.278273637</v>
      </c>
      <c r="ALO17" t="s">
        <v>1900</v>
      </c>
      <c r="ALP17">
        <v>57.685678647</v>
      </c>
      <c r="ALQ17">
        <v>19.623504351</v>
      </c>
      <c r="ALR17">
        <v>36.170707688</v>
      </c>
      <c r="ALS17">
        <v>54.346865774</v>
      </c>
      <c r="ALT17">
        <v>28.232996666</v>
      </c>
      <c r="ALU17">
        <v>0</v>
      </c>
      <c r="ALV17">
        <v>0</v>
      </c>
      <c r="ALW17">
        <v>0</v>
      </c>
      <c r="ALX17">
        <v>0</v>
      </c>
      <c r="ALY17">
        <v>0</v>
      </c>
      <c r="ALZ17">
        <v>75.125097194795</v>
      </c>
      <c r="AMA17">
        <v>69.2064218499587</v>
      </c>
      <c r="AMB17">
        <v>69.5617410009272</v>
      </c>
      <c r="AMC17">
        <v>69.0659185633166</v>
      </c>
      <c r="AMD17">
        <v>57.8142901463401</v>
      </c>
      <c r="AME17">
        <v>75.125097194795</v>
      </c>
      <c r="AMF17">
        <v>69.2064218499587</v>
      </c>
      <c r="AMG17">
        <v>69.5617410009272</v>
      </c>
      <c r="AMH17">
        <v>69.0659185633166</v>
      </c>
      <c r="AMI17">
        <v>57.8142901463401</v>
      </c>
      <c r="AMJ17">
        <v>302.011621042697</v>
      </c>
      <c r="AMK17">
        <v>224.743034124685</v>
      </c>
      <c r="AML17">
        <v>228.533902031145</v>
      </c>
      <c r="AMM17">
        <v>223.268044033188</v>
      </c>
      <c r="AMN17">
        <v>137.047095679781</v>
      </c>
      <c r="AMO17">
        <v>1.6070223822501</v>
      </c>
      <c r="AMP17">
        <v>1.0460903442002</v>
      </c>
      <c r="AMQ17">
        <v>1.26063223959238</v>
      </c>
      <c r="AMR17">
        <v>1.74894748268305</v>
      </c>
      <c r="AMS17">
        <v>0.9069342514994569</v>
      </c>
      <c r="AMT17">
        <v>1.6070223822501</v>
      </c>
      <c r="AMU17">
        <v>1.04609034194645</v>
      </c>
      <c r="AMV17">
        <v>1.26063223959238</v>
      </c>
      <c r="AMW17">
        <v>1.74894748268305</v>
      </c>
      <c r="AMX17">
        <v>0.9069342514994569</v>
      </c>
      <c r="AMY17">
        <v>1.6070223822501</v>
      </c>
      <c r="AMZ17">
        <v>1.04609034184257</v>
      </c>
      <c r="ANA17">
        <v>1.26063223959238</v>
      </c>
      <c r="ANB17">
        <v>1.74894748268305</v>
      </c>
      <c r="ANC17">
        <v>0.9069342514994569</v>
      </c>
      <c r="AND17">
        <v>28.3770879420506</v>
      </c>
      <c r="ANE17">
        <v>3.04920857518604</v>
      </c>
      <c r="ANF17">
        <v>14.381698149239</v>
      </c>
      <c r="ANG17">
        <v>29.5759285852512</v>
      </c>
      <c r="ANH17">
        <v>-5.9326573867962</v>
      </c>
      <c r="ANI17">
        <v>28.3770879420506</v>
      </c>
      <c r="ANJ17">
        <v>3.04920857518604</v>
      </c>
      <c r="ANK17">
        <v>14.381698149239</v>
      </c>
      <c r="ANL17">
        <v>29.5759285852512</v>
      </c>
      <c r="ANM17">
        <v>-5.9326573867962</v>
      </c>
      <c r="ANN17">
        <v>39.6201259159792</v>
      </c>
      <c r="ANO17">
        <v>3.14510952450627</v>
      </c>
      <c r="ANP17">
        <v>16.7974578312794</v>
      </c>
      <c r="ANQ17">
        <v>41.9969024668703</v>
      </c>
      <c r="ANR17">
        <v>-5.60040457130614</v>
      </c>
      <c r="ANS17">
        <v>46.4263977376208</v>
      </c>
      <c r="ANT17">
        <v>4.75474716414497</v>
      </c>
      <c r="ANU17">
        <v>19.5406876954557</v>
      </c>
      <c r="ANV17">
        <v>53.1824488005376</v>
      </c>
      <c r="ANW17">
        <v>-8.39110828582213</v>
      </c>
      <c r="ANX17">
        <v>75.125097194795</v>
      </c>
      <c r="ANY17">
        <v>69.2064218499587</v>
      </c>
      <c r="ANZ17">
        <v>69.5617410009272</v>
      </c>
      <c r="AOA17">
        <v>69.0659185633166</v>
      </c>
      <c r="AOB17">
        <v>57.8142901463401</v>
      </c>
      <c r="AOC17">
        <v>104.889755297875</v>
      </c>
      <c r="AOD17">
        <v>71.38303961513181</v>
      </c>
      <c r="AOE17">
        <v>81.24634511226169</v>
      </c>
      <c r="AOF17">
        <v>98.0714650202008</v>
      </c>
      <c r="AOG17">
        <v>54.5764559981163</v>
      </c>
      <c r="AOH17">
        <v>93.70105120598549</v>
      </c>
      <c r="AOI17">
        <v>84.93553360825641</v>
      </c>
      <c r="AOJ17">
        <v>74.8177771399038</v>
      </c>
      <c r="AOK17">
        <v>90.3721497463264</v>
      </c>
      <c r="AOL17">
        <v>72.9404444178538</v>
      </c>
      <c r="AOM17">
        <v>114.079191240549</v>
      </c>
      <c r="AON17">
        <v>9.902092443849201</v>
      </c>
      <c r="AOO17">
        <v>47.248754108036</v>
      </c>
      <c r="AOP17">
        <v>95.6095258421941</v>
      </c>
      <c r="AOQ17">
        <v>-14.0631920320324</v>
      </c>
      <c r="AOR17">
        <v>60.7022382250099</v>
      </c>
      <c r="AOS17">
        <v>4.60903419464458</v>
      </c>
      <c r="AOT17">
        <v>26.0632239592381</v>
      </c>
      <c r="AOU17">
        <v>74.89474826830551</v>
      </c>
      <c r="AOV17">
        <v>-9.306574850054339</v>
      </c>
      <c r="AOW17">
        <v>35.3938040631122</v>
      </c>
      <c r="AOX17">
        <v>3.74222724558403</v>
      </c>
      <c r="AOY17">
        <v>15.4683691284954</v>
      </c>
      <c r="AOZ17">
        <v>38.6998436072726</v>
      </c>
      <c r="APA17">
        <v>-7.48483922013824</v>
      </c>
      <c r="APB17">
        <v>21.2828135482041</v>
      </c>
      <c r="APC17">
        <v>2.28690628228718</v>
      </c>
      <c r="APD17">
        <v>10.78313726129</v>
      </c>
      <c r="APE17">
        <v>24.0922250524449</v>
      </c>
      <c r="APF17">
        <v>-5.9326573867962</v>
      </c>
      <c r="APG17">
        <v>21.2828135482041</v>
      </c>
      <c r="APH17">
        <v>2.28690628228718</v>
      </c>
      <c r="API17">
        <v>10.78313726129</v>
      </c>
      <c r="APJ17">
        <v>24.0922250524449</v>
      </c>
      <c r="APK17">
        <v>-5.9326573867962</v>
      </c>
      <c r="APL17">
        <v>85.5593837486303</v>
      </c>
      <c r="APM17">
        <v>7.42656884868742</v>
      </c>
      <c r="APN17">
        <v>35.4262616058904</v>
      </c>
      <c r="APO17">
        <v>77.8824646911123</v>
      </c>
      <c r="APP17">
        <v>-14.0631920320324</v>
      </c>
      <c r="APQ17">
        <v>45.5266735170219</v>
      </c>
      <c r="APR17">
        <v>3.45677542060764</v>
      </c>
      <c r="APS17">
        <v>19.5417341198388</v>
      </c>
      <c r="APT17">
        <v>61.0084354689044</v>
      </c>
      <c r="APU17">
        <v>-9.306574850054339</v>
      </c>
      <c r="APV17">
        <v>29.7150910744657</v>
      </c>
      <c r="APW17">
        <v>2.35883198958793</v>
      </c>
      <c r="APX17">
        <v>12.5944301956442</v>
      </c>
      <c r="APY17">
        <v>34.210213309819</v>
      </c>
      <c r="APZ17">
        <v>-5.60040457130614</v>
      </c>
      <c r="AQA17">
        <v>26.545350043499</v>
      </c>
      <c r="AQB17">
        <v>2.80667025119796</v>
      </c>
      <c r="AQC17">
        <v>11.5979035152877</v>
      </c>
      <c r="AQD17">
        <v>31.5244655461394</v>
      </c>
      <c r="AQE17">
        <v>-7.48483922013824</v>
      </c>
      <c r="AQF17">
        <v>0.607022382250099</v>
      </c>
      <c r="AQG17">
        <v>0.0460903418425693</v>
      </c>
      <c r="AQH17">
        <v>0.260632239592381</v>
      </c>
      <c r="AQI17">
        <v>0.748947482683055</v>
      </c>
      <c r="AQJ17">
        <v>-0.0930657485005434</v>
      </c>
      <c r="AQK17">
        <v>1</v>
      </c>
      <c r="AQO17" t="s">
        <v>1903</v>
      </c>
      <c r="AQP17">
        <v>6</v>
      </c>
      <c r="AQQ17">
        <v>0</v>
      </c>
      <c r="AQS17" t="s">
        <v>1905</v>
      </c>
      <c r="AQU17" t="s">
        <v>1906</v>
      </c>
      <c r="AQV17">
        <v>1121579.90374801</v>
      </c>
      <c r="AQW17">
        <v>741102.01989748</v>
      </c>
      <c r="AQX17">
        <v>601085.4054024339</v>
      </c>
      <c r="AQY17">
        <v>318271.715626938</v>
      </c>
      <c r="AQZ17">
        <v>22597.7463415909</v>
      </c>
      <c r="ARA17">
        <v>86446.28862410779</v>
      </c>
      <c r="ARB17">
        <v>2463767.329047924</v>
      </c>
      <c r="ARC17">
        <v>427315.7505926366</v>
      </c>
      <c r="ARD17">
        <v>0.2098334942570887</v>
      </c>
      <c r="ARE17">
        <v>0.2098334942570887</v>
      </c>
      <c r="ARF17">
        <v>0.2098334942570887</v>
      </c>
      <c r="ARG17">
        <v>0.2098334942570887</v>
      </c>
      <c r="ARH17">
        <v>0.2098334942570887</v>
      </c>
      <c r="ARI17">
        <v>0.2098334942570887</v>
      </c>
      <c r="ARJ17" t="s">
        <v>1178</v>
      </c>
      <c r="ARK17" t="s">
        <v>1516</v>
      </c>
      <c r="ARL17" t="s">
        <v>1909</v>
      </c>
      <c r="ARP17" t="s">
        <v>1907</v>
      </c>
      <c r="ARQ17" t="s">
        <v>1911</v>
      </c>
    </row>
    <row r="18" spans="1:1163">
      <c r="A18">
        <v>25</v>
      </c>
      <c r="B18" t="s">
        <v>1179</v>
      </c>
      <c r="C18" t="s">
        <v>1302</v>
      </c>
      <c r="E18" s="2">
        <v>35249</v>
      </c>
      <c r="F18" t="s">
        <v>1431</v>
      </c>
      <c r="G18" t="s">
        <v>1433</v>
      </c>
      <c r="H18" t="s">
        <v>1434</v>
      </c>
      <c r="I18" t="s">
        <v>1435</v>
      </c>
      <c r="J18" t="s">
        <v>1451</v>
      </c>
      <c r="L18" t="s">
        <v>1517</v>
      </c>
      <c r="N18" t="s">
        <v>1627</v>
      </c>
      <c r="O18" t="s">
        <v>1651</v>
      </c>
      <c r="P18">
        <v>6910</v>
      </c>
      <c r="Q18">
        <v>6910</v>
      </c>
      <c r="R18" t="s">
        <v>1688</v>
      </c>
      <c r="S18" t="s">
        <v>1798</v>
      </c>
      <c r="T18" t="s">
        <v>1852</v>
      </c>
      <c r="U18" t="s">
        <v>1873</v>
      </c>
      <c r="X18" t="s">
        <v>1879</v>
      </c>
      <c r="Z18" t="s">
        <v>1899</v>
      </c>
      <c r="AA18" s="2">
        <v>45297</v>
      </c>
      <c r="AB18">
        <v>2024</v>
      </c>
      <c r="AC18">
        <v>35260334.791005</v>
      </c>
      <c r="AD18">
        <v>36664549.0341453</v>
      </c>
      <c r="AE18">
        <v>26629642.0709164</v>
      </c>
      <c r="AF18">
        <v>28643093.356406</v>
      </c>
      <c r="AG18">
        <v>24819093.9766359</v>
      </c>
      <c r="AH18">
        <v>35260334.791005</v>
      </c>
      <c r="AI18">
        <v>36664549.0341453</v>
      </c>
      <c r="AJ18">
        <v>26629642.0709164</v>
      </c>
      <c r="AK18">
        <v>28643093.356406</v>
      </c>
      <c r="AL18">
        <v>24819093.9766359</v>
      </c>
      <c r="AM18" t="s">
        <v>1900</v>
      </c>
      <c r="AN18" t="s">
        <v>1900</v>
      </c>
      <c r="AO18" t="s">
        <v>1900</v>
      </c>
      <c r="AP18" t="s">
        <v>1900</v>
      </c>
      <c r="AQ18" t="s">
        <v>1900</v>
      </c>
      <c r="AR18">
        <v>35260334.791005</v>
      </c>
      <c r="AS18">
        <v>36664549.0341453</v>
      </c>
      <c r="AT18">
        <v>26629642.0709164</v>
      </c>
      <c r="AU18">
        <v>28643093.356406</v>
      </c>
      <c r="AV18">
        <v>24819093.9766359</v>
      </c>
      <c r="AW18">
        <v>35243788.5688292</v>
      </c>
      <c r="AX18">
        <v>36633193.1317234</v>
      </c>
      <c r="AY18">
        <v>26563640.2738844</v>
      </c>
      <c r="AZ18">
        <v>28484124.0656</v>
      </c>
      <c r="BA18">
        <v>24715133.6318627</v>
      </c>
      <c r="BB18">
        <v>16546.2221757412</v>
      </c>
      <c r="BC18">
        <v>31355.9024218142</v>
      </c>
      <c r="BD18">
        <v>66001.79589936729</v>
      </c>
      <c r="BE18">
        <v>158969.290806079</v>
      </c>
      <c r="BF18">
        <v>103960.343649867</v>
      </c>
      <c r="BG18">
        <v>-15195.9436147528</v>
      </c>
      <c r="BH18">
        <v>-29841.7545884842</v>
      </c>
      <c r="BI18">
        <v>-49827.4367105484</v>
      </c>
      <c r="BJ18">
        <v>-147500.955734521</v>
      </c>
      <c r="BK18">
        <v>-91923.1479193986</v>
      </c>
      <c r="BL18">
        <v>23671.1327733135</v>
      </c>
      <c r="BM18" t="s">
        <v>1900</v>
      </c>
      <c r="BN18" t="s">
        <v>1900</v>
      </c>
      <c r="BO18" t="s">
        <v>1900</v>
      </c>
      <c r="BP18" t="s">
        <v>1900</v>
      </c>
      <c r="BQ18">
        <v>38867.0774930668</v>
      </c>
      <c r="BR18">
        <v>29841.7545884842</v>
      </c>
      <c r="BS18">
        <v>49827.4367105484</v>
      </c>
      <c r="BT18">
        <v>147500.955734521</v>
      </c>
      <c r="BU18">
        <v>91923.1479193986</v>
      </c>
      <c r="BV18">
        <v>1350.27745598793</v>
      </c>
      <c r="BW18">
        <v>1514.14463353157</v>
      </c>
      <c r="BX18">
        <v>16174.3591888189</v>
      </c>
      <c r="BY18">
        <v>11468.3350715578</v>
      </c>
      <c r="BZ18">
        <v>12037.195730468</v>
      </c>
      <c r="CA18">
        <v>2795.48550457954</v>
      </c>
      <c r="CB18">
        <v>2698.33671537042</v>
      </c>
      <c r="CC18">
        <v>2865.30888783932</v>
      </c>
      <c r="CD18">
        <v>3104.37716266513</v>
      </c>
      <c r="CE18">
        <v>2842.03311989903</v>
      </c>
      <c r="CF18">
        <v>-1445.20694359112</v>
      </c>
      <c r="CG18">
        <v>-1184.19208183885</v>
      </c>
      <c r="CH18">
        <v>13309.0503009796</v>
      </c>
      <c r="CI18">
        <v>8363.95668179333</v>
      </c>
      <c r="CJ18">
        <v>9195.161487169151</v>
      </c>
      <c r="CK18" t="s">
        <v>1900</v>
      </c>
      <c r="CL18" t="s">
        <v>1900</v>
      </c>
      <c r="CM18" t="s">
        <v>1900</v>
      </c>
      <c r="CN18" t="s">
        <v>1900</v>
      </c>
      <c r="CO18" t="s">
        <v>1900</v>
      </c>
      <c r="CP18" t="s">
        <v>1900</v>
      </c>
      <c r="CQ18" t="s">
        <v>1900</v>
      </c>
      <c r="CR18" t="s">
        <v>1900</v>
      </c>
      <c r="CS18" t="s">
        <v>1900</v>
      </c>
      <c r="CT18" t="s">
        <v>1900</v>
      </c>
      <c r="CU18" t="s">
        <v>1900</v>
      </c>
      <c r="CV18" t="s">
        <v>1900</v>
      </c>
      <c r="CW18" t="s">
        <v>1900</v>
      </c>
      <c r="CX18" t="s">
        <v>1900</v>
      </c>
      <c r="CY18" t="s">
        <v>1900</v>
      </c>
      <c r="CZ18">
        <v>-1445.20694359112</v>
      </c>
      <c r="DA18">
        <v>-1184.19208183885</v>
      </c>
      <c r="DB18">
        <v>13309.0503009796</v>
      </c>
      <c r="DC18">
        <v>8363.95668179333</v>
      </c>
      <c r="DD18">
        <v>9195.161487169151</v>
      </c>
      <c r="DE18" t="s">
        <v>1900</v>
      </c>
      <c r="DF18" t="s">
        <v>1900</v>
      </c>
      <c r="DG18" t="s">
        <v>1900</v>
      </c>
      <c r="DH18" t="s">
        <v>1900</v>
      </c>
      <c r="DI18" t="s">
        <v>1900</v>
      </c>
      <c r="DJ18" t="s">
        <v>1900</v>
      </c>
      <c r="DK18" t="s">
        <v>1900</v>
      </c>
      <c r="DL18" t="s">
        <v>1900</v>
      </c>
      <c r="DM18" t="s">
        <v>1900</v>
      </c>
      <c r="DN18" t="s">
        <v>1900</v>
      </c>
      <c r="DO18">
        <v>9537996.547585649</v>
      </c>
      <c r="DP18">
        <v>8533233.009203181</v>
      </c>
      <c r="DQ18">
        <v>8888538.834458761</v>
      </c>
      <c r="DR18">
        <v>8666448.905554039</v>
      </c>
      <c r="DS18">
        <v>7696874.22742213</v>
      </c>
      <c r="DT18">
        <v>198783.843211746</v>
      </c>
      <c r="DU18">
        <v>205564.652772546</v>
      </c>
      <c r="DV18">
        <v>228929.362844968</v>
      </c>
      <c r="DW18">
        <v>234570.670037133</v>
      </c>
      <c r="DX18">
        <v>247138.036960692</v>
      </c>
      <c r="DY18">
        <v>25507008.1780318</v>
      </c>
      <c r="DZ18">
        <v>27894395.4697477</v>
      </c>
      <c r="EA18">
        <v>17446172.0777133</v>
      </c>
      <c r="EB18">
        <v>19583104.4900088</v>
      </c>
      <c r="EC18">
        <v>16771121.3686032</v>
      </c>
      <c r="ED18">
        <v>35214.6862039185</v>
      </c>
      <c r="EE18">
        <v>17755.9771290952</v>
      </c>
      <c r="EF18">
        <v>34136.5392889738</v>
      </c>
      <c r="EG18">
        <v>63529.6180790007</v>
      </c>
      <c r="EH18">
        <v>50207.4243877876</v>
      </c>
      <c r="EI18" t="s">
        <v>1900</v>
      </c>
      <c r="EJ18" t="s">
        <v>1900</v>
      </c>
      <c r="EK18" t="s">
        <v>1900</v>
      </c>
      <c r="EL18" t="s">
        <v>1900</v>
      </c>
      <c r="EM18" t="s">
        <v>1900</v>
      </c>
      <c r="EN18">
        <v>197338.634058154</v>
      </c>
      <c r="EO18">
        <v>204380.460690707</v>
      </c>
      <c r="EP18">
        <v>242238.413145947</v>
      </c>
      <c r="EQ18">
        <v>242934.627946025</v>
      </c>
      <c r="ER18">
        <v>256333.199571261</v>
      </c>
      <c r="ES18">
        <v>9773345.3544573</v>
      </c>
      <c r="ET18">
        <v>8758067.78373835</v>
      </c>
      <c r="EU18">
        <v>9167779.09578152</v>
      </c>
      <c r="EV18">
        <v>8976017.52874174</v>
      </c>
      <c r="EW18">
        <v>8006256.88337768</v>
      </c>
      <c r="EX18">
        <v>215330.065387487</v>
      </c>
      <c r="EY18">
        <v>236920.55519436</v>
      </c>
      <c r="EZ18">
        <v>294931.158744335</v>
      </c>
      <c r="FA18">
        <v>393539.960843211</v>
      </c>
      <c r="FB18">
        <v>351098.380610559</v>
      </c>
      <c r="FC18">
        <v>414957.488077822</v>
      </c>
      <c r="FD18">
        <v>566882.567624545</v>
      </c>
      <c r="FE18">
        <v>785628.712942958</v>
      </c>
      <c r="FF18">
        <v>957974.850659978</v>
      </c>
      <c r="FG18">
        <v>996529.32033195</v>
      </c>
      <c r="FH18">
        <v>0</v>
      </c>
      <c r="FI18">
        <v>0</v>
      </c>
      <c r="FJ18">
        <v>0</v>
      </c>
      <c r="FK18">
        <v>634.18945993185</v>
      </c>
      <c r="FL18">
        <v>1741.7977711761</v>
      </c>
      <c r="FM18">
        <v>308225.324427738</v>
      </c>
      <c r="FN18">
        <v>461129.175033754</v>
      </c>
      <c r="FO18">
        <v>670466.026939988</v>
      </c>
      <c r="FP18">
        <v>829428.075647235</v>
      </c>
      <c r="FQ18">
        <v>874370.303475988</v>
      </c>
      <c r="FR18">
        <v>106732.163650084</v>
      </c>
      <c r="FS18">
        <v>105753.391524191</v>
      </c>
      <c r="FT18">
        <v>115162.68600297</v>
      </c>
      <c r="FU18">
        <v>127912.585552812</v>
      </c>
      <c r="FV18">
        <v>120417.217961386</v>
      </c>
      <c r="FW18">
        <v>0</v>
      </c>
      <c r="FX18">
        <v>0</v>
      </c>
      <c r="FY18">
        <v>0</v>
      </c>
      <c r="FZ18">
        <v>634.18945993185</v>
      </c>
      <c r="GA18">
        <v>1741.7977711761</v>
      </c>
      <c r="GB18">
        <v>308225.324427738</v>
      </c>
      <c r="GC18">
        <v>461129.175033754</v>
      </c>
      <c r="GD18">
        <v>670466.026939988</v>
      </c>
      <c r="GE18">
        <v>829428.075647235</v>
      </c>
      <c r="GF18">
        <v>874370.303475988</v>
      </c>
      <c r="GG18">
        <v>106732.163650084</v>
      </c>
      <c r="GH18">
        <v>105753.391524191</v>
      </c>
      <c r="GI18">
        <v>115162.68600297</v>
      </c>
      <c r="GJ18">
        <v>127912.585552812</v>
      </c>
      <c r="GK18">
        <v>120417.217961386</v>
      </c>
      <c r="GL18">
        <v>1926937.64473594</v>
      </c>
      <c r="GM18">
        <v>2171926.02000995</v>
      </c>
      <c r="GN18">
        <v>2110810.66838329</v>
      </c>
      <c r="GO18">
        <v>1713223.06798859</v>
      </c>
      <c r="GP18">
        <v>1734404.45205889</v>
      </c>
      <c r="GQ18">
        <v>0</v>
      </c>
      <c r="GR18">
        <v>0</v>
      </c>
      <c r="GS18">
        <v>0</v>
      </c>
      <c r="GT18">
        <v>0</v>
      </c>
      <c r="GU18">
        <v>0</v>
      </c>
      <c r="GV18">
        <v>1691676.79590376</v>
      </c>
      <c r="GW18">
        <v>1813513.70348588</v>
      </c>
      <c r="GX18">
        <v>1907568.88437967</v>
      </c>
      <c r="GY18">
        <v>1533054.87598328</v>
      </c>
      <c r="GZ18">
        <v>1441586.40446083</v>
      </c>
      <c r="HA18">
        <v>235260.848832178</v>
      </c>
      <c r="HB18">
        <v>358412.316524071</v>
      </c>
      <c r="HC18">
        <v>203241.784003615</v>
      </c>
      <c r="HD18">
        <v>180168.192005312</v>
      </c>
      <c r="HE18">
        <v>292818.047598058</v>
      </c>
      <c r="HF18">
        <v>235260.848832178</v>
      </c>
      <c r="HG18">
        <v>358412.316524071</v>
      </c>
      <c r="HH18">
        <v>203241.784003615</v>
      </c>
      <c r="HI18">
        <v>180168.192005312</v>
      </c>
      <c r="HJ18">
        <v>292818.047598058</v>
      </c>
      <c r="HK18">
        <v>2341895.13281376</v>
      </c>
      <c r="HL18">
        <v>2738808.5876345</v>
      </c>
      <c r="HM18">
        <v>2896439.38132625</v>
      </c>
      <c r="HN18">
        <v>2671197.91864857</v>
      </c>
      <c r="HO18">
        <v>2730933.77239084</v>
      </c>
      <c r="HP18">
        <v>-1000798.81654621</v>
      </c>
      <c r="HQ18">
        <v>-964624.044384956</v>
      </c>
      <c r="HR18">
        <v>-1023057.18777716</v>
      </c>
      <c r="HS18">
        <v>-1122098.40027941</v>
      </c>
      <c r="HT18">
        <v>-1034929.49770532</v>
      </c>
      <c r="HU18">
        <v>4648.82548633575</v>
      </c>
      <c r="HV18">
        <v>4487.26937506199</v>
      </c>
      <c r="HW18">
        <v>4764.94010152817</v>
      </c>
      <c r="HX18">
        <v>5900.00387060046</v>
      </c>
      <c r="HY18">
        <v>5401.40760260701</v>
      </c>
      <c r="HZ18">
        <v>-1005447.64203255</v>
      </c>
      <c r="IA18">
        <v>-969111.313760018</v>
      </c>
      <c r="IB18">
        <v>-1027822.12787869</v>
      </c>
      <c r="IC18">
        <v>-1127998.40415001</v>
      </c>
      <c r="ID18">
        <v>-1040330.90530793</v>
      </c>
      <c r="IE18">
        <v>1049750.47111511</v>
      </c>
      <c r="IF18">
        <v>1013269.51384544</v>
      </c>
      <c r="IG18">
        <v>1075970.29209137</v>
      </c>
      <c r="IH18">
        <v>1165744.3344593</v>
      </c>
      <c r="II18">
        <v>1067229.86102104</v>
      </c>
      <c r="IJ18">
        <v>1049750.47111511</v>
      </c>
      <c r="IK18">
        <v>0</v>
      </c>
      <c r="IL18">
        <v>1075970.29209137</v>
      </c>
      <c r="IM18">
        <v>1165744.3344593</v>
      </c>
      <c r="IN18">
        <v>1067229.86102104</v>
      </c>
      <c r="IO18">
        <v>0</v>
      </c>
      <c r="IP18">
        <v>1013269.51384544</v>
      </c>
      <c r="IQ18">
        <v>0</v>
      </c>
      <c r="IR18">
        <v>0</v>
      </c>
      <c r="IS18">
        <v>0</v>
      </c>
      <c r="IT18">
        <v>0</v>
      </c>
      <c r="IU18" t="s">
        <v>1900</v>
      </c>
      <c r="IV18">
        <v>0</v>
      </c>
      <c r="IW18">
        <v>0</v>
      </c>
      <c r="IX18">
        <v>0</v>
      </c>
      <c r="IY18">
        <v>2292943.47824486</v>
      </c>
      <c r="IZ18">
        <v>2690163.11817401</v>
      </c>
      <c r="JA18">
        <v>2843526.27701204</v>
      </c>
      <c r="JB18">
        <v>2627551.98446868</v>
      </c>
      <c r="JC18">
        <v>2698633.40907512</v>
      </c>
      <c r="JD18">
        <v>0</v>
      </c>
      <c r="JE18">
        <v>0</v>
      </c>
      <c r="JF18">
        <v>0</v>
      </c>
      <c r="JG18">
        <v>0</v>
      </c>
      <c r="JH18">
        <v>0</v>
      </c>
      <c r="JI18">
        <v>0</v>
      </c>
      <c r="JJ18">
        <v>0</v>
      </c>
      <c r="JK18">
        <v>0</v>
      </c>
      <c r="JL18">
        <v>0</v>
      </c>
      <c r="JM18">
        <v>0</v>
      </c>
      <c r="JN18">
        <v>2292943.47824486</v>
      </c>
      <c r="JO18">
        <v>2690163.11817401</v>
      </c>
      <c r="JP18">
        <v>2843526.27701204</v>
      </c>
      <c r="JQ18">
        <v>2627551.98446868</v>
      </c>
      <c r="JR18">
        <v>2698633.40907512</v>
      </c>
      <c r="JS18">
        <v>2341895.13281376</v>
      </c>
      <c r="JT18">
        <v>2738808.5876345</v>
      </c>
      <c r="JU18">
        <v>2896439.38132625</v>
      </c>
      <c r="JV18">
        <v>2671197.91864857</v>
      </c>
      <c r="JW18">
        <v>2730933.77239084</v>
      </c>
      <c r="JX18">
        <v>1691676.79590376</v>
      </c>
      <c r="JY18">
        <v>1813513.70348588</v>
      </c>
      <c r="JZ18">
        <v>1907568.88437967</v>
      </c>
      <c r="KA18">
        <v>1533054.87598328</v>
      </c>
      <c r="KB18">
        <v>1441586.40446083</v>
      </c>
      <c r="KC18" t="s">
        <v>1900</v>
      </c>
      <c r="KD18" t="s">
        <v>1900</v>
      </c>
      <c r="KE18" t="s">
        <v>1900</v>
      </c>
      <c r="KF18" t="s">
        <v>1900</v>
      </c>
      <c r="KG18" t="s">
        <v>1900</v>
      </c>
      <c r="KH18" t="s">
        <v>1900</v>
      </c>
      <c r="KI18" t="s">
        <v>1900</v>
      </c>
      <c r="KJ18" t="s">
        <v>1900</v>
      </c>
      <c r="KK18" t="s">
        <v>1900</v>
      </c>
      <c r="KL18" t="s">
        <v>1900</v>
      </c>
      <c r="KM18">
        <v>102</v>
      </c>
      <c r="KN18">
        <v>101</v>
      </c>
      <c r="KO18">
        <v>93</v>
      </c>
      <c r="KP18">
        <v>97</v>
      </c>
      <c r="KQ18">
        <v>93</v>
      </c>
      <c r="KR18" t="s">
        <v>1900</v>
      </c>
      <c r="KS18" t="s">
        <v>1900</v>
      </c>
      <c r="KT18" t="s">
        <v>1900</v>
      </c>
      <c r="KU18" t="s">
        <v>1900</v>
      </c>
      <c r="KV18" t="s">
        <v>1900</v>
      </c>
      <c r="KW18" t="s">
        <v>1900</v>
      </c>
      <c r="KX18" t="s">
        <v>1900</v>
      </c>
      <c r="KY18" t="s">
        <v>1900</v>
      </c>
      <c r="KZ18" t="s">
        <v>1900</v>
      </c>
      <c r="LA18" t="s">
        <v>1900</v>
      </c>
      <c r="LB18" t="s">
        <v>1900</v>
      </c>
      <c r="LC18" t="s">
        <v>1900</v>
      </c>
      <c r="LD18" t="s">
        <v>1900</v>
      </c>
      <c r="LE18" t="s">
        <v>1900</v>
      </c>
      <c r="LF18" t="s">
        <v>1900</v>
      </c>
      <c r="LG18" t="s">
        <v>1900</v>
      </c>
      <c r="LH18" t="s">
        <v>1900</v>
      </c>
      <c r="LI18" t="s">
        <v>1900</v>
      </c>
      <c r="LJ18" t="s">
        <v>1900</v>
      </c>
      <c r="LK18" t="s">
        <v>1900</v>
      </c>
      <c r="LL18" t="s">
        <v>1900</v>
      </c>
      <c r="LM18" t="s">
        <v>1900</v>
      </c>
      <c r="LN18" t="s">
        <v>1900</v>
      </c>
      <c r="LO18" t="s">
        <v>1900</v>
      </c>
      <c r="LP18" t="s">
        <v>1900</v>
      </c>
      <c r="LQ18" t="s">
        <v>1900</v>
      </c>
      <c r="LR18" t="s">
        <v>1900</v>
      </c>
      <c r="LS18" t="s">
        <v>1900</v>
      </c>
      <c r="LT18" t="s">
        <v>1900</v>
      </c>
      <c r="LU18" t="s">
        <v>1900</v>
      </c>
      <c r="LV18" t="s">
        <v>1900</v>
      </c>
      <c r="LW18" t="s">
        <v>1900</v>
      </c>
      <c r="LX18" t="s">
        <v>1900</v>
      </c>
      <c r="LY18" t="s">
        <v>1900</v>
      </c>
      <c r="LZ18" t="s">
        <v>1900</v>
      </c>
      <c r="MA18" t="s">
        <v>1900</v>
      </c>
      <c r="MB18" t="s">
        <v>1900</v>
      </c>
      <c r="MC18" t="s">
        <v>1900</v>
      </c>
      <c r="MD18" t="s">
        <v>1900</v>
      </c>
      <c r="ME18" t="s">
        <v>1900</v>
      </c>
      <c r="MF18" t="s">
        <v>1900</v>
      </c>
      <c r="MG18" t="s">
        <v>1900</v>
      </c>
      <c r="MH18" t="s">
        <v>1900</v>
      </c>
      <c r="MI18" t="s">
        <v>1900</v>
      </c>
      <c r="MJ18" t="s">
        <v>1900</v>
      </c>
      <c r="MK18" t="s">
        <v>1900</v>
      </c>
      <c r="ML18" t="s">
        <v>1900</v>
      </c>
      <c r="MM18" t="s">
        <v>1900</v>
      </c>
      <c r="MN18" t="s">
        <v>1900</v>
      </c>
      <c r="MO18" t="s">
        <v>1900</v>
      </c>
      <c r="MP18">
        <v>235260.848832178</v>
      </c>
      <c r="MQ18">
        <v>358412.316524071</v>
      </c>
      <c r="MR18">
        <v>203241.784003615</v>
      </c>
      <c r="MS18">
        <v>180168.192005312</v>
      </c>
      <c r="MT18">
        <v>292818.047598058</v>
      </c>
      <c r="MU18" t="s">
        <v>1900</v>
      </c>
      <c r="MV18" t="s">
        <v>1900</v>
      </c>
      <c r="MW18" t="s">
        <v>1900</v>
      </c>
      <c r="MX18" t="s">
        <v>1900</v>
      </c>
      <c r="MY18" t="s">
        <v>1900</v>
      </c>
      <c r="MZ18" t="s">
        <v>1900</v>
      </c>
      <c r="NA18" t="s">
        <v>1900</v>
      </c>
      <c r="NB18" t="s">
        <v>1900</v>
      </c>
      <c r="NC18" t="s">
        <v>1900</v>
      </c>
      <c r="ND18" t="s">
        <v>1900</v>
      </c>
      <c r="NE18" t="s">
        <v>1900</v>
      </c>
      <c r="NF18" t="s">
        <v>1900</v>
      </c>
      <c r="NG18" t="s">
        <v>1900</v>
      </c>
      <c r="NH18" t="s">
        <v>1900</v>
      </c>
      <c r="NI18" t="s">
        <v>1900</v>
      </c>
      <c r="NJ18" t="s">
        <v>1900</v>
      </c>
      <c r="NK18" t="s">
        <v>1900</v>
      </c>
      <c r="NL18" t="s">
        <v>1900</v>
      </c>
      <c r="NM18" t="s">
        <v>1900</v>
      </c>
      <c r="NN18" t="s">
        <v>1900</v>
      </c>
      <c r="NO18" t="s">
        <v>1900</v>
      </c>
      <c r="NP18" t="s">
        <v>1900</v>
      </c>
      <c r="NQ18" t="s">
        <v>1900</v>
      </c>
      <c r="NR18" t="s">
        <v>1900</v>
      </c>
      <c r="NS18" t="s">
        <v>1900</v>
      </c>
      <c r="NT18">
        <v>414957.488077822</v>
      </c>
      <c r="NU18">
        <v>566882.567624545</v>
      </c>
      <c r="NV18">
        <v>785628.712942958</v>
      </c>
      <c r="NW18">
        <v>957974.850659978</v>
      </c>
      <c r="NX18">
        <v>996529.32033195</v>
      </c>
      <c r="NY18" t="s">
        <v>1900</v>
      </c>
      <c r="NZ18" t="s">
        <v>1900</v>
      </c>
      <c r="OA18" t="s">
        <v>1900</v>
      </c>
      <c r="OB18" t="s">
        <v>1900</v>
      </c>
      <c r="OC18" t="s">
        <v>1900</v>
      </c>
      <c r="OD18" t="s">
        <v>1900</v>
      </c>
      <c r="OE18" t="s">
        <v>1900</v>
      </c>
      <c r="OF18" t="s">
        <v>1900</v>
      </c>
      <c r="OG18" t="s">
        <v>1900</v>
      </c>
      <c r="OH18" t="s">
        <v>1900</v>
      </c>
      <c r="OI18" t="s">
        <v>1900</v>
      </c>
      <c r="OJ18" t="s">
        <v>1900</v>
      </c>
      <c r="OK18" t="s">
        <v>1900</v>
      </c>
      <c r="OL18" t="s">
        <v>1900</v>
      </c>
      <c r="OM18" t="s">
        <v>1900</v>
      </c>
      <c r="ON18" t="s">
        <v>1900</v>
      </c>
      <c r="OO18" t="s">
        <v>1900</v>
      </c>
      <c r="OP18" t="s">
        <v>1900</v>
      </c>
      <c r="OQ18" t="s">
        <v>1900</v>
      </c>
      <c r="OR18" t="s">
        <v>1900</v>
      </c>
      <c r="OS18" t="s">
        <v>1900</v>
      </c>
      <c r="OT18" t="s">
        <v>1900</v>
      </c>
      <c r="OU18" t="s">
        <v>1900</v>
      </c>
      <c r="OV18" t="s">
        <v>1900</v>
      </c>
      <c r="OW18" t="s">
        <v>1900</v>
      </c>
      <c r="OX18" t="s">
        <v>1900</v>
      </c>
      <c r="OY18" t="s">
        <v>1900</v>
      </c>
      <c r="OZ18" t="s">
        <v>1900</v>
      </c>
      <c r="PA18" t="s">
        <v>1900</v>
      </c>
      <c r="PB18" t="s">
        <v>1900</v>
      </c>
      <c r="PC18" t="s">
        <v>1900</v>
      </c>
      <c r="PD18" t="s">
        <v>1900</v>
      </c>
      <c r="PE18" t="s">
        <v>1900</v>
      </c>
      <c r="PF18" t="s">
        <v>1900</v>
      </c>
      <c r="PG18" t="s">
        <v>1900</v>
      </c>
      <c r="PH18" t="s">
        <v>1900</v>
      </c>
      <c r="PI18" t="s">
        <v>1900</v>
      </c>
      <c r="PJ18" t="s">
        <v>1900</v>
      </c>
      <c r="PK18" t="s">
        <v>1900</v>
      </c>
      <c r="PL18" t="s">
        <v>1900</v>
      </c>
      <c r="PM18" t="s">
        <v>1900</v>
      </c>
      <c r="PN18" t="s">
        <v>1900</v>
      </c>
      <c r="PO18" t="s">
        <v>1900</v>
      </c>
      <c r="PP18" t="s">
        <v>1900</v>
      </c>
      <c r="PQ18" t="s">
        <v>1900</v>
      </c>
      <c r="PR18" t="s">
        <v>1900</v>
      </c>
      <c r="PS18" t="s">
        <v>1900</v>
      </c>
      <c r="PT18" t="s">
        <v>1900</v>
      </c>
      <c r="PU18" t="s">
        <v>1900</v>
      </c>
      <c r="PV18" t="s">
        <v>1900</v>
      </c>
      <c r="PW18" t="s">
        <v>1900</v>
      </c>
      <c r="PX18" t="s">
        <v>1900</v>
      </c>
      <c r="PY18" t="s">
        <v>1900</v>
      </c>
      <c r="PZ18" t="s">
        <v>1900</v>
      </c>
      <c r="QA18" t="s">
        <v>1900</v>
      </c>
      <c r="QB18" t="s">
        <v>1900</v>
      </c>
      <c r="QC18" t="s">
        <v>1900</v>
      </c>
      <c r="QD18" t="s">
        <v>1900</v>
      </c>
      <c r="QE18" t="s">
        <v>1900</v>
      </c>
      <c r="QF18" t="s">
        <v>1900</v>
      </c>
      <c r="QG18" t="s">
        <v>1900</v>
      </c>
      <c r="QH18" t="s">
        <v>1900</v>
      </c>
      <c r="QI18" t="s">
        <v>1900</v>
      </c>
      <c r="QJ18" t="s">
        <v>1900</v>
      </c>
      <c r="QK18" t="s">
        <v>1900</v>
      </c>
      <c r="QL18" t="s">
        <v>1900</v>
      </c>
      <c r="QM18" t="s">
        <v>1900</v>
      </c>
      <c r="QN18" t="s">
        <v>1900</v>
      </c>
      <c r="QO18" t="s">
        <v>1900</v>
      </c>
      <c r="QP18" t="s">
        <v>1900</v>
      </c>
      <c r="QQ18" t="s">
        <v>1900</v>
      </c>
      <c r="QR18" t="s">
        <v>1900</v>
      </c>
      <c r="QS18" t="s">
        <v>1900</v>
      </c>
      <c r="QT18" t="s">
        <v>1900</v>
      </c>
      <c r="QU18" t="s">
        <v>1900</v>
      </c>
      <c r="QV18" t="s">
        <v>1900</v>
      </c>
      <c r="QW18" t="s">
        <v>1900</v>
      </c>
      <c r="QX18" t="s">
        <v>1900</v>
      </c>
      <c r="QY18" t="s">
        <v>1900</v>
      </c>
      <c r="QZ18" t="s">
        <v>1900</v>
      </c>
      <c r="RA18" t="s">
        <v>1900</v>
      </c>
      <c r="RB18" t="s">
        <v>1900</v>
      </c>
      <c r="RC18" t="s">
        <v>1900</v>
      </c>
      <c r="RD18" t="s">
        <v>1900</v>
      </c>
      <c r="RE18" t="s">
        <v>1900</v>
      </c>
      <c r="RF18" t="s">
        <v>1900</v>
      </c>
      <c r="RG18" t="s">
        <v>1900</v>
      </c>
      <c r="RH18" t="s">
        <v>1900</v>
      </c>
      <c r="RI18" t="s">
        <v>1900</v>
      </c>
      <c r="RJ18" t="s">
        <v>1900</v>
      </c>
      <c r="RK18" t="s">
        <v>1900</v>
      </c>
      <c r="RL18" t="s">
        <v>1900</v>
      </c>
      <c r="RM18" t="s">
        <v>1900</v>
      </c>
      <c r="RN18" t="s">
        <v>1900</v>
      </c>
      <c r="RO18" t="s">
        <v>1900</v>
      </c>
      <c r="RP18" t="s">
        <v>1900</v>
      </c>
      <c r="RQ18" t="s">
        <v>1900</v>
      </c>
      <c r="RR18" t="s">
        <v>1900</v>
      </c>
      <c r="RS18" t="s">
        <v>1900</v>
      </c>
      <c r="RT18" t="s">
        <v>1900</v>
      </c>
      <c r="RU18" t="s">
        <v>1900</v>
      </c>
      <c r="RV18" t="s">
        <v>1900</v>
      </c>
      <c r="RW18" t="s">
        <v>1900</v>
      </c>
      <c r="RX18" t="s">
        <v>1900</v>
      </c>
      <c r="RY18" t="s">
        <v>1900</v>
      </c>
      <c r="RZ18" t="s">
        <v>1900</v>
      </c>
      <c r="SA18" t="s">
        <v>1900</v>
      </c>
      <c r="SB18" t="s">
        <v>1900</v>
      </c>
      <c r="SC18" t="s">
        <v>1900</v>
      </c>
      <c r="SD18" t="s">
        <v>1900</v>
      </c>
      <c r="SE18" t="s">
        <v>1900</v>
      </c>
      <c r="SF18" t="s">
        <v>1900</v>
      </c>
      <c r="SG18" t="s">
        <v>1900</v>
      </c>
      <c r="SH18" t="s">
        <v>1900</v>
      </c>
      <c r="SI18" t="s">
        <v>1900</v>
      </c>
      <c r="SJ18">
        <v>106732.163650084</v>
      </c>
      <c r="SK18">
        <v>105753.391524191</v>
      </c>
      <c r="SL18">
        <v>115162.68600297</v>
      </c>
      <c r="SM18">
        <v>127912.585552812</v>
      </c>
      <c r="SN18">
        <v>120417.217961386</v>
      </c>
      <c r="SO18" t="s">
        <v>1900</v>
      </c>
      <c r="SP18" t="s">
        <v>1900</v>
      </c>
      <c r="SQ18" t="s">
        <v>1900</v>
      </c>
      <c r="SR18" t="s">
        <v>1900</v>
      </c>
      <c r="SS18" t="s">
        <v>1900</v>
      </c>
      <c r="ST18" t="s">
        <v>1900</v>
      </c>
      <c r="SU18" t="s">
        <v>1900</v>
      </c>
      <c r="SV18" t="s">
        <v>1900</v>
      </c>
      <c r="SW18" t="s">
        <v>1900</v>
      </c>
      <c r="SX18" t="s">
        <v>1900</v>
      </c>
      <c r="SY18" t="s">
        <v>1900</v>
      </c>
      <c r="SZ18" t="s">
        <v>1900</v>
      </c>
      <c r="TA18" t="s">
        <v>1900</v>
      </c>
      <c r="TB18" t="s">
        <v>1900</v>
      </c>
      <c r="TC18" t="s">
        <v>1900</v>
      </c>
      <c r="TD18" t="s">
        <v>1900</v>
      </c>
      <c r="TE18" t="s">
        <v>1900</v>
      </c>
      <c r="TF18" t="s">
        <v>1900</v>
      </c>
      <c r="TG18" t="s">
        <v>1900</v>
      </c>
      <c r="TH18" t="s">
        <v>1900</v>
      </c>
      <c r="TI18" t="s">
        <v>1900</v>
      </c>
      <c r="TJ18" t="s">
        <v>1900</v>
      </c>
      <c r="TK18" t="s">
        <v>1900</v>
      </c>
      <c r="TL18" t="s">
        <v>1900</v>
      </c>
      <c r="TM18" t="s">
        <v>1900</v>
      </c>
      <c r="TN18" t="s">
        <v>1900</v>
      </c>
      <c r="TO18" t="s">
        <v>1900</v>
      </c>
      <c r="TP18" t="s">
        <v>1900</v>
      </c>
      <c r="TQ18" t="s">
        <v>1900</v>
      </c>
      <c r="TR18" t="s">
        <v>1900</v>
      </c>
      <c r="TS18">
        <v>2341895.13281376</v>
      </c>
      <c r="TT18">
        <v>2738808.5876345</v>
      </c>
      <c r="TU18">
        <v>2896439.38132625</v>
      </c>
      <c r="TV18">
        <v>2671197.91864857</v>
      </c>
      <c r="TW18">
        <v>2730933.77239084</v>
      </c>
      <c r="TX18" t="s">
        <v>1900</v>
      </c>
      <c r="TY18" t="s">
        <v>1900</v>
      </c>
      <c r="TZ18" t="s">
        <v>1900</v>
      </c>
      <c r="UA18" t="s">
        <v>1900</v>
      </c>
      <c r="UB18" t="s">
        <v>1900</v>
      </c>
      <c r="UC18">
        <v>0</v>
      </c>
      <c r="UD18">
        <v>0</v>
      </c>
      <c r="UE18">
        <v>0</v>
      </c>
      <c r="UF18">
        <v>0</v>
      </c>
      <c r="UG18">
        <v>0</v>
      </c>
      <c r="UH18" t="s">
        <v>1900</v>
      </c>
      <c r="UI18" t="s">
        <v>1900</v>
      </c>
      <c r="UJ18" t="s">
        <v>1900</v>
      </c>
      <c r="UK18" t="s">
        <v>1900</v>
      </c>
      <c r="UL18" t="s">
        <v>1900</v>
      </c>
      <c r="UM18" t="s">
        <v>1900</v>
      </c>
      <c r="UN18" t="s">
        <v>1900</v>
      </c>
      <c r="UO18" t="s">
        <v>1900</v>
      </c>
      <c r="UP18" t="s">
        <v>1900</v>
      </c>
      <c r="UQ18" t="s">
        <v>1900</v>
      </c>
      <c r="UR18" t="s">
        <v>1900</v>
      </c>
      <c r="US18" t="s">
        <v>1900</v>
      </c>
      <c r="UT18" t="s">
        <v>1900</v>
      </c>
      <c r="UU18" t="s">
        <v>1900</v>
      </c>
      <c r="UV18" t="s">
        <v>1900</v>
      </c>
      <c r="UW18" t="s">
        <v>1900</v>
      </c>
      <c r="UX18" t="s">
        <v>1900</v>
      </c>
      <c r="UY18" t="s">
        <v>1900</v>
      </c>
      <c r="UZ18" t="s">
        <v>1900</v>
      </c>
      <c r="VA18" t="s">
        <v>1900</v>
      </c>
      <c r="VB18" t="s">
        <v>1900</v>
      </c>
      <c r="VC18" t="s">
        <v>1900</v>
      </c>
      <c r="VD18" t="s">
        <v>1900</v>
      </c>
      <c r="VE18" t="s">
        <v>1900</v>
      </c>
      <c r="VF18" t="s">
        <v>1900</v>
      </c>
      <c r="VG18" t="s">
        <v>1900</v>
      </c>
      <c r="VH18" t="s">
        <v>1900</v>
      </c>
      <c r="VI18" t="s">
        <v>1900</v>
      </c>
      <c r="VJ18" t="s">
        <v>1900</v>
      </c>
      <c r="VK18" t="s">
        <v>1900</v>
      </c>
      <c r="VL18" t="s">
        <v>1900</v>
      </c>
      <c r="VM18" t="s">
        <v>1900</v>
      </c>
      <c r="VN18" t="s">
        <v>1900</v>
      </c>
      <c r="VO18" t="s">
        <v>1900</v>
      </c>
      <c r="VP18" t="s">
        <v>1900</v>
      </c>
      <c r="VQ18" t="s">
        <v>1900</v>
      </c>
      <c r="VR18" t="s">
        <v>1900</v>
      </c>
      <c r="VS18" t="s">
        <v>1900</v>
      </c>
      <c r="VT18" t="s">
        <v>1900</v>
      </c>
      <c r="VU18" t="s">
        <v>1900</v>
      </c>
      <c r="VV18" t="s">
        <v>1900</v>
      </c>
      <c r="VW18" t="s">
        <v>1900</v>
      </c>
      <c r="VX18" t="s">
        <v>1900</v>
      </c>
      <c r="VY18" t="s">
        <v>1900</v>
      </c>
      <c r="VZ18" t="s">
        <v>1900</v>
      </c>
      <c r="WA18">
        <v>2292943.47824486</v>
      </c>
      <c r="WB18">
        <v>2690163.11817401</v>
      </c>
      <c r="WC18">
        <v>2843526.27701204</v>
      </c>
      <c r="WD18">
        <v>2627551.98446868</v>
      </c>
      <c r="WE18">
        <v>2698633.40907512</v>
      </c>
      <c r="WF18" t="s">
        <v>1900</v>
      </c>
      <c r="WG18" t="s">
        <v>1900</v>
      </c>
      <c r="WH18" t="s">
        <v>1900</v>
      </c>
      <c r="WI18" t="s">
        <v>1900</v>
      </c>
      <c r="WJ18" t="s">
        <v>1900</v>
      </c>
      <c r="WK18" t="s">
        <v>1900</v>
      </c>
      <c r="WL18" t="s">
        <v>1900</v>
      </c>
      <c r="WM18" t="s">
        <v>1900</v>
      </c>
      <c r="WN18" t="s">
        <v>1900</v>
      </c>
      <c r="WO18" t="s">
        <v>1900</v>
      </c>
      <c r="WP18" t="s">
        <v>1900</v>
      </c>
      <c r="WQ18" t="s">
        <v>1900</v>
      </c>
      <c r="WR18" t="s">
        <v>1900</v>
      </c>
      <c r="WS18" t="s">
        <v>1900</v>
      </c>
      <c r="WT18" t="s">
        <v>1900</v>
      </c>
      <c r="WU18" t="s">
        <v>1900</v>
      </c>
      <c r="WV18" t="s">
        <v>1900</v>
      </c>
      <c r="WW18" t="s">
        <v>1900</v>
      </c>
      <c r="WX18" t="s">
        <v>1900</v>
      </c>
      <c r="WY18" t="s">
        <v>1900</v>
      </c>
      <c r="WZ18" t="s">
        <v>1900</v>
      </c>
      <c r="XA18" t="s">
        <v>1900</v>
      </c>
      <c r="XB18" t="s">
        <v>1900</v>
      </c>
      <c r="XC18" t="s">
        <v>1900</v>
      </c>
      <c r="XD18" t="s">
        <v>1900</v>
      </c>
      <c r="XE18" t="s">
        <v>1900</v>
      </c>
      <c r="XF18" t="s">
        <v>1900</v>
      </c>
      <c r="XG18" t="s">
        <v>1900</v>
      </c>
      <c r="XH18" t="s">
        <v>1900</v>
      </c>
      <c r="XI18" t="s">
        <v>1900</v>
      </c>
      <c r="XJ18">
        <v>0</v>
      </c>
      <c r="XK18">
        <v>1013269.51384544</v>
      </c>
      <c r="XL18">
        <v>0</v>
      </c>
      <c r="XM18">
        <v>0</v>
      </c>
      <c r="XN18">
        <v>0</v>
      </c>
      <c r="XO18" t="s">
        <v>1900</v>
      </c>
      <c r="XP18" t="s">
        <v>1900</v>
      </c>
      <c r="XQ18" t="s">
        <v>1900</v>
      </c>
      <c r="XR18" t="s">
        <v>1900</v>
      </c>
      <c r="XS18" t="s">
        <v>1900</v>
      </c>
      <c r="XT18" t="s">
        <v>1900</v>
      </c>
      <c r="XU18" t="s">
        <v>1900</v>
      </c>
      <c r="XV18" t="s">
        <v>1900</v>
      </c>
      <c r="XW18" t="s">
        <v>1900</v>
      </c>
      <c r="XX18" t="s">
        <v>1900</v>
      </c>
      <c r="XY18">
        <v>0</v>
      </c>
      <c r="XZ18" t="s">
        <v>1900</v>
      </c>
      <c r="YA18">
        <v>0</v>
      </c>
      <c r="YB18">
        <v>0</v>
      </c>
      <c r="YC18">
        <v>0</v>
      </c>
      <c r="YD18" t="s">
        <v>1900</v>
      </c>
      <c r="YE18" t="s">
        <v>1900</v>
      </c>
      <c r="YF18" t="s">
        <v>1900</v>
      </c>
      <c r="YG18" t="s">
        <v>1900</v>
      </c>
      <c r="YH18" t="s">
        <v>1900</v>
      </c>
      <c r="YI18" t="s">
        <v>1900</v>
      </c>
      <c r="YJ18" t="s">
        <v>1900</v>
      </c>
      <c r="YK18" t="s">
        <v>1900</v>
      </c>
      <c r="YL18" t="s">
        <v>1900</v>
      </c>
      <c r="YM18" t="s">
        <v>1900</v>
      </c>
      <c r="YN18" t="s">
        <v>1900</v>
      </c>
      <c r="YO18" t="s">
        <v>1900</v>
      </c>
      <c r="YP18" t="s">
        <v>1900</v>
      </c>
      <c r="YQ18" t="s">
        <v>1900</v>
      </c>
      <c r="YR18" t="s">
        <v>1900</v>
      </c>
      <c r="YS18" t="s">
        <v>1900</v>
      </c>
      <c r="YT18" t="s">
        <v>1900</v>
      </c>
      <c r="YU18" t="s">
        <v>1900</v>
      </c>
      <c r="YV18" t="s">
        <v>1900</v>
      </c>
      <c r="YW18" t="s">
        <v>1900</v>
      </c>
      <c r="YX18" t="s">
        <v>1900</v>
      </c>
      <c r="YY18" t="s">
        <v>1900</v>
      </c>
      <c r="YZ18" t="s">
        <v>1900</v>
      </c>
      <c r="ZA18" t="s">
        <v>1900</v>
      </c>
      <c r="ZB18" t="s">
        <v>1900</v>
      </c>
      <c r="ZC18" t="s">
        <v>1900</v>
      </c>
      <c r="ZD18" t="s">
        <v>1900</v>
      </c>
      <c r="ZE18" t="s">
        <v>1900</v>
      </c>
      <c r="ZF18" t="s">
        <v>1900</v>
      </c>
      <c r="ZG18" t="s">
        <v>1900</v>
      </c>
      <c r="ZH18" t="s">
        <v>1900</v>
      </c>
      <c r="ZI18" t="s">
        <v>1900</v>
      </c>
      <c r="ZJ18" t="s">
        <v>1900</v>
      </c>
      <c r="ZK18" t="s">
        <v>1900</v>
      </c>
      <c r="ZL18" t="s">
        <v>1900</v>
      </c>
      <c r="ZM18" t="s">
        <v>1900</v>
      </c>
      <c r="ZN18" t="s">
        <v>1900</v>
      </c>
      <c r="ZO18" t="s">
        <v>1900</v>
      </c>
      <c r="ZP18" t="s">
        <v>1900</v>
      </c>
      <c r="ZQ18" t="s">
        <v>1900</v>
      </c>
      <c r="ZR18" t="s">
        <v>1900</v>
      </c>
      <c r="ZS18" t="s">
        <v>1900</v>
      </c>
      <c r="ZT18" t="s">
        <v>1900</v>
      </c>
      <c r="ZU18" t="s">
        <v>1900</v>
      </c>
      <c r="ZV18" t="s">
        <v>1900</v>
      </c>
      <c r="ZW18" t="s">
        <v>1900</v>
      </c>
      <c r="ZX18" t="s">
        <v>1900</v>
      </c>
      <c r="ZY18" t="s">
        <v>1900</v>
      </c>
      <c r="ZZ18" t="s">
        <v>1900</v>
      </c>
      <c r="AAA18" t="s">
        <v>1900</v>
      </c>
      <c r="AAB18" t="s">
        <v>1900</v>
      </c>
      <c r="AAC18" t="s">
        <v>1900</v>
      </c>
      <c r="AAD18" t="s">
        <v>1900</v>
      </c>
      <c r="AAE18" t="s">
        <v>1900</v>
      </c>
      <c r="AAF18" t="s">
        <v>1900</v>
      </c>
      <c r="AAG18" t="s">
        <v>1900</v>
      </c>
      <c r="AAH18" t="s">
        <v>1900</v>
      </c>
      <c r="AAI18" t="s">
        <v>1900</v>
      </c>
      <c r="AAJ18" t="s">
        <v>1900</v>
      </c>
      <c r="AAK18" t="s">
        <v>1900</v>
      </c>
      <c r="AAL18" t="s">
        <v>1900</v>
      </c>
      <c r="AAM18" t="s">
        <v>1900</v>
      </c>
      <c r="AAN18" t="s">
        <v>1900</v>
      </c>
      <c r="AAO18" t="s">
        <v>1900</v>
      </c>
      <c r="AAP18" t="s">
        <v>1900</v>
      </c>
      <c r="AAQ18" t="s">
        <v>1900</v>
      </c>
      <c r="AAR18" t="s">
        <v>1900</v>
      </c>
      <c r="AAS18" t="s">
        <v>1900</v>
      </c>
      <c r="AAT18" t="s">
        <v>1900</v>
      </c>
      <c r="AAU18" t="s">
        <v>1900</v>
      </c>
      <c r="AAV18" t="s">
        <v>1900</v>
      </c>
      <c r="AAW18" t="s">
        <v>1900</v>
      </c>
      <c r="AAX18" t="s">
        <v>1900</v>
      </c>
      <c r="AAY18" t="s">
        <v>1900</v>
      </c>
      <c r="AAZ18" t="s">
        <v>1900</v>
      </c>
      <c r="ABA18" t="s">
        <v>1900</v>
      </c>
      <c r="ABB18" t="s">
        <v>1900</v>
      </c>
      <c r="ABC18" t="s">
        <v>1900</v>
      </c>
      <c r="ABD18" t="s">
        <v>1900</v>
      </c>
      <c r="ABE18" t="s">
        <v>1900</v>
      </c>
      <c r="ABF18" t="s">
        <v>1900</v>
      </c>
      <c r="ABG18" t="s">
        <v>1900</v>
      </c>
      <c r="ABH18" t="s">
        <v>1900</v>
      </c>
      <c r="ABI18" t="s">
        <v>1900</v>
      </c>
      <c r="ABJ18" t="s">
        <v>1900</v>
      </c>
      <c r="ABK18" t="s">
        <v>1900</v>
      </c>
      <c r="ABL18" t="s">
        <v>1900</v>
      </c>
      <c r="ABM18" t="s">
        <v>1900</v>
      </c>
      <c r="ABN18" t="s">
        <v>1900</v>
      </c>
      <c r="ABO18" t="s">
        <v>1900</v>
      </c>
      <c r="ABP18" t="s">
        <v>1900</v>
      </c>
      <c r="ABQ18" t="s">
        <v>1900</v>
      </c>
      <c r="ABR18" t="s">
        <v>1900</v>
      </c>
      <c r="ABS18" t="s">
        <v>1900</v>
      </c>
      <c r="ABT18" t="s">
        <v>1900</v>
      </c>
      <c r="ABU18" t="s">
        <v>1900</v>
      </c>
      <c r="ABV18" t="s">
        <v>1900</v>
      </c>
      <c r="ABW18" t="s">
        <v>1900</v>
      </c>
      <c r="ABX18" t="s">
        <v>1900</v>
      </c>
      <c r="ABY18" t="s">
        <v>1900</v>
      </c>
      <c r="ABZ18" t="s">
        <v>1900</v>
      </c>
      <c r="ACA18" t="s">
        <v>1900</v>
      </c>
      <c r="ACB18" t="s">
        <v>1900</v>
      </c>
      <c r="ACC18" t="s">
        <v>1900</v>
      </c>
      <c r="ACD18" t="s">
        <v>1900</v>
      </c>
      <c r="ACE18" t="s">
        <v>1901</v>
      </c>
      <c r="ACF18" t="s">
        <v>1901</v>
      </c>
      <c r="ACG18" t="s">
        <v>1901</v>
      </c>
      <c r="ACH18" t="s">
        <v>1901</v>
      </c>
      <c r="ACI18" t="s">
        <v>1901</v>
      </c>
      <c r="ACJ18">
        <v>74.696</v>
      </c>
      <c r="ACK18">
        <v>39.613</v>
      </c>
      <c r="ACL18">
        <v>95.08199999999999</v>
      </c>
      <c r="ACM18">
        <v>171.833</v>
      </c>
      <c r="ACN18">
        <v>192.706</v>
      </c>
      <c r="ACO18">
        <v>0.058</v>
      </c>
      <c r="ACP18">
        <v>0.055</v>
      </c>
      <c r="ACQ18">
        <v>0.5580000000000001</v>
      </c>
      <c r="ACR18">
        <v>0.429</v>
      </c>
      <c r="ACS18">
        <v>0.441</v>
      </c>
      <c r="ACT18" t="s">
        <v>1901</v>
      </c>
      <c r="ACU18" t="s">
        <v>1901</v>
      </c>
      <c r="ACV18" t="s">
        <v>1901</v>
      </c>
      <c r="ACW18" t="s">
        <v>1901</v>
      </c>
      <c r="ACX18" t="s">
        <v>1901</v>
      </c>
      <c r="ACY18">
        <v>68.985</v>
      </c>
      <c r="ACZ18">
        <v>34.066</v>
      </c>
      <c r="ADA18">
        <v>89.667</v>
      </c>
      <c r="ADB18">
        <v>164.72</v>
      </c>
      <c r="ADC18">
        <v>183.907</v>
      </c>
      <c r="ADD18">
        <v>-0.062</v>
      </c>
      <c r="ADE18">
        <v>-0.043</v>
      </c>
      <c r="ADF18">
        <v>0.459</v>
      </c>
      <c r="ADG18">
        <v>0.313</v>
      </c>
      <c r="ADH18">
        <v>0.337</v>
      </c>
      <c r="ADI18">
        <v>0.004</v>
      </c>
      <c r="ADJ18">
        <v>0.004</v>
      </c>
      <c r="ADK18">
        <v>0.061</v>
      </c>
      <c r="ADL18">
        <v>0.04</v>
      </c>
      <c r="ADM18">
        <v>0.048</v>
      </c>
      <c r="ADN18">
        <v>100</v>
      </c>
      <c r="ADO18">
        <v>100</v>
      </c>
      <c r="ADP18">
        <v>100</v>
      </c>
      <c r="ADQ18">
        <v>100</v>
      </c>
      <c r="ADR18">
        <v>100</v>
      </c>
      <c r="ADS18">
        <v>0.046925879</v>
      </c>
      <c r="ADT18">
        <v>0.08552103699999999</v>
      </c>
      <c r="ADU18">
        <v>0.247850856</v>
      </c>
      <c r="ADV18">
        <v>0.555000428</v>
      </c>
      <c r="ADW18">
        <v>0.418872436</v>
      </c>
      <c r="ADX18">
        <v>0.611</v>
      </c>
      <c r="ADY18">
        <v>0.646</v>
      </c>
      <c r="ADZ18">
        <v>1.108</v>
      </c>
      <c r="AEA18">
        <v>1.374</v>
      </c>
      <c r="AEB18">
        <v>1.415</v>
      </c>
      <c r="AEC18">
        <v>0.047</v>
      </c>
      <c r="AED18">
        <v>0.08599999999999999</v>
      </c>
      <c r="AEE18">
        <v>0.248</v>
      </c>
      <c r="AEF18">
        <v>0.555</v>
      </c>
      <c r="AEG18">
        <v>0.419</v>
      </c>
      <c r="AEH18">
        <v>0.5600000000000001</v>
      </c>
      <c r="AEI18">
        <v>0.5570000000000001</v>
      </c>
      <c r="AEJ18">
        <v>0.91</v>
      </c>
      <c r="AEK18">
        <v>0.848</v>
      </c>
      <c r="AEL18">
        <v>1.033</v>
      </c>
      <c r="AEM18">
        <v>0.04694791</v>
      </c>
      <c r="AEN18">
        <v>0.085594238</v>
      </c>
      <c r="AEO18">
        <v>0.248466683</v>
      </c>
      <c r="AEP18">
        <v>0.558097874</v>
      </c>
      <c r="AEQ18">
        <v>0.420634358</v>
      </c>
      <c r="AER18" t="s">
        <v>1900</v>
      </c>
      <c r="AES18" t="s">
        <v>1900</v>
      </c>
      <c r="AET18" t="s">
        <v>1900</v>
      </c>
      <c r="AEU18" t="s">
        <v>1900</v>
      </c>
      <c r="AEV18" t="s">
        <v>1900</v>
      </c>
      <c r="AEW18" t="s">
        <v>1900</v>
      </c>
      <c r="AEX18" t="s">
        <v>1900</v>
      </c>
      <c r="AEY18" t="s">
        <v>1900</v>
      </c>
      <c r="AEZ18" t="s">
        <v>1900</v>
      </c>
      <c r="AFA18" t="s">
        <v>1900</v>
      </c>
      <c r="AFB18" t="s">
        <v>1900</v>
      </c>
      <c r="AFC18" t="s">
        <v>1900</v>
      </c>
      <c r="AFD18" t="s">
        <v>1900</v>
      </c>
      <c r="AFE18" t="s">
        <v>1900</v>
      </c>
      <c r="AFF18" t="s">
        <v>1900</v>
      </c>
      <c r="AFG18">
        <v>720.309</v>
      </c>
      <c r="AFH18">
        <v>753.7089999999999</v>
      </c>
      <c r="AFI18">
        <v>503.271</v>
      </c>
      <c r="AFJ18">
        <v>656.26</v>
      </c>
      <c r="AFK18">
        <v>768.384</v>
      </c>
      <c r="AFL18">
        <v>0.47</v>
      </c>
      <c r="AFM18">
        <v>1.766</v>
      </c>
      <c r="AFN18">
        <v>1.933</v>
      </c>
      <c r="AFO18">
        <v>2.502</v>
      </c>
      <c r="AFP18">
        <v>2.071</v>
      </c>
      <c r="AFQ18" t="s">
        <v>1901</v>
      </c>
      <c r="AFR18" t="s">
        <v>1901</v>
      </c>
      <c r="AFS18" t="s">
        <v>1901</v>
      </c>
      <c r="AFT18" t="s">
        <v>1901</v>
      </c>
      <c r="AFU18" t="s">
        <v>1901</v>
      </c>
      <c r="AFV18">
        <v>17.272</v>
      </c>
      <c r="AFW18">
        <v>17.806</v>
      </c>
      <c r="AFX18">
        <v>25.788</v>
      </c>
      <c r="AFY18">
        <v>19.268</v>
      </c>
      <c r="AFZ18">
        <v>20.91</v>
      </c>
      <c r="AGA18">
        <v>0</v>
      </c>
      <c r="AGB18">
        <v>0</v>
      </c>
      <c r="AGC18">
        <v>0</v>
      </c>
      <c r="AGD18">
        <v>0</v>
      </c>
      <c r="AGE18">
        <v>0</v>
      </c>
      <c r="AGF18" t="s">
        <v>1900</v>
      </c>
      <c r="AGG18" t="s">
        <v>1900</v>
      </c>
      <c r="AGH18" t="s">
        <v>1900</v>
      </c>
      <c r="AGI18" t="s">
        <v>1900</v>
      </c>
      <c r="AGJ18" t="s">
        <v>1900</v>
      </c>
      <c r="AGK18" t="s">
        <v>1900</v>
      </c>
      <c r="AGL18" t="s">
        <v>1900</v>
      </c>
      <c r="AGM18" t="s">
        <v>1900</v>
      </c>
      <c r="AGN18" t="s">
        <v>1900</v>
      </c>
      <c r="AGO18" t="s">
        <v>1900</v>
      </c>
      <c r="AGP18" t="s">
        <v>1900</v>
      </c>
      <c r="AGQ18" t="s">
        <v>1900</v>
      </c>
      <c r="AGR18" t="s">
        <v>1900</v>
      </c>
      <c r="AGS18" t="s">
        <v>1900</v>
      </c>
      <c r="AGT18" t="s">
        <v>1900</v>
      </c>
      <c r="AGU18">
        <v>0</v>
      </c>
      <c r="AGV18">
        <v>0</v>
      </c>
      <c r="AGW18">
        <v>0</v>
      </c>
      <c r="AGX18">
        <v>0</v>
      </c>
      <c r="AGY18">
        <v>0</v>
      </c>
      <c r="AGZ18">
        <v>0.84</v>
      </c>
      <c r="AHA18">
        <v>0.8070000000000001</v>
      </c>
      <c r="AHB18">
        <v>0.742</v>
      </c>
      <c r="AHC18">
        <v>0.652</v>
      </c>
      <c r="AHD18">
        <v>0.643</v>
      </c>
      <c r="AHE18">
        <v>0.84</v>
      </c>
      <c r="AHF18">
        <v>0.8070000000000001</v>
      </c>
      <c r="AHG18">
        <v>0.742</v>
      </c>
      <c r="AHH18">
        <v>0.652</v>
      </c>
      <c r="AHI18">
        <v>0.643</v>
      </c>
      <c r="AHJ18">
        <v>-0.953</v>
      </c>
      <c r="AHK18">
        <v>-0.952</v>
      </c>
      <c r="AHL18">
        <v>-0.951</v>
      </c>
      <c r="AHM18">
        <v>-0.963</v>
      </c>
      <c r="AHN18">
        <v>-0.97</v>
      </c>
      <c r="AHO18">
        <v>-42.735</v>
      </c>
      <c r="AHP18">
        <v>-35.221</v>
      </c>
      <c r="AHQ18">
        <v>-35.321</v>
      </c>
      <c r="AHR18">
        <v>-42.007</v>
      </c>
      <c r="AHS18">
        <v>-37.897</v>
      </c>
      <c r="AHT18" t="s">
        <v>1901</v>
      </c>
      <c r="AHU18" t="s">
        <v>1901</v>
      </c>
      <c r="AHV18" t="s">
        <v>1901</v>
      </c>
      <c r="AHW18" t="s">
        <v>1901</v>
      </c>
      <c r="AHX18" t="s">
        <v>1901</v>
      </c>
      <c r="AHY18" t="s">
        <v>1901</v>
      </c>
      <c r="AHZ18" t="s">
        <v>1901</v>
      </c>
      <c r="AIA18" t="s">
        <v>1901</v>
      </c>
      <c r="AIB18" t="s">
        <v>1901</v>
      </c>
      <c r="AIC18" t="s">
        <v>1901</v>
      </c>
      <c r="AID18">
        <v>4.55751251</v>
      </c>
      <c r="AIE18">
        <v>3.861291804</v>
      </c>
      <c r="AIF18">
        <v>3.976008845</v>
      </c>
      <c r="AIG18">
        <v>4.788585101</v>
      </c>
      <c r="AIH18">
        <v>4.409378916</v>
      </c>
      <c r="AII18">
        <v>10.045746521</v>
      </c>
      <c r="AIJ18">
        <v>13.086431748</v>
      </c>
      <c r="AIK18">
        <v>7.016952791</v>
      </c>
      <c r="AIL18">
        <v>6.744846226</v>
      </c>
      <c r="AIM18">
        <v>10.722268352</v>
      </c>
      <c r="AIN18">
        <v>97.909741821</v>
      </c>
      <c r="AIO18">
        <v>98.223845592</v>
      </c>
      <c r="AIP18">
        <v>98.173167212</v>
      </c>
      <c r="AIQ18">
        <v>98.366053901</v>
      </c>
      <c r="AIR18">
        <v>98.817241061</v>
      </c>
      <c r="AIS18" t="s">
        <v>1900</v>
      </c>
      <c r="AIT18" t="s">
        <v>1900</v>
      </c>
      <c r="AIU18" t="s">
        <v>1900</v>
      </c>
      <c r="AIV18" t="s">
        <v>1900</v>
      </c>
      <c r="AIW18" t="s">
        <v>1900</v>
      </c>
      <c r="AIX18">
        <v>0.0132379059410095</v>
      </c>
      <c r="AIY18">
        <v>0.0149910558074713</v>
      </c>
      <c r="AIZ18">
        <v>0.173917572813034</v>
      </c>
      <c r="AJA18">
        <v>0.118229790400863</v>
      </c>
      <c r="AJB18">
        <v>0.129432514144778</v>
      </c>
      <c r="AJC18">
        <v>345.689556276225</v>
      </c>
      <c r="AJD18">
        <v>363.015336475397</v>
      </c>
      <c r="AJE18">
        <v>286.340237041576</v>
      </c>
      <c r="AJF18">
        <v>295.289622079184</v>
      </c>
      <c r="AJG18">
        <v>266.871978738659</v>
      </c>
      <c r="AJH18">
        <v>27.05</v>
      </c>
      <c r="AJI18">
        <v>23.274</v>
      </c>
      <c r="AJJ18">
        <v>33.378</v>
      </c>
      <c r="AJK18">
        <v>30.257</v>
      </c>
      <c r="AJL18">
        <v>31.012</v>
      </c>
      <c r="AJM18">
        <v>93.5097697060356</v>
      </c>
      <c r="AJN18">
        <v>84.4874551987326</v>
      </c>
      <c r="AJO18">
        <v>95.5756865625286</v>
      </c>
      <c r="AJP18">
        <v>89.344833711012</v>
      </c>
      <c r="AJQ18">
        <v>82.76208835818851</v>
      </c>
      <c r="AJR18" t="s">
        <v>1901</v>
      </c>
      <c r="AJS18" t="s">
        <v>1901</v>
      </c>
      <c r="AJT18" t="s">
        <v>1901</v>
      </c>
      <c r="AJU18" t="s">
        <v>1901</v>
      </c>
      <c r="AJV18" t="s">
        <v>1901</v>
      </c>
      <c r="AJW18">
        <v>16.5850662581739</v>
      </c>
      <c r="AJX18">
        <v>17.9555816239274</v>
      </c>
      <c r="AJY18">
        <v>20.5114935022116</v>
      </c>
      <c r="AJZ18">
        <v>15.804689253369</v>
      </c>
      <c r="AKA18">
        <v>15.5009295634067</v>
      </c>
      <c r="AKB18">
        <v>22.9597566590567</v>
      </c>
      <c r="AKC18">
        <v>27.1169171422285</v>
      </c>
      <c r="AKD18">
        <v>31.1445094157338</v>
      </c>
      <c r="AKE18">
        <v>27.5381231762779</v>
      </c>
      <c r="AKF18">
        <v>29.3648790555875</v>
      </c>
      <c r="AKG18" t="s">
        <v>1900</v>
      </c>
      <c r="AKH18" t="s">
        <v>1900</v>
      </c>
      <c r="AKI18" t="s">
        <v>1900</v>
      </c>
      <c r="AKJ18" t="s">
        <v>1900</v>
      </c>
      <c r="AKK18" t="s">
        <v>1900</v>
      </c>
      <c r="AKL18">
        <v>0</v>
      </c>
      <c r="AKM18">
        <v>0</v>
      </c>
      <c r="AKN18">
        <v>0</v>
      </c>
      <c r="AKO18">
        <v>0</v>
      </c>
      <c r="AKP18">
        <v>0</v>
      </c>
      <c r="AKQ18">
        <v>0</v>
      </c>
      <c r="AKR18">
        <v>0</v>
      </c>
      <c r="AKS18">
        <v>0</v>
      </c>
      <c r="AKT18">
        <v>0</v>
      </c>
      <c r="AKU18">
        <v>0</v>
      </c>
      <c r="AKV18">
        <v>0</v>
      </c>
      <c r="AKW18">
        <v>0</v>
      </c>
      <c r="AKX18">
        <v>0</v>
      </c>
      <c r="AKY18">
        <v>0.00221411</v>
      </c>
      <c r="AKZ18">
        <v>0.007017975</v>
      </c>
      <c r="ALA18">
        <v>0</v>
      </c>
      <c r="ALB18">
        <v>0</v>
      </c>
      <c r="ALC18">
        <v>0</v>
      </c>
      <c r="ALD18">
        <v>0.023741762</v>
      </c>
      <c r="ALE18">
        <v>0.063780301</v>
      </c>
      <c r="ALF18">
        <v>0.874141798</v>
      </c>
      <c r="ALG18">
        <v>1.257697659</v>
      </c>
      <c r="ALH18">
        <v>2.517743292</v>
      </c>
      <c r="ALI18">
        <v>2.895734987</v>
      </c>
      <c r="ALJ18">
        <v>3.522974305</v>
      </c>
      <c r="ALK18">
        <v>13.16136321</v>
      </c>
      <c r="ALL18">
        <v>16.83685297</v>
      </c>
      <c r="ALM18">
        <v>23.1479392</v>
      </c>
      <c r="ALN18">
        <v>31.050790728</v>
      </c>
      <c r="ALO18">
        <v>32.017265022</v>
      </c>
      <c r="ALP18">
        <v>4.797676499</v>
      </c>
      <c r="ALQ18">
        <v>4.946232127</v>
      </c>
      <c r="ALR18">
        <v>7.163329042</v>
      </c>
      <c r="ALS18">
        <v>5.352267148</v>
      </c>
      <c r="ALT18">
        <v>5.808376429</v>
      </c>
      <c r="ALU18">
        <v>0</v>
      </c>
      <c r="ALV18">
        <v>0</v>
      </c>
      <c r="ALW18">
        <v>0</v>
      </c>
      <c r="ALX18">
        <v>0</v>
      </c>
      <c r="ALY18">
        <v>0</v>
      </c>
      <c r="ALZ18">
        <v>100</v>
      </c>
      <c r="AMA18">
        <v>100</v>
      </c>
      <c r="AMB18">
        <v>100</v>
      </c>
      <c r="AMC18">
        <v>100</v>
      </c>
      <c r="AMD18">
        <v>100</v>
      </c>
      <c r="AME18">
        <v>100</v>
      </c>
      <c r="AMF18">
        <v>100</v>
      </c>
      <c r="AMG18">
        <v>100</v>
      </c>
      <c r="AMH18">
        <v>100</v>
      </c>
      <c r="AMI18">
        <v>100</v>
      </c>
      <c r="AMJ18" t="s">
        <v>1900</v>
      </c>
      <c r="AMK18" t="s">
        <v>1900</v>
      </c>
      <c r="AML18" t="s">
        <v>1900</v>
      </c>
      <c r="AMM18" t="s">
        <v>1900</v>
      </c>
      <c r="AMN18" t="s">
        <v>1900</v>
      </c>
      <c r="AMO18">
        <v>1.00046947910107</v>
      </c>
      <c r="AMP18">
        <v>1.00085594237742</v>
      </c>
      <c r="AMQ18">
        <v>1.00248466687365</v>
      </c>
      <c r="AMR18">
        <v>1.00558097873889</v>
      </c>
      <c r="AMS18">
        <v>1.00420634362419</v>
      </c>
      <c r="AMT18">
        <v>1.00046947910107</v>
      </c>
      <c r="AMU18">
        <v>1.00085594237742</v>
      </c>
      <c r="AMV18">
        <v>1.00248466683101</v>
      </c>
      <c r="AMW18">
        <v>1.00558097873889</v>
      </c>
      <c r="AMX18">
        <v>1.00420634357873</v>
      </c>
      <c r="AMY18" t="s">
        <v>1900</v>
      </c>
      <c r="AMZ18" t="s">
        <v>1900</v>
      </c>
      <c r="ANA18" t="s">
        <v>1900</v>
      </c>
      <c r="ANB18" t="s">
        <v>1900</v>
      </c>
      <c r="ANC18" t="s">
        <v>1900</v>
      </c>
      <c r="AND18">
        <v>0.0469258793877425</v>
      </c>
      <c r="ANE18">
        <v>0.0855210366629979</v>
      </c>
      <c r="ANF18">
        <v>0.247850856288644</v>
      </c>
      <c r="ANG18">
        <v>0.555000428298801</v>
      </c>
      <c r="ANH18">
        <v>0.418872436470615</v>
      </c>
      <c r="ANI18">
        <v>0.0469258793877425</v>
      </c>
      <c r="ANJ18">
        <v>0.0855210366629979</v>
      </c>
      <c r="ANK18">
        <v>0.247850856288644</v>
      </c>
      <c r="ANL18">
        <v>0.555000428298801</v>
      </c>
      <c r="ANM18">
        <v>0.418872436470615</v>
      </c>
      <c r="ANN18">
        <v>0.0469479101074145</v>
      </c>
      <c r="ANO18">
        <v>0.085594237742439</v>
      </c>
      <c r="ANP18">
        <v>0.248466683090276</v>
      </c>
      <c r="ANQ18">
        <v>0.5580978738892119</v>
      </c>
      <c r="ANR18">
        <v>0.420634357853991</v>
      </c>
      <c r="ANS18">
        <v>33.8011499743115</v>
      </c>
      <c r="ANT18">
        <v>64.4580117523242</v>
      </c>
      <c r="ANU18">
        <v>124.73620052121</v>
      </c>
      <c r="ANV18">
        <v>364.224741188659</v>
      </c>
      <c r="ANW18">
        <v>321.855028792448</v>
      </c>
      <c r="ANX18" t="s">
        <v>1900</v>
      </c>
      <c r="ANY18" t="s">
        <v>1900</v>
      </c>
      <c r="ANZ18" t="s">
        <v>1900</v>
      </c>
      <c r="AOA18" t="s">
        <v>1900</v>
      </c>
      <c r="AOB18" t="s">
        <v>1900</v>
      </c>
      <c r="AOC18">
        <v>100.046947910107</v>
      </c>
      <c r="AOD18">
        <v>100.085594237742</v>
      </c>
      <c r="AOE18">
        <v>100.24846668309</v>
      </c>
      <c r="AOF18">
        <v>100.558097873889</v>
      </c>
      <c r="AOG18">
        <v>100.420634357854</v>
      </c>
      <c r="AOH18" t="s">
        <v>1901</v>
      </c>
      <c r="AOI18" t="s">
        <v>1901</v>
      </c>
      <c r="AOJ18" t="s">
        <v>1901</v>
      </c>
      <c r="AOK18" t="s">
        <v>1901</v>
      </c>
      <c r="AOL18" t="s">
        <v>1901</v>
      </c>
      <c r="AOM18" t="s">
        <v>1900</v>
      </c>
      <c r="AON18" t="s">
        <v>1900</v>
      </c>
      <c r="AOO18" t="s">
        <v>1900</v>
      </c>
      <c r="AOP18" t="s">
        <v>1900</v>
      </c>
      <c r="AOQ18" t="s">
        <v>1900</v>
      </c>
      <c r="AOR18">
        <v>0.0469479101074145</v>
      </c>
      <c r="AOS18">
        <v>0.085594237742439</v>
      </c>
      <c r="AOT18">
        <v>0.24846668310087</v>
      </c>
      <c r="AOU18">
        <v>0.5580978738892129</v>
      </c>
      <c r="AOV18">
        <v>0.42063435787311</v>
      </c>
      <c r="AOW18">
        <v>0.706531302102375</v>
      </c>
      <c r="AOX18">
        <v>1.14487381715479</v>
      </c>
      <c r="AOY18">
        <v>2.27872181012626</v>
      </c>
      <c r="AOZ18">
        <v>5.95123594909454</v>
      </c>
      <c r="APA18">
        <v>3.8067691242052</v>
      </c>
      <c r="APB18">
        <v>-0.00409867618148593</v>
      </c>
      <c r="APC18">
        <v>-0.00322980130134977</v>
      </c>
      <c r="APD18">
        <v>0.0499783296581186</v>
      </c>
      <c r="APE18">
        <v>0.0292006054573806</v>
      </c>
      <c r="APF18">
        <v>0.0370487395544142</v>
      </c>
      <c r="APG18">
        <v>-0.00409867618148593</v>
      </c>
      <c r="APH18">
        <v>-0.00322980130134977</v>
      </c>
      <c r="API18">
        <v>0.0499783296581186</v>
      </c>
      <c r="APJ18">
        <v>0.0292006054573806</v>
      </c>
      <c r="APK18">
        <v>0.0370487395544142</v>
      </c>
      <c r="APL18" t="s">
        <v>1900</v>
      </c>
      <c r="APM18" t="s">
        <v>1900</v>
      </c>
      <c r="APN18" t="s">
        <v>1900</v>
      </c>
      <c r="APO18" t="s">
        <v>1900</v>
      </c>
      <c r="APP18" t="s">
        <v>1900</v>
      </c>
      <c r="APQ18">
        <v>-0.00410060042429521</v>
      </c>
      <c r="APR18">
        <v>-0.00323256582515425</v>
      </c>
      <c r="APS18">
        <v>0.0501025091582203</v>
      </c>
      <c r="APT18">
        <v>0.0293635734156011</v>
      </c>
      <c r="APU18">
        <v>0.037204579283823</v>
      </c>
      <c r="APV18">
        <v>-0.00410060042429521</v>
      </c>
      <c r="APW18">
        <v>-0.00323256582515425</v>
      </c>
      <c r="APX18">
        <v>0.050102509156084</v>
      </c>
      <c r="APY18">
        <v>0.029363573415601</v>
      </c>
      <c r="APZ18">
        <v>0.0372045792821319</v>
      </c>
      <c r="AQA18">
        <v>-0.0617110016303215</v>
      </c>
      <c r="AQB18">
        <v>-0.0432374897313152</v>
      </c>
      <c r="AQC18">
        <v>0.459496939131022</v>
      </c>
      <c r="AQD18">
        <v>0.313116322208909</v>
      </c>
      <c r="AQE18">
        <v>0.336703935486473</v>
      </c>
      <c r="AQF18" t="s">
        <v>1900</v>
      </c>
      <c r="AQG18" t="s">
        <v>1900</v>
      </c>
      <c r="AQH18" t="s">
        <v>1900</v>
      </c>
      <c r="AQI18" t="s">
        <v>1900</v>
      </c>
      <c r="AQJ18" t="s">
        <v>1900</v>
      </c>
      <c r="AQK18">
        <v>7</v>
      </c>
      <c r="AQO18" t="s">
        <v>1904</v>
      </c>
      <c r="AQP18">
        <v>5</v>
      </c>
      <c r="AQQ18">
        <v>0</v>
      </c>
      <c r="AQS18" t="s">
        <v>1905</v>
      </c>
      <c r="AQU18" t="s">
        <v>1906</v>
      </c>
      <c r="AQV18">
        <v>35260334.791005</v>
      </c>
      <c r="AQW18">
        <v>36664549.0341453</v>
      </c>
      <c r="AQX18">
        <v>26629642.0709164</v>
      </c>
      <c r="AQY18">
        <v>16546.2221757412</v>
      </c>
      <c r="AQZ18">
        <v>31355.9024218142</v>
      </c>
      <c r="ARA18">
        <v>66001.79589936729</v>
      </c>
      <c r="ARB18">
        <v>98554525.89606671</v>
      </c>
      <c r="ARC18">
        <v>113903.9204969227</v>
      </c>
      <c r="ARD18">
        <v>0.001157082495122699</v>
      </c>
      <c r="ARE18">
        <v>0.001157082495122699</v>
      </c>
      <c r="ARF18">
        <v>0.001157082495122699</v>
      </c>
      <c r="ARG18">
        <v>0.001157082495122699</v>
      </c>
      <c r="ARH18">
        <v>0.001157082495122699</v>
      </c>
      <c r="ARI18">
        <v>0.001157082495122699</v>
      </c>
      <c r="ARJ18" t="s">
        <v>1179</v>
      </c>
      <c r="ARK18" t="s">
        <v>1517</v>
      </c>
      <c r="ARL18" t="s">
        <v>1908</v>
      </c>
      <c r="ARM18" t="s">
        <v>1908</v>
      </c>
      <c r="ARN18" t="s">
        <v>1909</v>
      </c>
      <c r="ARO18" t="s">
        <v>1909</v>
      </c>
      <c r="ARP18" t="s">
        <v>1907</v>
      </c>
      <c r="ARQ18" t="s">
        <v>1923</v>
      </c>
      <c r="ARR18">
        <f>HYPERLINK("C:\Users\Usuario\Documents\Proyectos\llmthon\evidence\bakermckenzie_com_233549.png", "Ver Evidencia")</f>
        <v>0</v>
      </c>
      <c r="ARS18">
        <v>100</v>
      </c>
    </row>
    <row r="19" spans="1:1163">
      <c r="A19">
        <v>577</v>
      </c>
      <c r="B19" t="s">
        <v>1180</v>
      </c>
      <c r="C19" t="s">
        <v>1303</v>
      </c>
      <c r="D19" t="s">
        <v>1411</v>
      </c>
      <c r="E19" s="2">
        <v>42684</v>
      </c>
      <c r="F19" t="s">
        <v>1431</v>
      </c>
      <c r="G19" t="s">
        <v>1433</v>
      </c>
      <c r="H19" t="s">
        <v>1434</v>
      </c>
      <c r="I19" t="s">
        <v>1436</v>
      </c>
      <c r="J19" t="s">
        <v>1452</v>
      </c>
      <c r="L19" t="s">
        <v>1518</v>
      </c>
      <c r="N19" t="s">
        <v>1631</v>
      </c>
      <c r="O19" t="s">
        <v>1655</v>
      </c>
      <c r="P19">
        <v>6202</v>
      </c>
      <c r="Q19">
        <v>6202</v>
      </c>
      <c r="R19" t="s">
        <v>1689</v>
      </c>
      <c r="S19" t="s">
        <v>1799</v>
      </c>
      <c r="Z19" t="s">
        <v>1899</v>
      </c>
      <c r="AA19" s="2">
        <v>45657</v>
      </c>
      <c r="AB19">
        <v>2024</v>
      </c>
      <c r="AC19">
        <v>1154454.1229407</v>
      </c>
      <c r="AD19">
        <v>1259723.92504862</v>
      </c>
      <c r="AE19">
        <v>837161.661773878</v>
      </c>
      <c r="AF19">
        <v>788744.768212867</v>
      </c>
      <c r="AG19">
        <v>467949.090394938</v>
      </c>
      <c r="AH19">
        <v>626060.155711528</v>
      </c>
      <c r="AI19">
        <v>528567.451064577</v>
      </c>
      <c r="AJ19">
        <v>409558.769796616</v>
      </c>
      <c r="AK19">
        <v>591373.874533009</v>
      </c>
      <c r="AL19">
        <v>465007.856084132</v>
      </c>
      <c r="AM19">
        <v>49891.7063814175</v>
      </c>
      <c r="AN19">
        <v>23884.1216189003</v>
      </c>
      <c r="AO19">
        <v>90026.4577983856</v>
      </c>
      <c r="AP19">
        <v>4274.20704030991</v>
      </c>
      <c r="AQ19" t="s">
        <v>1900</v>
      </c>
      <c r="AR19">
        <v>1104562.41655928</v>
      </c>
      <c r="AS19">
        <v>1235839.80342972</v>
      </c>
      <c r="AT19">
        <v>747135.203975493</v>
      </c>
      <c r="AU19">
        <v>784470.5600399571</v>
      </c>
      <c r="AV19">
        <v>467949.090394938</v>
      </c>
      <c r="AW19">
        <v>2448887.55663512</v>
      </c>
      <c r="AX19">
        <v>2474735.79513102</v>
      </c>
      <c r="AY19">
        <v>2136004.48408207</v>
      </c>
      <c r="AZ19">
        <v>907360.6392932649</v>
      </c>
      <c r="BA19">
        <v>514422.603721421</v>
      </c>
      <c r="BB19">
        <v>-1344325.13903693</v>
      </c>
      <c r="BC19">
        <v>-1238895.9917013</v>
      </c>
      <c r="BD19">
        <v>-1388869.28117318</v>
      </c>
      <c r="BE19">
        <v>-122890.078120708</v>
      </c>
      <c r="BF19">
        <v>-46473.5145535827</v>
      </c>
      <c r="BG19">
        <v>-79599.7244271839</v>
      </c>
      <c r="BH19">
        <v>-37205.3335472965</v>
      </c>
      <c r="BI19">
        <v>-3917.61992037296</v>
      </c>
      <c r="BJ19">
        <v>3113.80139529705</v>
      </c>
      <c r="BK19">
        <v>-10399.3843298376</v>
      </c>
      <c r="BL19">
        <v>1.69340625166893</v>
      </c>
      <c r="BM19" t="s">
        <v>1900</v>
      </c>
      <c r="BN19">
        <v>9313.514733487371</v>
      </c>
      <c r="BO19">
        <v>9919.358796787261</v>
      </c>
      <c r="BP19" t="s">
        <v>1900</v>
      </c>
      <c r="BQ19">
        <v>79601.41783343549</v>
      </c>
      <c r="BR19">
        <v>37205.3335472965</v>
      </c>
      <c r="BS19">
        <v>13231.1346538603</v>
      </c>
      <c r="BT19">
        <v>6805.55740149021</v>
      </c>
      <c r="BU19">
        <v>10399.3843298376</v>
      </c>
      <c r="BV19">
        <v>-1423924.86346412</v>
      </c>
      <c r="BW19">
        <v>-1276101.32524859</v>
      </c>
      <c r="BX19">
        <v>-1392786.90109355</v>
      </c>
      <c r="BY19">
        <v>-119776.276725411</v>
      </c>
      <c r="BZ19">
        <v>-56872.8988834202</v>
      </c>
      <c r="CA19">
        <v>-31728.6568748283</v>
      </c>
      <c r="CB19">
        <v>-37143.5308695602</v>
      </c>
      <c r="CC19">
        <v>-73762.2128477752</v>
      </c>
      <c r="CD19">
        <v>-29905.8014484644</v>
      </c>
      <c r="CE19" t="s">
        <v>1900</v>
      </c>
      <c r="CF19">
        <v>-1392196.20658929</v>
      </c>
      <c r="CG19">
        <v>-1238957.79437903</v>
      </c>
      <c r="CH19">
        <v>-1319024.68824578</v>
      </c>
      <c r="CI19">
        <v>-89870.47527694701</v>
      </c>
      <c r="CJ19">
        <v>-56872.8988834202</v>
      </c>
      <c r="CK19" t="s">
        <v>1900</v>
      </c>
      <c r="CL19" t="s">
        <v>1900</v>
      </c>
      <c r="CM19" t="s">
        <v>1900</v>
      </c>
      <c r="CN19" t="s">
        <v>1900</v>
      </c>
      <c r="CO19" t="s">
        <v>1900</v>
      </c>
      <c r="CP19" t="s">
        <v>1900</v>
      </c>
      <c r="CQ19" t="s">
        <v>1900</v>
      </c>
      <c r="CR19" t="s">
        <v>1900</v>
      </c>
      <c r="CS19" t="s">
        <v>1900</v>
      </c>
      <c r="CT19" t="s">
        <v>1900</v>
      </c>
      <c r="CU19" t="s">
        <v>1900</v>
      </c>
      <c r="CV19" t="s">
        <v>1900</v>
      </c>
      <c r="CW19" t="s">
        <v>1900</v>
      </c>
      <c r="CX19" t="s">
        <v>1900</v>
      </c>
      <c r="CY19" t="s">
        <v>1900</v>
      </c>
      <c r="CZ19">
        <v>-1392196.20658929</v>
      </c>
      <c r="DA19">
        <v>-1238957.79437903</v>
      </c>
      <c r="DB19">
        <v>-1319024.68824578</v>
      </c>
      <c r="DC19">
        <v>-89870.47527694701</v>
      </c>
      <c r="DD19">
        <v>-56872.8988834202</v>
      </c>
      <c r="DE19" t="s">
        <v>1900</v>
      </c>
      <c r="DF19" t="s">
        <v>1900</v>
      </c>
      <c r="DG19" t="s">
        <v>1900</v>
      </c>
      <c r="DH19" t="s">
        <v>1900</v>
      </c>
      <c r="DI19" t="s">
        <v>1900</v>
      </c>
      <c r="DJ19">
        <v>49891.7063814175</v>
      </c>
      <c r="DK19">
        <v>23884.1216189003</v>
      </c>
      <c r="DL19">
        <v>90026.4577983856</v>
      </c>
      <c r="DM19">
        <v>4274.20704030991</v>
      </c>
      <c r="DN19" t="s">
        <v>1900</v>
      </c>
      <c r="DO19">
        <v>1887501.65042847</v>
      </c>
      <c r="DP19">
        <v>1896496.14077416</v>
      </c>
      <c r="DQ19">
        <v>1207652.40688686</v>
      </c>
      <c r="DR19">
        <v>501076.92993629</v>
      </c>
      <c r="DS19">
        <v>482661.618323338</v>
      </c>
      <c r="DT19">
        <v>96911.21914708259</v>
      </c>
      <c r="DU19">
        <v>87385.9586177444</v>
      </c>
      <c r="DV19">
        <v>48683.8457100749</v>
      </c>
      <c r="DW19">
        <v>23947.6442710161</v>
      </c>
      <c r="DX19">
        <v>2722.6020286262</v>
      </c>
      <c r="DY19">
        <v>464474.687059563</v>
      </c>
      <c r="DZ19">
        <v>490853.695739107</v>
      </c>
      <c r="EA19">
        <v>879668.2325517359</v>
      </c>
      <c r="EB19">
        <v>382336.06621856</v>
      </c>
      <c r="EC19">
        <v>29038.3833694571</v>
      </c>
      <c r="ED19">
        <v>77420.9754769921</v>
      </c>
      <c r="EE19">
        <v>36889.9001057339</v>
      </c>
      <c r="EF19">
        <v>12926.4391780496</v>
      </c>
      <c r="EG19">
        <v>6805.55740149021</v>
      </c>
      <c r="EH19">
        <v>4058.16463513374</v>
      </c>
      <c r="EI19" t="s">
        <v>1900</v>
      </c>
      <c r="EJ19" t="s">
        <v>1900</v>
      </c>
      <c r="EK19" t="s">
        <v>1900</v>
      </c>
      <c r="EL19" t="s">
        <v>1900</v>
      </c>
      <c r="EM19" t="s">
        <v>1900</v>
      </c>
      <c r="EN19">
        <v>-1295284.98744221</v>
      </c>
      <c r="EO19">
        <v>-1151571.83576129</v>
      </c>
      <c r="EP19">
        <v>-1270340.8425357</v>
      </c>
      <c r="EQ19">
        <v>-65922.8310059309</v>
      </c>
      <c r="ER19">
        <v>-54150.296854794</v>
      </c>
      <c r="ES19">
        <v>637908.980549528</v>
      </c>
      <c r="ET19">
        <v>744670.674249048</v>
      </c>
      <c r="EU19">
        <v>-123524.209318566</v>
      </c>
      <c r="EV19">
        <v>412053.854883385</v>
      </c>
      <c r="EW19">
        <v>432569.484876578</v>
      </c>
      <c r="EX19">
        <v>-1247413.91988985</v>
      </c>
      <c r="EY19">
        <v>-1151510.03308355</v>
      </c>
      <c r="EZ19">
        <v>-1340185.43546311</v>
      </c>
      <c r="FA19">
        <v>-98942.4338496924</v>
      </c>
      <c r="FB19">
        <v>-43750.9125249565</v>
      </c>
      <c r="FC19">
        <v>1140255.79562397</v>
      </c>
      <c r="FD19">
        <v>1096517.9817038</v>
      </c>
      <c r="FE19">
        <v>762063.341079152</v>
      </c>
      <c r="FF19">
        <v>566787.421036577</v>
      </c>
      <c r="FG19">
        <v>448067.737984496</v>
      </c>
      <c r="FH19">
        <v>718939.852467176</v>
      </c>
      <c r="FI19">
        <v>678296.598411179</v>
      </c>
      <c r="FJ19">
        <v>562883.235517377</v>
      </c>
      <c r="FK19">
        <v>438244.874561405</v>
      </c>
      <c r="FL19">
        <v>416386.365561861</v>
      </c>
      <c r="FM19">
        <v>15068.5313890839</v>
      </c>
      <c r="FN19">
        <v>19873.5223189926</v>
      </c>
      <c r="FO19">
        <v>16456.2755224764</v>
      </c>
      <c r="FP19">
        <v>12838.4208952188</v>
      </c>
      <c r="FQ19">
        <v>13643.0127210021</v>
      </c>
      <c r="FR19">
        <v>406247.411767707</v>
      </c>
      <c r="FS19">
        <v>398347.860973625</v>
      </c>
      <c r="FT19">
        <v>182723.830039299</v>
      </c>
      <c r="FU19">
        <v>115704.125579953</v>
      </c>
      <c r="FV19">
        <v>18038.3597016335</v>
      </c>
      <c r="FW19">
        <v>718939.852467176</v>
      </c>
      <c r="FX19">
        <v>678296.598411179</v>
      </c>
      <c r="FY19">
        <v>562883.235517377</v>
      </c>
      <c r="FZ19">
        <v>438244.874561405</v>
      </c>
      <c r="GA19">
        <v>416386.365561861</v>
      </c>
      <c r="GB19">
        <v>15068.5313890839</v>
      </c>
      <c r="GC19">
        <v>19873.5223189926</v>
      </c>
      <c r="GD19">
        <v>16456.2755224764</v>
      </c>
      <c r="GE19">
        <v>12838.4208952188</v>
      </c>
      <c r="GF19">
        <v>13643.0127210021</v>
      </c>
      <c r="GG19">
        <v>406247.411767707</v>
      </c>
      <c r="GH19">
        <v>398347.860973625</v>
      </c>
      <c r="GI19">
        <v>182723.830039299</v>
      </c>
      <c r="GJ19">
        <v>115704.125579953</v>
      </c>
      <c r="GK19">
        <v>18038.3597016335</v>
      </c>
      <c r="GL19">
        <v>1686212.92163673</v>
      </c>
      <c r="GM19">
        <v>1867075.6351706</v>
      </c>
      <c r="GN19">
        <v>3040098.80592107</v>
      </c>
      <c r="GO19">
        <v>1274452.65175695</v>
      </c>
      <c r="GP19">
        <v>581758.034691727</v>
      </c>
      <c r="GQ19">
        <v>19115.95933249</v>
      </c>
      <c r="GR19">
        <v>11424.6001272202</v>
      </c>
      <c r="GS19">
        <v>14181.9654336631</v>
      </c>
      <c r="GT19">
        <v>0</v>
      </c>
      <c r="GU19">
        <v>10897.7952522874</v>
      </c>
      <c r="GV19">
        <v>906042.324915953</v>
      </c>
      <c r="GW19">
        <v>1117887.7741443</v>
      </c>
      <c r="GX19">
        <v>1170756.52272707</v>
      </c>
      <c r="GY19">
        <v>937431.449280524</v>
      </c>
      <c r="GZ19">
        <v>112126.382550389</v>
      </c>
      <c r="HA19">
        <v>761054.637388283</v>
      </c>
      <c r="HB19">
        <v>737763.260899086</v>
      </c>
      <c r="HC19">
        <v>1855160.31776034</v>
      </c>
      <c r="HD19">
        <v>337021.20247643</v>
      </c>
      <c r="HE19">
        <v>458733.856889051</v>
      </c>
      <c r="HF19">
        <v>716077.382951126</v>
      </c>
      <c r="HG19">
        <v>676435.70022603</v>
      </c>
      <c r="HH19">
        <v>1718057.36901469</v>
      </c>
      <c r="HI19">
        <v>243052.843375039</v>
      </c>
      <c r="HJ19">
        <v>364395.959809953</v>
      </c>
      <c r="HK19">
        <v>2826468.71726069</v>
      </c>
      <c r="HL19">
        <v>2963593.6168744</v>
      </c>
      <c r="HM19">
        <v>3802162.14700022</v>
      </c>
      <c r="HN19">
        <v>1841240.07279353</v>
      </c>
      <c r="HO19">
        <v>1029825.77267622</v>
      </c>
      <c r="HP19">
        <v>472691.624031427</v>
      </c>
      <c r="HQ19">
        <v>1929085.26844976</v>
      </c>
      <c r="HR19">
        <v>2951818.24349302</v>
      </c>
      <c r="HS19">
        <v>1172775.65639892</v>
      </c>
      <c r="HT19">
        <v>813563.706419438</v>
      </c>
      <c r="HU19">
        <v>51302.3657340348</v>
      </c>
      <c r="HV19">
        <v>54566.5267387867</v>
      </c>
      <c r="HW19">
        <v>52670.2292994559</v>
      </c>
      <c r="HX19">
        <v>41716.2290006161</v>
      </c>
      <c r="HY19">
        <v>45196.8404424548</v>
      </c>
      <c r="HZ19">
        <v>421389.258297392</v>
      </c>
      <c r="IA19">
        <v>1874518.74060598</v>
      </c>
      <c r="IB19">
        <v>2899148.01419356</v>
      </c>
      <c r="IC19">
        <v>1131059.4262657</v>
      </c>
      <c r="ID19">
        <v>768366.865976983</v>
      </c>
      <c r="IE19">
        <v>1846049.54835752</v>
      </c>
      <c r="IF19">
        <v>591980.236073456</v>
      </c>
      <c r="IG19">
        <v>576813.622129744</v>
      </c>
      <c r="IH19">
        <v>504936.027637911</v>
      </c>
      <c r="II19">
        <v>137250.909389424</v>
      </c>
      <c r="IJ19">
        <v>1768276.02232132</v>
      </c>
      <c r="IK19">
        <v>478014.661827106</v>
      </c>
      <c r="IL19">
        <v>413535.276674736</v>
      </c>
      <c r="IM19">
        <v>334357.677659369</v>
      </c>
      <c r="IN19">
        <v>137250.909389424</v>
      </c>
      <c r="IO19">
        <v>77773.5260361969</v>
      </c>
      <c r="IP19">
        <v>113965.574246349</v>
      </c>
      <c r="IQ19">
        <v>163278.345455009</v>
      </c>
      <c r="IR19">
        <v>170578.349978542</v>
      </c>
      <c r="IS19">
        <v>0</v>
      </c>
      <c r="IT19" t="s">
        <v>1900</v>
      </c>
      <c r="IU19" t="s">
        <v>1900</v>
      </c>
      <c r="IV19" t="s">
        <v>1900</v>
      </c>
      <c r="IW19" t="s">
        <v>1900</v>
      </c>
      <c r="IX19">
        <v>0</v>
      </c>
      <c r="IY19">
        <v>507727.544871746</v>
      </c>
      <c r="IZ19">
        <v>442528.112351179</v>
      </c>
      <c r="JA19">
        <v>273530.281377453</v>
      </c>
      <c r="JB19">
        <v>163528.388756704</v>
      </c>
      <c r="JC19">
        <v>79011.1568673611</v>
      </c>
      <c r="JD19">
        <v>46108.9692630422</v>
      </c>
      <c r="JE19">
        <v>78389.6633803177</v>
      </c>
      <c r="JF19">
        <v>61385.7443638563</v>
      </c>
      <c r="JG19">
        <v>57052.9283280373</v>
      </c>
      <c r="JH19">
        <v>30169.4511048138</v>
      </c>
      <c r="JI19" t="s">
        <v>1900</v>
      </c>
      <c r="JJ19">
        <v>13213.4412300301</v>
      </c>
      <c r="JK19">
        <v>23571.7846945405</v>
      </c>
      <c r="JL19">
        <v>0</v>
      </c>
      <c r="JM19">
        <v>0</v>
      </c>
      <c r="JN19">
        <v>461618.574569805</v>
      </c>
      <c r="JO19">
        <v>350925.007740831</v>
      </c>
      <c r="JP19">
        <v>188572.752319056</v>
      </c>
      <c r="JQ19">
        <v>106475.460428667</v>
      </c>
      <c r="JR19">
        <v>48841.7057625473</v>
      </c>
      <c r="JS19">
        <v>2826468.71726069</v>
      </c>
      <c r="JT19">
        <v>2963593.6168744</v>
      </c>
      <c r="JU19">
        <v>3802162.14700022</v>
      </c>
      <c r="JV19">
        <v>1841240.07279353</v>
      </c>
      <c r="JW19">
        <v>1029825.77267622</v>
      </c>
      <c r="JX19">
        <v>925158.283209543</v>
      </c>
      <c r="JY19">
        <v>1116098.93304149</v>
      </c>
      <c r="JZ19">
        <v>1161366.70346619</v>
      </c>
      <c r="KA19">
        <v>937431.449280524</v>
      </c>
      <c r="KB19">
        <v>123024.177802676</v>
      </c>
      <c r="KC19" t="s">
        <v>1900</v>
      </c>
      <c r="KD19" t="s">
        <v>1900</v>
      </c>
      <c r="KE19" t="s">
        <v>1900</v>
      </c>
      <c r="KF19" t="s">
        <v>1900</v>
      </c>
      <c r="KG19" t="s">
        <v>1900</v>
      </c>
      <c r="KH19" t="s">
        <v>1900</v>
      </c>
      <c r="KI19" t="s">
        <v>1900</v>
      </c>
      <c r="KJ19" t="s">
        <v>1900</v>
      </c>
      <c r="KK19" t="s">
        <v>1900</v>
      </c>
      <c r="KL19" t="s">
        <v>1900</v>
      </c>
      <c r="KM19">
        <v>32</v>
      </c>
      <c r="KN19">
        <v>29</v>
      </c>
      <c r="KO19">
        <v>19</v>
      </c>
      <c r="KP19">
        <v>10</v>
      </c>
      <c r="KQ19">
        <v>9</v>
      </c>
      <c r="KR19" t="s">
        <v>1900</v>
      </c>
      <c r="KS19" t="s">
        <v>1900</v>
      </c>
      <c r="KT19" t="s">
        <v>1900</v>
      </c>
      <c r="KU19" t="s">
        <v>1900</v>
      </c>
      <c r="KV19" t="s">
        <v>1900</v>
      </c>
      <c r="KW19" t="s">
        <v>1900</v>
      </c>
      <c r="KX19" t="s">
        <v>1900</v>
      </c>
      <c r="KY19" t="s">
        <v>1900</v>
      </c>
      <c r="KZ19" t="s">
        <v>1900</v>
      </c>
      <c r="LA19" t="s">
        <v>1900</v>
      </c>
      <c r="LB19" t="s">
        <v>1900</v>
      </c>
      <c r="LC19" t="s">
        <v>1900</v>
      </c>
      <c r="LD19" t="s">
        <v>1900</v>
      </c>
      <c r="LE19" t="s">
        <v>1900</v>
      </c>
      <c r="LF19" t="s">
        <v>1900</v>
      </c>
      <c r="LG19" t="s">
        <v>1900</v>
      </c>
      <c r="LH19" t="s">
        <v>1900</v>
      </c>
      <c r="LI19" t="s">
        <v>1900</v>
      </c>
      <c r="LJ19" t="s">
        <v>1900</v>
      </c>
      <c r="LK19" t="s">
        <v>1900</v>
      </c>
      <c r="LL19" t="s">
        <v>1900</v>
      </c>
      <c r="LM19" t="s">
        <v>1900</v>
      </c>
      <c r="LN19" t="s">
        <v>1900</v>
      </c>
      <c r="LO19" t="s">
        <v>1900</v>
      </c>
      <c r="LP19" t="s">
        <v>1900</v>
      </c>
      <c r="LQ19" t="s">
        <v>1900</v>
      </c>
      <c r="LR19" t="s">
        <v>1900</v>
      </c>
      <c r="LS19" t="s">
        <v>1900</v>
      </c>
      <c r="LT19" t="s">
        <v>1900</v>
      </c>
      <c r="LU19" t="s">
        <v>1900</v>
      </c>
      <c r="LV19" t="s">
        <v>1900</v>
      </c>
      <c r="LW19" t="s">
        <v>1900</v>
      </c>
      <c r="LX19" t="s">
        <v>1900</v>
      </c>
      <c r="LY19" t="s">
        <v>1900</v>
      </c>
      <c r="LZ19" t="s">
        <v>1900</v>
      </c>
      <c r="MA19" t="s">
        <v>1900</v>
      </c>
      <c r="MB19" t="s">
        <v>1900</v>
      </c>
      <c r="MC19" t="s">
        <v>1900</v>
      </c>
      <c r="MD19" t="s">
        <v>1900</v>
      </c>
      <c r="ME19" t="s">
        <v>1900</v>
      </c>
      <c r="MF19" t="s">
        <v>1900</v>
      </c>
      <c r="MG19" t="s">
        <v>1900</v>
      </c>
      <c r="MH19" t="s">
        <v>1900</v>
      </c>
      <c r="MI19" t="s">
        <v>1900</v>
      </c>
      <c r="MJ19" t="s">
        <v>1900</v>
      </c>
      <c r="MK19" t="s">
        <v>1900</v>
      </c>
      <c r="ML19" t="s">
        <v>1900</v>
      </c>
      <c r="MM19" t="s">
        <v>1900</v>
      </c>
      <c r="MN19" t="s">
        <v>1900</v>
      </c>
      <c r="MO19" t="s">
        <v>1900</v>
      </c>
      <c r="MP19">
        <v>761054.637388283</v>
      </c>
      <c r="MQ19">
        <v>737763.260899086</v>
      </c>
      <c r="MR19">
        <v>1855160.31776034</v>
      </c>
      <c r="MS19">
        <v>337021.20247643</v>
      </c>
      <c r="MT19">
        <v>458733.856889051</v>
      </c>
      <c r="MU19" t="s">
        <v>1900</v>
      </c>
      <c r="MV19" t="s">
        <v>1900</v>
      </c>
      <c r="MW19" t="s">
        <v>1900</v>
      </c>
      <c r="MX19" t="s">
        <v>1900</v>
      </c>
      <c r="MY19" t="s">
        <v>1900</v>
      </c>
      <c r="MZ19" t="s">
        <v>1900</v>
      </c>
      <c r="NA19" t="s">
        <v>1900</v>
      </c>
      <c r="NB19" t="s">
        <v>1900</v>
      </c>
      <c r="NC19" t="s">
        <v>1900</v>
      </c>
      <c r="ND19" t="s">
        <v>1900</v>
      </c>
      <c r="NE19" t="s">
        <v>1900</v>
      </c>
      <c r="NF19" t="s">
        <v>1900</v>
      </c>
      <c r="NG19" t="s">
        <v>1900</v>
      </c>
      <c r="NH19" t="s">
        <v>1900</v>
      </c>
      <c r="NI19" t="s">
        <v>1900</v>
      </c>
      <c r="NJ19" t="s">
        <v>1900</v>
      </c>
      <c r="NK19" t="s">
        <v>1900</v>
      </c>
      <c r="NL19" t="s">
        <v>1900</v>
      </c>
      <c r="NM19" t="s">
        <v>1900</v>
      </c>
      <c r="NN19" t="s">
        <v>1900</v>
      </c>
      <c r="NO19" t="s">
        <v>1900</v>
      </c>
      <c r="NP19" t="s">
        <v>1900</v>
      </c>
      <c r="NQ19" t="s">
        <v>1900</v>
      </c>
      <c r="NR19" t="s">
        <v>1900</v>
      </c>
      <c r="NS19" t="s">
        <v>1900</v>
      </c>
      <c r="NT19">
        <v>1140255.79562397</v>
      </c>
      <c r="NU19">
        <v>1096517.9817038</v>
      </c>
      <c r="NV19">
        <v>762063.341079152</v>
      </c>
      <c r="NW19">
        <v>566787.421036577</v>
      </c>
      <c r="NX19">
        <v>448067.737984496</v>
      </c>
      <c r="NY19" t="s">
        <v>1900</v>
      </c>
      <c r="NZ19" t="s">
        <v>1900</v>
      </c>
      <c r="OA19" t="s">
        <v>1900</v>
      </c>
      <c r="OB19" t="s">
        <v>1900</v>
      </c>
      <c r="OC19" t="s">
        <v>1900</v>
      </c>
      <c r="OD19" t="s">
        <v>1900</v>
      </c>
      <c r="OE19" t="s">
        <v>1900</v>
      </c>
      <c r="OF19" t="s">
        <v>1900</v>
      </c>
      <c r="OG19" t="s">
        <v>1900</v>
      </c>
      <c r="OH19" t="s">
        <v>1900</v>
      </c>
      <c r="OI19" t="s">
        <v>1900</v>
      </c>
      <c r="OJ19" t="s">
        <v>1900</v>
      </c>
      <c r="OK19" t="s">
        <v>1900</v>
      </c>
      <c r="OL19" t="s">
        <v>1900</v>
      </c>
      <c r="OM19" t="s">
        <v>1900</v>
      </c>
      <c r="ON19" t="s">
        <v>1900</v>
      </c>
      <c r="OO19" t="s">
        <v>1900</v>
      </c>
      <c r="OP19" t="s">
        <v>1900</v>
      </c>
      <c r="OQ19" t="s">
        <v>1900</v>
      </c>
      <c r="OR19" t="s">
        <v>1900</v>
      </c>
      <c r="OS19" t="s">
        <v>1900</v>
      </c>
      <c r="OT19" t="s">
        <v>1900</v>
      </c>
      <c r="OU19" t="s">
        <v>1900</v>
      </c>
      <c r="OV19" t="s">
        <v>1900</v>
      </c>
      <c r="OW19" t="s">
        <v>1900</v>
      </c>
      <c r="OX19" t="s">
        <v>1900</v>
      </c>
      <c r="OY19" t="s">
        <v>1900</v>
      </c>
      <c r="OZ19" t="s">
        <v>1900</v>
      </c>
      <c r="PA19" t="s">
        <v>1900</v>
      </c>
      <c r="PB19" t="s">
        <v>1900</v>
      </c>
      <c r="PC19" t="s">
        <v>1900</v>
      </c>
      <c r="PD19" t="s">
        <v>1900</v>
      </c>
      <c r="PE19" t="s">
        <v>1900</v>
      </c>
      <c r="PF19" t="s">
        <v>1900</v>
      </c>
      <c r="PG19" t="s">
        <v>1900</v>
      </c>
      <c r="PH19" t="s">
        <v>1900</v>
      </c>
      <c r="PI19" t="s">
        <v>1900</v>
      </c>
      <c r="PJ19" t="s">
        <v>1900</v>
      </c>
      <c r="PK19" t="s">
        <v>1900</v>
      </c>
      <c r="PL19" t="s">
        <v>1900</v>
      </c>
      <c r="PM19" t="s">
        <v>1900</v>
      </c>
      <c r="PN19" t="s">
        <v>1900</v>
      </c>
      <c r="PO19" t="s">
        <v>1900</v>
      </c>
      <c r="PP19" t="s">
        <v>1900</v>
      </c>
      <c r="PQ19" t="s">
        <v>1900</v>
      </c>
      <c r="PR19" t="s">
        <v>1900</v>
      </c>
      <c r="PS19" t="s">
        <v>1900</v>
      </c>
      <c r="PT19" t="s">
        <v>1900</v>
      </c>
      <c r="PU19" t="s">
        <v>1900</v>
      </c>
      <c r="PV19" t="s">
        <v>1900</v>
      </c>
      <c r="PW19" t="s">
        <v>1900</v>
      </c>
      <c r="PX19" t="s">
        <v>1900</v>
      </c>
      <c r="PY19" t="s">
        <v>1900</v>
      </c>
      <c r="PZ19" t="s">
        <v>1900</v>
      </c>
      <c r="QA19" t="s">
        <v>1900</v>
      </c>
      <c r="QB19" t="s">
        <v>1900</v>
      </c>
      <c r="QC19" t="s">
        <v>1900</v>
      </c>
      <c r="QD19" t="s">
        <v>1900</v>
      </c>
      <c r="QE19" t="s">
        <v>1900</v>
      </c>
      <c r="QF19" t="s">
        <v>1900</v>
      </c>
      <c r="QG19" t="s">
        <v>1900</v>
      </c>
      <c r="QH19" t="s">
        <v>1900</v>
      </c>
      <c r="QI19" t="s">
        <v>1900</v>
      </c>
      <c r="QJ19" t="s">
        <v>1900</v>
      </c>
      <c r="QK19" t="s">
        <v>1900</v>
      </c>
      <c r="QL19" t="s">
        <v>1900</v>
      </c>
      <c r="QM19" t="s">
        <v>1900</v>
      </c>
      <c r="QN19" t="s">
        <v>1900</v>
      </c>
      <c r="QO19" t="s">
        <v>1900</v>
      </c>
      <c r="QP19" t="s">
        <v>1900</v>
      </c>
      <c r="QQ19" t="s">
        <v>1900</v>
      </c>
      <c r="QR19" t="s">
        <v>1900</v>
      </c>
      <c r="QS19" t="s">
        <v>1900</v>
      </c>
      <c r="QT19" t="s">
        <v>1900</v>
      </c>
      <c r="QU19" t="s">
        <v>1900</v>
      </c>
      <c r="QV19" t="s">
        <v>1900</v>
      </c>
      <c r="QW19" t="s">
        <v>1900</v>
      </c>
      <c r="QX19" t="s">
        <v>1900</v>
      </c>
      <c r="QY19" t="s">
        <v>1900</v>
      </c>
      <c r="QZ19" t="s">
        <v>1900</v>
      </c>
      <c r="RA19" t="s">
        <v>1900</v>
      </c>
      <c r="RB19" t="s">
        <v>1900</v>
      </c>
      <c r="RC19" t="s">
        <v>1900</v>
      </c>
      <c r="RD19" t="s">
        <v>1900</v>
      </c>
      <c r="RE19" t="s">
        <v>1900</v>
      </c>
      <c r="RF19" t="s">
        <v>1900</v>
      </c>
      <c r="RG19" t="s">
        <v>1900</v>
      </c>
      <c r="RH19" t="s">
        <v>1900</v>
      </c>
      <c r="RI19" t="s">
        <v>1900</v>
      </c>
      <c r="RJ19" t="s">
        <v>1900</v>
      </c>
      <c r="RK19" t="s">
        <v>1900</v>
      </c>
      <c r="RL19" t="s">
        <v>1900</v>
      </c>
      <c r="RM19" t="s">
        <v>1900</v>
      </c>
      <c r="RN19" t="s">
        <v>1900</v>
      </c>
      <c r="RO19" t="s">
        <v>1900</v>
      </c>
      <c r="RP19" t="s">
        <v>1900</v>
      </c>
      <c r="RQ19" t="s">
        <v>1900</v>
      </c>
      <c r="RR19" t="s">
        <v>1900</v>
      </c>
      <c r="RS19" t="s">
        <v>1900</v>
      </c>
      <c r="RT19" t="s">
        <v>1900</v>
      </c>
      <c r="RU19" t="s">
        <v>1900</v>
      </c>
      <c r="RV19" t="s">
        <v>1900</v>
      </c>
      <c r="RW19" t="s">
        <v>1900</v>
      </c>
      <c r="RX19" t="s">
        <v>1900</v>
      </c>
      <c r="RY19" t="s">
        <v>1900</v>
      </c>
      <c r="RZ19" t="s">
        <v>1900</v>
      </c>
      <c r="SA19" t="s">
        <v>1900</v>
      </c>
      <c r="SB19" t="s">
        <v>1900</v>
      </c>
      <c r="SC19" t="s">
        <v>1900</v>
      </c>
      <c r="SD19" t="s">
        <v>1900</v>
      </c>
      <c r="SE19" t="s">
        <v>1900</v>
      </c>
      <c r="SF19" t="s">
        <v>1900</v>
      </c>
      <c r="SG19" t="s">
        <v>1900</v>
      </c>
      <c r="SH19" t="s">
        <v>1900</v>
      </c>
      <c r="SI19" t="s">
        <v>1900</v>
      </c>
      <c r="SJ19">
        <v>406247.411767707</v>
      </c>
      <c r="SK19">
        <v>398347.860973625</v>
      </c>
      <c r="SL19">
        <v>182723.830039299</v>
      </c>
      <c r="SM19">
        <v>115704.125579953</v>
      </c>
      <c r="SN19">
        <v>18038.3597016335</v>
      </c>
      <c r="SO19" t="s">
        <v>1900</v>
      </c>
      <c r="SP19" t="s">
        <v>1900</v>
      </c>
      <c r="SQ19" t="s">
        <v>1900</v>
      </c>
      <c r="SR19" t="s">
        <v>1900</v>
      </c>
      <c r="SS19" t="s">
        <v>1900</v>
      </c>
      <c r="ST19" t="s">
        <v>1900</v>
      </c>
      <c r="SU19" t="s">
        <v>1900</v>
      </c>
      <c r="SV19" t="s">
        <v>1900</v>
      </c>
      <c r="SW19" t="s">
        <v>1900</v>
      </c>
      <c r="SX19" t="s">
        <v>1900</v>
      </c>
      <c r="SY19" t="s">
        <v>1900</v>
      </c>
      <c r="SZ19" t="s">
        <v>1900</v>
      </c>
      <c r="TA19" t="s">
        <v>1900</v>
      </c>
      <c r="TB19" t="s">
        <v>1900</v>
      </c>
      <c r="TC19" t="s">
        <v>1900</v>
      </c>
      <c r="TD19" t="s">
        <v>1900</v>
      </c>
      <c r="TE19" t="s">
        <v>1900</v>
      </c>
      <c r="TF19" t="s">
        <v>1900</v>
      </c>
      <c r="TG19" t="s">
        <v>1900</v>
      </c>
      <c r="TH19" t="s">
        <v>1900</v>
      </c>
      <c r="TI19" t="s">
        <v>1900</v>
      </c>
      <c r="TJ19" t="s">
        <v>1900</v>
      </c>
      <c r="TK19" t="s">
        <v>1900</v>
      </c>
      <c r="TL19" t="s">
        <v>1900</v>
      </c>
      <c r="TM19" t="s">
        <v>1900</v>
      </c>
      <c r="TN19" t="s">
        <v>1900</v>
      </c>
      <c r="TO19" t="s">
        <v>1900</v>
      </c>
      <c r="TP19" t="s">
        <v>1900</v>
      </c>
      <c r="TQ19" t="s">
        <v>1900</v>
      </c>
      <c r="TR19" t="s">
        <v>1900</v>
      </c>
      <c r="TS19">
        <v>2826468.71726069</v>
      </c>
      <c r="TT19">
        <v>2963593.6168744</v>
      </c>
      <c r="TU19">
        <v>3802162.14700022</v>
      </c>
      <c r="TV19">
        <v>1841240.07279353</v>
      </c>
      <c r="TW19">
        <v>1029825.77267622</v>
      </c>
      <c r="TX19" t="s">
        <v>1900</v>
      </c>
      <c r="TY19" t="s">
        <v>1900</v>
      </c>
      <c r="TZ19" t="s">
        <v>1900</v>
      </c>
      <c r="UA19" t="s">
        <v>1900</v>
      </c>
      <c r="UB19" t="s">
        <v>1900</v>
      </c>
      <c r="UC19">
        <v>46108.9692630422</v>
      </c>
      <c r="UD19">
        <v>78389.6633803177</v>
      </c>
      <c r="UE19">
        <v>61385.7443638563</v>
      </c>
      <c r="UF19">
        <v>57052.9283280373</v>
      </c>
      <c r="UG19">
        <v>30169.4511048138</v>
      </c>
      <c r="UH19" t="s">
        <v>1900</v>
      </c>
      <c r="UI19" t="s">
        <v>1900</v>
      </c>
      <c r="UJ19" t="s">
        <v>1900</v>
      </c>
      <c r="UK19" t="s">
        <v>1900</v>
      </c>
      <c r="UL19" t="s">
        <v>1900</v>
      </c>
      <c r="UM19" t="s">
        <v>1900</v>
      </c>
      <c r="UN19" t="s">
        <v>1900</v>
      </c>
      <c r="UO19" t="s">
        <v>1900</v>
      </c>
      <c r="UP19" t="s">
        <v>1900</v>
      </c>
      <c r="UQ19" t="s">
        <v>1900</v>
      </c>
      <c r="UR19" t="s">
        <v>1900</v>
      </c>
      <c r="US19" t="s">
        <v>1900</v>
      </c>
      <c r="UT19" t="s">
        <v>1900</v>
      </c>
      <c r="UU19" t="s">
        <v>1900</v>
      </c>
      <c r="UV19" t="s">
        <v>1900</v>
      </c>
      <c r="UW19" t="s">
        <v>1900</v>
      </c>
      <c r="UX19" t="s">
        <v>1900</v>
      </c>
      <c r="UY19" t="s">
        <v>1900</v>
      </c>
      <c r="UZ19" t="s">
        <v>1900</v>
      </c>
      <c r="VA19" t="s">
        <v>1900</v>
      </c>
      <c r="VB19" t="s">
        <v>1900</v>
      </c>
      <c r="VC19" t="s">
        <v>1900</v>
      </c>
      <c r="VD19" t="s">
        <v>1900</v>
      </c>
      <c r="VE19" t="s">
        <v>1900</v>
      </c>
      <c r="VF19" t="s">
        <v>1900</v>
      </c>
      <c r="VG19" t="s">
        <v>1900</v>
      </c>
      <c r="VH19" t="s">
        <v>1900</v>
      </c>
      <c r="VI19" t="s">
        <v>1900</v>
      </c>
      <c r="VJ19" t="s">
        <v>1900</v>
      </c>
      <c r="VK19" t="s">
        <v>1900</v>
      </c>
      <c r="VL19" t="s">
        <v>1900</v>
      </c>
      <c r="VM19" t="s">
        <v>1900</v>
      </c>
      <c r="VN19" t="s">
        <v>1900</v>
      </c>
      <c r="VO19" t="s">
        <v>1900</v>
      </c>
      <c r="VP19" t="s">
        <v>1900</v>
      </c>
      <c r="VQ19" t="s">
        <v>1900</v>
      </c>
      <c r="VR19" t="s">
        <v>1900</v>
      </c>
      <c r="VS19" t="s">
        <v>1900</v>
      </c>
      <c r="VT19" t="s">
        <v>1900</v>
      </c>
      <c r="VU19" t="s">
        <v>1900</v>
      </c>
      <c r="VV19" t="s">
        <v>1900</v>
      </c>
      <c r="VW19" t="s">
        <v>1900</v>
      </c>
      <c r="VX19" t="s">
        <v>1900</v>
      </c>
      <c r="VY19" t="s">
        <v>1900</v>
      </c>
      <c r="VZ19" t="s">
        <v>1900</v>
      </c>
      <c r="WA19">
        <v>461618.574569805</v>
      </c>
      <c r="WB19">
        <v>350925.007740831</v>
      </c>
      <c r="WC19">
        <v>188572.752319056</v>
      </c>
      <c r="WD19">
        <v>106475.460428667</v>
      </c>
      <c r="WE19">
        <v>48841.7057625473</v>
      </c>
      <c r="WF19" t="s">
        <v>1900</v>
      </c>
      <c r="WG19" t="s">
        <v>1900</v>
      </c>
      <c r="WH19" t="s">
        <v>1900</v>
      </c>
      <c r="WI19" t="s">
        <v>1900</v>
      </c>
      <c r="WJ19" t="s">
        <v>1900</v>
      </c>
      <c r="WK19" t="s">
        <v>1900</v>
      </c>
      <c r="WL19" t="s">
        <v>1900</v>
      </c>
      <c r="WM19" t="s">
        <v>1900</v>
      </c>
      <c r="WN19" t="s">
        <v>1900</v>
      </c>
      <c r="WO19" t="s">
        <v>1900</v>
      </c>
      <c r="WP19" t="s">
        <v>1900</v>
      </c>
      <c r="WQ19" t="s">
        <v>1900</v>
      </c>
      <c r="WR19" t="s">
        <v>1900</v>
      </c>
      <c r="WS19" t="s">
        <v>1900</v>
      </c>
      <c r="WT19" t="s">
        <v>1900</v>
      </c>
      <c r="WU19" t="s">
        <v>1900</v>
      </c>
      <c r="WV19" t="s">
        <v>1900</v>
      </c>
      <c r="WW19" t="s">
        <v>1900</v>
      </c>
      <c r="WX19" t="s">
        <v>1900</v>
      </c>
      <c r="WY19" t="s">
        <v>1900</v>
      </c>
      <c r="WZ19" t="s">
        <v>1900</v>
      </c>
      <c r="XA19" t="s">
        <v>1900</v>
      </c>
      <c r="XB19" t="s">
        <v>1900</v>
      </c>
      <c r="XC19" t="s">
        <v>1900</v>
      </c>
      <c r="XD19" t="s">
        <v>1900</v>
      </c>
      <c r="XE19" t="s">
        <v>1900</v>
      </c>
      <c r="XF19" t="s">
        <v>1900</v>
      </c>
      <c r="XG19" t="s">
        <v>1900</v>
      </c>
      <c r="XH19" t="s">
        <v>1900</v>
      </c>
      <c r="XI19" t="s">
        <v>1900</v>
      </c>
      <c r="XJ19">
        <v>77773.5260361969</v>
      </c>
      <c r="XK19">
        <v>113965.574246349</v>
      </c>
      <c r="XL19">
        <v>163278.345455009</v>
      </c>
      <c r="XM19">
        <v>170578.349978542</v>
      </c>
      <c r="XN19">
        <v>0</v>
      </c>
      <c r="XO19" t="s">
        <v>1900</v>
      </c>
      <c r="XP19" t="s">
        <v>1900</v>
      </c>
      <c r="XQ19" t="s">
        <v>1900</v>
      </c>
      <c r="XR19" t="s">
        <v>1900</v>
      </c>
      <c r="XS19" t="s">
        <v>1900</v>
      </c>
      <c r="XT19" t="s">
        <v>1900</v>
      </c>
      <c r="XU19" t="s">
        <v>1900</v>
      </c>
      <c r="XV19" t="s">
        <v>1900</v>
      </c>
      <c r="XW19" t="s">
        <v>1900</v>
      </c>
      <c r="XX19" t="s">
        <v>1900</v>
      </c>
      <c r="XY19" t="s">
        <v>1900</v>
      </c>
      <c r="XZ19" t="s">
        <v>1900</v>
      </c>
      <c r="YA19" t="s">
        <v>1900</v>
      </c>
      <c r="YB19" t="s">
        <v>1900</v>
      </c>
      <c r="YC19">
        <v>0</v>
      </c>
      <c r="YD19" t="s">
        <v>1900</v>
      </c>
      <c r="YE19" t="s">
        <v>1900</v>
      </c>
      <c r="YF19" t="s">
        <v>1900</v>
      </c>
      <c r="YG19" t="s">
        <v>1900</v>
      </c>
      <c r="YH19" t="s">
        <v>1900</v>
      </c>
      <c r="YI19" t="s">
        <v>1900</v>
      </c>
      <c r="YJ19" t="s">
        <v>1900</v>
      </c>
      <c r="YK19" t="s">
        <v>1900</v>
      </c>
      <c r="YL19" t="s">
        <v>1900</v>
      </c>
      <c r="YM19" t="s">
        <v>1900</v>
      </c>
      <c r="YN19" t="s">
        <v>1900</v>
      </c>
      <c r="YO19" t="s">
        <v>1900</v>
      </c>
      <c r="YP19" t="s">
        <v>1900</v>
      </c>
      <c r="YQ19" t="s">
        <v>1900</v>
      </c>
      <c r="YR19" t="s">
        <v>1900</v>
      </c>
      <c r="YS19" t="s">
        <v>1900</v>
      </c>
      <c r="YT19" t="s">
        <v>1900</v>
      </c>
      <c r="YU19" t="s">
        <v>1900</v>
      </c>
      <c r="YV19" t="s">
        <v>1900</v>
      </c>
      <c r="YW19" t="s">
        <v>1900</v>
      </c>
      <c r="YX19" t="s">
        <v>1900</v>
      </c>
      <c r="YY19" t="s">
        <v>1900</v>
      </c>
      <c r="YZ19" t="s">
        <v>1900</v>
      </c>
      <c r="ZA19" t="s">
        <v>1900</v>
      </c>
      <c r="ZB19" t="s">
        <v>1900</v>
      </c>
      <c r="ZC19" t="s">
        <v>1900</v>
      </c>
      <c r="ZD19" t="s">
        <v>1900</v>
      </c>
      <c r="ZE19" t="s">
        <v>1900</v>
      </c>
      <c r="ZF19" t="s">
        <v>1900</v>
      </c>
      <c r="ZG19" t="s">
        <v>1900</v>
      </c>
      <c r="ZH19" t="s">
        <v>1900</v>
      </c>
      <c r="ZI19" t="s">
        <v>1900</v>
      </c>
      <c r="ZJ19" t="s">
        <v>1900</v>
      </c>
      <c r="ZK19" t="s">
        <v>1900</v>
      </c>
      <c r="ZL19" t="s">
        <v>1900</v>
      </c>
      <c r="ZM19" t="s">
        <v>1900</v>
      </c>
      <c r="ZN19" t="s">
        <v>1900</v>
      </c>
      <c r="ZO19" t="s">
        <v>1900</v>
      </c>
      <c r="ZP19" t="s">
        <v>1900</v>
      </c>
      <c r="ZQ19" t="s">
        <v>1900</v>
      </c>
      <c r="ZR19" t="s">
        <v>1900</v>
      </c>
      <c r="ZS19" t="s">
        <v>1900</v>
      </c>
      <c r="ZT19" t="s">
        <v>1900</v>
      </c>
      <c r="ZU19" t="s">
        <v>1900</v>
      </c>
      <c r="ZV19" t="s">
        <v>1900</v>
      </c>
      <c r="ZW19" t="s">
        <v>1900</v>
      </c>
      <c r="ZX19" t="s">
        <v>1900</v>
      </c>
      <c r="ZY19" t="s">
        <v>1900</v>
      </c>
      <c r="ZZ19" t="s">
        <v>1900</v>
      </c>
      <c r="AAA19" t="s">
        <v>1900</v>
      </c>
      <c r="AAB19" t="s">
        <v>1900</v>
      </c>
      <c r="AAC19" t="s">
        <v>1900</v>
      </c>
      <c r="AAD19" t="s">
        <v>1900</v>
      </c>
      <c r="AAE19" t="s">
        <v>1900</v>
      </c>
      <c r="AAF19" t="s">
        <v>1900</v>
      </c>
      <c r="AAG19" t="s">
        <v>1900</v>
      </c>
      <c r="AAH19" t="s">
        <v>1900</v>
      </c>
      <c r="AAI19" t="s">
        <v>1900</v>
      </c>
      <c r="AAJ19" t="s">
        <v>1900</v>
      </c>
      <c r="AAK19" t="s">
        <v>1900</v>
      </c>
      <c r="AAL19" t="s">
        <v>1900</v>
      </c>
      <c r="AAM19" t="s">
        <v>1900</v>
      </c>
      <c r="AAN19" t="s">
        <v>1900</v>
      </c>
      <c r="AAO19" t="s">
        <v>1900</v>
      </c>
      <c r="AAP19" t="s">
        <v>1900</v>
      </c>
      <c r="AAQ19" t="s">
        <v>1900</v>
      </c>
      <c r="AAR19" t="s">
        <v>1900</v>
      </c>
      <c r="AAS19" t="s">
        <v>1900</v>
      </c>
      <c r="AAT19" t="s">
        <v>1900</v>
      </c>
      <c r="AAU19" t="s">
        <v>1900</v>
      </c>
      <c r="AAV19" t="s">
        <v>1900</v>
      </c>
      <c r="AAW19" t="s">
        <v>1900</v>
      </c>
      <c r="AAX19" t="s">
        <v>1900</v>
      </c>
      <c r="AAY19" t="s">
        <v>1900</v>
      </c>
      <c r="AAZ19" t="s">
        <v>1900</v>
      </c>
      <c r="ABA19" t="s">
        <v>1900</v>
      </c>
      <c r="ABB19" t="s">
        <v>1900</v>
      </c>
      <c r="ABC19" t="s">
        <v>1900</v>
      </c>
      <c r="ABD19" t="s">
        <v>1900</v>
      </c>
      <c r="ABE19" t="s">
        <v>1900</v>
      </c>
      <c r="ABF19" t="s">
        <v>1900</v>
      </c>
      <c r="ABG19" t="s">
        <v>1900</v>
      </c>
      <c r="ABH19" t="s">
        <v>1900</v>
      </c>
      <c r="ABI19" t="s">
        <v>1900</v>
      </c>
      <c r="ABJ19" t="s">
        <v>1900</v>
      </c>
      <c r="ABK19" t="s">
        <v>1900</v>
      </c>
      <c r="ABL19" t="s">
        <v>1900</v>
      </c>
      <c r="ABM19" t="s">
        <v>1900</v>
      </c>
      <c r="ABN19" t="s">
        <v>1900</v>
      </c>
      <c r="ABO19" t="s">
        <v>1900</v>
      </c>
      <c r="ABP19" t="s">
        <v>1900</v>
      </c>
      <c r="ABQ19" t="s">
        <v>1900</v>
      </c>
      <c r="ABR19" t="s">
        <v>1900</v>
      </c>
      <c r="ABS19" t="s">
        <v>1900</v>
      </c>
      <c r="ABT19" t="s">
        <v>1900</v>
      </c>
      <c r="ABU19" t="s">
        <v>1900</v>
      </c>
      <c r="ABV19" t="s">
        <v>1900</v>
      </c>
      <c r="ABW19" t="s">
        <v>1900</v>
      </c>
      <c r="ABX19" t="s">
        <v>1900</v>
      </c>
      <c r="ABY19" t="s">
        <v>1900</v>
      </c>
      <c r="ABZ19" t="s">
        <v>1900</v>
      </c>
      <c r="ACA19" t="s">
        <v>1900</v>
      </c>
      <c r="ACB19" t="s">
        <v>1900</v>
      </c>
      <c r="ACC19" t="s">
        <v>1900</v>
      </c>
      <c r="ACD19" t="s">
        <v>1900</v>
      </c>
      <c r="ACE19">
        <v>-301.238</v>
      </c>
      <c r="ACF19">
        <v>-66.151</v>
      </c>
      <c r="ACG19">
        <v>-47.184</v>
      </c>
      <c r="ACH19">
        <v>-10.213</v>
      </c>
      <c r="ACI19">
        <v>-6.991</v>
      </c>
      <c r="ACJ19">
        <v>-58.07</v>
      </c>
      <c r="ACK19">
        <v>-49.154</v>
      </c>
      <c r="ACL19">
        <v>-39.105</v>
      </c>
      <c r="ACM19">
        <v>-6.734</v>
      </c>
      <c r="ACN19">
        <v>-5.555</v>
      </c>
      <c r="ACO19">
        <v>-50.378</v>
      </c>
      <c r="ACP19">
        <v>-43.059</v>
      </c>
      <c r="ACQ19">
        <v>-36.631</v>
      </c>
      <c r="ACR19">
        <v>-6.505</v>
      </c>
      <c r="ACS19">
        <v>-5.523</v>
      </c>
      <c r="ACT19">
        <v>-294.525</v>
      </c>
      <c r="ACU19">
        <v>-64.22499999999999</v>
      </c>
      <c r="ACV19">
        <v>-44.685</v>
      </c>
      <c r="ACW19">
        <v>-7.663</v>
      </c>
      <c r="ACX19">
        <v>-6.991</v>
      </c>
      <c r="ACY19">
        <v>-56.702</v>
      </c>
      <c r="ACZ19">
        <v>-47.681</v>
      </c>
      <c r="ADA19">
        <v>-37.014</v>
      </c>
      <c r="ADB19">
        <v>-4.951</v>
      </c>
      <c r="ADC19">
        <v>-5.555</v>
      </c>
      <c r="ADD19">
        <v>-49.256</v>
      </c>
      <c r="ADE19">
        <v>-41.806</v>
      </c>
      <c r="ADF19">
        <v>-34.691</v>
      </c>
      <c r="ADG19">
        <v>-4.881</v>
      </c>
      <c r="ADH19">
        <v>-5.523</v>
      </c>
      <c r="ADI19" t="s">
        <v>1901</v>
      </c>
      <c r="ADJ19" t="s">
        <v>1901</v>
      </c>
      <c r="ADK19" t="s">
        <v>1901</v>
      </c>
      <c r="ADL19">
        <v>-15.186</v>
      </c>
      <c r="ADM19">
        <v>-12.154</v>
      </c>
      <c r="ADN19">
        <v>95.678</v>
      </c>
      <c r="ADO19">
        <v>98.104</v>
      </c>
      <c r="ADP19">
        <v>89.246</v>
      </c>
      <c r="ADQ19">
        <v>99.458</v>
      </c>
      <c r="ADR19">
        <v>100</v>
      </c>
      <c r="ADS19">
        <v>-116.446822123</v>
      </c>
      <c r="ADT19">
        <v>-98.34662715100001</v>
      </c>
      <c r="ADU19">
        <v>-165.902160191</v>
      </c>
      <c r="ADV19">
        <v>-15.580461903</v>
      </c>
      <c r="ADW19">
        <v>-9.931318492999999</v>
      </c>
      <c r="ADX19" t="s">
        <v>1901</v>
      </c>
      <c r="ADY19">
        <v>-91.41</v>
      </c>
      <c r="ADZ19" t="s">
        <v>1901</v>
      </c>
      <c r="AEA19">
        <v>-12.544</v>
      </c>
      <c r="AEB19">
        <v>-9.35</v>
      </c>
      <c r="AEC19" t="s">
        <v>1901</v>
      </c>
      <c r="AED19">
        <v>-98.34699999999999</v>
      </c>
      <c r="AEE19" t="s">
        <v>1901</v>
      </c>
      <c r="AEF19">
        <v>-15.58</v>
      </c>
      <c r="AEG19">
        <v>-9.930999999999999</v>
      </c>
      <c r="AEH19" t="s">
        <v>1901</v>
      </c>
      <c r="AEI19">
        <v>-91.41500000000001</v>
      </c>
      <c r="AEJ19" t="s">
        <v>1901</v>
      </c>
      <c r="AEK19">
        <v>-8.358000000000001</v>
      </c>
      <c r="AEL19">
        <v>-11.572</v>
      </c>
      <c r="AEM19">
        <v>-53.79927549</v>
      </c>
      <c r="AEN19">
        <v>-49.583211252</v>
      </c>
      <c r="AEO19">
        <v>-62.392182174</v>
      </c>
      <c r="AEP19">
        <v>-13.48018657</v>
      </c>
      <c r="AEQ19">
        <v>-9.034112051999999</v>
      </c>
      <c r="AER19">
        <v>0.451046604</v>
      </c>
      <c r="AES19">
        <v>0.499382522</v>
      </c>
      <c r="AET19">
        <v>0.349781664</v>
      </c>
      <c r="AEU19">
        <v>0.864563138</v>
      </c>
      <c r="AEV19" t="s">
        <v>1900</v>
      </c>
      <c r="AEW19" t="s">
        <v>1900</v>
      </c>
      <c r="AEX19" t="s">
        <v>1900</v>
      </c>
      <c r="AEY19" t="s">
        <v>1900</v>
      </c>
      <c r="AEZ19" t="s">
        <v>1900</v>
      </c>
      <c r="AFA19" t="s">
        <v>1900</v>
      </c>
      <c r="AFB19" t="s">
        <v>1900</v>
      </c>
      <c r="AFC19" t="s">
        <v>1900</v>
      </c>
      <c r="AFD19" t="s">
        <v>1900</v>
      </c>
      <c r="AFE19" t="s">
        <v>1900</v>
      </c>
      <c r="AFF19" t="s">
        <v>1900</v>
      </c>
      <c r="AFG19">
        <v>0.498</v>
      </c>
      <c r="AFH19">
        <v>0.5</v>
      </c>
      <c r="AFI19">
        <v>0.237</v>
      </c>
      <c r="AFJ19">
        <v>0.47</v>
      </c>
      <c r="AFK19">
        <v>0.492</v>
      </c>
      <c r="AFL19">
        <v>-17.364</v>
      </c>
      <c r="AFM19">
        <v>-33.584</v>
      </c>
      <c r="AFN19" t="s">
        <v>1901</v>
      </c>
      <c r="AFO19">
        <v>-18.057</v>
      </c>
      <c r="AFP19">
        <v>-11.452</v>
      </c>
      <c r="AFQ19">
        <v>60.392</v>
      </c>
      <c r="AFR19">
        <v>110.264</v>
      </c>
      <c r="AFS19">
        <v>59.03</v>
      </c>
      <c r="AFT19" t="s">
        <v>1901</v>
      </c>
      <c r="AFU19">
        <v>42.94</v>
      </c>
      <c r="AFV19">
        <v>282.536</v>
      </c>
      <c r="AFW19">
        <v>319.467</v>
      </c>
      <c r="AFX19">
        <v>503.454</v>
      </c>
      <c r="AFY19">
        <v>427.864</v>
      </c>
      <c r="AFZ19">
        <v>86.26000000000001</v>
      </c>
      <c r="AGA19" t="s">
        <v>1900</v>
      </c>
      <c r="AGB19">
        <v>3.776</v>
      </c>
      <c r="AGC19">
        <v>10.136</v>
      </c>
      <c r="AGD19">
        <v>0</v>
      </c>
      <c r="AGE19">
        <v>0</v>
      </c>
      <c r="AGF19" t="s">
        <v>1900</v>
      </c>
      <c r="AGG19" t="s">
        <v>1900</v>
      </c>
      <c r="AGH19" t="s">
        <v>1900</v>
      </c>
      <c r="AGI19" t="s">
        <v>1900</v>
      </c>
      <c r="AGJ19" t="s">
        <v>1900</v>
      </c>
      <c r="AGK19" t="s">
        <v>1900</v>
      </c>
      <c r="AGL19" t="s">
        <v>1900</v>
      </c>
      <c r="AGM19" t="s">
        <v>1900</v>
      </c>
      <c r="AGN19" t="s">
        <v>1900</v>
      </c>
      <c r="AGO19" t="s">
        <v>1900</v>
      </c>
      <c r="AGP19" t="s">
        <v>1900</v>
      </c>
      <c r="AGQ19" t="s">
        <v>1900</v>
      </c>
      <c r="AGR19" t="s">
        <v>1900</v>
      </c>
      <c r="AGS19" t="s">
        <v>1900</v>
      </c>
      <c r="AGT19" t="s">
        <v>1900</v>
      </c>
      <c r="AGU19">
        <v>0</v>
      </c>
      <c r="AGV19">
        <v>0</v>
      </c>
      <c r="AGW19">
        <v>0</v>
      </c>
      <c r="AGX19">
        <v>0</v>
      </c>
      <c r="AGY19">
        <v>0</v>
      </c>
      <c r="AGZ19">
        <v>3.321</v>
      </c>
      <c r="AHA19">
        <v>4.219</v>
      </c>
      <c r="AHB19">
        <v>11.114</v>
      </c>
      <c r="AHC19">
        <v>7.793</v>
      </c>
      <c r="AHD19">
        <v>7.363</v>
      </c>
      <c r="AHE19">
        <v>3.283</v>
      </c>
      <c r="AHF19">
        <v>4.193</v>
      </c>
      <c r="AHG19">
        <v>11.062</v>
      </c>
      <c r="AHH19">
        <v>7.793</v>
      </c>
      <c r="AHI19">
        <v>7.225</v>
      </c>
      <c r="AHJ19">
        <v>0.256</v>
      </c>
      <c r="AHK19">
        <v>3.259</v>
      </c>
      <c r="AHL19">
        <v>5.117</v>
      </c>
      <c r="AHM19">
        <v>2.323</v>
      </c>
      <c r="AHN19">
        <v>5.928</v>
      </c>
      <c r="AHO19">
        <v>16.724</v>
      </c>
      <c r="AHP19">
        <v>65.093</v>
      </c>
      <c r="AHQ19">
        <v>77.63500000000001</v>
      </c>
      <c r="AHR19">
        <v>63.695</v>
      </c>
      <c r="AHS19">
        <v>79</v>
      </c>
      <c r="AHT19">
        <v>20.082</v>
      </c>
      <c r="AHU19" t="s">
        <v>1901</v>
      </c>
      <c r="AHV19" t="s">
        <v>1901</v>
      </c>
      <c r="AHW19" t="s">
        <v>1901</v>
      </c>
      <c r="AHX19" t="s">
        <v>1901</v>
      </c>
      <c r="AHY19">
        <v>400.294</v>
      </c>
      <c r="AHZ19">
        <v>34.751</v>
      </c>
      <c r="AIA19">
        <v>21.621</v>
      </c>
      <c r="AIB19">
        <v>47.92</v>
      </c>
      <c r="AIC19">
        <v>20.579</v>
      </c>
      <c r="AID19">
        <v>14.37296685</v>
      </c>
      <c r="AIE19">
        <v>13.441379368</v>
      </c>
      <c r="AIF19">
        <v>4.805787417</v>
      </c>
      <c r="AIG19">
        <v>6.284032554</v>
      </c>
      <c r="AIH19">
        <v>1.751593345</v>
      </c>
      <c r="AII19">
        <v>26.925988345</v>
      </c>
      <c r="AIJ19">
        <v>24.89421143</v>
      </c>
      <c r="AIK19">
        <v>48.792246255</v>
      </c>
      <c r="AIL19">
        <v>18.304033649</v>
      </c>
      <c r="AIM19">
        <v>44.544802535</v>
      </c>
      <c r="AIN19">
        <v>16.331989516</v>
      </c>
      <c r="AIO19">
        <v>11.841198663</v>
      </c>
      <c r="AIP19">
        <v>4.959618897</v>
      </c>
      <c r="AIQ19">
        <v>5.782812464</v>
      </c>
      <c r="AIR19">
        <v>4.742715424</v>
      </c>
      <c r="AIS19">
        <v>38.314903857</v>
      </c>
      <c r="AIT19">
        <v>47.83345316</v>
      </c>
      <c r="AIU19">
        <v>15.753108342</v>
      </c>
      <c r="AIV19">
        <v>0</v>
      </c>
      <c r="AIW19" t="s">
        <v>1900</v>
      </c>
      <c r="AIX19">
        <v>-44.4976516585976</v>
      </c>
      <c r="AIY19">
        <v>-44.0034943932276</v>
      </c>
      <c r="AIZ19">
        <v>-73.3045734049451</v>
      </c>
      <c r="AJA19">
        <v>-11.9776276725411</v>
      </c>
      <c r="AJB19">
        <v>-6.31921044166923</v>
      </c>
      <c r="AJC19">
        <v>36.0766914392937</v>
      </c>
      <c r="AJD19">
        <v>43.43875626478</v>
      </c>
      <c r="AJE19">
        <v>44.0611405985933</v>
      </c>
      <c r="AJF19">
        <v>78.87447682128671</v>
      </c>
      <c r="AJG19">
        <v>51.9943435135597</v>
      </c>
      <c r="AJH19" t="s">
        <v>1901</v>
      </c>
      <c r="AJI19" t="s">
        <v>1901</v>
      </c>
      <c r="AJJ19" t="s">
        <v>1901</v>
      </c>
      <c r="AJK19">
        <v>63.528</v>
      </c>
      <c r="AJL19" t="s">
        <v>1901</v>
      </c>
      <c r="AJM19">
        <v>58.9844263161648</v>
      </c>
      <c r="AJN19">
        <v>65.3964189141092</v>
      </c>
      <c r="AJO19">
        <v>63.5606527133614</v>
      </c>
      <c r="AJP19">
        <v>50.107692993629</v>
      </c>
      <c r="AJQ19">
        <v>53.6290692479706</v>
      </c>
      <c r="AJR19">
        <v>14.7716128613948</v>
      </c>
      <c r="AJS19">
        <v>66.5201812134399</v>
      </c>
      <c r="AJT19">
        <v>155.358854920685</v>
      </c>
      <c r="AJU19">
        <v>117.277565639892</v>
      </c>
      <c r="AJV19">
        <v>90.3959669709045</v>
      </c>
      <c r="AJW19">
        <v>28.9111966424887</v>
      </c>
      <c r="AJX19">
        <v>38.4861705621204</v>
      </c>
      <c r="AJY19">
        <v>61.124562947368</v>
      </c>
      <c r="AJZ19">
        <v>93.7431449280524</v>
      </c>
      <c r="AKA19">
        <v>13.6693536345637</v>
      </c>
      <c r="AKB19">
        <v>88.32714754425911</v>
      </c>
      <c r="AKC19">
        <v>102.19288349291</v>
      </c>
      <c r="AKD19">
        <v>200.113797154401</v>
      </c>
      <c r="AKE19">
        <v>184.124007279353</v>
      </c>
      <c r="AKF19">
        <v>114.425085580225</v>
      </c>
      <c r="AKG19">
        <v>38.314903857</v>
      </c>
      <c r="AKH19">
        <v>47.83345316</v>
      </c>
      <c r="AKI19">
        <v>15.753108342</v>
      </c>
      <c r="AKJ19">
        <v>0</v>
      </c>
      <c r="AKK19" t="s">
        <v>1900</v>
      </c>
      <c r="AKL19">
        <v>1.655844</v>
      </c>
      <c r="AKM19">
        <v>0.906913007</v>
      </c>
      <c r="AKN19">
        <v>1.694053381</v>
      </c>
      <c r="AKO19">
        <v>0</v>
      </c>
      <c r="AKP19">
        <v>2.328842063</v>
      </c>
      <c r="AKQ19">
        <v>0.676319508</v>
      </c>
      <c r="AKR19">
        <v>0.385498203</v>
      </c>
      <c r="AKS19">
        <v>0.372997386</v>
      </c>
      <c r="AKT19">
        <v>0</v>
      </c>
      <c r="AKU19">
        <v>1.058217374</v>
      </c>
      <c r="AKV19">
        <v>62.27530728</v>
      </c>
      <c r="AKW19">
        <v>53.844861158</v>
      </c>
      <c r="AKX19">
        <v>67.237101413</v>
      </c>
      <c r="AKY19">
        <v>55.562317777</v>
      </c>
      <c r="AKZ19">
        <v>88.981125107</v>
      </c>
      <c r="ALA19">
        <v>25.435974157</v>
      </c>
      <c r="ALB19">
        <v>22.887638661</v>
      </c>
      <c r="ALC19">
        <v>14.804293288</v>
      </c>
      <c r="ALD19">
        <v>23.801615066</v>
      </c>
      <c r="ALE19">
        <v>40.432700036</v>
      </c>
      <c r="ALF19">
        <v>1.305251641</v>
      </c>
      <c r="ALG19">
        <v>1.577609342</v>
      </c>
      <c r="ALH19">
        <v>1.965722545</v>
      </c>
      <c r="ALI19">
        <v>1.627702828</v>
      </c>
      <c r="ALJ19">
        <v>2.915490809</v>
      </c>
      <c r="ALK19">
        <v>0.533122171</v>
      </c>
      <c r="ALL19">
        <v>0.670588646</v>
      </c>
      <c r="ALM19">
        <v>0.432813617</v>
      </c>
      <c r="ALN19">
        <v>0.697270339</v>
      </c>
      <c r="ALO19">
        <v>1.324788433</v>
      </c>
      <c r="ALP19">
        <v>78.482315313</v>
      </c>
      <c r="ALQ19">
        <v>88.740695633</v>
      </c>
      <c r="ALR19">
        <v>139.848320365</v>
      </c>
      <c r="ALS19">
        <v>118.851051324</v>
      </c>
      <c r="ALT19">
        <v>23.961235282</v>
      </c>
      <c r="ALU19" t="s">
        <v>1900</v>
      </c>
      <c r="ALV19">
        <v>1.182000692</v>
      </c>
      <c r="ALW19">
        <v>2.013380599</v>
      </c>
      <c r="ALX19">
        <v>0</v>
      </c>
      <c r="ALY19">
        <v>0</v>
      </c>
      <c r="ALZ19">
        <v>95.67832923024</v>
      </c>
      <c r="AMA19">
        <v>98.104019369325</v>
      </c>
      <c r="AMB19">
        <v>89.24622783040181</v>
      </c>
      <c r="AMC19">
        <v>99.4580999652657</v>
      </c>
      <c r="AMD19">
        <v>100</v>
      </c>
      <c r="AME19" t="s">
        <v>1901</v>
      </c>
      <c r="AMF19" t="s">
        <v>1901</v>
      </c>
      <c r="AMG19" t="s">
        <v>1901</v>
      </c>
      <c r="AMH19" t="s">
        <v>1901</v>
      </c>
      <c r="AMI19" t="s">
        <v>1901</v>
      </c>
      <c r="AMJ19">
        <v>2213.91990106533</v>
      </c>
      <c r="AMK19">
        <v>5174.31548519564</v>
      </c>
      <c r="AML19">
        <v>829.906254502096</v>
      </c>
      <c r="AMM19">
        <v>18353.5929037045</v>
      </c>
      <c r="AMN19" t="s">
        <v>1900</v>
      </c>
      <c r="AMO19">
        <v>0.451046604229147</v>
      </c>
      <c r="AMP19">
        <v>0.499382522312565</v>
      </c>
      <c r="AMQ19">
        <v>0.349781664572004</v>
      </c>
      <c r="AMR19">
        <v>0.86456313627509</v>
      </c>
      <c r="AMS19">
        <v>0.9096588816465569</v>
      </c>
      <c r="AMT19">
        <v>0.451046604653381</v>
      </c>
      <c r="AMU19">
        <v>0.499382522312565</v>
      </c>
      <c r="AMV19">
        <v>0.349781664072661</v>
      </c>
      <c r="AMW19">
        <v>0.864563137523327</v>
      </c>
      <c r="AMX19">
        <v>0.909658879261165</v>
      </c>
      <c r="AMY19">
        <v>0.451046604420496</v>
      </c>
      <c r="AMZ19">
        <v>0.499382522312565</v>
      </c>
      <c r="ANA19">
        <v>0.349781664397343</v>
      </c>
      <c r="ANB19">
        <v>0.864563137523327</v>
      </c>
      <c r="ANC19" t="s">
        <v>1900</v>
      </c>
      <c r="AND19" t="s">
        <v>1901</v>
      </c>
      <c r="ANE19">
        <v>-98.3466271511421</v>
      </c>
      <c r="ANF19" t="s">
        <v>1901</v>
      </c>
      <c r="ANG19">
        <v>-15.58046190267</v>
      </c>
      <c r="ANH19">
        <v>-9.93131849329168</v>
      </c>
      <c r="ANI19" t="s">
        <v>1901</v>
      </c>
      <c r="ANJ19" t="s">
        <v>1901</v>
      </c>
      <c r="ANK19" t="s">
        <v>1901</v>
      </c>
      <c r="ANL19">
        <v>-20.7804374546899</v>
      </c>
      <c r="ANM19">
        <v>-9.9941353561077</v>
      </c>
      <c r="ANN19">
        <v>-53.7992754899439</v>
      </c>
      <c r="ANO19">
        <v>-49.5832112517855</v>
      </c>
      <c r="ANP19">
        <v>-62.3921821740019</v>
      </c>
      <c r="ANQ19">
        <v>-13.4801865697597</v>
      </c>
      <c r="ANR19">
        <v>-9.03411205233358</v>
      </c>
      <c r="ANS19">
        <v>-57.97650703946</v>
      </c>
      <c r="ANT19">
        <v>-49.1417612703243</v>
      </c>
      <c r="ANU19">
        <v>-39.3599937330969</v>
      </c>
      <c r="ANV19">
        <v>-7.32486274548774</v>
      </c>
      <c r="ANW19">
        <v>-4.88775769544176</v>
      </c>
      <c r="ANX19">
        <v>95.67832923024</v>
      </c>
      <c r="ANY19">
        <v>98.104019369325</v>
      </c>
      <c r="ANZ19">
        <v>89.24622783040181</v>
      </c>
      <c r="AOA19">
        <v>99.458100108861</v>
      </c>
      <c r="AOB19" t="s">
        <v>1900</v>
      </c>
      <c r="AOC19">
        <v>44.2040813034877</v>
      </c>
      <c r="AOD19">
        <v>49.46089619894</v>
      </c>
      <c r="AOE19">
        <v>33.5635587790327</v>
      </c>
      <c r="AOF19">
        <v>86.05096253120981</v>
      </c>
      <c r="AOG19">
        <v>90.9658879476664</v>
      </c>
      <c r="AOH19">
        <v>39.0792372763207</v>
      </c>
      <c r="AOI19">
        <v>41.70071754754</v>
      </c>
      <c r="AOJ19">
        <v>19.6502720054945</v>
      </c>
      <c r="AOK19">
        <v>42.6055554423035</v>
      </c>
      <c r="AOL19">
        <v>45.439636762913</v>
      </c>
      <c r="AOM19">
        <v>-2694.48619127133</v>
      </c>
      <c r="AON19">
        <v>-5187.11138500031</v>
      </c>
      <c r="AOO19">
        <v>-1542.73456396958</v>
      </c>
      <c r="AOP19">
        <v>-2875.15501616408</v>
      </c>
      <c r="AOQ19" t="s">
        <v>1900</v>
      </c>
      <c r="AOR19">
        <v>-54.8953395346619</v>
      </c>
      <c r="AOS19">
        <v>-50.0617477687435</v>
      </c>
      <c r="AOT19">
        <v>-65.0218335927339</v>
      </c>
      <c r="AOU19">
        <v>-13.5436862476673</v>
      </c>
      <c r="AOV19">
        <v>-9.03411207388347</v>
      </c>
      <c r="AOW19">
        <v>-47.5620031039935</v>
      </c>
      <c r="AOX19">
        <v>-41.8038419521203</v>
      </c>
      <c r="AOY19">
        <v>-36.5284074554515</v>
      </c>
      <c r="AOZ19">
        <v>-6.67431042461831</v>
      </c>
      <c r="APA19">
        <v>-4.51275504911974</v>
      </c>
      <c r="APB19">
        <v>-120.593463085653</v>
      </c>
      <c r="APC19">
        <v>-98.3515332005159</v>
      </c>
      <c r="APD19">
        <v>-157.559136839935</v>
      </c>
      <c r="APE19">
        <v>-11.3941136472544</v>
      </c>
      <c r="APF19">
        <v>-12.1536509100639</v>
      </c>
      <c r="APG19">
        <v>-222.374191024349</v>
      </c>
      <c r="APH19">
        <v>-234.399184415097</v>
      </c>
      <c r="API19">
        <v>-322.059930227058</v>
      </c>
      <c r="APJ19">
        <v>-15.1968964384697</v>
      </c>
      <c r="APK19">
        <v>-12.2305243103528</v>
      </c>
      <c r="APL19">
        <v>-2790.43614172279</v>
      </c>
      <c r="APM19">
        <v>-5187.37014552214</v>
      </c>
      <c r="APN19">
        <v>-1465.15226801407</v>
      </c>
      <c r="APO19">
        <v>-2102.62335046902</v>
      </c>
      <c r="APP19" t="s">
        <v>1900</v>
      </c>
      <c r="APQ19">
        <v>-56.8501482567959</v>
      </c>
      <c r="APR19">
        <v>-50.064245113222</v>
      </c>
      <c r="APS19">
        <v>-61.7519625111001</v>
      </c>
      <c r="APT19">
        <v>-9.90460368073121</v>
      </c>
      <c r="APU19">
        <v>-11.0556764947714</v>
      </c>
      <c r="APV19">
        <v>-55.7150536573386</v>
      </c>
      <c r="APW19">
        <v>-49.5856847243342</v>
      </c>
      <c r="APX19">
        <v>-59.2545531509779</v>
      </c>
      <c r="APY19">
        <v>-9.85816586963402</v>
      </c>
      <c r="APZ19">
        <v>-11.0556764683993</v>
      </c>
      <c r="AQA19">
        <v>-49.2556736286314</v>
      </c>
      <c r="AQB19">
        <v>-41.8059273486262</v>
      </c>
      <c r="AQC19">
        <v>-34.6914370626315</v>
      </c>
      <c r="AQD19">
        <v>-4.88097541460715</v>
      </c>
      <c r="AQE19">
        <v>-5.52257482696552</v>
      </c>
      <c r="AQF19">
        <v>-0.548953395579504</v>
      </c>
      <c r="AQG19">
        <v>-0.500617477687435</v>
      </c>
      <c r="AQH19">
        <v>-0.650218335602657</v>
      </c>
      <c r="AQI19">
        <v>-0.135436862476673</v>
      </c>
      <c r="AQJ19" t="s">
        <v>1900</v>
      </c>
      <c r="AQK19">
        <v>6</v>
      </c>
      <c r="AQO19" t="s">
        <v>1904</v>
      </c>
      <c r="AQP19">
        <v>12</v>
      </c>
      <c r="AQQ19">
        <v>0</v>
      </c>
      <c r="AQS19" t="s">
        <v>1905</v>
      </c>
      <c r="AQU19" t="s">
        <v>1906</v>
      </c>
      <c r="AQV19">
        <v>1154454.1229407</v>
      </c>
      <c r="AQW19">
        <v>1259723.92504862</v>
      </c>
      <c r="AQX19">
        <v>837161.661773878</v>
      </c>
      <c r="AQY19">
        <v>-1344325.13903693</v>
      </c>
      <c r="AQZ19">
        <v>-1238895.9917013</v>
      </c>
      <c r="ARA19">
        <v>-1388869.28117318</v>
      </c>
      <c r="ARB19">
        <v>3251339.709763198</v>
      </c>
      <c r="ARC19">
        <v>-3972090.41191141</v>
      </c>
      <c r="ARD19">
        <v>-0.5498897815862805</v>
      </c>
      <c r="ARE19">
        <v>-0.5498897815862805</v>
      </c>
      <c r="ARF19">
        <v>-0.5498897815862805</v>
      </c>
      <c r="ARG19" t="s">
        <v>1907</v>
      </c>
      <c r="ARH19" t="s">
        <v>1907</v>
      </c>
      <c r="ARI19" t="s">
        <v>1907</v>
      </c>
      <c r="ARJ19" t="s">
        <v>1180</v>
      </c>
      <c r="ARK19" t="s">
        <v>1518</v>
      </c>
      <c r="ARL19" t="s">
        <v>1908</v>
      </c>
      <c r="ARM19" t="s">
        <v>1908</v>
      </c>
      <c r="ARN19" t="s">
        <v>1909</v>
      </c>
      <c r="ARO19" t="s">
        <v>1908</v>
      </c>
      <c r="ARP19" t="s">
        <v>1907</v>
      </c>
      <c r="ARQ19" t="s">
        <v>1924</v>
      </c>
      <c r="ARR19">
        <f>HYPERLINK("C:\Users\Usuario\Documents\Proyectos\llmthon\evidence\barbaraiot_com_233607.png", "Ver Evidencia")</f>
        <v>0</v>
      </c>
      <c r="ARS19">
        <v>100</v>
      </c>
    </row>
    <row r="20" spans="1:1163">
      <c r="A20">
        <v>281</v>
      </c>
      <c r="B20" t="s">
        <v>1181</v>
      </c>
      <c r="C20" t="s">
        <v>1304</v>
      </c>
      <c r="E20" s="2">
        <v>42621</v>
      </c>
      <c r="F20" t="s">
        <v>1431</v>
      </c>
      <c r="G20" t="s">
        <v>1433</v>
      </c>
      <c r="H20" t="s">
        <v>1434</v>
      </c>
      <c r="I20" t="s">
        <v>1435</v>
      </c>
      <c r="J20" t="s">
        <v>1451</v>
      </c>
      <c r="L20" t="s">
        <v>1519</v>
      </c>
      <c r="N20" t="s">
        <v>1631</v>
      </c>
      <c r="O20" t="s">
        <v>1655</v>
      </c>
      <c r="P20">
        <v>6202</v>
      </c>
      <c r="Q20">
        <v>6202</v>
      </c>
      <c r="R20" t="s">
        <v>1690</v>
      </c>
      <c r="Z20" t="s">
        <v>1899</v>
      </c>
      <c r="AA20" s="2">
        <v>45657</v>
      </c>
      <c r="AB20">
        <v>2024</v>
      </c>
      <c r="AC20">
        <v>2749307.93417372</v>
      </c>
      <c r="AD20">
        <v>3392486.67505633</v>
      </c>
      <c r="AE20">
        <v>2566451.57132133</v>
      </c>
      <c r="AF20">
        <v>1927695.78079548</v>
      </c>
      <c r="AG20">
        <v>1506760.42040117</v>
      </c>
      <c r="AH20">
        <v>2605402.84230164</v>
      </c>
      <c r="AI20">
        <v>3289539.75690502</v>
      </c>
      <c r="AJ20">
        <v>2493521.55139227</v>
      </c>
      <c r="AK20">
        <v>1905617.85576403</v>
      </c>
      <c r="AL20">
        <v>1492326.05134197</v>
      </c>
      <c r="AM20">
        <v>999793.003879706</v>
      </c>
      <c r="AN20">
        <v>1545569.61918265</v>
      </c>
      <c r="AO20">
        <v>1203627.0070882</v>
      </c>
      <c r="AP20">
        <v>1027297.28089621</v>
      </c>
      <c r="AQ20">
        <v>817940.745078522</v>
      </c>
      <c r="AR20">
        <v>1749514.93029401</v>
      </c>
      <c r="AS20">
        <v>1846917.05587368</v>
      </c>
      <c r="AT20">
        <v>1362824.56423312</v>
      </c>
      <c r="AU20">
        <v>900398.499899268</v>
      </c>
      <c r="AV20">
        <v>688819.6740955519</v>
      </c>
      <c r="AW20">
        <v>2099523.92566197</v>
      </c>
      <c r="AX20">
        <v>2038084.9815175</v>
      </c>
      <c r="AY20">
        <v>1437801.96454387</v>
      </c>
      <c r="AZ20">
        <v>1072091.69101245</v>
      </c>
      <c r="BA20">
        <v>1057480.7255226</v>
      </c>
      <c r="BB20">
        <v>-350008.995367956</v>
      </c>
      <c r="BC20">
        <v>-191167.925643816</v>
      </c>
      <c r="BD20">
        <v>-74977.4003107428</v>
      </c>
      <c r="BE20">
        <v>-171693.191113186</v>
      </c>
      <c r="BF20">
        <v>-368661.05019995</v>
      </c>
      <c r="BG20">
        <v>-74983.3421113037</v>
      </c>
      <c r="BH20">
        <v>-80295.7560857487</v>
      </c>
      <c r="BI20">
        <v>-49037.5514323711</v>
      </c>
      <c r="BJ20">
        <v>-53296.2856502295</v>
      </c>
      <c r="BK20">
        <v>-38603.6236356199</v>
      </c>
      <c r="BL20" t="s">
        <v>1900</v>
      </c>
      <c r="BM20" t="s">
        <v>1900</v>
      </c>
      <c r="BN20" t="s">
        <v>1900</v>
      </c>
      <c r="BO20" t="s">
        <v>1900</v>
      </c>
      <c r="BP20">
        <v>334.151410228014</v>
      </c>
      <c r="BQ20">
        <v>74983.3421113037</v>
      </c>
      <c r="BR20">
        <v>80295.7560857487</v>
      </c>
      <c r="BS20">
        <v>49037.5514323711</v>
      </c>
      <c r="BT20">
        <v>53296.2856502295</v>
      </c>
      <c r="BU20">
        <v>38937.7750458479</v>
      </c>
      <c r="BV20">
        <v>-424992.338518159</v>
      </c>
      <c r="BW20">
        <v>-271463.681729565</v>
      </c>
      <c r="BX20">
        <v>-124014.951743114</v>
      </c>
      <c r="BY20">
        <v>-224989.476763415</v>
      </c>
      <c r="BZ20">
        <v>-407264.67383557</v>
      </c>
      <c r="CA20">
        <v>-125244.814656218</v>
      </c>
      <c r="CB20">
        <v>-60519.0539102078</v>
      </c>
      <c r="CC20">
        <v>-21226.6097357273</v>
      </c>
      <c r="CD20">
        <v>-48991.9174637318</v>
      </c>
      <c r="CE20">
        <v>-91893.49073264599</v>
      </c>
      <c r="CF20">
        <v>-299747.523861941</v>
      </c>
      <c r="CG20">
        <v>-210944.627819357</v>
      </c>
      <c r="CH20">
        <v>-102788.342007387</v>
      </c>
      <c r="CI20">
        <v>-175997.558167083</v>
      </c>
      <c r="CJ20">
        <v>-315371.183102924</v>
      </c>
      <c r="CK20" t="s">
        <v>1900</v>
      </c>
      <c r="CL20" t="s">
        <v>1900</v>
      </c>
      <c r="CM20" t="s">
        <v>1900</v>
      </c>
      <c r="CN20" t="s">
        <v>1900</v>
      </c>
      <c r="CO20" t="s">
        <v>1900</v>
      </c>
      <c r="CP20" t="s">
        <v>1900</v>
      </c>
      <c r="CQ20" t="s">
        <v>1900</v>
      </c>
      <c r="CR20" t="s">
        <v>1900</v>
      </c>
      <c r="CS20" t="s">
        <v>1900</v>
      </c>
      <c r="CT20" t="s">
        <v>1900</v>
      </c>
      <c r="CU20" t="s">
        <v>1900</v>
      </c>
      <c r="CV20" t="s">
        <v>1900</v>
      </c>
      <c r="CW20" t="s">
        <v>1900</v>
      </c>
      <c r="CX20" t="s">
        <v>1900</v>
      </c>
      <c r="CY20" t="s">
        <v>1900</v>
      </c>
      <c r="CZ20">
        <v>-299747.523861941</v>
      </c>
      <c r="DA20">
        <v>-210944.627819357</v>
      </c>
      <c r="DB20">
        <v>-102788.342007387</v>
      </c>
      <c r="DC20">
        <v>-175997.558167083</v>
      </c>
      <c r="DD20">
        <v>-315371.183102924</v>
      </c>
      <c r="DE20" t="s">
        <v>1900</v>
      </c>
      <c r="DF20" t="s">
        <v>1900</v>
      </c>
      <c r="DG20" t="s">
        <v>1900</v>
      </c>
      <c r="DH20" t="s">
        <v>1900</v>
      </c>
      <c r="DI20" t="s">
        <v>1900</v>
      </c>
      <c r="DJ20">
        <v>1173277.50842338</v>
      </c>
      <c r="DK20">
        <v>1598724.75088802</v>
      </c>
      <c r="DL20">
        <v>1114295.17220654</v>
      </c>
      <c r="DM20">
        <v>1044199.49434662</v>
      </c>
      <c r="DN20">
        <v>769932.620141071</v>
      </c>
      <c r="DO20">
        <v>1550289.46637949</v>
      </c>
      <c r="DP20">
        <v>1410052.26996413</v>
      </c>
      <c r="DQ20">
        <v>1021073.51298718</v>
      </c>
      <c r="DR20">
        <v>889448.474822688</v>
      </c>
      <c r="DS20">
        <v>811224.045269185</v>
      </c>
      <c r="DT20">
        <v>374244.506192071</v>
      </c>
      <c r="DU20">
        <v>343335.952734957</v>
      </c>
      <c r="DV20">
        <v>251456.045028406</v>
      </c>
      <c r="DW20">
        <v>210778.921921706</v>
      </c>
      <c r="DX20">
        <v>147700.163034791</v>
      </c>
      <c r="DY20">
        <v>174989.953090405</v>
      </c>
      <c r="DZ20">
        <v>284696.757713407</v>
      </c>
      <c r="EA20">
        <v>165272.405461683</v>
      </c>
      <c r="EB20">
        <v>-28135.7057319403</v>
      </c>
      <c r="EC20">
        <v>98556.51721862559</v>
      </c>
      <c r="ED20">
        <v>74254.8356251371</v>
      </c>
      <c r="EE20">
        <v>79702.4039694595</v>
      </c>
      <c r="EF20">
        <v>49037.5514323711</v>
      </c>
      <c r="EG20">
        <v>53296.2856502295</v>
      </c>
      <c r="EH20">
        <v>38937.7750458479</v>
      </c>
      <c r="EI20" t="s">
        <v>1900</v>
      </c>
      <c r="EJ20" t="s">
        <v>1900</v>
      </c>
      <c r="EK20" t="s">
        <v>1900</v>
      </c>
      <c r="EL20" t="s">
        <v>1900</v>
      </c>
      <c r="EM20" t="s">
        <v>1900</v>
      </c>
      <c r="EN20">
        <v>74496.9812912308</v>
      </c>
      <c r="EO20">
        <v>132391.3249156</v>
      </c>
      <c r="EP20">
        <v>148667.70302102</v>
      </c>
      <c r="EQ20">
        <v>34781.3626220226</v>
      </c>
      <c r="ER20">
        <v>-167671.020068133</v>
      </c>
      <c r="ES20">
        <v>1573796.46863964</v>
      </c>
      <c r="ET20">
        <v>1561626.94493898</v>
      </c>
      <c r="EU20">
        <v>1197552.15770484</v>
      </c>
      <c r="EV20">
        <v>928534.205631208</v>
      </c>
      <c r="EW20">
        <v>590597.309514254</v>
      </c>
      <c r="EX20">
        <v>24235.5097852157</v>
      </c>
      <c r="EY20">
        <v>152168.027091141</v>
      </c>
      <c r="EZ20">
        <v>176478.644717664</v>
      </c>
      <c r="FA20">
        <v>39085.72967592</v>
      </c>
      <c r="FB20">
        <v>-220960.887165159</v>
      </c>
      <c r="FC20">
        <v>1849017.8505698</v>
      </c>
      <c r="FD20">
        <v>1746774.662131</v>
      </c>
      <c r="FE20">
        <v>1406774.93740826</v>
      </c>
      <c r="FF20">
        <v>1423010.12578154</v>
      </c>
      <c r="FG20">
        <v>1325356.91980212</v>
      </c>
      <c r="FH20">
        <v>1367631.59316861</v>
      </c>
      <c r="FI20">
        <v>1341953.32150216</v>
      </c>
      <c r="FJ20">
        <v>1176336.92858565</v>
      </c>
      <c r="FK20">
        <v>1176751.04950011</v>
      </c>
      <c r="FL20">
        <v>1093952.52181631</v>
      </c>
      <c r="FM20">
        <v>115087.639290763</v>
      </c>
      <c r="FN20">
        <v>142221.994977484</v>
      </c>
      <c r="FO20">
        <v>56068.0739572108</v>
      </c>
      <c r="FP20">
        <v>79998.8555831194</v>
      </c>
      <c r="FQ20">
        <v>113611.823065329</v>
      </c>
      <c r="FR20">
        <v>366298.618110429</v>
      </c>
      <c r="FS20">
        <v>262599.34565136</v>
      </c>
      <c r="FT20">
        <v>174369.934865397</v>
      </c>
      <c r="FU20">
        <v>166260.220698309</v>
      </c>
      <c r="FV20">
        <v>117792.574920475</v>
      </c>
      <c r="FW20">
        <v>1367631.59316861</v>
      </c>
      <c r="FX20">
        <v>1341953.32150216</v>
      </c>
      <c r="FY20">
        <v>1176336.92858565</v>
      </c>
      <c r="FZ20">
        <v>1176751.04950011</v>
      </c>
      <c r="GA20">
        <v>1093952.52181631</v>
      </c>
      <c r="GB20">
        <v>115087.639290763</v>
      </c>
      <c r="GC20">
        <v>142221.994977484</v>
      </c>
      <c r="GD20">
        <v>56068.0739572108</v>
      </c>
      <c r="GE20">
        <v>79998.8555831194</v>
      </c>
      <c r="GF20">
        <v>113611.823065329</v>
      </c>
      <c r="GG20">
        <v>366298.618110429</v>
      </c>
      <c r="GH20">
        <v>262599.34565136</v>
      </c>
      <c r="GI20">
        <v>174369.934865397</v>
      </c>
      <c r="GJ20">
        <v>166260.220698309</v>
      </c>
      <c r="GK20">
        <v>117792.574920475</v>
      </c>
      <c r="GL20">
        <v>1565662.28105511</v>
      </c>
      <c r="GM20">
        <v>1742590.05840301</v>
      </c>
      <c r="GN20">
        <v>1683655.42911032</v>
      </c>
      <c r="GO20">
        <v>1183875.6377562</v>
      </c>
      <c r="GP20">
        <v>1711268.4705985</v>
      </c>
      <c r="GQ20">
        <v>509901.057768252</v>
      </c>
      <c r="GR20">
        <v>372668.301398954</v>
      </c>
      <c r="GS20">
        <v>435650.769091988</v>
      </c>
      <c r="GT20">
        <v>395492.995839643</v>
      </c>
      <c r="GU20">
        <v>536383.915213484</v>
      </c>
      <c r="GV20">
        <v>818268.185675114</v>
      </c>
      <c r="GW20">
        <v>1122006.91764292</v>
      </c>
      <c r="GX20">
        <v>896602.07799508</v>
      </c>
      <c r="GY20">
        <v>574800.217105794</v>
      </c>
      <c r="GZ20">
        <v>645405.81016227</v>
      </c>
      <c r="HA20">
        <v>237493.037611744</v>
      </c>
      <c r="HB20">
        <v>247914.839361134</v>
      </c>
      <c r="HC20">
        <v>351402.582023257</v>
      </c>
      <c r="HD20">
        <v>213582.424810767</v>
      </c>
      <c r="HE20">
        <v>529478.745222747</v>
      </c>
      <c r="HF20">
        <v>209927.884926027</v>
      </c>
      <c r="HG20">
        <v>232421.461657896</v>
      </c>
      <c r="HH20">
        <v>328888.34138732</v>
      </c>
      <c r="HI20">
        <v>190460.638705945</v>
      </c>
      <c r="HJ20">
        <v>522745.430488896</v>
      </c>
      <c r="HK20">
        <v>3414680.13162491</v>
      </c>
      <c r="HL20">
        <v>3489364.72053401</v>
      </c>
      <c r="HM20">
        <v>3090430.36651859</v>
      </c>
      <c r="HN20">
        <v>2606885.76353774</v>
      </c>
      <c r="HO20">
        <v>3036625.39040062</v>
      </c>
      <c r="HP20">
        <v>1709435.05868166</v>
      </c>
      <c r="HQ20">
        <v>1649901.75490563</v>
      </c>
      <c r="HR20">
        <v>1414861.09477862</v>
      </c>
      <c r="HS20">
        <v>1246921.98110926</v>
      </c>
      <c r="HT20">
        <v>1112678.94063712</v>
      </c>
      <c r="HU20">
        <v>359698.188046217</v>
      </c>
      <c r="HV20">
        <v>356391.389944077</v>
      </c>
      <c r="HW20">
        <v>332006.82230711</v>
      </c>
      <c r="HX20">
        <v>314656.7522192</v>
      </c>
      <c r="HY20">
        <v>340910.273169279</v>
      </c>
      <c r="HZ20">
        <v>1349736.87063544</v>
      </c>
      <c r="IA20">
        <v>1293510.36385656</v>
      </c>
      <c r="IB20">
        <v>1082854.27247151</v>
      </c>
      <c r="IC20">
        <v>932265.228890061</v>
      </c>
      <c r="ID20">
        <v>771768.666240745</v>
      </c>
      <c r="IE20">
        <v>764469.344344294</v>
      </c>
      <c r="IF20">
        <v>723335.092623901</v>
      </c>
      <c r="IG20">
        <v>691257.795342803</v>
      </c>
      <c r="IH20">
        <v>594361.470276046</v>
      </c>
      <c r="II20">
        <v>1139639.99337166</v>
      </c>
      <c r="IJ20">
        <v>750137.4135077</v>
      </c>
      <c r="IK20">
        <v>679127.779784203</v>
      </c>
      <c r="IL20">
        <v>691257.795342803</v>
      </c>
      <c r="IM20">
        <v>594361.470276046</v>
      </c>
      <c r="IN20">
        <v>1139639.99337166</v>
      </c>
      <c r="IO20">
        <v>14331.9308365941</v>
      </c>
      <c r="IP20">
        <v>44207.3128396988</v>
      </c>
      <c r="IQ20">
        <v>0</v>
      </c>
      <c r="IR20">
        <v>0</v>
      </c>
      <c r="IS20">
        <v>0</v>
      </c>
      <c r="IT20" t="s">
        <v>1900</v>
      </c>
      <c r="IU20" t="s">
        <v>1900</v>
      </c>
      <c r="IV20">
        <v>0</v>
      </c>
      <c r="IW20">
        <v>0</v>
      </c>
      <c r="IX20">
        <v>0</v>
      </c>
      <c r="IY20">
        <v>940775.728598957</v>
      </c>
      <c r="IZ20">
        <v>1116127.87300447</v>
      </c>
      <c r="JA20">
        <v>984311.476397163</v>
      </c>
      <c r="JB20">
        <v>765602.312152433</v>
      </c>
      <c r="JC20">
        <v>784306.456391835</v>
      </c>
      <c r="JD20">
        <v>281021.214191262</v>
      </c>
      <c r="JE20">
        <v>181956.420509806</v>
      </c>
      <c r="JF20">
        <v>28383.7376198232</v>
      </c>
      <c r="JG20">
        <v>59153.1204041719</v>
      </c>
      <c r="JH20">
        <v>39854.0500927329</v>
      </c>
      <c r="JI20">
        <v>266135.269396491</v>
      </c>
      <c r="JJ20">
        <v>364935.353228502</v>
      </c>
      <c r="JK20">
        <v>129607.047532094</v>
      </c>
      <c r="JL20">
        <v>158224.093062758</v>
      </c>
      <c r="JM20">
        <v>143460.706749159</v>
      </c>
      <c r="JN20">
        <v>393619.245011205</v>
      </c>
      <c r="JO20">
        <v>569236.099266167</v>
      </c>
      <c r="JP20">
        <v>826320.691245246</v>
      </c>
      <c r="JQ20">
        <v>548225.098685503</v>
      </c>
      <c r="JR20">
        <v>600991.699549943</v>
      </c>
      <c r="JS20">
        <v>3414680.13162491</v>
      </c>
      <c r="JT20">
        <v>3489364.72053401</v>
      </c>
      <c r="JU20">
        <v>3090430.36651859</v>
      </c>
      <c r="JV20">
        <v>2606885.76353774</v>
      </c>
      <c r="JW20">
        <v>3036625.39040062</v>
      </c>
      <c r="JX20">
        <v>1062033.97404688</v>
      </c>
      <c r="JY20">
        <v>1129739.86470837</v>
      </c>
      <c r="JZ20">
        <v>1202645.79955497</v>
      </c>
      <c r="KA20">
        <v>812069.119882679</v>
      </c>
      <c r="KB20">
        <v>1038329.01862659</v>
      </c>
      <c r="KC20" t="s">
        <v>1900</v>
      </c>
      <c r="KD20" t="s">
        <v>1900</v>
      </c>
      <c r="KE20" t="s">
        <v>1900</v>
      </c>
      <c r="KF20" t="s">
        <v>1900</v>
      </c>
      <c r="KG20" t="s">
        <v>1900</v>
      </c>
      <c r="KH20" t="s">
        <v>1900</v>
      </c>
      <c r="KI20" t="s">
        <v>1900</v>
      </c>
      <c r="KJ20" t="s">
        <v>1900</v>
      </c>
      <c r="KK20" t="s">
        <v>1900</v>
      </c>
      <c r="KL20" t="s">
        <v>1900</v>
      </c>
      <c r="KM20">
        <v>29</v>
      </c>
      <c r="KN20">
        <v>28</v>
      </c>
      <c r="KO20">
        <v>23</v>
      </c>
      <c r="KP20">
        <v>18</v>
      </c>
      <c r="KQ20">
        <v>16</v>
      </c>
      <c r="KR20" t="s">
        <v>1900</v>
      </c>
      <c r="KS20" t="s">
        <v>1900</v>
      </c>
      <c r="KT20" t="s">
        <v>1900</v>
      </c>
      <c r="KU20" t="s">
        <v>1900</v>
      </c>
      <c r="KV20" t="s">
        <v>1900</v>
      </c>
      <c r="KW20" t="s">
        <v>1900</v>
      </c>
      <c r="KX20" t="s">
        <v>1900</v>
      </c>
      <c r="KY20" t="s">
        <v>1900</v>
      </c>
      <c r="KZ20" t="s">
        <v>1900</v>
      </c>
      <c r="LA20" t="s">
        <v>1900</v>
      </c>
      <c r="LB20" t="s">
        <v>1900</v>
      </c>
      <c r="LC20" t="s">
        <v>1900</v>
      </c>
      <c r="LD20" t="s">
        <v>1900</v>
      </c>
      <c r="LE20" t="s">
        <v>1900</v>
      </c>
      <c r="LF20" t="s">
        <v>1900</v>
      </c>
      <c r="LG20" t="s">
        <v>1900</v>
      </c>
      <c r="LH20" t="s">
        <v>1900</v>
      </c>
      <c r="LI20" t="s">
        <v>1900</v>
      </c>
      <c r="LJ20" t="s">
        <v>1900</v>
      </c>
      <c r="LK20" t="s">
        <v>1900</v>
      </c>
      <c r="LL20" t="s">
        <v>1900</v>
      </c>
      <c r="LM20" t="s">
        <v>1900</v>
      </c>
      <c r="LN20" t="s">
        <v>1900</v>
      </c>
      <c r="LO20" t="s">
        <v>1900</v>
      </c>
      <c r="LP20" t="s">
        <v>1900</v>
      </c>
      <c r="LQ20" t="s">
        <v>1900</v>
      </c>
      <c r="LR20" t="s">
        <v>1900</v>
      </c>
      <c r="LS20" t="s">
        <v>1900</v>
      </c>
      <c r="LT20" t="s">
        <v>1900</v>
      </c>
      <c r="LU20" t="s">
        <v>1900</v>
      </c>
      <c r="LV20" t="s">
        <v>1900</v>
      </c>
      <c r="LW20" t="s">
        <v>1900</v>
      </c>
      <c r="LX20" t="s">
        <v>1900</v>
      </c>
      <c r="LY20" t="s">
        <v>1900</v>
      </c>
      <c r="LZ20" t="s">
        <v>1900</v>
      </c>
      <c r="MA20" t="s">
        <v>1900</v>
      </c>
      <c r="MB20" t="s">
        <v>1900</v>
      </c>
      <c r="MC20" t="s">
        <v>1900</v>
      </c>
      <c r="MD20" t="s">
        <v>1900</v>
      </c>
      <c r="ME20" t="s">
        <v>1900</v>
      </c>
      <c r="MF20" t="s">
        <v>1900</v>
      </c>
      <c r="MG20" t="s">
        <v>1900</v>
      </c>
      <c r="MH20" t="s">
        <v>1900</v>
      </c>
      <c r="MI20" t="s">
        <v>1900</v>
      </c>
      <c r="MJ20" t="s">
        <v>1900</v>
      </c>
      <c r="MK20" t="s">
        <v>1900</v>
      </c>
      <c r="ML20" t="s">
        <v>1900</v>
      </c>
      <c r="MM20" t="s">
        <v>1900</v>
      </c>
      <c r="MN20" t="s">
        <v>1900</v>
      </c>
      <c r="MO20" t="s">
        <v>1900</v>
      </c>
      <c r="MP20">
        <v>237493.037611744</v>
      </c>
      <c r="MQ20">
        <v>247914.839361134</v>
      </c>
      <c r="MR20">
        <v>351402.582023257</v>
      </c>
      <c r="MS20">
        <v>213582.424810767</v>
      </c>
      <c r="MT20">
        <v>529478.745222747</v>
      </c>
      <c r="MU20" t="s">
        <v>1900</v>
      </c>
      <c r="MV20" t="s">
        <v>1900</v>
      </c>
      <c r="MW20" t="s">
        <v>1900</v>
      </c>
      <c r="MX20" t="s">
        <v>1900</v>
      </c>
      <c r="MY20" t="s">
        <v>1900</v>
      </c>
      <c r="MZ20" t="s">
        <v>1900</v>
      </c>
      <c r="NA20" t="s">
        <v>1900</v>
      </c>
      <c r="NB20" t="s">
        <v>1900</v>
      </c>
      <c r="NC20" t="s">
        <v>1900</v>
      </c>
      <c r="ND20" t="s">
        <v>1900</v>
      </c>
      <c r="NE20" t="s">
        <v>1900</v>
      </c>
      <c r="NF20" t="s">
        <v>1900</v>
      </c>
      <c r="NG20" t="s">
        <v>1900</v>
      </c>
      <c r="NH20" t="s">
        <v>1900</v>
      </c>
      <c r="NI20" t="s">
        <v>1900</v>
      </c>
      <c r="NJ20" t="s">
        <v>1900</v>
      </c>
      <c r="NK20" t="s">
        <v>1900</v>
      </c>
      <c r="NL20" t="s">
        <v>1900</v>
      </c>
      <c r="NM20" t="s">
        <v>1900</v>
      </c>
      <c r="NN20" t="s">
        <v>1900</v>
      </c>
      <c r="NO20" t="s">
        <v>1900</v>
      </c>
      <c r="NP20" t="s">
        <v>1900</v>
      </c>
      <c r="NQ20" t="s">
        <v>1900</v>
      </c>
      <c r="NR20" t="s">
        <v>1900</v>
      </c>
      <c r="NS20" t="s">
        <v>1900</v>
      </c>
      <c r="NT20">
        <v>1849017.8505698</v>
      </c>
      <c r="NU20">
        <v>1746774.662131</v>
      </c>
      <c r="NV20">
        <v>1406774.93740826</v>
      </c>
      <c r="NW20">
        <v>1423010.12578154</v>
      </c>
      <c r="NX20">
        <v>1325356.91980212</v>
      </c>
      <c r="NY20" t="s">
        <v>1900</v>
      </c>
      <c r="NZ20" t="s">
        <v>1900</v>
      </c>
      <c r="OA20" t="s">
        <v>1900</v>
      </c>
      <c r="OB20" t="s">
        <v>1900</v>
      </c>
      <c r="OC20" t="s">
        <v>1900</v>
      </c>
      <c r="OD20" t="s">
        <v>1900</v>
      </c>
      <c r="OE20" t="s">
        <v>1900</v>
      </c>
      <c r="OF20" t="s">
        <v>1900</v>
      </c>
      <c r="OG20" t="s">
        <v>1900</v>
      </c>
      <c r="OH20" t="s">
        <v>1900</v>
      </c>
      <c r="OI20" t="s">
        <v>1900</v>
      </c>
      <c r="OJ20" t="s">
        <v>1900</v>
      </c>
      <c r="OK20" t="s">
        <v>1900</v>
      </c>
      <c r="OL20" t="s">
        <v>1900</v>
      </c>
      <c r="OM20" t="s">
        <v>1900</v>
      </c>
      <c r="ON20" t="s">
        <v>1900</v>
      </c>
      <c r="OO20" t="s">
        <v>1900</v>
      </c>
      <c r="OP20" t="s">
        <v>1900</v>
      </c>
      <c r="OQ20" t="s">
        <v>1900</v>
      </c>
      <c r="OR20" t="s">
        <v>1900</v>
      </c>
      <c r="OS20" t="s">
        <v>1900</v>
      </c>
      <c r="OT20" t="s">
        <v>1900</v>
      </c>
      <c r="OU20" t="s">
        <v>1900</v>
      </c>
      <c r="OV20" t="s">
        <v>1900</v>
      </c>
      <c r="OW20" t="s">
        <v>1900</v>
      </c>
      <c r="OX20" t="s">
        <v>1900</v>
      </c>
      <c r="OY20" t="s">
        <v>1900</v>
      </c>
      <c r="OZ20" t="s">
        <v>1900</v>
      </c>
      <c r="PA20" t="s">
        <v>1900</v>
      </c>
      <c r="PB20" t="s">
        <v>1900</v>
      </c>
      <c r="PC20" t="s">
        <v>1900</v>
      </c>
      <c r="PD20" t="s">
        <v>1900</v>
      </c>
      <c r="PE20" t="s">
        <v>1900</v>
      </c>
      <c r="PF20" t="s">
        <v>1900</v>
      </c>
      <c r="PG20" t="s">
        <v>1900</v>
      </c>
      <c r="PH20" t="s">
        <v>1900</v>
      </c>
      <c r="PI20" t="s">
        <v>1900</v>
      </c>
      <c r="PJ20" t="s">
        <v>1900</v>
      </c>
      <c r="PK20" t="s">
        <v>1900</v>
      </c>
      <c r="PL20" t="s">
        <v>1900</v>
      </c>
      <c r="PM20" t="s">
        <v>1900</v>
      </c>
      <c r="PN20" t="s">
        <v>1900</v>
      </c>
      <c r="PO20" t="s">
        <v>1900</v>
      </c>
      <c r="PP20" t="s">
        <v>1900</v>
      </c>
      <c r="PQ20" t="s">
        <v>1900</v>
      </c>
      <c r="PR20" t="s">
        <v>1900</v>
      </c>
      <c r="PS20" t="s">
        <v>1900</v>
      </c>
      <c r="PT20" t="s">
        <v>1900</v>
      </c>
      <c r="PU20" t="s">
        <v>1900</v>
      </c>
      <c r="PV20" t="s">
        <v>1900</v>
      </c>
      <c r="PW20" t="s">
        <v>1900</v>
      </c>
      <c r="PX20" t="s">
        <v>1900</v>
      </c>
      <c r="PY20" t="s">
        <v>1900</v>
      </c>
      <c r="PZ20" t="s">
        <v>1900</v>
      </c>
      <c r="QA20" t="s">
        <v>1900</v>
      </c>
      <c r="QB20" t="s">
        <v>1900</v>
      </c>
      <c r="QC20" t="s">
        <v>1900</v>
      </c>
      <c r="QD20" t="s">
        <v>1900</v>
      </c>
      <c r="QE20" t="s">
        <v>1900</v>
      </c>
      <c r="QF20" t="s">
        <v>1900</v>
      </c>
      <c r="QG20" t="s">
        <v>1900</v>
      </c>
      <c r="QH20" t="s">
        <v>1900</v>
      </c>
      <c r="QI20" t="s">
        <v>1900</v>
      </c>
      <c r="QJ20" t="s">
        <v>1900</v>
      </c>
      <c r="QK20" t="s">
        <v>1900</v>
      </c>
      <c r="QL20" t="s">
        <v>1900</v>
      </c>
      <c r="QM20" t="s">
        <v>1900</v>
      </c>
      <c r="QN20" t="s">
        <v>1900</v>
      </c>
      <c r="QO20" t="s">
        <v>1900</v>
      </c>
      <c r="QP20" t="s">
        <v>1900</v>
      </c>
      <c r="QQ20" t="s">
        <v>1900</v>
      </c>
      <c r="QR20" t="s">
        <v>1900</v>
      </c>
      <c r="QS20" t="s">
        <v>1900</v>
      </c>
      <c r="QT20" t="s">
        <v>1900</v>
      </c>
      <c r="QU20" t="s">
        <v>1900</v>
      </c>
      <c r="QV20" t="s">
        <v>1900</v>
      </c>
      <c r="QW20" t="s">
        <v>1900</v>
      </c>
      <c r="QX20" t="s">
        <v>1900</v>
      </c>
      <c r="QY20" t="s">
        <v>1900</v>
      </c>
      <c r="QZ20" t="s">
        <v>1900</v>
      </c>
      <c r="RA20" t="s">
        <v>1900</v>
      </c>
      <c r="RB20" t="s">
        <v>1900</v>
      </c>
      <c r="RC20" t="s">
        <v>1900</v>
      </c>
      <c r="RD20" t="s">
        <v>1900</v>
      </c>
      <c r="RE20" t="s">
        <v>1900</v>
      </c>
      <c r="RF20" t="s">
        <v>1900</v>
      </c>
      <c r="RG20" t="s">
        <v>1900</v>
      </c>
      <c r="RH20" t="s">
        <v>1900</v>
      </c>
      <c r="RI20" t="s">
        <v>1900</v>
      </c>
      <c r="RJ20" t="s">
        <v>1900</v>
      </c>
      <c r="RK20" t="s">
        <v>1900</v>
      </c>
      <c r="RL20" t="s">
        <v>1900</v>
      </c>
      <c r="RM20" t="s">
        <v>1900</v>
      </c>
      <c r="RN20" t="s">
        <v>1900</v>
      </c>
      <c r="RO20" t="s">
        <v>1900</v>
      </c>
      <c r="RP20" t="s">
        <v>1900</v>
      </c>
      <c r="RQ20" t="s">
        <v>1900</v>
      </c>
      <c r="RR20" t="s">
        <v>1900</v>
      </c>
      <c r="RS20" t="s">
        <v>1900</v>
      </c>
      <c r="RT20" t="s">
        <v>1900</v>
      </c>
      <c r="RU20" t="s">
        <v>1900</v>
      </c>
      <c r="RV20" t="s">
        <v>1900</v>
      </c>
      <c r="RW20" t="s">
        <v>1900</v>
      </c>
      <c r="RX20" t="s">
        <v>1900</v>
      </c>
      <c r="RY20" t="s">
        <v>1900</v>
      </c>
      <c r="RZ20" t="s">
        <v>1900</v>
      </c>
      <c r="SA20" t="s">
        <v>1900</v>
      </c>
      <c r="SB20" t="s">
        <v>1900</v>
      </c>
      <c r="SC20" t="s">
        <v>1900</v>
      </c>
      <c r="SD20" t="s">
        <v>1900</v>
      </c>
      <c r="SE20" t="s">
        <v>1900</v>
      </c>
      <c r="SF20" t="s">
        <v>1900</v>
      </c>
      <c r="SG20" t="s">
        <v>1900</v>
      </c>
      <c r="SH20" t="s">
        <v>1900</v>
      </c>
      <c r="SI20" t="s">
        <v>1900</v>
      </c>
      <c r="SJ20">
        <v>366298.618110429</v>
      </c>
      <c r="SK20">
        <v>262599.34565136</v>
      </c>
      <c r="SL20">
        <v>174369.934865397</v>
      </c>
      <c r="SM20">
        <v>166260.220698309</v>
      </c>
      <c r="SN20">
        <v>117792.574920475</v>
      </c>
      <c r="SO20" t="s">
        <v>1900</v>
      </c>
      <c r="SP20" t="s">
        <v>1900</v>
      </c>
      <c r="SQ20" t="s">
        <v>1900</v>
      </c>
      <c r="SR20" t="s">
        <v>1900</v>
      </c>
      <c r="SS20" t="s">
        <v>1900</v>
      </c>
      <c r="ST20" t="s">
        <v>1900</v>
      </c>
      <c r="SU20" t="s">
        <v>1900</v>
      </c>
      <c r="SV20" t="s">
        <v>1900</v>
      </c>
      <c r="SW20" t="s">
        <v>1900</v>
      </c>
      <c r="SX20" t="s">
        <v>1900</v>
      </c>
      <c r="SY20" t="s">
        <v>1900</v>
      </c>
      <c r="SZ20" t="s">
        <v>1900</v>
      </c>
      <c r="TA20" t="s">
        <v>1900</v>
      </c>
      <c r="TB20" t="s">
        <v>1900</v>
      </c>
      <c r="TC20" t="s">
        <v>1900</v>
      </c>
      <c r="TD20" t="s">
        <v>1900</v>
      </c>
      <c r="TE20" t="s">
        <v>1900</v>
      </c>
      <c r="TF20" t="s">
        <v>1900</v>
      </c>
      <c r="TG20" t="s">
        <v>1900</v>
      </c>
      <c r="TH20" t="s">
        <v>1900</v>
      </c>
      <c r="TI20" t="s">
        <v>1900</v>
      </c>
      <c r="TJ20" t="s">
        <v>1900</v>
      </c>
      <c r="TK20" t="s">
        <v>1900</v>
      </c>
      <c r="TL20" t="s">
        <v>1900</v>
      </c>
      <c r="TM20" t="s">
        <v>1900</v>
      </c>
      <c r="TN20" t="s">
        <v>1900</v>
      </c>
      <c r="TO20" t="s">
        <v>1900</v>
      </c>
      <c r="TP20" t="s">
        <v>1900</v>
      </c>
      <c r="TQ20" t="s">
        <v>1900</v>
      </c>
      <c r="TR20" t="s">
        <v>1900</v>
      </c>
      <c r="TS20">
        <v>3414680.13162491</v>
      </c>
      <c r="TT20">
        <v>3489364.72053401</v>
      </c>
      <c r="TU20">
        <v>3090430.36651859</v>
      </c>
      <c r="TV20">
        <v>2606885.76353774</v>
      </c>
      <c r="TW20">
        <v>3036625.39040062</v>
      </c>
      <c r="TX20" t="s">
        <v>1900</v>
      </c>
      <c r="TY20" t="s">
        <v>1900</v>
      </c>
      <c r="TZ20" t="s">
        <v>1900</v>
      </c>
      <c r="UA20" t="s">
        <v>1900</v>
      </c>
      <c r="UB20" t="s">
        <v>1900</v>
      </c>
      <c r="UC20">
        <v>281021.214191262</v>
      </c>
      <c r="UD20">
        <v>181956.420509806</v>
      </c>
      <c r="UE20">
        <v>28383.7376198232</v>
      </c>
      <c r="UF20">
        <v>59153.1204041719</v>
      </c>
      <c r="UG20">
        <v>39854.0500927329</v>
      </c>
      <c r="UH20" t="s">
        <v>1900</v>
      </c>
      <c r="UI20" t="s">
        <v>1900</v>
      </c>
      <c r="UJ20" t="s">
        <v>1900</v>
      </c>
      <c r="UK20" t="s">
        <v>1900</v>
      </c>
      <c r="UL20" t="s">
        <v>1900</v>
      </c>
      <c r="UM20" t="s">
        <v>1900</v>
      </c>
      <c r="UN20" t="s">
        <v>1900</v>
      </c>
      <c r="UO20" t="s">
        <v>1900</v>
      </c>
      <c r="UP20" t="s">
        <v>1900</v>
      </c>
      <c r="UQ20" t="s">
        <v>1900</v>
      </c>
      <c r="UR20" t="s">
        <v>1900</v>
      </c>
      <c r="US20" t="s">
        <v>1900</v>
      </c>
      <c r="UT20" t="s">
        <v>1900</v>
      </c>
      <c r="UU20" t="s">
        <v>1900</v>
      </c>
      <c r="UV20" t="s">
        <v>1900</v>
      </c>
      <c r="UW20" t="s">
        <v>1900</v>
      </c>
      <c r="UX20" t="s">
        <v>1900</v>
      </c>
      <c r="UY20" t="s">
        <v>1900</v>
      </c>
      <c r="UZ20" t="s">
        <v>1900</v>
      </c>
      <c r="VA20" t="s">
        <v>1900</v>
      </c>
      <c r="VB20" t="s">
        <v>1900</v>
      </c>
      <c r="VC20" t="s">
        <v>1900</v>
      </c>
      <c r="VD20" t="s">
        <v>1900</v>
      </c>
      <c r="VE20" t="s">
        <v>1900</v>
      </c>
      <c r="VF20" t="s">
        <v>1900</v>
      </c>
      <c r="VG20" t="s">
        <v>1900</v>
      </c>
      <c r="VH20" t="s">
        <v>1900</v>
      </c>
      <c r="VI20" t="s">
        <v>1900</v>
      </c>
      <c r="VJ20" t="s">
        <v>1900</v>
      </c>
      <c r="VK20" t="s">
        <v>1900</v>
      </c>
      <c r="VL20" t="s">
        <v>1900</v>
      </c>
      <c r="VM20" t="s">
        <v>1900</v>
      </c>
      <c r="VN20" t="s">
        <v>1900</v>
      </c>
      <c r="VO20" t="s">
        <v>1900</v>
      </c>
      <c r="VP20" t="s">
        <v>1900</v>
      </c>
      <c r="VQ20" t="s">
        <v>1900</v>
      </c>
      <c r="VR20" t="s">
        <v>1900</v>
      </c>
      <c r="VS20" t="s">
        <v>1900</v>
      </c>
      <c r="VT20" t="s">
        <v>1900</v>
      </c>
      <c r="VU20" t="s">
        <v>1900</v>
      </c>
      <c r="VV20" t="s">
        <v>1900</v>
      </c>
      <c r="VW20" t="s">
        <v>1900</v>
      </c>
      <c r="VX20" t="s">
        <v>1900</v>
      </c>
      <c r="VY20" t="s">
        <v>1900</v>
      </c>
      <c r="VZ20" t="s">
        <v>1900</v>
      </c>
      <c r="WA20">
        <v>393619.245011205</v>
      </c>
      <c r="WB20">
        <v>569236.099266167</v>
      </c>
      <c r="WC20">
        <v>826320.691245246</v>
      </c>
      <c r="WD20">
        <v>548225.098685503</v>
      </c>
      <c r="WE20">
        <v>600991.699549943</v>
      </c>
      <c r="WF20" t="s">
        <v>1900</v>
      </c>
      <c r="WG20" t="s">
        <v>1900</v>
      </c>
      <c r="WH20" t="s">
        <v>1900</v>
      </c>
      <c r="WI20" t="s">
        <v>1900</v>
      </c>
      <c r="WJ20" t="s">
        <v>1900</v>
      </c>
      <c r="WK20" t="s">
        <v>1900</v>
      </c>
      <c r="WL20" t="s">
        <v>1900</v>
      </c>
      <c r="WM20" t="s">
        <v>1900</v>
      </c>
      <c r="WN20" t="s">
        <v>1900</v>
      </c>
      <c r="WO20" t="s">
        <v>1900</v>
      </c>
      <c r="WP20" t="s">
        <v>1900</v>
      </c>
      <c r="WQ20" t="s">
        <v>1900</v>
      </c>
      <c r="WR20" t="s">
        <v>1900</v>
      </c>
      <c r="WS20" t="s">
        <v>1900</v>
      </c>
      <c r="WT20" t="s">
        <v>1900</v>
      </c>
      <c r="WU20" t="s">
        <v>1900</v>
      </c>
      <c r="WV20" t="s">
        <v>1900</v>
      </c>
      <c r="WW20" t="s">
        <v>1900</v>
      </c>
      <c r="WX20" t="s">
        <v>1900</v>
      </c>
      <c r="WY20" t="s">
        <v>1900</v>
      </c>
      <c r="WZ20" t="s">
        <v>1900</v>
      </c>
      <c r="XA20" t="s">
        <v>1900</v>
      </c>
      <c r="XB20" t="s">
        <v>1900</v>
      </c>
      <c r="XC20" t="s">
        <v>1900</v>
      </c>
      <c r="XD20" t="s">
        <v>1900</v>
      </c>
      <c r="XE20" t="s">
        <v>1900</v>
      </c>
      <c r="XF20" t="s">
        <v>1900</v>
      </c>
      <c r="XG20" t="s">
        <v>1900</v>
      </c>
      <c r="XH20" t="s">
        <v>1900</v>
      </c>
      <c r="XI20" t="s">
        <v>1900</v>
      </c>
      <c r="XJ20">
        <v>14331.9308365941</v>
      </c>
      <c r="XK20">
        <v>44207.3128396988</v>
      </c>
      <c r="XL20">
        <v>0</v>
      </c>
      <c r="XM20">
        <v>0</v>
      </c>
      <c r="XN20">
        <v>0</v>
      </c>
      <c r="XO20" t="s">
        <v>1900</v>
      </c>
      <c r="XP20" t="s">
        <v>1900</v>
      </c>
      <c r="XQ20" t="s">
        <v>1900</v>
      </c>
      <c r="XR20" t="s">
        <v>1900</v>
      </c>
      <c r="XS20" t="s">
        <v>1900</v>
      </c>
      <c r="XT20" t="s">
        <v>1900</v>
      </c>
      <c r="XU20" t="s">
        <v>1900</v>
      </c>
      <c r="XV20" t="s">
        <v>1900</v>
      </c>
      <c r="XW20" t="s">
        <v>1900</v>
      </c>
      <c r="XX20" t="s">
        <v>1900</v>
      </c>
      <c r="XY20" t="s">
        <v>1900</v>
      </c>
      <c r="XZ20" t="s">
        <v>1900</v>
      </c>
      <c r="YA20">
        <v>0</v>
      </c>
      <c r="YB20">
        <v>0</v>
      </c>
      <c r="YC20">
        <v>0</v>
      </c>
      <c r="YD20" t="s">
        <v>1900</v>
      </c>
      <c r="YE20" t="s">
        <v>1900</v>
      </c>
      <c r="YF20" t="s">
        <v>1900</v>
      </c>
      <c r="YG20" t="s">
        <v>1900</v>
      </c>
      <c r="YH20" t="s">
        <v>1900</v>
      </c>
      <c r="YI20" t="s">
        <v>1900</v>
      </c>
      <c r="YJ20" t="s">
        <v>1900</v>
      </c>
      <c r="YK20" t="s">
        <v>1900</v>
      </c>
      <c r="YL20" t="s">
        <v>1900</v>
      </c>
      <c r="YM20" t="s">
        <v>1900</v>
      </c>
      <c r="YN20" t="s">
        <v>1900</v>
      </c>
      <c r="YO20" t="s">
        <v>1900</v>
      </c>
      <c r="YP20" t="s">
        <v>1900</v>
      </c>
      <c r="YQ20" t="s">
        <v>1900</v>
      </c>
      <c r="YR20" t="s">
        <v>1900</v>
      </c>
      <c r="YS20" t="s">
        <v>1900</v>
      </c>
      <c r="YT20" t="s">
        <v>1900</v>
      </c>
      <c r="YU20" t="s">
        <v>1900</v>
      </c>
      <c r="YV20" t="s">
        <v>1900</v>
      </c>
      <c r="YW20" t="s">
        <v>1900</v>
      </c>
      <c r="YX20" t="s">
        <v>1900</v>
      </c>
      <c r="YY20" t="s">
        <v>1900</v>
      </c>
      <c r="YZ20" t="s">
        <v>1900</v>
      </c>
      <c r="ZA20" t="s">
        <v>1900</v>
      </c>
      <c r="ZB20" t="s">
        <v>1900</v>
      </c>
      <c r="ZC20" t="s">
        <v>1900</v>
      </c>
      <c r="ZD20" t="s">
        <v>1900</v>
      </c>
      <c r="ZE20" t="s">
        <v>1900</v>
      </c>
      <c r="ZF20" t="s">
        <v>1900</v>
      </c>
      <c r="ZG20" t="s">
        <v>1900</v>
      </c>
      <c r="ZH20" t="s">
        <v>1900</v>
      </c>
      <c r="ZI20" t="s">
        <v>1900</v>
      </c>
      <c r="ZJ20" t="s">
        <v>1900</v>
      </c>
      <c r="ZK20" t="s">
        <v>1900</v>
      </c>
      <c r="ZL20" t="s">
        <v>1900</v>
      </c>
      <c r="ZM20" t="s">
        <v>1900</v>
      </c>
      <c r="ZN20" t="s">
        <v>1900</v>
      </c>
      <c r="ZO20" t="s">
        <v>1900</v>
      </c>
      <c r="ZP20" t="s">
        <v>1900</v>
      </c>
      <c r="ZQ20" t="s">
        <v>1900</v>
      </c>
      <c r="ZR20" t="s">
        <v>1900</v>
      </c>
      <c r="ZS20" t="s">
        <v>1900</v>
      </c>
      <c r="ZT20" t="s">
        <v>1900</v>
      </c>
      <c r="ZU20" t="s">
        <v>1900</v>
      </c>
      <c r="ZV20" t="s">
        <v>1900</v>
      </c>
      <c r="ZW20" t="s">
        <v>1900</v>
      </c>
      <c r="ZX20" t="s">
        <v>1900</v>
      </c>
      <c r="ZY20" t="s">
        <v>1900</v>
      </c>
      <c r="ZZ20" t="s">
        <v>1900</v>
      </c>
      <c r="AAA20" t="s">
        <v>1900</v>
      </c>
      <c r="AAB20" t="s">
        <v>1900</v>
      </c>
      <c r="AAC20" t="s">
        <v>1900</v>
      </c>
      <c r="AAD20" t="s">
        <v>1900</v>
      </c>
      <c r="AAE20" t="s">
        <v>1900</v>
      </c>
      <c r="AAF20" t="s">
        <v>1900</v>
      </c>
      <c r="AAG20" t="s">
        <v>1900</v>
      </c>
      <c r="AAH20" t="s">
        <v>1900</v>
      </c>
      <c r="AAI20" t="s">
        <v>1900</v>
      </c>
      <c r="AAJ20" t="s">
        <v>1900</v>
      </c>
      <c r="AAK20" t="s">
        <v>1900</v>
      </c>
      <c r="AAL20" t="s">
        <v>1900</v>
      </c>
      <c r="AAM20" t="s">
        <v>1900</v>
      </c>
      <c r="AAN20" t="s">
        <v>1900</v>
      </c>
      <c r="AAO20" t="s">
        <v>1900</v>
      </c>
      <c r="AAP20" t="s">
        <v>1900</v>
      </c>
      <c r="AAQ20" t="s">
        <v>1900</v>
      </c>
      <c r="AAR20" t="s">
        <v>1900</v>
      </c>
      <c r="AAS20" t="s">
        <v>1900</v>
      </c>
      <c r="AAT20" t="s">
        <v>1900</v>
      </c>
      <c r="AAU20" t="s">
        <v>1900</v>
      </c>
      <c r="AAV20" t="s">
        <v>1900</v>
      </c>
      <c r="AAW20" t="s">
        <v>1900</v>
      </c>
      <c r="AAX20" t="s">
        <v>1900</v>
      </c>
      <c r="AAY20" t="s">
        <v>1900</v>
      </c>
      <c r="AAZ20" t="s">
        <v>1900</v>
      </c>
      <c r="ABA20" t="s">
        <v>1900</v>
      </c>
      <c r="ABB20" t="s">
        <v>1900</v>
      </c>
      <c r="ABC20" t="s">
        <v>1900</v>
      </c>
      <c r="ABD20" t="s">
        <v>1900</v>
      </c>
      <c r="ABE20" t="s">
        <v>1900</v>
      </c>
      <c r="ABF20" t="s">
        <v>1900</v>
      </c>
      <c r="ABG20" t="s">
        <v>1900</v>
      </c>
      <c r="ABH20" t="s">
        <v>1900</v>
      </c>
      <c r="ABI20" t="s">
        <v>1900</v>
      </c>
      <c r="ABJ20" t="s">
        <v>1900</v>
      </c>
      <c r="ABK20" t="s">
        <v>1900</v>
      </c>
      <c r="ABL20" t="s">
        <v>1900</v>
      </c>
      <c r="ABM20" t="s">
        <v>1900</v>
      </c>
      <c r="ABN20" t="s">
        <v>1900</v>
      </c>
      <c r="ABO20" t="s">
        <v>1900</v>
      </c>
      <c r="ABP20" t="s">
        <v>1900</v>
      </c>
      <c r="ABQ20" t="s">
        <v>1900</v>
      </c>
      <c r="ABR20" t="s">
        <v>1900</v>
      </c>
      <c r="ABS20" t="s">
        <v>1900</v>
      </c>
      <c r="ABT20" t="s">
        <v>1900</v>
      </c>
      <c r="ABU20" t="s">
        <v>1900</v>
      </c>
      <c r="ABV20" t="s">
        <v>1900</v>
      </c>
      <c r="ABW20" t="s">
        <v>1900</v>
      </c>
      <c r="ABX20" t="s">
        <v>1900</v>
      </c>
      <c r="ABY20" t="s">
        <v>1900</v>
      </c>
      <c r="ABZ20" t="s">
        <v>1900</v>
      </c>
      <c r="ACA20" t="s">
        <v>1900</v>
      </c>
      <c r="ACB20" t="s">
        <v>1900</v>
      </c>
      <c r="ACC20" t="s">
        <v>1900</v>
      </c>
      <c r="ACD20" t="s">
        <v>1900</v>
      </c>
      <c r="ACE20">
        <v>-24.862</v>
      </c>
      <c r="ACF20">
        <v>-16.453</v>
      </c>
      <c r="ACG20">
        <v>-8.765000000000001</v>
      </c>
      <c r="ACH20">
        <v>-18.044</v>
      </c>
      <c r="ACI20">
        <v>-36.602</v>
      </c>
      <c r="ACJ20">
        <v>-14.177</v>
      </c>
      <c r="ACK20">
        <v>-8.08</v>
      </c>
      <c r="ACL20">
        <v>-3.56</v>
      </c>
      <c r="ACM20">
        <v>-9.324999999999999</v>
      </c>
      <c r="ACN20">
        <v>-16.353</v>
      </c>
      <c r="ACO20">
        <v>-12.446</v>
      </c>
      <c r="ACP20">
        <v>-7.78</v>
      </c>
      <c r="ACQ20">
        <v>-4.013</v>
      </c>
      <c r="ACR20">
        <v>-8.631</v>
      </c>
      <c r="ACS20">
        <v>-13.412</v>
      </c>
      <c r="ACT20">
        <v>-17.535</v>
      </c>
      <c r="ACU20">
        <v>-12.785</v>
      </c>
      <c r="ACV20">
        <v>-7.265</v>
      </c>
      <c r="ACW20">
        <v>-14.115</v>
      </c>
      <c r="ACX20">
        <v>-28.343</v>
      </c>
      <c r="ACY20">
        <v>-9.115</v>
      </c>
      <c r="ACZ20">
        <v>-5.53</v>
      </c>
      <c r="ADA20">
        <v>-2.552</v>
      </c>
      <c r="ADB20">
        <v>-6.664</v>
      </c>
      <c r="ADC20">
        <v>-12.273</v>
      </c>
      <c r="ADD20">
        <v>-8.778</v>
      </c>
      <c r="ADE20">
        <v>-6.045</v>
      </c>
      <c r="ADF20">
        <v>-3.326</v>
      </c>
      <c r="ADG20">
        <v>-6.751</v>
      </c>
      <c r="ADH20">
        <v>-10.386</v>
      </c>
      <c r="ADI20">
        <v>-15.458</v>
      </c>
      <c r="ADJ20">
        <v>-8.002000000000001</v>
      </c>
      <c r="ADK20">
        <v>-4.832</v>
      </c>
      <c r="ADL20">
        <v>-11.671</v>
      </c>
      <c r="ADM20">
        <v>-27.029</v>
      </c>
      <c r="ADN20">
        <v>63.635</v>
      </c>
      <c r="ADO20">
        <v>54.441</v>
      </c>
      <c r="ADP20">
        <v>53.102</v>
      </c>
      <c r="ADQ20">
        <v>46.709</v>
      </c>
      <c r="ADR20">
        <v>45.715</v>
      </c>
      <c r="ADS20">
        <v>-12.730803669</v>
      </c>
      <c r="ADT20">
        <v>-5.635038364</v>
      </c>
      <c r="ADU20">
        <v>-2.921442241</v>
      </c>
      <c r="ADV20">
        <v>-8.906653883000001</v>
      </c>
      <c r="ADW20">
        <v>-24.467131284</v>
      </c>
      <c r="ADX20">
        <v>0.882</v>
      </c>
      <c r="ADY20">
        <v>4.485</v>
      </c>
      <c r="ADZ20">
        <v>6.876</v>
      </c>
      <c r="AEA20">
        <v>2.028</v>
      </c>
      <c r="AEB20">
        <v>-14.665</v>
      </c>
      <c r="AEC20">
        <v>-12.731</v>
      </c>
      <c r="AED20">
        <v>-5.635</v>
      </c>
      <c r="AEE20">
        <v>-2.921</v>
      </c>
      <c r="AEF20">
        <v>-8.907</v>
      </c>
      <c r="AEG20">
        <v>-24.467</v>
      </c>
      <c r="AEH20">
        <v>2.71</v>
      </c>
      <c r="AEI20">
        <v>3.902</v>
      </c>
      <c r="AEJ20">
        <v>5.793</v>
      </c>
      <c r="AEK20">
        <v>1.804</v>
      </c>
      <c r="AEL20">
        <v>-11.128</v>
      </c>
      <c r="AEM20">
        <v>-11.293101136</v>
      </c>
      <c r="AEN20">
        <v>-5.334440591</v>
      </c>
      <c r="AEO20">
        <v>-2.838516618</v>
      </c>
      <c r="AEP20">
        <v>-8.178245833</v>
      </c>
      <c r="AEQ20">
        <v>-19.657503979</v>
      </c>
      <c r="AER20">
        <v>0.833291257</v>
      </c>
      <c r="AES20">
        <v>0.9062021810000001</v>
      </c>
      <c r="AET20">
        <v>0.947852763</v>
      </c>
      <c r="AEU20">
        <v>0.839852139</v>
      </c>
      <c r="AEV20">
        <v>0.651377996</v>
      </c>
      <c r="AEW20" t="s">
        <v>1900</v>
      </c>
      <c r="AEX20" t="s">
        <v>1900</v>
      </c>
      <c r="AEY20" t="s">
        <v>1900</v>
      </c>
      <c r="AEZ20" t="s">
        <v>1900</v>
      </c>
      <c r="AFA20" t="s">
        <v>1900</v>
      </c>
      <c r="AFB20" t="s">
        <v>1900</v>
      </c>
      <c r="AFC20" t="s">
        <v>1900</v>
      </c>
      <c r="AFD20" t="s">
        <v>1900</v>
      </c>
      <c r="AFE20" t="s">
        <v>1900</v>
      </c>
      <c r="AFF20" t="s">
        <v>1900</v>
      </c>
      <c r="AFG20">
        <v>1.111</v>
      </c>
      <c r="AFH20">
        <v>1.429</v>
      </c>
      <c r="AFI20">
        <v>1.219</v>
      </c>
      <c r="AFJ20">
        <v>1.047</v>
      </c>
      <c r="AFK20">
        <v>0.669</v>
      </c>
      <c r="AFL20">
        <v>-4.714</v>
      </c>
      <c r="AFM20">
        <v>-2.399</v>
      </c>
      <c r="AFN20">
        <v>-1.529</v>
      </c>
      <c r="AFO20">
        <v>-3.221</v>
      </c>
      <c r="AFP20">
        <v>-9.468</v>
      </c>
      <c r="AFQ20">
        <v>5.392</v>
      </c>
      <c r="AFR20">
        <v>9.103</v>
      </c>
      <c r="AFS20">
        <v>5.891</v>
      </c>
      <c r="AFT20">
        <v>4.874</v>
      </c>
      <c r="AFU20">
        <v>2.809</v>
      </c>
      <c r="AFV20">
        <v>107.146</v>
      </c>
      <c r="AFW20">
        <v>119.064</v>
      </c>
      <c r="AFX20">
        <v>125.768</v>
      </c>
      <c r="AFY20">
        <v>107.345</v>
      </c>
      <c r="AFZ20">
        <v>154.202</v>
      </c>
      <c r="AGA20">
        <v>34.848</v>
      </c>
      <c r="AGB20">
        <v>38.726</v>
      </c>
      <c r="AGC20">
        <v>18.18</v>
      </c>
      <c r="AGD20">
        <v>29.549</v>
      </c>
      <c r="AGE20">
        <v>34.276</v>
      </c>
      <c r="AGF20" t="s">
        <v>1900</v>
      </c>
      <c r="AGG20" t="s">
        <v>1900</v>
      </c>
      <c r="AGH20" t="s">
        <v>1900</v>
      </c>
      <c r="AGI20" t="s">
        <v>1900</v>
      </c>
      <c r="AGJ20" t="s">
        <v>1900</v>
      </c>
      <c r="AGK20" t="s">
        <v>1900</v>
      </c>
      <c r="AGL20" t="s">
        <v>1900</v>
      </c>
      <c r="AGM20" t="s">
        <v>1900</v>
      </c>
      <c r="AGN20" t="s">
        <v>1900</v>
      </c>
      <c r="AGO20" t="s">
        <v>1900</v>
      </c>
      <c r="AGP20" t="s">
        <v>1900</v>
      </c>
      <c r="AGQ20" t="s">
        <v>1900</v>
      </c>
      <c r="AGR20" t="s">
        <v>1900</v>
      </c>
      <c r="AGS20" t="s">
        <v>1900</v>
      </c>
      <c r="AGT20" t="s">
        <v>1900</v>
      </c>
      <c r="AGU20">
        <v>0</v>
      </c>
      <c r="AGV20">
        <v>0</v>
      </c>
      <c r="AGW20">
        <v>0</v>
      </c>
      <c r="AGX20">
        <v>0</v>
      </c>
      <c r="AGY20">
        <v>0</v>
      </c>
      <c r="AGZ20">
        <v>1.664</v>
      </c>
      <c r="AHA20">
        <v>1.561</v>
      </c>
      <c r="AHB20">
        <v>1.71</v>
      </c>
      <c r="AHC20">
        <v>1.546</v>
      </c>
      <c r="AHD20">
        <v>2.182</v>
      </c>
      <c r="AHE20">
        <v>1.122</v>
      </c>
      <c r="AHF20">
        <v>1.227</v>
      </c>
      <c r="AHG20">
        <v>1.268</v>
      </c>
      <c r="AHH20">
        <v>1.03</v>
      </c>
      <c r="AHI20">
        <v>1.498</v>
      </c>
      <c r="AHJ20">
        <v>2.236</v>
      </c>
      <c r="AHK20">
        <v>2.281</v>
      </c>
      <c r="AHL20">
        <v>2.047</v>
      </c>
      <c r="AHM20">
        <v>2.098</v>
      </c>
      <c r="AHN20">
        <v>0.976</v>
      </c>
      <c r="AHO20">
        <v>50.061</v>
      </c>
      <c r="AHP20">
        <v>47.284</v>
      </c>
      <c r="AHQ20">
        <v>45.782</v>
      </c>
      <c r="AHR20">
        <v>47.832</v>
      </c>
      <c r="AHS20">
        <v>36.642</v>
      </c>
      <c r="AHT20" t="s">
        <v>1901</v>
      </c>
      <c r="AHU20">
        <v>89.69499999999999</v>
      </c>
      <c r="AHV20">
        <v>84.441</v>
      </c>
      <c r="AHW20">
        <v>91.688</v>
      </c>
      <c r="AHX20">
        <v>57.833</v>
      </c>
      <c r="AHY20">
        <v>61.16</v>
      </c>
      <c r="AHZ20">
        <v>54.869</v>
      </c>
      <c r="AIA20">
        <v>50.863</v>
      </c>
      <c r="AIB20">
        <v>52.41</v>
      </c>
      <c r="AIC20">
        <v>106.005</v>
      </c>
      <c r="AID20">
        <v>10.727172209</v>
      </c>
      <c r="AIE20">
        <v>7.525706445</v>
      </c>
      <c r="AIF20">
        <v>5.642254126</v>
      </c>
      <c r="AIG20">
        <v>6.377733272</v>
      </c>
      <c r="AIH20">
        <v>3.87906178</v>
      </c>
      <c r="AII20">
        <v>6.95505958</v>
      </c>
      <c r="AIJ20">
        <v>7.104870348</v>
      </c>
      <c r="AIK20">
        <v>11.370668171</v>
      </c>
      <c r="AIL20">
        <v>8.193010517999999</v>
      </c>
      <c r="AIM20">
        <v>17.436419616</v>
      </c>
      <c r="AIN20">
        <v>11.527265508</v>
      </c>
      <c r="AIO20">
        <v>16.313459465</v>
      </c>
      <c r="AIP20">
        <v>26.738045943</v>
      </c>
      <c r="AIQ20">
        <v>21.029885788</v>
      </c>
      <c r="AIR20">
        <v>19.791433657</v>
      </c>
      <c r="AIS20">
        <v>51.000662716</v>
      </c>
      <c r="AIT20">
        <v>24.112035898</v>
      </c>
      <c r="AIU20">
        <v>36.194831665</v>
      </c>
      <c r="AIV20">
        <v>38.498398</v>
      </c>
      <c r="AIW20">
        <v>65.577356115</v>
      </c>
      <c r="AIX20">
        <v>-14.6549080814676</v>
      </c>
      <c r="AIY20">
        <v>-9.69513180605602</v>
      </c>
      <c r="AIZ20">
        <v>-5.39195479460478</v>
      </c>
      <c r="AJA20">
        <v>-12.4994155015898</v>
      </c>
      <c r="AJB20">
        <v>-25.4540422681105</v>
      </c>
      <c r="AJC20">
        <v>94.803722083004</v>
      </c>
      <c r="AJD20">
        <v>121.160238000226</v>
      </c>
      <c r="AJE20">
        <v>111.584851437127</v>
      </c>
      <c r="AJF20">
        <v>107.094210170038</v>
      </c>
      <c r="AJG20">
        <v>94.1725258149111</v>
      </c>
      <c r="AJH20">
        <v>56.388</v>
      </c>
      <c r="AJI20">
        <v>41.564</v>
      </c>
      <c r="AJJ20">
        <v>39.785</v>
      </c>
      <c r="AJK20">
        <v>46.141</v>
      </c>
      <c r="AJL20">
        <v>53.839</v>
      </c>
      <c r="AJM20">
        <v>53.4582578554271</v>
      </c>
      <c r="AJN20">
        <v>50.3590097205048</v>
      </c>
      <c r="AJO20">
        <v>44.3945009356511</v>
      </c>
      <c r="AJP20">
        <v>49.4138042826605</v>
      </c>
      <c r="AJQ20">
        <v>50.7015023691618</v>
      </c>
      <c r="AJR20">
        <v>58.9460369003295</v>
      </c>
      <c r="AJS20">
        <v>58.9250630698442</v>
      </c>
      <c r="AJT20">
        <v>61.5156999121052</v>
      </c>
      <c r="AJU20">
        <v>69.27344326911449</v>
      </c>
      <c r="AJV20">
        <v>69.5424340965951</v>
      </c>
      <c r="AJW20">
        <v>36.6218612456784</v>
      </c>
      <c r="AJX20">
        <v>40.3478521926203</v>
      </c>
      <c r="AJY20">
        <v>52.2889477139902</v>
      </c>
      <c r="AJZ20">
        <v>45.1149507270598</v>
      </c>
      <c r="AKA20">
        <v>64.8955636641622</v>
      </c>
      <c r="AKB20">
        <v>117.747590924807</v>
      </c>
      <c r="AKC20">
        <v>124.620168038</v>
      </c>
      <c r="AKD20">
        <v>134.366537628347</v>
      </c>
      <c r="AKE20">
        <v>144.826986485674</v>
      </c>
      <c r="AKF20">
        <v>189.789087360201</v>
      </c>
      <c r="AKG20">
        <v>51.000662716</v>
      </c>
      <c r="AKH20">
        <v>24.112035898</v>
      </c>
      <c r="AKI20">
        <v>36.194831665</v>
      </c>
      <c r="AKJ20">
        <v>38.498398</v>
      </c>
      <c r="AKK20">
        <v>65.577356115</v>
      </c>
      <c r="AKL20">
        <v>18.54652407</v>
      </c>
      <c r="AKM20">
        <v>10.9851073</v>
      </c>
      <c r="AKN20">
        <v>16.974829136</v>
      </c>
      <c r="AKO20">
        <v>20.516359468</v>
      </c>
      <c r="AKP20">
        <v>35.598487188</v>
      </c>
      <c r="AKQ20">
        <v>14.932615592</v>
      </c>
      <c r="AKR20">
        <v>10.680118911</v>
      </c>
      <c r="AKS20">
        <v>14.096767033</v>
      </c>
      <c r="AKT20">
        <v>15.171090401</v>
      </c>
      <c r="AKU20">
        <v>17.663815791</v>
      </c>
      <c r="AKV20">
        <v>49.744576669</v>
      </c>
      <c r="AKW20">
        <v>39.556627632</v>
      </c>
      <c r="AKX20">
        <v>45.835150046</v>
      </c>
      <c r="AKY20">
        <v>61.044437676</v>
      </c>
      <c r="AKZ20">
        <v>72.602950476</v>
      </c>
      <c r="ALA20">
        <v>40.051528707</v>
      </c>
      <c r="ALB20">
        <v>38.458385092</v>
      </c>
      <c r="ALC20">
        <v>38.063854838</v>
      </c>
      <c r="ALD20">
        <v>45.140108015</v>
      </c>
      <c r="ALE20">
        <v>36.025270857</v>
      </c>
      <c r="ALF20">
        <v>4.18605853</v>
      </c>
      <c r="ALG20">
        <v>4.192263923</v>
      </c>
      <c r="ALH20">
        <v>2.184653495</v>
      </c>
      <c r="ALI20">
        <v>4.14997306</v>
      </c>
      <c r="ALJ20">
        <v>7.540138533</v>
      </c>
      <c r="ALK20">
        <v>3.370378333</v>
      </c>
      <c r="ALL20">
        <v>4.075870721</v>
      </c>
      <c r="ALM20">
        <v>1.814248092</v>
      </c>
      <c r="ALN20">
        <v>3.068751869</v>
      </c>
      <c r="ALO20">
        <v>3.741384216</v>
      </c>
      <c r="ALP20">
        <v>29.762696841</v>
      </c>
      <c r="ALQ20">
        <v>33.073288862</v>
      </c>
      <c r="ALR20">
        <v>34.935476204</v>
      </c>
      <c r="ALS20">
        <v>29.817994252</v>
      </c>
      <c r="ALT20">
        <v>42.83400343</v>
      </c>
      <c r="ALU20">
        <v>32.524210773</v>
      </c>
      <c r="ALV20">
        <v>32.525232019</v>
      </c>
      <c r="ALW20">
        <v>14.455358817</v>
      </c>
      <c r="ALX20">
        <v>27.526797721</v>
      </c>
      <c r="ALY20">
        <v>22.227985012</v>
      </c>
      <c r="ALZ20">
        <v>63.6347390755199</v>
      </c>
      <c r="AMA20">
        <v>54.4413945514764</v>
      </c>
      <c r="AMB20">
        <v>53.1015110303243</v>
      </c>
      <c r="AMC20">
        <v>46.7085371493479</v>
      </c>
      <c r="AMD20">
        <v>45.7152752865751</v>
      </c>
      <c r="AME20">
        <v>67.1494980311172</v>
      </c>
      <c r="AMF20">
        <v>56.1451507614962</v>
      </c>
      <c r="AMG20">
        <v>54.6546134109882</v>
      </c>
      <c r="AMH20">
        <v>47.2496884501676</v>
      </c>
      <c r="AMI20">
        <v>46.1574515486166</v>
      </c>
      <c r="AMJ20">
        <v>174.987714807466</v>
      </c>
      <c r="AMK20">
        <v>119.497500012351</v>
      </c>
      <c r="AML20">
        <v>113.226485963459</v>
      </c>
      <c r="AMM20">
        <v>87.647316569724</v>
      </c>
      <c r="AMN20">
        <v>84.21388447025291</v>
      </c>
      <c r="AMO20">
        <v>0.833291256608281</v>
      </c>
      <c r="AMP20">
        <v>0.906202181274366</v>
      </c>
      <c r="AMQ20">
        <v>0.9478527626476509</v>
      </c>
      <c r="AMR20">
        <v>0.839852138998444</v>
      </c>
      <c r="AMS20">
        <v>0.651377994388637</v>
      </c>
      <c r="AMT20">
        <v>0.833291256608281</v>
      </c>
      <c r="AMU20">
        <v>0.906202181274366</v>
      </c>
      <c r="AMV20">
        <v>0.9478527626476509</v>
      </c>
      <c r="AMW20">
        <v>0.839852138998444</v>
      </c>
      <c r="AMX20">
        <v>0.651377995549035</v>
      </c>
      <c r="AMY20">
        <v>0.81827526917142</v>
      </c>
      <c r="AMZ20">
        <v>0.903690336632345</v>
      </c>
      <c r="ANA20">
        <v>0.950903188483584</v>
      </c>
      <c r="ANB20">
        <v>0.8372868619673191</v>
      </c>
      <c r="ANC20">
        <v>0.666517622455866</v>
      </c>
      <c r="AND20">
        <v>-12.7308036694387</v>
      </c>
      <c r="ANE20">
        <v>-5.63503836431846</v>
      </c>
      <c r="ANF20">
        <v>-2.92144224144238</v>
      </c>
      <c r="ANG20">
        <v>-8.90665388302792</v>
      </c>
      <c r="ANH20">
        <v>-24.4671312843348</v>
      </c>
      <c r="ANI20">
        <v>-13.433968432258</v>
      </c>
      <c r="ANJ20">
        <v>-5.81138821145233</v>
      </c>
      <c r="ANK20">
        <v>-3.00688800018106</v>
      </c>
      <c r="ANL20">
        <v>-9.009843741433031</v>
      </c>
      <c r="ANM20">
        <v>-24.7037870757823</v>
      </c>
      <c r="ANN20">
        <v>-11.2931011356659</v>
      </c>
      <c r="ANO20">
        <v>-5.33444059052083</v>
      </c>
      <c r="ANP20">
        <v>-2.83851661793564</v>
      </c>
      <c r="ANQ20">
        <v>-8.17824583298114</v>
      </c>
      <c r="ANR20">
        <v>-19.6575039786541</v>
      </c>
      <c r="ANS20">
        <v>-14.1480404392281</v>
      </c>
      <c r="ANT20">
        <v>-8.05515580304662</v>
      </c>
      <c r="ANU20">
        <v>-3.55997947990582</v>
      </c>
      <c r="ANV20">
        <v>-9.32464748890296</v>
      </c>
      <c r="ANW20">
        <v>-16.368066024459</v>
      </c>
      <c r="ANX20">
        <v>57.3246236320196</v>
      </c>
      <c r="ANY20">
        <v>52.8745459004205</v>
      </c>
      <c r="ANZ20">
        <v>56.5822638284636</v>
      </c>
      <c r="AOA20">
        <v>45.8317279754733</v>
      </c>
      <c r="AOB20">
        <v>48.9014570786192</v>
      </c>
      <c r="AOC20">
        <v>56.4484036343044</v>
      </c>
      <c r="AOD20">
        <v>51.5372507024768</v>
      </c>
      <c r="AOE20">
        <v>51.5942158153536</v>
      </c>
      <c r="AOF20">
        <v>42.8885981562849</v>
      </c>
      <c r="AOG20">
        <v>36.7287932282639</v>
      </c>
      <c r="AOH20">
        <v>51.235104397948</v>
      </c>
      <c r="AOI20">
        <v>52.929894229888</v>
      </c>
      <c r="AOJ20">
        <v>44.0982129543454</v>
      </c>
      <c r="AOK20">
        <v>34.5392388302186</v>
      </c>
      <c r="AOL20">
        <v>22.6837224068879</v>
      </c>
      <c r="AOM20">
        <v>-35.0081460872144</v>
      </c>
      <c r="AON20">
        <v>-12.3687683344159</v>
      </c>
      <c r="AOO20">
        <v>-6.22928863087969</v>
      </c>
      <c r="AOP20">
        <v>-16.713097007655</v>
      </c>
      <c r="AOQ20">
        <v>-45.0718529940159</v>
      </c>
      <c r="AOR20">
        <v>-16.6708743391719</v>
      </c>
      <c r="AOS20">
        <v>-9.37978187256344</v>
      </c>
      <c r="AOT20">
        <v>-5.21472373523491</v>
      </c>
      <c r="AOU20">
        <v>-16.0147861001556</v>
      </c>
      <c r="AOV20">
        <v>-34.8622004450965</v>
      </c>
      <c r="AOW20">
        <v>-10.2501253961202</v>
      </c>
      <c r="AOX20">
        <v>-5.47858825186264</v>
      </c>
      <c r="AOY20">
        <v>-2.42611518198373</v>
      </c>
      <c r="AOZ20">
        <v>-6.58614172951657</v>
      </c>
      <c r="APA20">
        <v>-12.1404850056698</v>
      </c>
      <c r="APB20">
        <v>-10.902653723728</v>
      </c>
      <c r="APC20">
        <v>-6.21799429222089</v>
      </c>
      <c r="APD20">
        <v>-4.00507623662139</v>
      </c>
      <c r="APE20">
        <v>-9.12994466867881</v>
      </c>
      <c r="APF20">
        <v>-20.9304132782408</v>
      </c>
      <c r="APG20">
        <v>-11.5048436654479</v>
      </c>
      <c r="APH20">
        <v>-6.4125878818326</v>
      </c>
      <c r="API20">
        <v>-4.12221590585388</v>
      </c>
      <c r="APJ20">
        <v>-9.235721508104749</v>
      </c>
      <c r="APK20">
        <v>-21.1328605313381</v>
      </c>
      <c r="APL20">
        <v>-29.9809583282508</v>
      </c>
      <c r="APM20">
        <v>-13.6483420223355</v>
      </c>
      <c r="APN20">
        <v>-8.53988331950533</v>
      </c>
      <c r="APO20">
        <v>-17.1320961750764</v>
      </c>
      <c r="APP20">
        <v>-38.5567273669254</v>
      </c>
      <c r="APQ20">
        <v>-14.2769282215935</v>
      </c>
      <c r="APR20">
        <v>-10.3501389653681</v>
      </c>
      <c r="APS20">
        <v>-7.14899162347407</v>
      </c>
      <c r="APT20">
        <v>-16.416278536855</v>
      </c>
      <c r="APU20">
        <v>-29.8228776649398</v>
      </c>
      <c r="APV20">
        <v>-9.67140601223598</v>
      </c>
      <c r="APW20">
        <v>-5.88629908078039</v>
      </c>
      <c r="APX20">
        <v>-3.8913914820839</v>
      </c>
      <c r="APY20">
        <v>-8.383275349259099</v>
      </c>
      <c r="APZ20">
        <v>-16.8160164553218</v>
      </c>
      <c r="AQA20">
        <v>-8.77820212458094</v>
      </c>
      <c r="AQB20">
        <v>-6.04535910442386</v>
      </c>
      <c r="AQC20">
        <v>-3.32602032134376</v>
      </c>
      <c r="AQD20">
        <v>-6.75125702202774</v>
      </c>
      <c r="AQE20">
        <v>-10.3855807864834</v>
      </c>
      <c r="AQF20">
        <v>-0.18172473082858</v>
      </c>
      <c r="AQG20">
        <v>-0.0963096633676551</v>
      </c>
      <c r="AQH20">
        <v>-0.0490968115164158</v>
      </c>
      <c r="AQI20">
        <v>-0.162713138032681</v>
      </c>
      <c r="AQJ20">
        <v>-0.333482377544134</v>
      </c>
      <c r="AQK20">
        <v>14</v>
      </c>
      <c r="AQO20" t="s">
        <v>1903</v>
      </c>
      <c r="AQP20">
        <v>6</v>
      </c>
      <c r="AQQ20">
        <v>0</v>
      </c>
      <c r="AQS20" t="s">
        <v>1905</v>
      </c>
      <c r="AQU20" t="s">
        <v>1906</v>
      </c>
      <c r="AQV20">
        <v>2749307.93417372</v>
      </c>
      <c r="AQW20">
        <v>3392486.67505633</v>
      </c>
      <c r="AQX20">
        <v>2566451.57132133</v>
      </c>
      <c r="AQY20">
        <v>-350008.995367956</v>
      </c>
      <c r="AQZ20">
        <v>-191167.925643816</v>
      </c>
      <c r="ARA20">
        <v>-74977.4003107428</v>
      </c>
      <c r="ARB20">
        <v>8708246.18055138</v>
      </c>
      <c r="ARC20">
        <v>-616154.3213225148</v>
      </c>
      <c r="ARD20">
        <v>-0.06607977866230523</v>
      </c>
      <c r="ARE20">
        <v>-0.06607977866230523</v>
      </c>
      <c r="ARF20">
        <v>-0.06607977866230523</v>
      </c>
      <c r="ARG20" t="s">
        <v>1907</v>
      </c>
      <c r="ARH20" t="s">
        <v>1907</v>
      </c>
      <c r="ARI20" t="s">
        <v>1907</v>
      </c>
      <c r="ARJ20" t="s">
        <v>1181</v>
      </c>
      <c r="ARK20" t="s">
        <v>1519</v>
      </c>
      <c r="ARL20" t="s">
        <v>1909</v>
      </c>
      <c r="ARP20" t="s">
        <v>1907</v>
      </c>
      <c r="ARQ20" t="s">
        <v>1925</v>
      </c>
    </row>
    <row r="21" spans="1:1163">
      <c r="A21">
        <v>529</v>
      </c>
      <c r="B21" t="s">
        <v>1182</v>
      </c>
      <c r="C21" t="s">
        <v>1305</v>
      </c>
      <c r="E21" s="2">
        <v>41724</v>
      </c>
      <c r="F21" t="s">
        <v>1431</v>
      </c>
      <c r="G21" t="s">
        <v>1433</v>
      </c>
      <c r="H21" t="s">
        <v>1434</v>
      </c>
      <c r="I21" t="s">
        <v>1443</v>
      </c>
      <c r="J21" t="s">
        <v>1462</v>
      </c>
      <c r="L21" t="s">
        <v>1520</v>
      </c>
      <c r="N21" t="s">
        <v>1624</v>
      </c>
      <c r="O21" t="s">
        <v>1648</v>
      </c>
      <c r="P21">
        <v>6209</v>
      </c>
      <c r="Q21">
        <v>6209</v>
      </c>
      <c r="R21" t="s">
        <v>1691</v>
      </c>
      <c r="S21" t="s">
        <v>1800</v>
      </c>
      <c r="T21" t="s">
        <v>1853</v>
      </c>
      <c r="U21" t="s">
        <v>1873</v>
      </c>
      <c r="X21" t="s">
        <v>1880</v>
      </c>
      <c r="Z21" t="s">
        <v>1899</v>
      </c>
      <c r="AA21" s="2">
        <v>45291</v>
      </c>
      <c r="AB21">
        <v>2023</v>
      </c>
      <c r="AC21" t="s">
        <v>1900</v>
      </c>
      <c r="AD21">
        <v>1270341.20076352</v>
      </c>
      <c r="AE21">
        <v>1695963.67789097</v>
      </c>
      <c r="AF21">
        <v>1585175.96239035</v>
      </c>
      <c r="AG21">
        <v>1354616.95534513</v>
      </c>
      <c r="AH21" t="s">
        <v>1900</v>
      </c>
      <c r="AI21">
        <v>1206274.46541116</v>
      </c>
      <c r="AJ21">
        <v>1684885.97560592</v>
      </c>
      <c r="AK21">
        <v>1416848.90469496</v>
      </c>
      <c r="AL21">
        <v>1342247.79440687</v>
      </c>
      <c r="AM21" t="s">
        <v>1900</v>
      </c>
      <c r="AN21">
        <v>172097.572935276</v>
      </c>
      <c r="AO21">
        <v>148471.03274138</v>
      </c>
      <c r="AP21">
        <v>187904.11063993</v>
      </c>
      <c r="AQ21">
        <v>136107.19148739</v>
      </c>
      <c r="AR21" t="s">
        <v>1900</v>
      </c>
      <c r="AS21">
        <v>1098243.62782825</v>
      </c>
      <c r="AT21">
        <v>1547492.64514959</v>
      </c>
      <c r="AU21">
        <v>1397271.85061782</v>
      </c>
      <c r="AV21">
        <v>1218509.76385774</v>
      </c>
      <c r="AW21" t="s">
        <v>1900</v>
      </c>
      <c r="AX21">
        <v>1020544.866008</v>
      </c>
      <c r="AY21">
        <v>1613812.59607208</v>
      </c>
      <c r="AZ21">
        <v>1568183.43425883</v>
      </c>
      <c r="BA21">
        <v>1089826.80536475</v>
      </c>
      <c r="BB21" t="s">
        <v>1900</v>
      </c>
      <c r="BC21">
        <v>77698.76182024959</v>
      </c>
      <c r="BD21">
        <v>-66319.9509224832</v>
      </c>
      <c r="BE21">
        <v>-170911.583641005</v>
      </c>
      <c r="BF21">
        <v>128682.958492994</v>
      </c>
      <c r="BG21" t="s">
        <v>1900</v>
      </c>
      <c r="BH21">
        <v>-17605.5972011757</v>
      </c>
      <c r="BI21">
        <v>-12198.3357033849</v>
      </c>
      <c r="BJ21">
        <v>-11369.4156444311</v>
      </c>
      <c r="BK21">
        <v>-6835.76525436044</v>
      </c>
      <c r="BL21" t="s">
        <v>1900</v>
      </c>
      <c r="BM21" t="s">
        <v>1900</v>
      </c>
      <c r="BN21" t="s">
        <v>1900</v>
      </c>
      <c r="BO21" t="s">
        <v>1900</v>
      </c>
      <c r="BP21" t="s">
        <v>1900</v>
      </c>
      <c r="BQ21" t="s">
        <v>1900</v>
      </c>
      <c r="BR21">
        <v>17605.5972011757</v>
      </c>
      <c r="BS21">
        <v>12198.3357033849</v>
      </c>
      <c r="BT21">
        <v>11369.4156444311</v>
      </c>
      <c r="BU21">
        <v>6835.76525436044</v>
      </c>
      <c r="BV21" t="s">
        <v>1900</v>
      </c>
      <c r="BW21">
        <v>60093.1646190739</v>
      </c>
      <c r="BX21">
        <v>-78518.2866258681</v>
      </c>
      <c r="BY21">
        <v>-182280.999285436</v>
      </c>
      <c r="BZ21">
        <v>121847.193238634</v>
      </c>
      <c r="CA21" t="s">
        <v>1900</v>
      </c>
      <c r="CB21">
        <v>-4016.05800235748</v>
      </c>
      <c r="CC21">
        <v>-18831.027285099</v>
      </c>
      <c r="CD21">
        <v>-45531.2232462645</v>
      </c>
      <c r="CE21">
        <v>1568.29425963759</v>
      </c>
      <c r="CF21" t="s">
        <v>1900</v>
      </c>
      <c r="CG21">
        <v>64109.2226214314</v>
      </c>
      <c r="CH21">
        <v>-59687.2593407691</v>
      </c>
      <c r="CI21">
        <v>-136749.774906571</v>
      </c>
      <c r="CJ21">
        <v>120278.897751897</v>
      </c>
      <c r="CK21" t="s">
        <v>1900</v>
      </c>
      <c r="CL21" t="s">
        <v>1900</v>
      </c>
      <c r="CM21" t="s">
        <v>1900</v>
      </c>
      <c r="CN21" t="s">
        <v>1900</v>
      </c>
      <c r="CO21" t="s">
        <v>1900</v>
      </c>
      <c r="CP21" t="s">
        <v>1900</v>
      </c>
      <c r="CQ21" t="s">
        <v>1900</v>
      </c>
      <c r="CR21" t="s">
        <v>1900</v>
      </c>
      <c r="CS21" t="s">
        <v>1900</v>
      </c>
      <c r="CT21" t="s">
        <v>1900</v>
      </c>
      <c r="CU21" t="s">
        <v>1900</v>
      </c>
      <c r="CV21" t="s">
        <v>1900</v>
      </c>
      <c r="CW21" t="s">
        <v>1900</v>
      </c>
      <c r="CX21" t="s">
        <v>1900</v>
      </c>
      <c r="CY21" t="s">
        <v>1900</v>
      </c>
      <c r="CZ21" t="s">
        <v>1900</v>
      </c>
      <c r="DA21">
        <v>64109.2226214314</v>
      </c>
      <c r="DB21">
        <v>-59687.2593407691</v>
      </c>
      <c r="DC21">
        <v>-136749.774906571</v>
      </c>
      <c r="DD21">
        <v>120278.897751897</v>
      </c>
      <c r="DE21" t="s">
        <v>1900</v>
      </c>
      <c r="DF21" t="s">
        <v>1900</v>
      </c>
      <c r="DG21" t="s">
        <v>1900</v>
      </c>
      <c r="DH21" t="s">
        <v>1900</v>
      </c>
      <c r="DI21" t="s">
        <v>1900</v>
      </c>
      <c r="DJ21" t="s">
        <v>1900</v>
      </c>
      <c r="DK21">
        <v>172097.572935276</v>
      </c>
      <c r="DL21">
        <v>148471.03274138</v>
      </c>
      <c r="DM21">
        <v>187904.11063993</v>
      </c>
      <c r="DN21">
        <v>136107.19148739</v>
      </c>
      <c r="DO21" t="s">
        <v>1900</v>
      </c>
      <c r="DP21">
        <v>969636.70861104</v>
      </c>
      <c r="DQ21">
        <v>1094890.62371061</v>
      </c>
      <c r="DR21">
        <v>1123647.52109621</v>
      </c>
      <c r="DS21">
        <v>767131.017459548</v>
      </c>
      <c r="DT21" t="s">
        <v>1900</v>
      </c>
      <c r="DU21">
        <v>6863.83213040352</v>
      </c>
      <c r="DV21">
        <v>7772.00115708709</v>
      </c>
      <c r="DW21">
        <v>11663.1102301598</v>
      </c>
      <c r="DX21">
        <v>4614.20014068484</v>
      </c>
      <c r="DY21" t="s">
        <v>1900</v>
      </c>
      <c r="DZ21">
        <v>44044.3241615515</v>
      </c>
      <c r="EA21">
        <v>511149.971204376</v>
      </c>
      <c r="EB21">
        <v>432872.804065061</v>
      </c>
      <c r="EC21">
        <v>318081.587764514</v>
      </c>
      <c r="ED21" t="s">
        <v>1900</v>
      </c>
      <c r="EE21">
        <v>17605.5972011757</v>
      </c>
      <c r="EF21">
        <v>12198.3357033849</v>
      </c>
      <c r="EG21">
        <v>11369.4156444311</v>
      </c>
      <c r="EH21">
        <v>6835.76525436044</v>
      </c>
      <c r="EI21" t="s">
        <v>1900</v>
      </c>
      <c r="EJ21" t="s">
        <v>1900</v>
      </c>
      <c r="EK21" t="s">
        <v>1900</v>
      </c>
      <c r="EL21" t="s">
        <v>1900</v>
      </c>
      <c r="EM21" t="s">
        <v>1900</v>
      </c>
      <c r="EN21" t="s">
        <v>1900</v>
      </c>
      <c r="EO21">
        <v>70973.0547518349</v>
      </c>
      <c r="EP21">
        <v>-51915.258183682</v>
      </c>
      <c r="EQ21">
        <v>-125086.664676411</v>
      </c>
      <c r="ER21">
        <v>124893.097892582</v>
      </c>
      <c r="ES21" t="s">
        <v>1900</v>
      </c>
      <c r="ET21">
        <v>1054199.30256169</v>
      </c>
      <c r="EU21">
        <v>1036342.67394522</v>
      </c>
      <c r="EV21">
        <v>964399.047685361</v>
      </c>
      <c r="EW21">
        <v>900428.176093227</v>
      </c>
      <c r="EX21" t="s">
        <v>1900</v>
      </c>
      <c r="EY21">
        <v>84562.5939506531</v>
      </c>
      <c r="EZ21">
        <v>-58547.9497653961</v>
      </c>
      <c r="FA21">
        <v>-159248.473410845</v>
      </c>
      <c r="FB21">
        <v>133297.158633679</v>
      </c>
      <c r="FC21" t="s">
        <v>1900</v>
      </c>
      <c r="FD21">
        <v>780670.971605539</v>
      </c>
      <c r="FE21">
        <v>216676.443577242</v>
      </c>
      <c r="FF21">
        <v>62072.5789127111</v>
      </c>
      <c r="FG21">
        <v>13750.0157799125</v>
      </c>
      <c r="FH21" t="s">
        <v>1900</v>
      </c>
      <c r="FI21">
        <v>643911.336629496</v>
      </c>
      <c r="FJ21">
        <v>320.907788032293</v>
      </c>
      <c r="FK21">
        <v>149.208764505386</v>
      </c>
      <c r="FL21">
        <v>0</v>
      </c>
      <c r="FM21" t="s">
        <v>1900</v>
      </c>
      <c r="FN21">
        <v>10129.4621959782</v>
      </c>
      <c r="FO21">
        <v>16270.5272215962</v>
      </c>
      <c r="FP21">
        <v>15259.5465944767</v>
      </c>
      <c r="FQ21">
        <v>12522.9164804816</v>
      </c>
      <c r="FR21" t="s">
        <v>1900</v>
      </c>
      <c r="FS21">
        <v>126630.172780066</v>
      </c>
      <c r="FT21">
        <v>200085.008567613</v>
      </c>
      <c r="FU21">
        <v>46663.8235537291</v>
      </c>
      <c r="FV21">
        <v>1227.09929943085</v>
      </c>
      <c r="FW21" t="s">
        <v>1900</v>
      </c>
      <c r="FX21">
        <v>643911.336629496</v>
      </c>
      <c r="FY21">
        <v>320.907788032293</v>
      </c>
      <c r="FZ21">
        <v>149.208764505386</v>
      </c>
      <c r="GA21">
        <v>0</v>
      </c>
      <c r="GB21" t="s">
        <v>1900</v>
      </c>
      <c r="GC21">
        <v>10129.4621959782</v>
      </c>
      <c r="GD21">
        <v>16270.5272215962</v>
      </c>
      <c r="GE21">
        <v>15259.5465944767</v>
      </c>
      <c r="GF21">
        <v>12522.9164804816</v>
      </c>
      <c r="GG21" t="s">
        <v>1900</v>
      </c>
      <c r="GH21">
        <v>126630.172780066</v>
      </c>
      <c r="GI21">
        <v>200085.008567613</v>
      </c>
      <c r="GJ21">
        <v>46663.8235537291</v>
      </c>
      <c r="GK21">
        <v>1227.09929943085</v>
      </c>
      <c r="GL21" t="s">
        <v>1900</v>
      </c>
      <c r="GM21">
        <v>746555.329944859</v>
      </c>
      <c r="GN21">
        <v>1060688.72454028</v>
      </c>
      <c r="GO21">
        <v>785050.4638559819</v>
      </c>
      <c r="GP21">
        <v>864952.6003657579</v>
      </c>
      <c r="GQ21" t="s">
        <v>1900</v>
      </c>
      <c r="GR21">
        <v>0</v>
      </c>
      <c r="GS21">
        <v>0</v>
      </c>
      <c r="GT21">
        <v>0</v>
      </c>
      <c r="GU21">
        <v>0</v>
      </c>
      <c r="GV21" t="s">
        <v>1900</v>
      </c>
      <c r="GW21">
        <v>687294.573249359</v>
      </c>
      <c r="GX21">
        <v>987147.372448534</v>
      </c>
      <c r="GY21">
        <v>780513.629456377</v>
      </c>
      <c r="GZ21">
        <v>838251.287739933</v>
      </c>
      <c r="HA21" t="s">
        <v>1900</v>
      </c>
      <c r="HB21">
        <v>59260.7566954994</v>
      </c>
      <c r="HC21">
        <v>73541.3520917416</v>
      </c>
      <c r="HD21">
        <v>4536.8343996048</v>
      </c>
      <c r="HE21">
        <v>26701.3126258254</v>
      </c>
      <c r="HF21" t="s">
        <v>1900</v>
      </c>
      <c r="HG21">
        <v>59260.7566954994</v>
      </c>
      <c r="HH21">
        <v>73541.3520917416</v>
      </c>
      <c r="HI21">
        <v>4536.8343996048</v>
      </c>
      <c r="HJ21">
        <v>26701.3126258254</v>
      </c>
      <c r="HK21" t="s">
        <v>1900</v>
      </c>
      <c r="HL21">
        <v>1527226.3015504</v>
      </c>
      <c r="HM21">
        <v>1277365.16811752</v>
      </c>
      <c r="HN21">
        <v>847123.0427686929</v>
      </c>
      <c r="HO21">
        <v>878702.6161456699</v>
      </c>
      <c r="HP21" t="s">
        <v>1900</v>
      </c>
      <c r="HQ21">
        <v>182348.750935879</v>
      </c>
      <c r="HR21">
        <v>144901.700217903</v>
      </c>
      <c r="HS21">
        <v>77989.146945548</v>
      </c>
      <c r="HT21">
        <v>243614.256893015</v>
      </c>
      <c r="HU21" t="s">
        <v>1900</v>
      </c>
      <c r="HV21">
        <v>3326.05149269104</v>
      </c>
      <c r="HW21">
        <v>3210.46445965767</v>
      </c>
      <c r="HX21">
        <v>3409.12692546844</v>
      </c>
      <c r="HY21">
        <v>3693.56889128685</v>
      </c>
      <c r="HZ21" t="s">
        <v>1900</v>
      </c>
      <c r="IA21">
        <v>179022.698338187</v>
      </c>
      <c r="IB21">
        <v>141691.234691645</v>
      </c>
      <c r="IC21">
        <v>74580.01888747929</v>
      </c>
      <c r="ID21">
        <v>239920.688001728</v>
      </c>
      <c r="IE21" t="s">
        <v>1900</v>
      </c>
      <c r="IF21">
        <v>304425.835472574</v>
      </c>
      <c r="IG21">
        <v>328655.097411227</v>
      </c>
      <c r="IH21">
        <v>146290.472575164</v>
      </c>
      <c r="II21">
        <v>162590.657174587</v>
      </c>
      <c r="IJ21" t="s">
        <v>1900</v>
      </c>
      <c r="IK21">
        <v>304425.835472574</v>
      </c>
      <c r="IL21">
        <v>328655.097411227</v>
      </c>
      <c r="IM21">
        <v>146290.472575164</v>
      </c>
      <c r="IN21">
        <v>162590.657174587</v>
      </c>
      <c r="IO21" t="s">
        <v>1900</v>
      </c>
      <c r="IP21">
        <v>0</v>
      </c>
      <c r="IQ21">
        <v>0</v>
      </c>
      <c r="IR21">
        <v>0</v>
      </c>
      <c r="IS21">
        <v>0</v>
      </c>
      <c r="IT21" t="s">
        <v>1900</v>
      </c>
      <c r="IU21">
        <v>0</v>
      </c>
      <c r="IV21">
        <v>0</v>
      </c>
      <c r="IW21">
        <v>0</v>
      </c>
      <c r="IX21">
        <v>0</v>
      </c>
      <c r="IY21" t="s">
        <v>1900</v>
      </c>
      <c r="IZ21">
        <v>1040451.71514194</v>
      </c>
      <c r="JA21">
        <v>803808.370488387</v>
      </c>
      <c r="JB21">
        <v>622843.423247981</v>
      </c>
      <c r="JC21">
        <v>472497.702078068</v>
      </c>
      <c r="JD21" t="s">
        <v>1900</v>
      </c>
      <c r="JE21">
        <v>407362.488169279</v>
      </c>
      <c r="JF21">
        <v>180421.073742133</v>
      </c>
      <c r="JG21">
        <v>344705.261306405</v>
      </c>
      <c r="JH21">
        <v>305271.260086119</v>
      </c>
      <c r="JI21" t="s">
        <v>1900</v>
      </c>
      <c r="JJ21">
        <v>14542.2595763874</v>
      </c>
      <c r="JK21">
        <v>12300.0466305852</v>
      </c>
      <c r="JL21">
        <v>3092.78033359051</v>
      </c>
      <c r="JM21" t="s">
        <v>1900</v>
      </c>
      <c r="JN21" t="s">
        <v>1900</v>
      </c>
      <c r="JO21">
        <v>618546.9673962781</v>
      </c>
      <c r="JP21">
        <v>611087.250115669</v>
      </c>
      <c r="JQ21">
        <v>275045.380475385</v>
      </c>
      <c r="JR21">
        <v>167226.441991949</v>
      </c>
      <c r="JS21" t="s">
        <v>1900</v>
      </c>
      <c r="JT21">
        <v>1527226.3015504</v>
      </c>
      <c r="JU21">
        <v>1277365.16811752</v>
      </c>
      <c r="JV21">
        <v>847123.0427686929</v>
      </c>
      <c r="JW21">
        <v>878702.6161456699</v>
      </c>
      <c r="JX21" t="s">
        <v>1900</v>
      </c>
      <c r="JY21">
        <v>672752.313672972</v>
      </c>
      <c r="JZ21">
        <v>974847.324751349</v>
      </c>
      <c r="KA21">
        <v>777420.849122787</v>
      </c>
      <c r="KB21">
        <v>838251.287739933</v>
      </c>
      <c r="KC21" t="s">
        <v>1900</v>
      </c>
      <c r="KD21" t="s">
        <v>1900</v>
      </c>
      <c r="KE21" t="s">
        <v>1900</v>
      </c>
      <c r="KF21" t="s">
        <v>1900</v>
      </c>
      <c r="KG21" t="s">
        <v>1900</v>
      </c>
      <c r="KH21" t="s">
        <v>1900</v>
      </c>
      <c r="KI21" t="s">
        <v>1900</v>
      </c>
      <c r="KJ21" t="s">
        <v>1900</v>
      </c>
      <c r="KK21" t="s">
        <v>1900</v>
      </c>
      <c r="KL21" t="s">
        <v>1900</v>
      </c>
      <c r="KM21" t="s">
        <v>1900</v>
      </c>
      <c r="KN21">
        <v>28</v>
      </c>
      <c r="KO21">
        <v>34</v>
      </c>
      <c r="KP21">
        <v>31</v>
      </c>
      <c r="KQ21">
        <v>22</v>
      </c>
      <c r="KR21" t="s">
        <v>1900</v>
      </c>
      <c r="KS21" t="s">
        <v>1900</v>
      </c>
      <c r="KT21" t="s">
        <v>1900</v>
      </c>
      <c r="KU21" t="s">
        <v>1900</v>
      </c>
      <c r="KV21" t="s">
        <v>1900</v>
      </c>
      <c r="KW21" t="s">
        <v>1900</v>
      </c>
      <c r="KX21" t="s">
        <v>1900</v>
      </c>
      <c r="KY21" t="s">
        <v>1900</v>
      </c>
      <c r="KZ21" t="s">
        <v>1900</v>
      </c>
      <c r="LA21" t="s">
        <v>1900</v>
      </c>
      <c r="LB21" t="s">
        <v>1900</v>
      </c>
      <c r="LC21" t="s">
        <v>1900</v>
      </c>
      <c r="LD21" t="s">
        <v>1900</v>
      </c>
      <c r="LE21" t="s">
        <v>1900</v>
      </c>
      <c r="LF21" t="s">
        <v>1900</v>
      </c>
      <c r="LG21" t="s">
        <v>1900</v>
      </c>
      <c r="LH21" t="s">
        <v>1900</v>
      </c>
      <c r="LI21" t="s">
        <v>1900</v>
      </c>
      <c r="LJ21" t="s">
        <v>1900</v>
      </c>
      <c r="LK21" t="s">
        <v>1900</v>
      </c>
      <c r="LL21" t="s">
        <v>1900</v>
      </c>
      <c r="LM21" t="s">
        <v>1900</v>
      </c>
      <c r="LN21" t="s">
        <v>1900</v>
      </c>
      <c r="LO21" t="s">
        <v>1900</v>
      </c>
      <c r="LP21" t="s">
        <v>1900</v>
      </c>
      <c r="LQ21" t="s">
        <v>1900</v>
      </c>
      <c r="LR21" t="s">
        <v>1900</v>
      </c>
      <c r="LS21" t="s">
        <v>1900</v>
      </c>
      <c r="LT21" t="s">
        <v>1900</v>
      </c>
      <c r="LU21" t="s">
        <v>1900</v>
      </c>
      <c r="LV21" t="s">
        <v>1900</v>
      </c>
      <c r="LW21" t="s">
        <v>1900</v>
      </c>
      <c r="LX21" t="s">
        <v>1900</v>
      </c>
      <c r="LY21" t="s">
        <v>1900</v>
      </c>
      <c r="LZ21" t="s">
        <v>1900</v>
      </c>
      <c r="MA21" t="s">
        <v>1900</v>
      </c>
      <c r="MB21" t="s">
        <v>1900</v>
      </c>
      <c r="MC21" t="s">
        <v>1900</v>
      </c>
      <c r="MD21" t="s">
        <v>1900</v>
      </c>
      <c r="ME21" t="s">
        <v>1900</v>
      </c>
      <c r="MF21" t="s">
        <v>1900</v>
      </c>
      <c r="MG21" t="s">
        <v>1900</v>
      </c>
      <c r="MH21" t="s">
        <v>1900</v>
      </c>
      <c r="MI21" t="s">
        <v>1900</v>
      </c>
      <c r="MJ21" t="s">
        <v>1900</v>
      </c>
      <c r="MK21" t="s">
        <v>1900</v>
      </c>
      <c r="ML21" t="s">
        <v>1900</v>
      </c>
      <c r="MM21" t="s">
        <v>1900</v>
      </c>
      <c r="MN21" t="s">
        <v>1900</v>
      </c>
      <c r="MO21" t="s">
        <v>1900</v>
      </c>
      <c r="MP21" t="s">
        <v>1900</v>
      </c>
      <c r="MQ21">
        <v>59260.7566954994</v>
      </c>
      <c r="MR21">
        <v>73541.3520917416</v>
      </c>
      <c r="MS21">
        <v>4536.8343996048</v>
      </c>
      <c r="MT21">
        <v>26701.3126258254</v>
      </c>
      <c r="MU21" t="s">
        <v>1900</v>
      </c>
      <c r="MV21" t="s">
        <v>1900</v>
      </c>
      <c r="MW21" t="s">
        <v>1900</v>
      </c>
      <c r="MX21" t="s">
        <v>1900</v>
      </c>
      <c r="MY21" t="s">
        <v>1900</v>
      </c>
      <c r="MZ21" t="s">
        <v>1900</v>
      </c>
      <c r="NA21" t="s">
        <v>1900</v>
      </c>
      <c r="NB21" t="s">
        <v>1900</v>
      </c>
      <c r="NC21" t="s">
        <v>1900</v>
      </c>
      <c r="ND21" t="s">
        <v>1900</v>
      </c>
      <c r="NE21" t="s">
        <v>1900</v>
      </c>
      <c r="NF21" t="s">
        <v>1900</v>
      </c>
      <c r="NG21" t="s">
        <v>1900</v>
      </c>
      <c r="NH21" t="s">
        <v>1900</v>
      </c>
      <c r="NI21" t="s">
        <v>1900</v>
      </c>
      <c r="NJ21" t="s">
        <v>1900</v>
      </c>
      <c r="NK21" t="s">
        <v>1900</v>
      </c>
      <c r="NL21" t="s">
        <v>1900</v>
      </c>
      <c r="NM21" t="s">
        <v>1900</v>
      </c>
      <c r="NN21" t="s">
        <v>1900</v>
      </c>
      <c r="NO21" t="s">
        <v>1900</v>
      </c>
      <c r="NP21" t="s">
        <v>1900</v>
      </c>
      <c r="NQ21" t="s">
        <v>1900</v>
      </c>
      <c r="NR21" t="s">
        <v>1900</v>
      </c>
      <c r="NS21" t="s">
        <v>1900</v>
      </c>
      <c r="NT21" t="s">
        <v>1900</v>
      </c>
      <c r="NU21">
        <v>780670.971605539</v>
      </c>
      <c r="NV21">
        <v>216676.443577242</v>
      </c>
      <c r="NW21">
        <v>62072.5789127111</v>
      </c>
      <c r="NX21">
        <v>13750.0157799125</v>
      </c>
      <c r="NY21" t="s">
        <v>1900</v>
      </c>
      <c r="NZ21" t="s">
        <v>1900</v>
      </c>
      <c r="OA21" t="s">
        <v>1900</v>
      </c>
      <c r="OB21" t="s">
        <v>1900</v>
      </c>
      <c r="OC21" t="s">
        <v>1900</v>
      </c>
      <c r="OD21" t="s">
        <v>1900</v>
      </c>
      <c r="OE21" t="s">
        <v>1900</v>
      </c>
      <c r="OF21" t="s">
        <v>1900</v>
      </c>
      <c r="OG21" t="s">
        <v>1900</v>
      </c>
      <c r="OH21" t="s">
        <v>1900</v>
      </c>
      <c r="OI21" t="s">
        <v>1900</v>
      </c>
      <c r="OJ21" t="s">
        <v>1900</v>
      </c>
      <c r="OK21" t="s">
        <v>1900</v>
      </c>
      <c r="OL21" t="s">
        <v>1900</v>
      </c>
      <c r="OM21" t="s">
        <v>1900</v>
      </c>
      <c r="ON21" t="s">
        <v>1900</v>
      </c>
      <c r="OO21" t="s">
        <v>1900</v>
      </c>
      <c r="OP21" t="s">
        <v>1900</v>
      </c>
      <c r="OQ21" t="s">
        <v>1900</v>
      </c>
      <c r="OR21" t="s">
        <v>1900</v>
      </c>
      <c r="OS21" t="s">
        <v>1900</v>
      </c>
      <c r="OT21" t="s">
        <v>1900</v>
      </c>
      <c r="OU21" t="s">
        <v>1900</v>
      </c>
      <c r="OV21" t="s">
        <v>1900</v>
      </c>
      <c r="OW21" t="s">
        <v>1900</v>
      </c>
      <c r="OX21" t="s">
        <v>1900</v>
      </c>
      <c r="OY21" t="s">
        <v>1900</v>
      </c>
      <c r="OZ21" t="s">
        <v>1900</v>
      </c>
      <c r="PA21" t="s">
        <v>1900</v>
      </c>
      <c r="PB21" t="s">
        <v>1900</v>
      </c>
      <c r="PC21" t="s">
        <v>1900</v>
      </c>
      <c r="PD21" t="s">
        <v>1900</v>
      </c>
      <c r="PE21" t="s">
        <v>1900</v>
      </c>
      <c r="PF21" t="s">
        <v>1900</v>
      </c>
      <c r="PG21" t="s">
        <v>1900</v>
      </c>
      <c r="PH21" t="s">
        <v>1900</v>
      </c>
      <c r="PI21" t="s">
        <v>1900</v>
      </c>
      <c r="PJ21" t="s">
        <v>1900</v>
      </c>
      <c r="PK21" t="s">
        <v>1900</v>
      </c>
      <c r="PL21" t="s">
        <v>1900</v>
      </c>
      <c r="PM21" t="s">
        <v>1900</v>
      </c>
      <c r="PN21" t="s">
        <v>1900</v>
      </c>
      <c r="PO21" t="s">
        <v>1900</v>
      </c>
      <c r="PP21" t="s">
        <v>1900</v>
      </c>
      <c r="PQ21" t="s">
        <v>1900</v>
      </c>
      <c r="PR21" t="s">
        <v>1900</v>
      </c>
      <c r="PS21" t="s">
        <v>1900</v>
      </c>
      <c r="PT21" t="s">
        <v>1900</v>
      </c>
      <c r="PU21" t="s">
        <v>1900</v>
      </c>
      <c r="PV21" t="s">
        <v>1900</v>
      </c>
      <c r="PW21" t="s">
        <v>1900</v>
      </c>
      <c r="PX21" t="s">
        <v>1900</v>
      </c>
      <c r="PY21" t="s">
        <v>1900</v>
      </c>
      <c r="PZ21" t="s">
        <v>1900</v>
      </c>
      <c r="QA21" t="s">
        <v>1900</v>
      </c>
      <c r="QB21" t="s">
        <v>1900</v>
      </c>
      <c r="QC21" t="s">
        <v>1900</v>
      </c>
      <c r="QD21" t="s">
        <v>1900</v>
      </c>
      <c r="QE21" t="s">
        <v>1900</v>
      </c>
      <c r="QF21" t="s">
        <v>1900</v>
      </c>
      <c r="QG21" t="s">
        <v>1900</v>
      </c>
      <c r="QH21" t="s">
        <v>1900</v>
      </c>
      <c r="QI21" t="s">
        <v>1900</v>
      </c>
      <c r="QJ21" t="s">
        <v>1900</v>
      </c>
      <c r="QK21" t="s">
        <v>1900</v>
      </c>
      <c r="QL21" t="s">
        <v>1900</v>
      </c>
      <c r="QM21" t="s">
        <v>1900</v>
      </c>
      <c r="QN21" t="s">
        <v>1900</v>
      </c>
      <c r="QO21" t="s">
        <v>1900</v>
      </c>
      <c r="QP21" t="s">
        <v>1900</v>
      </c>
      <c r="QQ21" t="s">
        <v>1900</v>
      </c>
      <c r="QR21" t="s">
        <v>1900</v>
      </c>
      <c r="QS21" t="s">
        <v>1900</v>
      </c>
      <c r="QT21" t="s">
        <v>1900</v>
      </c>
      <c r="QU21" t="s">
        <v>1900</v>
      </c>
      <c r="QV21" t="s">
        <v>1900</v>
      </c>
      <c r="QW21" t="s">
        <v>1900</v>
      </c>
      <c r="QX21" t="s">
        <v>1900</v>
      </c>
      <c r="QY21" t="s">
        <v>1900</v>
      </c>
      <c r="QZ21" t="s">
        <v>1900</v>
      </c>
      <c r="RA21" t="s">
        <v>1900</v>
      </c>
      <c r="RB21" t="s">
        <v>1900</v>
      </c>
      <c r="RC21" t="s">
        <v>1900</v>
      </c>
      <c r="RD21" t="s">
        <v>1900</v>
      </c>
      <c r="RE21" t="s">
        <v>1900</v>
      </c>
      <c r="RF21" t="s">
        <v>1900</v>
      </c>
      <c r="RG21" t="s">
        <v>1900</v>
      </c>
      <c r="RH21" t="s">
        <v>1900</v>
      </c>
      <c r="RI21" t="s">
        <v>1900</v>
      </c>
      <c r="RJ21" t="s">
        <v>1900</v>
      </c>
      <c r="RK21" t="s">
        <v>1900</v>
      </c>
      <c r="RL21" t="s">
        <v>1900</v>
      </c>
      <c r="RM21" t="s">
        <v>1900</v>
      </c>
      <c r="RN21" t="s">
        <v>1900</v>
      </c>
      <c r="RO21" t="s">
        <v>1900</v>
      </c>
      <c r="RP21" t="s">
        <v>1900</v>
      </c>
      <c r="RQ21" t="s">
        <v>1900</v>
      </c>
      <c r="RR21" t="s">
        <v>1900</v>
      </c>
      <c r="RS21" t="s">
        <v>1900</v>
      </c>
      <c r="RT21" t="s">
        <v>1900</v>
      </c>
      <c r="RU21" t="s">
        <v>1900</v>
      </c>
      <c r="RV21" t="s">
        <v>1900</v>
      </c>
      <c r="RW21" t="s">
        <v>1900</v>
      </c>
      <c r="RX21" t="s">
        <v>1900</v>
      </c>
      <c r="RY21" t="s">
        <v>1900</v>
      </c>
      <c r="RZ21" t="s">
        <v>1900</v>
      </c>
      <c r="SA21" t="s">
        <v>1900</v>
      </c>
      <c r="SB21" t="s">
        <v>1900</v>
      </c>
      <c r="SC21" t="s">
        <v>1900</v>
      </c>
      <c r="SD21" t="s">
        <v>1900</v>
      </c>
      <c r="SE21" t="s">
        <v>1900</v>
      </c>
      <c r="SF21" t="s">
        <v>1900</v>
      </c>
      <c r="SG21" t="s">
        <v>1900</v>
      </c>
      <c r="SH21" t="s">
        <v>1900</v>
      </c>
      <c r="SI21" t="s">
        <v>1900</v>
      </c>
      <c r="SJ21" t="s">
        <v>1900</v>
      </c>
      <c r="SK21">
        <v>126630.172780066</v>
      </c>
      <c r="SL21">
        <v>200085.008567613</v>
      </c>
      <c r="SM21">
        <v>46663.8235537291</v>
      </c>
      <c r="SN21">
        <v>1227.09929943085</v>
      </c>
      <c r="SO21" t="s">
        <v>1900</v>
      </c>
      <c r="SP21" t="s">
        <v>1900</v>
      </c>
      <c r="SQ21" t="s">
        <v>1900</v>
      </c>
      <c r="SR21" t="s">
        <v>1900</v>
      </c>
      <c r="SS21" t="s">
        <v>1900</v>
      </c>
      <c r="ST21" t="s">
        <v>1900</v>
      </c>
      <c r="SU21" t="s">
        <v>1900</v>
      </c>
      <c r="SV21" t="s">
        <v>1900</v>
      </c>
      <c r="SW21" t="s">
        <v>1900</v>
      </c>
      <c r="SX21" t="s">
        <v>1900</v>
      </c>
      <c r="SY21" t="s">
        <v>1900</v>
      </c>
      <c r="SZ21" t="s">
        <v>1900</v>
      </c>
      <c r="TA21" t="s">
        <v>1900</v>
      </c>
      <c r="TB21" t="s">
        <v>1900</v>
      </c>
      <c r="TC21" t="s">
        <v>1900</v>
      </c>
      <c r="TD21" t="s">
        <v>1900</v>
      </c>
      <c r="TE21" t="s">
        <v>1900</v>
      </c>
      <c r="TF21" t="s">
        <v>1900</v>
      </c>
      <c r="TG21" t="s">
        <v>1900</v>
      </c>
      <c r="TH21" t="s">
        <v>1900</v>
      </c>
      <c r="TI21" t="s">
        <v>1900</v>
      </c>
      <c r="TJ21" t="s">
        <v>1900</v>
      </c>
      <c r="TK21" t="s">
        <v>1900</v>
      </c>
      <c r="TL21" t="s">
        <v>1900</v>
      </c>
      <c r="TM21" t="s">
        <v>1900</v>
      </c>
      <c r="TN21" t="s">
        <v>1900</v>
      </c>
      <c r="TO21" t="s">
        <v>1900</v>
      </c>
      <c r="TP21" t="s">
        <v>1900</v>
      </c>
      <c r="TQ21" t="s">
        <v>1900</v>
      </c>
      <c r="TR21" t="s">
        <v>1900</v>
      </c>
      <c r="TS21" t="s">
        <v>1900</v>
      </c>
      <c r="TT21">
        <v>1527226.3015504</v>
      </c>
      <c r="TU21">
        <v>1277365.16811752</v>
      </c>
      <c r="TV21">
        <v>847123.0427686929</v>
      </c>
      <c r="TW21">
        <v>878702.6161456699</v>
      </c>
      <c r="TX21" t="s">
        <v>1900</v>
      </c>
      <c r="TY21" t="s">
        <v>1900</v>
      </c>
      <c r="TZ21" t="s">
        <v>1900</v>
      </c>
      <c r="UA21" t="s">
        <v>1900</v>
      </c>
      <c r="UB21" t="s">
        <v>1900</v>
      </c>
      <c r="UC21" t="s">
        <v>1900</v>
      </c>
      <c r="UD21">
        <v>407362.488169279</v>
      </c>
      <c r="UE21">
        <v>180421.073742133</v>
      </c>
      <c r="UF21">
        <v>344705.261306405</v>
      </c>
      <c r="UG21">
        <v>305271.260086119</v>
      </c>
      <c r="UH21" t="s">
        <v>1900</v>
      </c>
      <c r="UI21" t="s">
        <v>1900</v>
      </c>
      <c r="UJ21" t="s">
        <v>1900</v>
      </c>
      <c r="UK21" t="s">
        <v>1900</v>
      </c>
      <c r="UL21" t="s">
        <v>1900</v>
      </c>
      <c r="UM21" t="s">
        <v>1900</v>
      </c>
      <c r="UN21" t="s">
        <v>1900</v>
      </c>
      <c r="UO21" t="s">
        <v>1900</v>
      </c>
      <c r="UP21" t="s">
        <v>1900</v>
      </c>
      <c r="UQ21" t="s">
        <v>1900</v>
      </c>
      <c r="UR21" t="s">
        <v>1900</v>
      </c>
      <c r="US21" t="s">
        <v>1900</v>
      </c>
      <c r="UT21" t="s">
        <v>1900</v>
      </c>
      <c r="UU21" t="s">
        <v>1900</v>
      </c>
      <c r="UV21" t="s">
        <v>1900</v>
      </c>
      <c r="UW21" t="s">
        <v>1900</v>
      </c>
      <c r="UX21" t="s">
        <v>1900</v>
      </c>
      <c r="UY21" t="s">
        <v>1900</v>
      </c>
      <c r="UZ21" t="s">
        <v>1900</v>
      </c>
      <c r="VA21" t="s">
        <v>1900</v>
      </c>
      <c r="VB21" t="s">
        <v>1900</v>
      </c>
      <c r="VC21" t="s">
        <v>1900</v>
      </c>
      <c r="VD21" t="s">
        <v>1900</v>
      </c>
      <c r="VE21" t="s">
        <v>1900</v>
      </c>
      <c r="VF21" t="s">
        <v>1900</v>
      </c>
      <c r="VG21" t="s">
        <v>1900</v>
      </c>
      <c r="VH21" t="s">
        <v>1900</v>
      </c>
      <c r="VI21" t="s">
        <v>1900</v>
      </c>
      <c r="VJ21" t="s">
        <v>1900</v>
      </c>
      <c r="VK21" t="s">
        <v>1900</v>
      </c>
      <c r="VL21" t="s">
        <v>1900</v>
      </c>
      <c r="VM21" t="s">
        <v>1900</v>
      </c>
      <c r="VN21" t="s">
        <v>1900</v>
      </c>
      <c r="VO21" t="s">
        <v>1900</v>
      </c>
      <c r="VP21" t="s">
        <v>1900</v>
      </c>
      <c r="VQ21" t="s">
        <v>1900</v>
      </c>
      <c r="VR21" t="s">
        <v>1900</v>
      </c>
      <c r="VS21" t="s">
        <v>1900</v>
      </c>
      <c r="VT21" t="s">
        <v>1900</v>
      </c>
      <c r="VU21" t="s">
        <v>1900</v>
      </c>
      <c r="VV21" t="s">
        <v>1900</v>
      </c>
      <c r="VW21" t="s">
        <v>1900</v>
      </c>
      <c r="VX21" t="s">
        <v>1900</v>
      </c>
      <c r="VY21" t="s">
        <v>1900</v>
      </c>
      <c r="VZ21" t="s">
        <v>1900</v>
      </c>
      <c r="WA21" t="s">
        <v>1900</v>
      </c>
      <c r="WB21">
        <v>618546.9673962781</v>
      </c>
      <c r="WC21">
        <v>611087.250115669</v>
      </c>
      <c r="WD21">
        <v>275045.380475385</v>
      </c>
      <c r="WE21">
        <v>167226.441991949</v>
      </c>
      <c r="WF21" t="s">
        <v>1900</v>
      </c>
      <c r="WG21" t="s">
        <v>1900</v>
      </c>
      <c r="WH21" t="s">
        <v>1900</v>
      </c>
      <c r="WI21" t="s">
        <v>1900</v>
      </c>
      <c r="WJ21" t="s">
        <v>1900</v>
      </c>
      <c r="WK21" t="s">
        <v>1900</v>
      </c>
      <c r="WL21" t="s">
        <v>1900</v>
      </c>
      <c r="WM21" t="s">
        <v>1900</v>
      </c>
      <c r="WN21" t="s">
        <v>1900</v>
      </c>
      <c r="WO21" t="s">
        <v>1900</v>
      </c>
      <c r="WP21" t="s">
        <v>1900</v>
      </c>
      <c r="WQ21" t="s">
        <v>1900</v>
      </c>
      <c r="WR21" t="s">
        <v>1900</v>
      </c>
      <c r="WS21" t="s">
        <v>1900</v>
      </c>
      <c r="WT21" t="s">
        <v>1900</v>
      </c>
      <c r="WU21" t="s">
        <v>1900</v>
      </c>
      <c r="WV21" t="s">
        <v>1900</v>
      </c>
      <c r="WW21" t="s">
        <v>1900</v>
      </c>
      <c r="WX21" t="s">
        <v>1900</v>
      </c>
      <c r="WY21" t="s">
        <v>1900</v>
      </c>
      <c r="WZ21" t="s">
        <v>1900</v>
      </c>
      <c r="XA21" t="s">
        <v>1900</v>
      </c>
      <c r="XB21" t="s">
        <v>1900</v>
      </c>
      <c r="XC21" t="s">
        <v>1900</v>
      </c>
      <c r="XD21" t="s">
        <v>1900</v>
      </c>
      <c r="XE21" t="s">
        <v>1900</v>
      </c>
      <c r="XF21" t="s">
        <v>1900</v>
      </c>
      <c r="XG21" t="s">
        <v>1900</v>
      </c>
      <c r="XH21" t="s">
        <v>1900</v>
      </c>
      <c r="XI21" t="s">
        <v>1900</v>
      </c>
      <c r="XJ21" t="s">
        <v>1900</v>
      </c>
      <c r="XK21">
        <v>0</v>
      </c>
      <c r="XL21">
        <v>0</v>
      </c>
      <c r="XM21">
        <v>0</v>
      </c>
      <c r="XN21">
        <v>0</v>
      </c>
      <c r="XO21" t="s">
        <v>1900</v>
      </c>
      <c r="XP21" t="s">
        <v>1900</v>
      </c>
      <c r="XQ21" t="s">
        <v>1900</v>
      </c>
      <c r="XR21" t="s">
        <v>1900</v>
      </c>
      <c r="XS21" t="s">
        <v>1900</v>
      </c>
      <c r="XT21" t="s">
        <v>1900</v>
      </c>
      <c r="XU21" t="s">
        <v>1900</v>
      </c>
      <c r="XV21" t="s">
        <v>1900</v>
      </c>
      <c r="XW21" t="s">
        <v>1900</v>
      </c>
      <c r="XX21" t="s">
        <v>1900</v>
      </c>
      <c r="XY21" t="s">
        <v>1900</v>
      </c>
      <c r="XZ21">
        <v>0</v>
      </c>
      <c r="YA21">
        <v>0</v>
      </c>
      <c r="YB21">
        <v>0</v>
      </c>
      <c r="YC21">
        <v>0</v>
      </c>
      <c r="YD21" t="s">
        <v>1900</v>
      </c>
      <c r="YE21" t="s">
        <v>1900</v>
      </c>
      <c r="YF21" t="s">
        <v>1900</v>
      </c>
      <c r="YG21" t="s">
        <v>1900</v>
      </c>
      <c r="YH21" t="s">
        <v>1900</v>
      </c>
      <c r="YI21" t="s">
        <v>1900</v>
      </c>
      <c r="YJ21" t="s">
        <v>1900</v>
      </c>
      <c r="YK21" t="s">
        <v>1900</v>
      </c>
      <c r="YL21" t="s">
        <v>1900</v>
      </c>
      <c r="YM21" t="s">
        <v>1900</v>
      </c>
      <c r="YN21" t="s">
        <v>1900</v>
      </c>
      <c r="YO21" t="s">
        <v>1900</v>
      </c>
      <c r="YP21" t="s">
        <v>1900</v>
      </c>
      <c r="YQ21" t="s">
        <v>1900</v>
      </c>
      <c r="YR21" t="s">
        <v>1900</v>
      </c>
      <c r="YS21" t="s">
        <v>1900</v>
      </c>
      <c r="YT21" t="s">
        <v>1900</v>
      </c>
      <c r="YU21" t="s">
        <v>1900</v>
      </c>
      <c r="YV21" t="s">
        <v>1900</v>
      </c>
      <c r="YW21" t="s">
        <v>1900</v>
      </c>
      <c r="YX21" t="s">
        <v>1900</v>
      </c>
      <c r="YY21" t="s">
        <v>1900</v>
      </c>
      <c r="YZ21" t="s">
        <v>1900</v>
      </c>
      <c r="ZA21" t="s">
        <v>1900</v>
      </c>
      <c r="ZB21" t="s">
        <v>1900</v>
      </c>
      <c r="ZC21" t="s">
        <v>1900</v>
      </c>
      <c r="ZD21" t="s">
        <v>1900</v>
      </c>
      <c r="ZE21" t="s">
        <v>1900</v>
      </c>
      <c r="ZF21" t="s">
        <v>1900</v>
      </c>
      <c r="ZG21" t="s">
        <v>1900</v>
      </c>
      <c r="ZH21" t="s">
        <v>1900</v>
      </c>
      <c r="ZI21" t="s">
        <v>1900</v>
      </c>
      <c r="ZJ21" t="s">
        <v>1900</v>
      </c>
      <c r="ZK21" t="s">
        <v>1900</v>
      </c>
      <c r="ZL21" t="s">
        <v>1900</v>
      </c>
      <c r="ZM21" t="s">
        <v>1900</v>
      </c>
      <c r="ZN21" t="s">
        <v>1900</v>
      </c>
      <c r="ZO21" t="s">
        <v>1900</v>
      </c>
      <c r="ZP21" t="s">
        <v>1900</v>
      </c>
      <c r="ZQ21" t="s">
        <v>1900</v>
      </c>
      <c r="ZR21" t="s">
        <v>1900</v>
      </c>
      <c r="ZS21" t="s">
        <v>1900</v>
      </c>
      <c r="ZT21" t="s">
        <v>1900</v>
      </c>
      <c r="ZU21" t="s">
        <v>1900</v>
      </c>
      <c r="ZV21" t="s">
        <v>1900</v>
      </c>
      <c r="ZW21" t="s">
        <v>1900</v>
      </c>
      <c r="ZX21" t="s">
        <v>1900</v>
      </c>
      <c r="ZY21" t="s">
        <v>1900</v>
      </c>
      <c r="ZZ21" t="s">
        <v>1900</v>
      </c>
      <c r="AAA21" t="s">
        <v>1900</v>
      </c>
      <c r="AAB21" t="s">
        <v>1900</v>
      </c>
      <c r="AAC21" t="s">
        <v>1900</v>
      </c>
      <c r="AAD21" t="s">
        <v>1900</v>
      </c>
      <c r="AAE21" t="s">
        <v>1900</v>
      </c>
      <c r="AAF21" t="s">
        <v>1900</v>
      </c>
      <c r="AAG21" t="s">
        <v>1900</v>
      </c>
      <c r="AAH21" t="s">
        <v>1900</v>
      </c>
      <c r="AAI21" t="s">
        <v>1900</v>
      </c>
      <c r="AAJ21" t="s">
        <v>1900</v>
      </c>
      <c r="AAK21" t="s">
        <v>1900</v>
      </c>
      <c r="AAL21" t="s">
        <v>1900</v>
      </c>
      <c r="AAM21" t="s">
        <v>1900</v>
      </c>
      <c r="AAN21" t="s">
        <v>1900</v>
      </c>
      <c r="AAO21" t="s">
        <v>1900</v>
      </c>
      <c r="AAP21" t="s">
        <v>1900</v>
      </c>
      <c r="AAQ21" t="s">
        <v>1900</v>
      </c>
      <c r="AAR21" t="s">
        <v>1900</v>
      </c>
      <c r="AAS21" t="s">
        <v>1900</v>
      </c>
      <c r="AAT21" t="s">
        <v>1900</v>
      </c>
      <c r="AAU21" t="s">
        <v>1900</v>
      </c>
      <c r="AAV21" t="s">
        <v>1900</v>
      </c>
      <c r="AAW21" t="s">
        <v>1900</v>
      </c>
      <c r="AAX21" t="s">
        <v>1900</v>
      </c>
      <c r="AAY21" t="s">
        <v>1900</v>
      </c>
      <c r="AAZ21" t="s">
        <v>1900</v>
      </c>
      <c r="ABA21" t="s">
        <v>1900</v>
      </c>
      <c r="ABB21" t="s">
        <v>1900</v>
      </c>
      <c r="ABC21" t="s">
        <v>1900</v>
      </c>
      <c r="ABD21" t="s">
        <v>1900</v>
      </c>
      <c r="ABE21" t="s">
        <v>1900</v>
      </c>
      <c r="ABF21" t="s">
        <v>1900</v>
      </c>
      <c r="ABG21" t="s">
        <v>1900</v>
      </c>
      <c r="ABH21" t="s">
        <v>1900</v>
      </c>
      <c r="ABI21" t="s">
        <v>1900</v>
      </c>
      <c r="ABJ21" t="s">
        <v>1900</v>
      </c>
      <c r="ABK21" t="s">
        <v>1900</v>
      </c>
      <c r="ABL21" t="s">
        <v>1900</v>
      </c>
      <c r="ABM21" t="s">
        <v>1900</v>
      </c>
      <c r="ABN21" t="s">
        <v>1900</v>
      </c>
      <c r="ABO21" t="s">
        <v>1900</v>
      </c>
      <c r="ABP21" t="s">
        <v>1900</v>
      </c>
      <c r="ABQ21" t="s">
        <v>1900</v>
      </c>
      <c r="ABR21" t="s">
        <v>1900</v>
      </c>
      <c r="ABS21" t="s">
        <v>1900</v>
      </c>
      <c r="ABT21" t="s">
        <v>1900</v>
      </c>
      <c r="ABU21" t="s">
        <v>1900</v>
      </c>
      <c r="ABV21" t="s">
        <v>1900</v>
      </c>
      <c r="ABW21" t="s">
        <v>1900</v>
      </c>
      <c r="ABX21" t="s">
        <v>1900</v>
      </c>
      <c r="ABY21" t="s">
        <v>1900</v>
      </c>
      <c r="ABZ21" t="s">
        <v>1900</v>
      </c>
      <c r="ACA21" t="s">
        <v>1900</v>
      </c>
      <c r="ACB21" t="s">
        <v>1900</v>
      </c>
      <c r="ACC21" t="s">
        <v>1900</v>
      </c>
      <c r="ACD21" t="s">
        <v>1900</v>
      </c>
      <c r="ACE21" t="s">
        <v>1900</v>
      </c>
      <c r="ACF21">
        <v>32.955</v>
      </c>
      <c r="ACG21">
        <v>-54.187</v>
      </c>
      <c r="ACH21">
        <v>-233.726</v>
      </c>
      <c r="ACI21">
        <v>50.016</v>
      </c>
      <c r="ACJ21" t="s">
        <v>1900</v>
      </c>
      <c r="ACK21">
        <v>15.962</v>
      </c>
      <c r="ACL21">
        <v>-14.005</v>
      </c>
      <c r="ACM21">
        <v>-76.205</v>
      </c>
      <c r="ACN21">
        <v>31.679</v>
      </c>
      <c r="ACO21" t="s">
        <v>1900</v>
      </c>
      <c r="ACP21">
        <v>3.935</v>
      </c>
      <c r="ACQ21">
        <v>-6.147</v>
      </c>
      <c r="ACR21">
        <v>-21.518</v>
      </c>
      <c r="ACS21">
        <v>13.867</v>
      </c>
      <c r="ACT21" t="s">
        <v>1900</v>
      </c>
      <c r="ACU21">
        <v>35.157</v>
      </c>
      <c r="ACV21">
        <v>-41.192</v>
      </c>
      <c r="ACW21">
        <v>-175.345</v>
      </c>
      <c r="ACX21">
        <v>49.373</v>
      </c>
      <c r="ACY21" t="s">
        <v>1900</v>
      </c>
      <c r="ACZ21">
        <v>16.787</v>
      </c>
      <c r="ADA21">
        <v>-10.028</v>
      </c>
      <c r="ADB21">
        <v>-55.904</v>
      </c>
      <c r="ADC21">
        <v>31.293</v>
      </c>
      <c r="ADD21" t="s">
        <v>1900</v>
      </c>
      <c r="ADE21">
        <v>4.198</v>
      </c>
      <c r="ADF21">
        <v>-4.673</v>
      </c>
      <c r="ADG21">
        <v>-16.143</v>
      </c>
      <c r="ADH21">
        <v>13.688</v>
      </c>
      <c r="ADI21" t="s">
        <v>1900</v>
      </c>
      <c r="ADJ21">
        <v>4.73</v>
      </c>
      <c r="ADK21">
        <v>-4.63</v>
      </c>
      <c r="ADL21">
        <v>-11.499</v>
      </c>
      <c r="ADM21">
        <v>8.994999999999999</v>
      </c>
      <c r="ADN21" t="s">
        <v>1900</v>
      </c>
      <c r="ADO21">
        <v>86.453</v>
      </c>
      <c r="ADP21">
        <v>91.246</v>
      </c>
      <c r="ADQ21">
        <v>88.146</v>
      </c>
      <c r="ADR21">
        <v>89.952</v>
      </c>
      <c r="ADS21" t="s">
        <v>1900</v>
      </c>
      <c r="ADT21">
        <v>6.116369506</v>
      </c>
      <c r="ADU21">
        <v>-3.910458212</v>
      </c>
      <c r="ADV21">
        <v>-10.78186824</v>
      </c>
      <c r="ADW21">
        <v>9.499582740999999</v>
      </c>
      <c r="ADX21" t="s">
        <v>1900</v>
      </c>
      <c r="ADY21">
        <v>6.657</v>
      </c>
      <c r="ADZ21">
        <v>-3.452</v>
      </c>
      <c r="AEA21">
        <v>-10.046</v>
      </c>
      <c r="AEB21">
        <v>9.84</v>
      </c>
      <c r="AEC21" t="s">
        <v>1900</v>
      </c>
      <c r="AED21">
        <v>6.116</v>
      </c>
      <c r="AEE21">
        <v>-3.91</v>
      </c>
      <c r="AEF21">
        <v>-10.782</v>
      </c>
      <c r="AEG21">
        <v>9.5</v>
      </c>
      <c r="AEH21" t="s">
        <v>1900</v>
      </c>
      <c r="AEI21">
        <v>5.587</v>
      </c>
      <c r="AEJ21">
        <v>-3.061</v>
      </c>
      <c r="AEK21">
        <v>-7.891</v>
      </c>
      <c r="AEL21">
        <v>9.220000000000001</v>
      </c>
      <c r="AEM21" t="s">
        <v>1900</v>
      </c>
      <c r="AEN21">
        <v>6.51484127</v>
      </c>
      <c r="AEO21">
        <v>-3.763296091</v>
      </c>
      <c r="AEP21">
        <v>-9.732520684000001</v>
      </c>
      <c r="AEQ21">
        <v>10.496728113</v>
      </c>
      <c r="AER21" t="s">
        <v>1900</v>
      </c>
      <c r="AES21">
        <v>1.076134587</v>
      </c>
      <c r="AET21">
        <v>0.9589048</v>
      </c>
      <c r="AEU21">
        <v>0.891013016</v>
      </c>
      <c r="AEV21">
        <v>1.118076522</v>
      </c>
      <c r="AEW21" t="s">
        <v>1900</v>
      </c>
      <c r="AEX21" t="s">
        <v>1900</v>
      </c>
      <c r="AEY21" t="s">
        <v>1900</v>
      </c>
      <c r="AEZ21" t="s">
        <v>1900</v>
      </c>
      <c r="AFA21" t="s">
        <v>1900</v>
      </c>
      <c r="AFB21" t="s">
        <v>1900</v>
      </c>
      <c r="AFC21" t="s">
        <v>1900</v>
      </c>
      <c r="AFD21" t="s">
        <v>1900</v>
      </c>
      <c r="AFE21" t="s">
        <v>1900</v>
      </c>
      <c r="AFF21" t="s">
        <v>1900</v>
      </c>
      <c r="AFG21" t="s">
        <v>1900</v>
      </c>
      <c r="AFH21">
        <v>2.61</v>
      </c>
      <c r="AFI21">
        <v>3.581</v>
      </c>
      <c r="AFJ21">
        <v>7.068</v>
      </c>
      <c r="AFK21">
        <v>3.335</v>
      </c>
      <c r="AFL21" t="s">
        <v>1900</v>
      </c>
      <c r="AFM21">
        <v>4.413</v>
      </c>
      <c r="AFN21">
        <v>-5.437</v>
      </c>
      <c r="AFO21">
        <v>-15.033</v>
      </c>
      <c r="AFP21">
        <v>18.825</v>
      </c>
      <c r="AFQ21" t="s">
        <v>1900</v>
      </c>
      <c r="AFR21" t="s">
        <v>1901</v>
      </c>
      <c r="AFS21" t="s">
        <v>1901</v>
      </c>
      <c r="AFT21" t="s">
        <v>1901</v>
      </c>
      <c r="AFU21" t="s">
        <v>1901</v>
      </c>
      <c r="AFV21" t="s">
        <v>1900</v>
      </c>
      <c r="AFW21">
        <v>194.771</v>
      </c>
      <c r="AFX21">
        <v>209.54</v>
      </c>
      <c r="AFY21">
        <v>177.258</v>
      </c>
      <c r="AFZ21">
        <v>222.772</v>
      </c>
      <c r="AGA21" t="s">
        <v>1900</v>
      </c>
      <c r="AGB21">
        <v>4.121</v>
      </c>
      <c r="AGC21">
        <v>2.611</v>
      </c>
      <c r="AGD21">
        <v>0.702</v>
      </c>
      <c r="AGE21" t="s">
        <v>1900</v>
      </c>
      <c r="AGF21" t="s">
        <v>1900</v>
      </c>
      <c r="AGG21" t="s">
        <v>1900</v>
      </c>
      <c r="AGH21" t="s">
        <v>1900</v>
      </c>
      <c r="AGI21" t="s">
        <v>1900</v>
      </c>
      <c r="AGJ21" t="s">
        <v>1900</v>
      </c>
      <c r="AGK21" t="s">
        <v>1900</v>
      </c>
      <c r="AGL21" t="s">
        <v>1900</v>
      </c>
      <c r="AGM21" t="s">
        <v>1900</v>
      </c>
      <c r="AGN21" t="s">
        <v>1900</v>
      </c>
      <c r="AGO21" t="s">
        <v>1900</v>
      </c>
      <c r="AGP21" t="s">
        <v>1900</v>
      </c>
      <c r="AGQ21" t="s">
        <v>1900</v>
      </c>
      <c r="AGR21" t="s">
        <v>1900</v>
      </c>
      <c r="AGS21" t="s">
        <v>1900</v>
      </c>
      <c r="AGT21" t="s">
        <v>1900</v>
      </c>
      <c r="AGU21">
        <v>0</v>
      </c>
      <c r="AGV21">
        <v>0</v>
      </c>
      <c r="AGW21">
        <v>0</v>
      </c>
      <c r="AGX21">
        <v>0</v>
      </c>
      <c r="AGY21">
        <v>0</v>
      </c>
      <c r="AGZ21" t="s">
        <v>1900</v>
      </c>
      <c r="AHA21">
        <v>0.718</v>
      </c>
      <c r="AHB21">
        <v>1.32</v>
      </c>
      <c r="AHC21">
        <v>1.26</v>
      </c>
      <c r="AHD21">
        <v>1.831</v>
      </c>
      <c r="AHE21" t="s">
        <v>1900</v>
      </c>
      <c r="AHF21">
        <v>0.718</v>
      </c>
      <c r="AHG21">
        <v>1.32</v>
      </c>
      <c r="AHH21">
        <v>1.26</v>
      </c>
      <c r="AHI21">
        <v>1.831</v>
      </c>
      <c r="AHJ21" t="s">
        <v>1900</v>
      </c>
      <c r="AHK21">
        <v>0.599</v>
      </c>
      <c r="AHL21">
        <v>0.441</v>
      </c>
      <c r="AHM21">
        <v>0.533</v>
      </c>
      <c r="AHN21">
        <v>1.498</v>
      </c>
      <c r="AHO21" t="s">
        <v>1900</v>
      </c>
      <c r="AHP21">
        <v>11.94</v>
      </c>
      <c r="AHQ21">
        <v>11.344</v>
      </c>
      <c r="AHR21">
        <v>9.206</v>
      </c>
      <c r="AHS21">
        <v>27.724</v>
      </c>
      <c r="AHT21" t="s">
        <v>1900</v>
      </c>
      <c r="AHU21">
        <v>13.559</v>
      </c>
      <c r="AHV21">
        <v>12.795</v>
      </c>
      <c r="AHW21">
        <v>10.14</v>
      </c>
      <c r="AHX21">
        <v>38.359</v>
      </c>
      <c r="AHY21" t="s">
        <v>1900</v>
      </c>
      <c r="AHZ21">
        <v>390.345</v>
      </c>
      <c r="AIA21">
        <v>351.325</v>
      </c>
      <c r="AIB21">
        <v>629.569</v>
      </c>
      <c r="AIC21">
        <v>192.05</v>
      </c>
      <c r="AID21" t="s">
        <v>1900</v>
      </c>
      <c r="AIE21">
        <v>8.291513356999999</v>
      </c>
      <c r="AIF21">
        <v>15.663884812</v>
      </c>
      <c r="AIG21">
        <v>5.50850599</v>
      </c>
      <c r="AIH21">
        <v>0.139648987</v>
      </c>
      <c r="AII21" t="s">
        <v>1900</v>
      </c>
      <c r="AIJ21">
        <v>3.880286545</v>
      </c>
      <c r="AIK21">
        <v>5.757269255</v>
      </c>
      <c r="AIL21">
        <v>0.5355579029999999</v>
      </c>
      <c r="AIM21">
        <v>3.038720056</v>
      </c>
      <c r="AIN21" t="s">
        <v>1900</v>
      </c>
      <c r="AIO21">
        <v>40.501330207</v>
      </c>
      <c r="AIP21">
        <v>47.839667573</v>
      </c>
      <c r="AIQ21">
        <v>32.468173641</v>
      </c>
      <c r="AIR21">
        <v>19.031062264</v>
      </c>
      <c r="AIS21" t="s">
        <v>1900</v>
      </c>
      <c r="AIT21">
        <v>0</v>
      </c>
      <c r="AIU21">
        <v>0</v>
      </c>
      <c r="AIV21">
        <v>0</v>
      </c>
      <c r="AIW21">
        <v>0</v>
      </c>
      <c r="AIX21" t="s">
        <v>1900</v>
      </c>
      <c r="AIY21">
        <v>2.14618500318146</v>
      </c>
      <c r="AIZ21">
        <v>-2.30936174779594</v>
      </c>
      <c r="AJA21">
        <v>-5.88003267343998</v>
      </c>
      <c r="AJB21">
        <v>5.53850900668323</v>
      </c>
      <c r="AJC21" t="s">
        <v>1900</v>
      </c>
      <c r="AJD21">
        <v>45.3693291511974</v>
      </c>
      <c r="AJE21">
        <v>49.8812849575579</v>
      </c>
      <c r="AJF21">
        <v>51.1347089026308</v>
      </c>
      <c r="AJG21">
        <v>61.5734978586787</v>
      </c>
      <c r="AJH21" t="s">
        <v>1900</v>
      </c>
      <c r="AJI21">
        <v>76.32899999999999</v>
      </c>
      <c r="AJJ21">
        <v>64.559</v>
      </c>
      <c r="AJK21">
        <v>70.88500000000001</v>
      </c>
      <c r="AJL21">
        <v>56.631</v>
      </c>
      <c r="AJM21" t="s">
        <v>1900</v>
      </c>
      <c r="AJN21">
        <v>34.6298823714657</v>
      </c>
      <c r="AJO21">
        <v>32.2026650895476</v>
      </c>
      <c r="AJP21">
        <v>36.2466937174129</v>
      </c>
      <c r="AJQ21">
        <v>34.8695911449343</v>
      </c>
      <c r="AJR21" t="s">
        <v>1900</v>
      </c>
      <c r="AJS21">
        <v>6.51245523270989</v>
      </c>
      <c r="AJT21">
        <v>4.2618147750324</v>
      </c>
      <c r="AJU21">
        <v>2.51577937215328</v>
      </c>
      <c r="AJV21">
        <v>11.0733747555465</v>
      </c>
      <c r="AJW21" t="s">
        <v>1900</v>
      </c>
      <c r="AJX21">
        <v>24.0268688979635</v>
      </c>
      <c r="AJY21">
        <v>28.6719797319281</v>
      </c>
      <c r="AJZ21">
        <v>25.0780915052962</v>
      </c>
      <c r="AKA21">
        <v>38.102331484015</v>
      </c>
      <c r="AKB21" t="s">
        <v>1900</v>
      </c>
      <c r="AKC21">
        <v>54.5437968785858</v>
      </c>
      <c r="AKD21">
        <v>37.5695633289742</v>
      </c>
      <c r="AKE21">
        <v>27.3265500224805</v>
      </c>
      <c r="AKF21">
        <v>39.9410281181759</v>
      </c>
      <c r="AKG21" t="s">
        <v>1900</v>
      </c>
      <c r="AKH21">
        <v>0</v>
      </c>
      <c r="AKI21">
        <v>0</v>
      </c>
      <c r="AKJ21">
        <v>0</v>
      </c>
      <c r="AKK21">
        <v>0</v>
      </c>
      <c r="AKL21" t="s">
        <v>1900</v>
      </c>
      <c r="AKM21">
        <v>0</v>
      </c>
      <c r="AKN21">
        <v>0</v>
      </c>
      <c r="AKO21">
        <v>0</v>
      </c>
      <c r="AKP21">
        <v>0</v>
      </c>
      <c r="AKQ21" t="s">
        <v>1900</v>
      </c>
      <c r="AKR21">
        <v>0</v>
      </c>
      <c r="AKS21">
        <v>0</v>
      </c>
      <c r="AKT21">
        <v>0</v>
      </c>
      <c r="AKU21">
        <v>0</v>
      </c>
      <c r="AKV21" t="s">
        <v>1900</v>
      </c>
      <c r="AKW21">
        <v>50.688062092</v>
      </c>
      <c r="AKX21">
        <v>0.018921855</v>
      </c>
      <c r="AKY21">
        <v>0.009412757000000001</v>
      </c>
      <c r="AKZ21">
        <v>0</v>
      </c>
      <c r="ALA21" t="s">
        <v>1900</v>
      </c>
      <c r="ALB21">
        <v>42.162142963</v>
      </c>
      <c r="ALC21">
        <v>0.025122635</v>
      </c>
      <c r="ALD21">
        <v>0.017613588</v>
      </c>
      <c r="ALE21">
        <v>0</v>
      </c>
      <c r="ALF21" t="s">
        <v>1900</v>
      </c>
      <c r="ALG21">
        <v>0.7973812219999999</v>
      </c>
      <c r="ALH21">
        <v>0.95936767</v>
      </c>
      <c r="ALI21">
        <v>0.962640549</v>
      </c>
      <c r="ALJ21">
        <v>0.924461814</v>
      </c>
      <c r="ALK21" t="s">
        <v>1900</v>
      </c>
      <c r="ALL21">
        <v>0.663258758</v>
      </c>
      <c r="ALM21">
        <v>1.27375692</v>
      </c>
      <c r="ALN21">
        <v>1.801337683</v>
      </c>
      <c r="ALO21">
        <v>1.425159804</v>
      </c>
      <c r="ALP21" t="s">
        <v>1900</v>
      </c>
      <c r="ALQ21">
        <v>54.103147472</v>
      </c>
      <c r="ALR21">
        <v>58.205690683</v>
      </c>
      <c r="ALS21">
        <v>49.238295809</v>
      </c>
      <c r="ALT21">
        <v>61.881056813</v>
      </c>
      <c r="ALU21" t="s">
        <v>1900</v>
      </c>
      <c r="ALV21">
        <v>2.115869984</v>
      </c>
      <c r="ALW21">
        <v>1.246019285</v>
      </c>
      <c r="ALX21">
        <v>0.396249369</v>
      </c>
      <c r="ALY21" t="s">
        <v>1900</v>
      </c>
      <c r="ALZ21" t="s">
        <v>1900</v>
      </c>
      <c r="AMA21">
        <v>86.4526496635834</v>
      </c>
      <c r="AMB21">
        <v>91.24562426207081</v>
      </c>
      <c r="AMC21">
        <v>88.1461669725813</v>
      </c>
      <c r="AMD21">
        <v>89.95234845169109</v>
      </c>
      <c r="AME21" t="s">
        <v>1900</v>
      </c>
      <c r="AMF21">
        <v>91.0442572830147</v>
      </c>
      <c r="AMG21">
        <v>91.84554133362531</v>
      </c>
      <c r="AMH21">
        <v>98.6182680445128</v>
      </c>
      <c r="AMI21">
        <v>90.7812826316615</v>
      </c>
      <c r="AMJ21" t="s">
        <v>1900</v>
      </c>
      <c r="AMK21">
        <v>638.1517235233071</v>
      </c>
      <c r="AML21">
        <v>1042.28590357094</v>
      </c>
      <c r="AMM21">
        <v>743.608985380493</v>
      </c>
      <c r="AMN21">
        <v>895.257444181878</v>
      </c>
      <c r="AMO21" t="s">
        <v>1900</v>
      </c>
      <c r="AMP21">
        <v>1.07613458693313</v>
      </c>
      <c r="AMQ21">
        <v>0.958904800294717</v>
      </c>
      <c r="AMR21">
        <v>0.891013015501096</v>
      </c>
      <c r="AMS21">
        <v>1.11807652175515</v>
      </c>
      <c r="AMT21" t="s">
        <v>1900</v>
      </c>
      <c r="AMU21">
        <v>1.07613458693313</v>
      </c>
      <c r="AMV21">
        <v>0.958904800294717</v>
      </c>
      <c r="AMW21">
        <v>0.891013015501096</v>
      </c>
      <c r="AMX21">
        <v>1.11807652175515</v>
      </c>
      <c r="AMY21" t="s">
        <v>1900</v>
      </c>
      <c r="AMZ21">
        <v>1.07613458693313</v>
      </c>
      <c r="ANA21">
        <v>0.958904800294717</v>
      </c>
      <c r="ANB21">
        <v>0.8910130155798101</v>
      </c>
      <c r="ANC21">
        <v>1.11807652175515</v>
      </c>
      <c r="AND21" t="s">
        <v>1900</v>
      </c>
      <c r="ANE21">
        <v>6.11636950557455</v>
      </c>
      <c r="ANF21">
        <v>-3.91045821246336</v>
      </c>
      <c r="ANG21">
        <v>-10.7818682402476</v>
      </c>
      <c r="ANH21">
        <v>9.499582740731929</v>
      </c>
      <c r="ANI21" t="s">
        <v>1900</v>
      </c>
      <c r="ANJ21">
        <v>6.44121748807524</v>
      </c>
      <c r="ANK21">
        <v>-3.93616849345743</v>
      </c>
      <c r="ANL21">
        <v>-12.0627953393379</v>
      </c>
      <c r="ANM21">
        <v>9.587123855164069</v>
      </c>
      <c r="ANN21" t="s">
        <v>1900</v>
      </c>
      <c r="ANO21">
        <v>6.51484127037218</v>
      </c>
      <c r="ANP21">
        <v>-3.76329609139797</v>
      </c>
      <c r="ANQ21">
        <v>-9.732520683678541</v>
      </c>
      <c r="ANR21">
        <v>10.4967281128851</v>
      </c>
      <c r="ANS21" t="s">
        <v>1900</v>
      </c>
      <c r="ANT21">
        <v>15.9619593934702</v>
      </c>
      <c r="ANU21">
        <v>-14.0046455366104</v>
      </c>
      <c r="ANV21">
        <v>-76.20468770468069</v>
      </c>
      <c r="ANW21">
        <v>31.6793209625176</v>
      </c>
      <c r="ANX21" t="s">
        <v>1900</v>
      </c>
      <c r="ANY21">
        <v>86.4526496635834</v>
      </c>
      <c r="ANZ21">
        <v>91.24562426207081</v>
      </c>
      <c r="AOA21">
        <v>88.1461670440308</v>
      </c>
      <c r="AOB21">
        <v>89.95234845169109</v>
      </c>
      <c r="AOC21" t="s">
        <v>1900</v>
      </c>
      <c r="AOD21">
        <v>92.08490256319681</v>
      </c>
      <c r="AOE21">
        <v>87.8117812506446</v>
      </c>
      <c r="AOF21">
        <v>79.56732304010499</v>
      </c>
      <c r="AOG21">
        <v>99.3944018998202</v>
      </c>
      <c r="AOH21" t="s">
        <v>1900</v>
      </c>
      <c r="AOI21">
        <v>71.9109949005814</v>
      </c>
      <c r="AOJ21" t="s">
        <v>1901</v>
      </c>
      <c r="AOK21" t="s">
        <v>1901</v>
      </c>
      <c r="AOL21" t="s">
        <v>1901</v>
      </c>
      <c r="AOM21" t="s">
        <v>1900</v>
      </c>
      <c r="AON21">
        <v>45.1480869224525</v>
      </c>
      <c r="AOO21">
        <v>-44.6686129260011</v>
      </c>
      <c r="AOP21">
        <v>-90.9568093316026</v>
      </c>
      <c r="AOQ21">
        <v>94.5453043933514</v>
      </c>
      <c r="AOR21" t="s">
        <v>1900</v>
      </c>
      <c r="AOS21">
        <v>7.61345869331342</v>
      </c>
      <c r="AOT21">
        <v>-4.1095199705283</v>
      </c>
      <c r="AOU21">
        <v>-10.8986984498904</v>
      </c>
      <c r="AOV21">
        <v>11.8076521755148</v>
      </c>
      <c r="AOW21" t="s">
        <v>1900</v>
      </c>
      <c r="AOX21">
        <v>5.0875735797224</v>
      </c>
      <c r="AOY21">
        <v>-5.1919335658902</v>
      </c>
      <c r="AOZ21">
        <v>-20.1755323621473</v>
      </c>
      <c r="APA21">
        <v>14.6446540761933</v>
      </c>
      <c r="APB21" t="s">
        <v>1900</v>
      </c>
      <c r="APC21">
        <v>5.04661445152683</v>
      </c>
      <c r="APD21">
        <v>-3.51937132374164</v>
      </c>
      <c r="APE21">
        <v>-8.62678832830397</v>
      </c>
      <c r="APF21">
        <v>8.87918147468133</v>
      </c>
      <c r="APG21" t="s">
        <v>1900</v>
      </c>
      <c r="APH21">
        <v>5.3146464142039</v>
      </c>
      <c r="API21">
        <v>-3.54251030662797</v>
      </c>
      <c r="APJ21">
        <v>-9.651683708363541</v>
      </c>
      <c r="APK21">
        <v>8.961005430822681</v>
      </c>
      <c r="APL21" t="s">
        <v>1900</v>
      </c>
      <c r="APM21">
        <v>37.2516715535216</v>
      </c>
      <c r="APN21">
        <v>-40.2012825254188</v>
      </c>
      <c r="APO21">
        <v>-72.7763615393263</v>
      </c>
      <c r="APP21">
        <v>88.37071460918411</v>
      </c>
      <c r="APQ21" t="s">
        <v>1900</v>
      </c>
      <c r="APR21">
        <v>6.28186224405827</v>
      </c>
      <c r="APS21">
        <v>-3.69852481546149</v>
      </c>
      <c r="APT21">
        <v>-8.720266514688911</v>
      </c>
      <c r="APU21">
        <v>11.0365148994148</v>
      </c>
      <c r="APV21" t="s">
        <v>1900</v>
      </c>
      <c r="APW21">
        <v>5.37539337257147</v>
      </c>
      <c r="APX21">
        <v>-3.38692696027349</v>
      </c>
      <c r="APY21">
        <v>-7.78718436991462</v>
      </c>
      <c r="APZ21">
        <v>9.811205012728291</v>
      </c>
      <c r="AQA21" t="s">
        <v>1900</v>
      </c>
      <c r="AQB21">
        <v>4.19775527414303</v>
      </c>
      <c r="AQC21">
        <v>-4.67268568382302</v>
      </c>
      <c r="AQD21">
        <v>-16.1428467887764</v>
      </c>
      <c r="AQE21">
        <v>13.6882371284482</v>
      </c>
      <c r="AQF21" t="s">
        <v>1900</v>
      </c>
      <c r="AQG21">
        <v>0.0761345869331342</v>
      </c>
      <c r="AQH21">
        <v>-0.041095199705283</v>
      </c>
      <c r="AQI21">
        <v>-0.108986984420189</v>
      </c>
      <c r="AQJ21">
        <v>0.118076521755148</v>
      </c>
      <c r="AQK21">
        <v>1</v>
      </c>
      <c r="AQO21" t="s">
        <v>1902</v>
      </c>
      <c r="AQP21">
        <v>1</v>
      </c>
      <c r="AQQ21">
        <v>0</v>
      </c>
      <c r="AQS21" t="s">
        <v>1905</v>
      </c>
      <c r="AQU21" t="s">
        <v>1906</v>
      </c>
      <c r="AQV21" t="s">
        <v>1900</v>
      </c>
      <c r="AQW21">
        <v>1270341.20076352</v>
      </c>
      <c r="AQX21">
        <v>1695963.67789097</v>
      </c>
      <c r="AQY21" t="s">
        <v>1900</v>
      </c>
      <c r="AQZ21">
        <v>77698.76182024959</v>
      </c>
      <c r="ARA21">
        <v>-66319.9509224832</v>
      </c>
      <c r="ARB21">
        <v>2966304.87865449</v>
      </c>
      <c r="ARC21">
        <v>11378.81089776639</v>
      </c>
      <c r="ARD21">
        <v>0.003850793771772703</v>
      </c>
      <c r="ARE21">
        <v>0.003850793771772703</v>
      </c>
      <c r="ARF21">
        <v>0.003850793771772703</v>
      </c>
      <c r="ARG21">
        <v>0.003850793771772703</v>
      </c>
      <c r="ARH21">
        <v>0.003850793771772703</v>
      </c>
      <c r="ARI21">
        <v>0.003850793771772703</v>
      </c>
      <c r="ARJ21" t="s">
        <v>1182</v>
      </c>
      <c r="ARK21" t="s">
        <v>1520</v>
      </c>
      <c r="ARL21" t="s">
        <v>1909</v>
      </c>
      <c r="ARP21" t="s">
        <v>1907</v>
      </c>
      <c r="ARQ21" t="s">
        <v>1911</v>
      </c>
    </row>
    <row r="22" spans="1:1163">
      <c r="A22">
        <v>582</v>
      </c>
      <c r="B22" t="s">
        <v>1183</v>
      </c>
      <c r="C22" t="s">
        <v>1306</v>
      </c>
      <c r="E22" s="2">
        <v>42208</v>
      </c>
      <c r="F22" t="s">
        <v>1431</v>
      </c>
      <c r="G22" t="s">
        <v>1433</v>
      </c>
      <c r="H22" t="s">
        <v>1434</v>
      </c>
      <c r="I22" t="s">
        <v>1437</v>
      </c>
      <c r="J22" t="s">
        <v>1453</v>
      </c>
      <c r="L22" t="s">
        <v>1521</v>
      </c>
      <c r="N22" t="s">
        <v>1624</v>
      </c>
      <c r="O22" t="s">
        <v>1648</v>
      </c>
      <c r="P22">
        <v>6209</v>
      </c>
      <c r="Q22">
        <v>6209</v>
      </c>
      <c r="R22" t="s">
        <v>1692</v>
      </c>
      <c r="Z22" t="s">
        <v>1899</v>
      </c>
      <c r="AA22" s="2">
        <v>45657</v>
      </c>
      <c r="AB22">
        <v>2024</v>
      </c>
      <c r="AC22">
        <v>1138358.52611539</v>
      </c>
      <c r="AD22">
        <v>805438.054920702</v>
      </c>
      <c r="AE22">
        <v>485098.076049763</v>
      </c>
      <c r="AF22" t="s">
        <v>1900</v>
      </c>
      <c r="AG22" t="s">
        <v>1900</v>
      </c>
      <c r="AH22">
        <v>1138358.52611539</v>
      </c>
      <c r="AI22">
        <v>805438.054920702</v>
      </c>
      <c r="AJ22">
        <v>485098.076049763</v>
      </c>
      <c r="AK22" t="s">
        <v>1900</v>
      </c>
      <c r="AL22" t="s">
        <v>1900</v>
      </c>
      <c r="AM22">
        <v>49041.470997144</v>
      </c>
      <c r="AN22">
        <v>53078.1794708347</v>
      </c>
      <c r="AO22">
        <v>36523.2249645948</v>
      </c>
      <c r="AP22" t="s">
        <v>1900</v>
      </c>
      <c r="AQ22" t="s">
        <v>1900</v>
      </c>
      <c r="AR22">
        <v>1089317.05511824</v>
      </c>
      <c r="AS22">
        <v>752359.875449867</v>
      </c>
      <c r="AT22">
        <v>448574.851085168</v>
      </c>
      <c r="AU22" t="s">
        <v>1900</v>
      </c>
      <c r="AV22" t="s">
        <v>1900</v>
      </c>
      <c r="AW22">
        <v>855671.176785405</v>
      </c>
      <c r="AX22">
        <v>593671.671382551</v>
      </c>
      <c r="AY22">
        <v>310782.153782451</v>
      </c>
      <c r="AZ22" t="s">
        <v>1900</v>
      </c>
      <c r="BA22" t="s">
        <v>1900</v>
      </c>
      <c r="BB22">
        <v>233645.878332838</v>
      </c>
      <c r="BC22">
        <v>158688.204067316</v>
      </c>
      <c r="BD22">
        <v>137792.697302717</v>
      </c>
      <c r="BE22" t="s">
        <v>1900</v>
      </c>
      <c r="BF22" t="s">
        <v>1900</v>
      </c>
      <c r="BG22">
        <v>-22581.2710851383</v>
      </c>
      <c r="BH22">
        <v>-6489.99941263199</v>
      </c>
      <c r="BI22">
        <v>-1232.33731613934</v>
      </c>
      <c r="BJ22" t="s">
        <v>1900</v>
      </c>
      <c r="BK22" t="s">
        <v>1900</v>
      </c>
      <c r="BL22">
        <v>17.526235255003</v>
      </c>
      <c r="BM22" t="s">
        <v>1900</v>
      </c>
      <c r="BN22">
        <v>125.496095788479</v>
      </c>
      <c r="BO22" t="s">
        <v>1900</v>
      </c>
      <c r="BP22" t="s">
        <v>1900</v>
      </c>
      <c r="BQ22">
        <v>22598.7973203933</v>
      </c>
      <c r="BR22">
        <v>6489.99941263199</v>
      </c>
      <c r="BS22">
        <v>1357.83447852731</v>
      </c>
      <c r="BT22" t="s">
        <v>1900</v>
      </c>
      <c r="BU22" t="s">
        <v>1900</v>
      </c>
      <c r="BV22">
        <v>211064.6072477</v>
      </c>
      <c r="BW22">
        <v>152198.204654684</v>
      </c>
      <c r="BX22">
        <v>136560.358919978</v>
      </c>
      <c r="BY22" t="s">
        <v>1900</v>
      </c>
      <c r="BZ22" t="s">
        <v>1900</v>
      </c>
      <c r="CA22">
        <v>52882.646214695</v>
      </c>
      <c r="CB22">
        <v>35658.6643531704</v>
      </c>
      <c r="CC22">
        <v>34140.1003959894</v>
      </c>
      <c r="CD22" t="s">
        <v>1900</v>
      </c>
      <c r="CE22" t="s">
        <v>1900</v>
      </c>
      <c r="CF22">
        <v>158181.961033005</v>
      </c>
      <c r="CG22">
        <v>116539.539196513</v>
      </c>
      <c r="CH22">
        <v>102420.258523989</v>
      </c>
      <c r="CI22" t="s">
        <v>1900</v>
      </c>
      <c r="CJ22" t="s">
        <v>1900</v>
      </c>
      <c r="CK22" t="s">
        <v>1900</v>
      </c>
      <c r="CL22" t="s">
        <v>1900</v>
      </c>
      <c r="CM22" t="s">
        <v>1900</v>
      </c>
      <c r="CN22" t="s">
        <v>1900</v>
      </c>
      <c r="CO22" t="s">
        <v>1900</v>
      </c>
      <c r="CP22" t="s">
        <v>1900</v>
      </c>
      <c r="CQ22" t="s">
        <v>1900</v>
      </c>
      <c r="CR22" t="s">
        <v>1900</v>
      </c>
      <c r="CS22" t="s">
        <v>1900</v>
      </c>
      <c r="CT22" t="s">
        <v>1900</v>
      </c>
      <c r="CU22" t="s">
        <v>1900</v>
      </c>
      <c r="CV22" t="s">
        <v>1900</v>
      </c>
      <c r="CW22" t="s">
        <v>1900</v>
      </c>
      <c r="CX22" t="s">
        <v>1900</v>
      </c>
      <c r="CY22" t="s">
        <v>1900</v>
      </c>
      <c r="CZ22">
        <v>158181.961033005</v>
      </c>
      <c r="DA22">
        <v>116539.539196513</v>
      </c>
      <c r="DB22">
        <v>102420.258523989</v>
      </c>
      <c r="DC22" t="s">
        <v>1900</v>
      </c>
      <c r="DD22" t="s">
        <v>1900</v>
      </c>
      <c r="DE22" t="s">
        <v>1900</v>
      </c>
      <c r="DF22" t="s">
        <v>1900</v>
      </c>
      <c r="DG22" t="s">
        <v>1900</v>
      </c>
      <c r="DH22" t="s">
        <v>1900</v>
      </c>
      <c r="DI22" t="s">
        <v>1900</v>
      </c>
      <c r="DJ22">
        <v>49041.470997144</v>
      </c>
      <c r="DK22">
        <v>53078.1794708347</v>
      </c>
      <c r="DL22">
        <v>36523.2249645948</v>
      </c>
      <c r="DM22" t="s">
        <v>1900</v>
      </c>
      <c r="DN22" t="s">
        <v>1900</v>
      </c>
      <c r="DO22">
        <v>640935.805011848</v>
      </c>
      <c r="DP22">
        <v>461131.823350296</v>
      </c>
      <c r="DQ22">
        <v>293226.683491355</v>
      </c>
      <c r="DR22" t="s">
        <v>1900</v>
      </c>
      <c r="DS22" t="s">
        <v>1900</v>
      </c>
      <c r="DT22">
        <v>24622.8541289449</v>
      </c>
      <c r="DU22">
        <v>11086.337375412</v>
      </c>
      <c r="DV22">
        <v>2023.90452695489</v>
      </c>
      <c r="DW22" t="s">
        <v>1900</v>
      </c>
      <c r="DX22" t="s">
        <v>1900</v>
      </c>
      <c r="DY22">
        <v>190112.517644612</v>
      </c>
      <c r="DZ22">
        <v>121453.509551843</v>
      </c>
      <c r="EA22">
        <v>15531.5657641411</v>
      </c>
      <c r="EB22" t="s">
        <v>1900</v>
      </c>
      <c r="EC22" t="s">
        <v>1900</v>
      </c>
      <c r="ED22">
        <v>22580.2737415791</v>
      </c>
      <c r="EE22">
        <v>6351.84120062828</v>
      </c>
      <c r="EF22">
        <v>1357.83447852731</v>
      </c>
      <c r="EG22" t="s">
        <v>1900</v>
      </c>
      <c r="EH22" t="s">
        <v>1900</v>
      </c>
      <c r="EI22" t="s">
        <v>1900</v>
      </c>
      <c r="EJ22" t="s">
        <v>1900</v>
      </c>
      <c r="EK22" t="s">
        <v>1900</v>
      </c>
      <c r="EL22" t="s">
        <v>1900</v>
      </c>
      <c r="EM22" t="s">
        <v>1900</v>
      </c>
      <c r="EN22">
        <v>182804.815161949</v>
      </c>
      <c r="EO22">
        <v>127625.877676926</v>
      </c>
      <c r="EP22">
        <v>104444.161984344</v>
      </c>
      <c r="EQ22" t="s">
        <v>1900</v>
      </c>
      <c r="ER22" t="s">
        <v>1900</v>
      </c>
      <c r="ES22">
        <v>899203.540130072</v>
      </c>
      <c r="ET22">
        <v>630768.20658102</v>
      </c>
      <c r="EU22">
        <v>433168.781416816</v>
      </c>
      <c r="EV22" t="s">
        <v>1900</v>
      </c>
      <c r="EW22" t="s">
        <v>1900</v>
      </c>
      <c r="EX22">
        <v>258268.732461783</v>
      </c>
      <c r="EY22">
        <v>169774.541442728</v>
      </c>
      <c r="EZ22">
        <v>139816.601829672</v>
      </c>
      <c r="FA22" t="s">
        <v>1900</v>
      </c>
      <c r="FB22" t="s">
        <v>1900</v>
      </c>
      <c r="FC22">
        <v>579402.2527090641</v>
      </c>
      <c r="FD22">
        <v>473102.050622387</v>
      </c>
      <c r="FE22">
        <v>97052.8205852211</v>
      </c>
      <c r="FF22" t="s">
        <v>1900</v>
      </c>
      <c r="FG22" t="s">
        <v>1900</v>
      </c>
      <c r="FH22">
        <v>42713.5962274873</v>
      </c>
      <c r="FI22">
        <v>51110.1956876278</v>
      </c>
      <c r="FJ22">
        <v>54815.566178149</v>
      </c>
      <c r="FK22" t="s">
        <v>1900</v>
      </c>
      <c r="FL22" t="s">
        <v>1900</v>
      </c>
      <c r="FM22">
        <v>530987.477081978</v>
      </c>
      <c r="FN22">
        <v>399162.191089087</v>
      </c>
      <c r="FO22">
        <v>7720.86837761998</v>
      </c>
      <c r="FP22" t="s">
        <v>1900</v>
      </c>
      <c r="FQ22" t="s">
        <v>1900</v>
      </c>
      <c r="FR22">
        <v>5701.17939959884</v>
      </c>
      <c r="FS22">
        <v>22829.6638456726</v>
      </c>
      <c r="FT22">
        <v>34516.3860294521</v>
      </c>
      <c r="FU22" t="s">
        <v>1900</v>
      </c>
      <c r="FV22" t="s">
        <v>1900</v>
      </c>
      <c r="FW22">
        <v>42713.5962274873</v>
      </c>
      <c r="FX22">
        <v>51110.1956876278</v>
      </c>
      <c r="FY22">
        <v>54815.566178149</v>
      </c>
      <c r="FZ22" t="s">
        <v>1900</v>
      </c>
      <c r="GA22" t="s">
        <v>1900</v>
      </c>
      <c r="GB22">
        <v>530987.477081978</v>
      </c>
      <c r="GC22">
        <v>399162.191089087</v>
      </c>
      <c r="GD22">
        <v>7720.86837761998</v>
      </c>
      <c r="GE22" t="s">
        <v>1900</v>
      </c>
      <c r="GF22" t="s">
        <v>1900</v>
      </c>
      <c r="GG22">
        <v>5701.17939959884</v>
      </c>
      <c r="GH22">
        <v>22829.6638456726</v>
      </c>
      <c r="GI22">
        <v>34516.3860294521</v>
      </c>
      <c r="GJ22" t="s">
        <v>1900</v>
      </c>
      <c r="GK22" t="s">
        <v>1900</v>
      </c>
      <c r="GL22">
        <v>366069.29142577</v>
      </c>
      <c r="GM22">
        <v>210472.427957439</v>
      </c>
      <c r="GN22">
        <v>209809.921389717</v>
      </c>
      <c r="GO22" t="s">
        <v>1900</v>
      </c>
      <c r="GP22" t="s">
        <v>1900</v>
      </c>
      <c r="GQ22">
        <v>6662.46275579929</v>
      </c>
      <c r="GR22">
        <v>641.784288024902</v>
      </c>
      <c r="GS22">
        <v>0</v>
      </c>
      <c r="GT22" t="s">
        <v>1900</v>
      </c>
      <c r="GU22" t="s">
        <v>1900</v>
      </c>
      <c r="GV22">
        <v>9763.473995435241</v>
      </c>
      <c r="GW22">
        <v>78642.4543437672</v>
      </c>
      <c r="GX22">
        <v>18763.7355233848</v>
      </c>
      <c r="GY22" t="s">
        <v>1900</v>
      </c>
      <c r="GZ22" t="s">
        <v>1900</v>
      </c>
      <c r="HA22">
        <v>349643.354674536</v>
      </c>
      <c r="HB22">
        <v>131188.189325647</v>
      </c>
      <c r="HC22">
        <v>191046.185866332</v>
      </c>
      <c r="HD22" t="s">
        <v>1900</v>
      </c>
      <c r="HE22" t="s">
        <v>1900</v>
      </c>
      <c r="HF22">
        <v>349461.942036704</v>
      </c>
      <c r="HG22">
        <v>131188.189325647</v>
      </c>
      <c r="HH22">
        <v>191046.185866332</v>
      </c>
      <c r="HI22" t="s">
        <v>1900</v>
      </c>
      <c r="HJ22" t="s">
        <v>1900</v>
      </c>
      <c r="HK22">
        <v>945471.544134835</v>
      </c>
      <c r="HL22">
        <v>683574.478579826</v>
      </c>
      <c r="HM22">
        <v>306862.741974938</v>
      </c>
      <c r="HN22" t="s">
        <v>1900</v>
      </c>
      <c r="HO22" t="s">
        <v>1900</v>
      </c>
      <c r="HP22">
        <v>413748.93134872</v>
      </c>
      <c r="HQ22">
        <v>327077.682638445</v>
      </c>
      <c r="HR22">
        <v>245885.49454909</v>
      </c>
      <c r="HS22" t="s">
        <v>1900</v>
      </c>
      <c r="HT22" t="s">
        <v>1900</v>
      </c>
      <c r="HU22">
        <v>37230.0870596981</v>
      </c>
      <c r="HV22">
        <v>39598.8861714935</v>
      </c>
      <c r="HW22">
        <v>38222.7445891857</v>
      </c>
      <c r="HX22" t="s">
        <v>1900</v>
      </c>
      <c r="HY22" t="s">
        <v>1900</v>
      </c>
      <c r="HZ22">
        <v>376518.843250122</v>
      </c>
      <c r="IA22">
        <v>287478.796466951</v>
      </c>
      <c r="IB22">
        <v>207662.748893304</v>
      </c>
      <c r="IC22" t="s">
        <v>1900</v>
      </c>
      <c r="ID22" t="s">
        <v>1900</v>
      </c>
      <c r="IE22">
        <v>393785.178045877</v>
      </c>
      <c r="IF22">
        <v>330274.040222931</v>
      </c>
      <c r="IG22">
        <v>0</v>
      </c>
      <c r="IH22" t="s">
        <v>1900</v>
      </c>
      <c r="II22" t="s">
        <v>1900</v>
      </c>
      <c r="IJ22">
        <v>393785.178045877</v>
      </c>
      <c r="IK22">
        <v>330274.040222931</v>
      </c>
      <c r="IL22" t="s">
        <v>1900</v>
      </c>
      <c r="IM22" t="s">
        <v>1900</v>
      </c>
      <c r="IN22" t="s">
        <v>1900</v>
      </c>
      <c r="IO22">
        <v>0</v>
      </c>
      <c r="IP22">
        <v>0</v>
      </c>
      <c r="IQ22" t="s">
        <v>1900</v>
      </c>
      <c r="IR22" t="s">
        <v>1900</v>
      </c>
      <c r="IS22" t="s">
        <v>1900</v>
      </c>
      <c r="IT22">
        <v>0</v>
      </c>
      <c r="IU22">
        <v>0</v>
      </c>
      <c r="IV22" t="s">
        <v>1900</v>
      </c>
      <c r="IW22" t="s">
        <v>1900</v>
      </c>
      <c r="IX22" t="s">
        <v>1900</v>
      </c>
      <c r="IY22">
        <v>137937.434740238</v>
      </c>
      <c r="IZ22">
        <v>26222.7557184505</v>
      </c>
      <c r="JA22">
        <v>60977.2474258482</v>
      </c>
      <c r="JB22" t="s">
        <v>1900</v>
      </c>
      <c r="JC22" t="s">
        <v>1900</v>
      </c>
      <c r="JD22">
        <v>0</v>
      </c>
      <c r="JE22">
        <v>0</v>
      </c>
      <c r="JF22">
        <v>0</v>
      </c>
      <c r="JG22" t="s">
        <v>1900</v>
      </c>
      <c r="JH22" t="s">
        <v>1900</v>
      </c>
      <c r="JI22">
        <v>0</v>
      </c>
      <c r="JJ22">
        <v>0</v>
      </c>
      <c r="JK22">
        <v>0</v>
      </c>
      <c r="JL22" t="s">
        <v>1900</v>
      </c>
      <c r="JM22" t="s">
        <v>1900</v>
      </c>
      <c r="JN22">
        <v>137937.434740238</v>
      </c>
      <c r="JO22">
        <v>26222.7557184505</v>
      </c>
      <c r="JP22">
        <v>60977.2474258482</v>
      </c>
      <c r="JQ22" t="s">
        <v>1900</v>
      </c>
      <c r="JR22" t="s">
        <v>1900</v>
      </c>
      <c r="JS22">
        <v>945471.544134835</v>
      </c>
      <c r="JT22">
        <v>683574.478579826</v>
      </c>
      <c r="JU22">
        <v>306862.741974938</v>
      </c>
      <c r="JV22" t="s">
        <v>1900</v>
      </c>
      <c r="JW22" t="s">
        <v>1900</v>
      </c>
      <c r="JX22">
        <v>16425.9367512345</v>
      </c>
      <c r="JY22">
        <v>79284.2386317921</v>
      </c>
      <c r="JZ22">
        <v>18763.7355233848</v>
      </c>
      <c r="KA22" t="s">
        <v>1900</v>
      </c>
      <c r="KB22" t="s">
        <v>1900</v>
      </c>
      <c r="KC22" t="s">
        <v>1900</v>
      </c>
      <c r="KD22" t="s">
        <v>1900</v>
      </c>
      <c r="KE22" t="s">
        <v>1900</v>
      </c>
      <c r="KF22" t="s">
        <v>1900</v>
      </c>
      <c r="KG22" t="s">
        <v>1900</v>
      </c>
      <c r="KH22" t="s">
        <v>1900</v>
      </c>
      <c r="KI22" t="s">
        <v>1900</v>
      </c>
      <c r="KJ22" t="s">
        <v>1900</v>
      </c>
      <c r="KK22" t="s">
        <v>1900</v>
      </c>
      <c r="KL22" t="s">
        <v>1900</v>
      </c>
      <c r="KM22">
        <v>15</v>
      </c>
      <c r="KN22">
        <v>13</v>
      </c>
      <c r="KO22">
        <v>8</v>
      </c>
      <c r="KP22" t="s">
        <v>1900</v>
      </c>
      <c r="KQ22" t="s">
        <v>1900</v>
      </c>
      <c r="KR22" t="s">
        <v>1900</v>
      </c>
      <c r="KS22" t="s">
        <v>1900</v>
      </c>
      <c r="KT22" t="s">
        <v>1900</v>
      </c>
      <c r="KU22" t="s">
        <v>1900</v>
      </c>
      <c r="KV22" t="s">
        <v>1900</v>
      </c>
      <c r="KW22" t="s">
        <v>1900</v>
      </c>
      <c r="KX22" t="s">
        <v>1900</v>
      </c>
      <c r="KY22" t="s">
        <v>1900</v>
      </c>
      <c r="KZ22" t="s">
        <v>1900</v>
      </c>
      <c r="LA22" t="s">
        <v>1900</v>
      </c>
      <c r="LB22" t="s">
        <v>1900</v>
      </c>
      <c r="LC22" t="s">
        <v>1900</v>
      </c>
      <c r="LD22" t="s">
        <v>1900</v>
      </c>
      <c r="LE22" t="s">
        <v>1900</v>
      </c>
      <c r="LF22" t="s">
        <v>1900</v>
      </c>
      <c r="LG22" t="s">
        <v>1900</v>
      </c>
      <c r="LH22" t="s">
        <v>1900</v>
      </c>
      <c r="LI22" t="s">
        <v>1900</v>
      </c>
      <c r="LJ22" t="s">
        <v>1900</v>
      </c>
      <c r="LK22" t="s">
        <v>1900</v>
      </c>
      <c r="LL22" t="s">
        <v>1900</v>
      </c>
      <c r="LM22" t="s">
        <v>1900</v>
      </c>
      <c r="LN22" t="s">
        <v>1900</v>
      </c>
      <c r="LO22" t="s">
        <v>1900</v>
      </c>
      <c r="LP22" t="s">
        <v>1900</v>
      </c>
      <c r="LQ22" t="s">
        <v>1900</v>
      </c>
      <c r="LR22" t="s">
        <v>1900</v>
      </c>
      <c r="LS22" t="s">
        <v>1900</v>
      </c>
      <c r="LT22" t="s">
        <v>1900</v>
      </c>
      <c r="LU22" t="s">
        <v>1900</v>
      </c>
      <c r="LV22" t="s">
        <v>1900</v>
      </c>
      <c r="LW22" t="s">
        <v>1900</v>
      </c>
      <c r="LX22" t="s">
        <v>1900</v>
      </c>
      <c r="LY22" t="s">
        <v>1900</v>
      </c>
      <c r="LZ22" t="s">
        <v>1900</v>
      </c>
      <c r="MA22" t="s">
        <v>1900</v>
      </c>
      <c r="MB22" t="s">
        <v>1900</v>
      </c>
      <c r="MC22" t="s">
        <v>1900</v>
      </c>
      <c r="MD22" t="s">
        <v>1900</v>
      </c>
      <c r="ME22" t="s">
        <v>1900</v>
      </c>
      <c r="MF22" t="s">
        <v>1900</v>
      </c>
      <c r="MG22" t="s">
        <v>1900</v>
      </c>
      <c r="MH22" t="s">
        <v>1900</v>
      </c>
      <c r="MI22" t="s">
        <v>1900</v>
      </c>
      <c r="MJ22" t="s">
        <v>1900</v>
      </c>
      <c r="MK22" t="s">
        <v>1900</v>
      </c>
      <c r="ML22" t="s">
        <v>1900</v>
      </c>
      <c r="MM22" t="s">
        <v>1900</v>
      </c>
      <c r="MN22" t="s">
        <v>1900</v>
      </c>
      <c r="MO22" t="s">
        <v>1900</v>
      </c>
      <c r="MP22">
        <v>349643.354674536</v>
      </c>
      <c r="MQ22">
        <v>131188.189325647</v>
      </c>
      <c r="MR22">
        <v>191046.185866332</v>
      </c>
      <c r="MS22" t="s">
        <v>1900</v>
      </c>
      <c r="MT22" t="s">
        <v>1900</v>
      </c>
      <c r="MU22" t="s">
        <v>1900</v>
      </c>
      <c r="MV22" t="s">
        <v>1900</v>
      </c>
      <c r="MW22" t="s">
        <v>1900</v>
      </c>
      <c r="MX22" t="s">
        <v>1900</v>
      </c>
      <c r="MY22" t="s">
        <v>1900</v>
      </c>
      <c r="MZ22" t="s">
        <v>1900</v>
      </c>
      <c r="NA22" t="s">
        <v>1900</v>
      </c>
      <c r="NB22" t="s">
        <v>1900</v>
      </c>
      <c r="NC22" t="s">
        <v>1900</v>
      </c>
      <c r="ND22" t="s">
        <v>1900</v>
      </c>
      <c r="NE22" t="s">
        <v>1900</v>
      </c>
      <c r="NF22" t="s">
        <v>1900</v>
      </c>
      <c r="NG22" t="s">
        <v>1900</v>
      </c>
      <c r="NH22" t="s">
        <v>1900</v>
      </c>
      <c r="NI22" t="s">
        <v>1900</v>
      </c>
      <c r="NJ22" t="s">
        <v>1900</v>
      </c>
      <c r="NK22" t="s">
        <v>1900</v>
      </c>
      <c r="NL22" t="s">
        <v>1900</v>
      </c>
      <c r="NM22" t="s">
        <v>1900</v>
      </c>
      <c r="NN22" t="s">
        <v>1900</v>
      </c>
      <c r="NO22" t="s">
        <v>1900</v>
      </c>
      <c r="NP22" t="s">
        <v>1900</v>
      </c>
      <c r="NQ22" t="s">
        <v>1900</v>
      </c>
      <c r="NR22" t="s">
        <v>1900</v>
      </c>
      <c r="NS22" t="s">
        <v>1900</v>
      </c>
      <c r="NT22">
        <v>579402.2527090641</v>
      </c>
      <c r="NU22">
        <v>473102.050622387</v>
      </c>
      <c r="NV22">
        <v>97052.8205852211</v>
      </c>
      <c r="NW22" t="s">
        <v>1900</v>
      </c>
      <c r="NX22" t="s">
        <v>1900</v>
      </c>
      <c r="NY22" t="s">
        <v>1900</v>
      </c>
      <c r="NZ22" t="s">
        <v>1900</v>
      </c>
      <c r="OA22" t="s">
        <v>1900</v>
      </c>
      <c r="OB22" t="s">
        <v>1900</v>
      </c>
      <c r="OC22" t="s">
        <v>1900</v>
      </c>
      <c r="OD22" t="s">
        <v>1900</v>
      </c>
      <c r="OE22" t="s">
        <v>1900</v>
      </c>
      <c r="OF22" t="s">
        <v>1900</v>
      </c>
      <c r="OG22" t="s">
        <v>1900</v>
      </c>
      <c r="OH22" t="s">
        <v>1900</v>
      </c>
      <c r="OI22" t="s">
        <v>1900</v>
      </c>
      <c r="OJ22" t="s">
        <v>1900</v>
      </c>
      <c r="OK22" t="s">
        <v>1900</v>
      </c>
      <c r="OL22" t="s">
        <v>1900</v>
      </c>
      <c r="OM22" t="s">
        <v>1900</v>
      </c>
      <c r="ON22" t="s">
        <v>1900</v>
      </c>
      <c r="OO22" t="s">
        <v>1900</v>
      </c>
      <c r="OP22" t="s">
        <v>1900</v>
      </c>
      <c r="OQ22" t="s">
        <v>1900</v>
      </c>
      <c r="OR22" t="s">
        <v>1900</v>
      </c>
      <c r="OS22" t="s">
        <v>1900</v>
      </c>
      <c r="OT22" t="s">
        <v>1900</v>
      </c>
      <c r="OU22" t="s">
        <v>1900</v>
      </c>
      <c r="OV22" t="s">
        <v>1900</v>
      </c>
      <c r="OW22" t="s">
        <v>1900</v>
      </c>
      <c r="OX22" t="s">
        <v>1900</v>
      </c>
      <c r="OY22" t="s">
        <v>1900</v>
      </c>
      <c r="OZ22" t="s">
        <v>1900</v>
      </c>
      <c r="PA22" t="s">
        <v>1900</v>
      </c>
      <c r="PB22" t="s">
        <v>1900</v>
      </c>
      <c r="PC22" t="s">
        <v>1900</v>
      </c>
      <c r="PD22" t="s">
        <v>1900</v>
      </c>
      <c r="PE22" t="s">
        <v>1900</v>
      </c>
      <c r="PF22" t="s">
        <v>1900</v>
      </c>
      <c r="PG22" t="s">
        <v>1900</v>
      </c>
      <c r="PH22" t="s">
        <v>1900</v>
      </c>
      <c r="PI22" t="s">
        <v>1900</v>
      </c>
      <c r="PJ22" t="s">
        <v>1900</v>
      </c>
      <c r="PK22" t="s">
        <v>1900</v>
      </c>
      <c r="PL22" t="s">
        <v>1900</v>
      </c>
      <c r="PM22" t="s">
        <v>1900</v>
      </c>
      <c r="PN22" t="s">
        <v>1900</v>
      </c>
      <c r="PO22" t="s">
        <v>1900</v>
      </c>
      <c r="PP22" t="s">
        <v>1900</v>
      </c>
      <c r="PQ22" t="s">
        <v>1900</v>
      </c>
      <c r="PR22" t="s">
        <v>1900</v>
      </c>
      <c r="PS22" t="s">
        <v>1900</v>
      </c>
      <c r="PT22" t="s">
        <v>1900</v>
      </c>
      <c r="PU22" t="s">
        <v>1900</v>
      </c>
      <c r="PV22" t="s">
        <v>1900</v>
      </c>
      <c r="PW22" t="s">
        <v>1900</v>
      </c>
      <c r="PX22" t="s">
        <v>1900</v>
      </c>
      <c r="PY22" t="s">
        <v>1900</v>
      </c>
      <c r="PZ22" t="s">
        <v>1900</v>
      </c>
      <c r="QA22" t="s">
        <v>1900</v>
      </c>
      <c r="QB22" t="s">
        <v>1900</v>
      </c>
      <c r="QC22" t="s">
        <v>1900</v>
      </c>
      <c r="QD22" t="s">
        <v>1900</v>
      </c>
      <c r="QE22" t="s">
        <v>1900</v>
      </c>
      <c r="QF22" t="s">
        <v>1900</v>
      </c>
      <c r="QG22" t="s">
        <v>1900</v>
      </c>
      <c r="QH22" t="s">
        <v>1900</v>
      </c>
      <c r="QI22" t="s">
        <v>1900</v>
      </c>
      <c r="QJ22" t="s">
        <v>1900</v>
      </c>
      <c r="QK22" t="s">
        <v>1900</v>
      </c>
      <c r="QL22" t="s">
        <v>1900</v>
      </c>
      <c r="QM22" t="s">
        <v>1900</v>
      </c>
      <c r="QN22" t="s">
        <v>1900</v>
      </c>
      <c r="QO22" t="s">
        <v>1900</v>
      </c>
      <c r="QP22" t="s">
        <v>1900</v>
      </c>
      <c r="QQ22" t="s">
        <v>1900</v>
      </c>
      <c r="QR22" t="s">
        <v>1900</v>
      </c>
      <c r="QS22" t="s">
        <v>1900</v>
      </c>
      <c r="QT22" t="s">
        <v>1900</v>
      </c>
      <c r="QU22" t="s">
        <v>1900</v>
      </c>
      <c r="QV22" t="s">
        <v>1900</v>
      </c>
      <c r="QW22" t="s">
        <v>1900</v>
      </c>
      <c r="QX22" t="s">
        <v>1900</v>
      </c>
      <c r="QY22" t="s">
        <v>1900</v>
      </c>
      <c r="QZ22" t="s">
        <v>1900</v>
      </c>
      <c r="RA22" t="s">
        <v>1900</v>
      </c>
      <c r="RB22" t="s">
        <v>1900</v>
      </c>
      <c r="RC22" t="s">
        <v>1900</v>
      </c>
      <c r="RD22" t="s">
        <v>1900</v>
      </c>
      <c r="RE22" t="s">
        <v>1900</v>
      </c>
      <c r="RF22" t="s">
        <v>1900</v>
      </c>
      <c r="RG22" t="s">
        <v>1900</v>
      </c>
      <c r="RH22" t="s">
        <v>1900</v>
      </c>
      <c r="RI22" t="s">
        <v>1900</v>
      </c>
      <c r="RJ22" t="s">
        <v>1900</v>
      </c>
      <c r="RK22" t="s">
        <v>1900</v>
      </c>
      <c r="RL22" t="s">
        <v>1900</v>
      </c>
      <c r="RM22" t="s">
        <v>1900</v>
      </c>
      <c r="RN22" t="s">
        <v>1900</v>
      </c>
      <c r="RO22" t="s">
        <v>1900</v>
      </c>
      <c r="RP22" t="s">
        <v>1900</v>
      </c>
      <c r="RQ22" t="s">
        <v>1900</v>
      </c>
      <c r="RR22" t="s">
        <v>1900</v>
      </c>
      <c r="RS22" t="s">
        <v>1900</v>
      </c>
      <c r="RT22" t="s">
        <v>1900</v>
      </c>
      <c r="RU22" t="s">
        <v>1900</v>
      </c>
      <c r="RV22" t="s">
        <v>1900</v>
      </c>
      <c r="RW22" t="s">
        <v>1900</v>
      </c>
      <c r="RX22" t="s">
        <v>1900</v>
      </c>
      <c r="RY22" t="s">
        <v>1900</v>
      </c>
      <c r="RZ22" t="s">
        <v>1900</v>
      </c>
      <c r="SA22" t="s">
        <v>1900</v>
      </c>
      <c r="SB22" t="s">
        <v>1900</v>
      </c>
      <c r="SC22" t="s">
        <v>1900</v>
      </c>
      <c r="SD22" t="s">
        <v>1900</v>
      </c>
      <c r="SE22" t="s">
        <v>1900</v>
      </c>
      <c r="SF22" t="s">
        <v>1900</v>
      </c>
      <c r="SG22" t="s">
        <v>1900</v>
      </c>
      <c r="SH22" t="s">
        <v>1900</v>
      </c>
      <c r="SI22" t="s">
        <v>1900</v>
      </c>
      <c r="SJ22">
        <v>5701.17939959884</v>
      </c>
      <c r="SK22">
        <v>22829.6638456726</v>
      </c>
      <c r="SL22">
        <v>34516.3860294521</v>
      </c>
      <c r="SM22" t="s">
        <v>1900</v>
      </c>
      <c r="SN22" t="s">
        <v>1900</v>
      </c>
      <c r="SO22" t="s">
        <v>1900</v>
      </c>
      <c r="SP22" t="s">
        <v>1900</v>
      </c>
      <c r="SQ22" t="s">
        <v>1900</v>
      </c>
      <c r="SR22" t="s">
        <v>1900</v>
      </c>
      <c r="SS22" t="s">
        <v>1900</v>
      </c>
      <c r="ST22" t="s">
        <v>1900</v>
      </c>
      <c r="SU22" t="s">
        <v>1900</v>
      </c>
      <c r="SV22" t="s">
        <v>1900</v>
      </c>
      <c r="SW22" t="s">
        <v>1900</v>
      </c>
      <c r="SX22" t="s">
        <v>1900</v>
      </c>
      <c r="SY22" t="s">
        <v>1900</v>
      </c>
      <c r="SZ22" t="s">
        <v>1900</v>
      </c>
      <c r="TA22" t="s">
        <v>1900</v>
      </c>
      <c r="TB22" t="s">
        <v>1900</v>
      </c>
      <c r="TC22" t="s">
        <v>1900</v>
      </c>
      <c r="TD22" t="s">
        <v>1900</v>
      </c>
      <c r="TE22" t="s">
        <v>1900</v>
      </c>
      <c r="TF22" t="s">
        <v>1900</v>
      </c>
      <c r="TG22" t="s">
        <v>1900</v>
      </c>
      <c r="TH22" t="s">
        <v>1900</v>
      </c>
      <c r="TI22" t="s">
        <v>1900</v>
      </c>
      <c r="TJ22" t="s">
        <v>1900</v>
      </c>
      <c r="TK22" t="s">
        <v>1900</v>
      </c>
      <c r="TL22" t="s">
        <v>1900</v>
      </c>
      <c r="TM22" t="s">
        <v>1900</v>
      </c>
      <c r="TN22" t="s">
        <v>1900</v>
      </c>
      <c r="TO22" t="s">
        <v>1900</v>
      </c>
      <c r="TP22" t="s">
        <v>1900</v>
      </c>
      <c r="TQ22" t="s">
        <v>1900</v>
      </c>
      <c r="TR22" t="s">
        <v>1900</v>
      </c>
      <c r="TS22">
        <v>945471.544134835</v>
      </c>
      <c r="TT22">
        <v>683574.478579826</v>
      </c>
      <c r="TU22">
        <v>306862.741974938</v>
      </c>
      <c r="TV22" t="s">
        <v>1900</v>
      </c>
      <c r="TW22" t="s">
        <v>1900</v>
      </c>
      <c r="TX22" t="s">
        <v>1900</v>
      </c>
      <c r="TY22" t="s">
        <v>1900</v>
      </c>
      <c r="TZ22" t="s">
        <v>1900</v>
      </c>
      <c r="UA22" t="s">
        <v>1900</v>
      </c>
      <c r="UB22" t="s">
        <v>1900</v>
      </c>
      <c r="UC22">
        <v>0</v>
      </c>
      <c r="UD22">
        <v>0</v>
      </c>
      <c r="UE22">
        <v>0</v>
      </c>
      <c r="UF22" t="s">
        <v>1900</v>
      </c>
      <c r="UG22" t="s">
        <v>1900</v>
      </c>
      <c r="UH22" t="s">
        <v>1900</v>
      </c>
      <c r="UI22" t="s">
        <v>1900</v>
      </c>
      <c r="UJ22" t="s">
        <v>1900</v>
      </c>
      <c r="UK22" t="s">
        <v>1900</v>
      </c>
      <c r="UL22" t="s">
        <v>1900</v>
      </c>
      <c r="UM22" t="s">
        <v>1900</v>
      </c>
      <c r="UN22" t="s">
        <v>1900</v>
      </c>
      <c r="UO22" t="s">
        <v>1900</v>
      </c>
      <c r="UP22" t="s">
        <v>1900</v>
      </c>
      <c r="UQ22" t="s">
        <v>1900</v>
      </c>
      <c r="UR22" t="s">
        <v>1900</v>
      </c>
      <c r="US22" t="s">
        <v>1900</v>
      </c>
      <c r="UT22" t="s">
        <v>1900</v>
      </c>
      <c r="UU22" t="s">
        <v>1900</v>
      </c>
      <c r="UV22" t="s">
        <v>1900</v>
      </c>
      <c r="UW22" t="s">
        <v>1900</v>
      </c>
      <c r="UX22" t="s">
        <v>1900</v>
      </c>
      <c r="UY22" t="s">
        <v>1900</v>
      </c>
      <c r="UZ22" t="s">
        <v>1900</v>
      </c>
      <c r="VA22" t="s">
        <v>1900</v>
      </c>
      <c r="VB22" t="s">
        <v>1900</v>
      </c>
      <c r="VC22" t="s">
        <v>1900</v>
      </c>
      <c r="VD22" t="s">
        <v>1900</v>
      </c>
      <c r="VE22" t="s">
        <v>1900</v>
      </c>
      <c r="VF22" t="s">
        <v>1900</v>
      </c>
      <c r="VG22" t="s">
        <v>1900</v>
      </c>
      <c r="VH22" t="s">
        <v>1900</v>
      </c>
      <c r="VI22" t="s">
        <v>1900</v>
      </c>
      <c r="VJ22" t="s">
        <v>1900</v>
      </c>
      <c r="VK22" t="s">
        <v>1900</v>
      </c>
      <c r="VL22" t="s">
        <v>1900</v>
      </c>
      <c r="VM22" t="s">
        <v>1900</v>
      </c>
      <c r="VN22" t="s">
        <v>1900</v>
      </c>
      <c r="VO22" t="s">
        <v>1900</v>
      </c>
      <c r="VP22" t="s">
        <v>1900</v>
      </c>
      <c r="VQ22" t="s">
        <v>1900</v>
      </c>
      <c r="VR22" t="s">
        <v>1900</v>
      </c>
      <c r="VS22" t="s">
        <v>1900</v>
      </c>
      <c r="VT22" t="s">
        <v>1900</v>
      </c>
      <c r="VU22" t="s">
        <v>1900</v>
      </c>
      <c r="VV22" t="s">
        <v>1900</v>
      </c>
      <c r="VW22" t="s">
        <v>1900</v>
      </c>
      <c r="VX22" t="s">
        <v>1900</v>
      </c>
      <c r="VY22" t="s">
        <v>1900</v>
      </c>
      <c r="VZ22" t="s">
        <v>1900</v>
      </c>
      <c r="WA22">
        <v>137937.434740238</v>
      </c>
      <c r="WB22">
        <v>26222.7557184505</v>
      </c>
      <c r="WC22">
        <v>60977.2474258482</v>
      </c>
      <c r="WD22" t="s">
        <v>1900</v>
      </c>
      <c r="WE22" t="s">
        <v>1900</v>
      </c>
      <c r="WF22" t="s">
        <v>1900</v>
      </c>
      <c r="WG22" t="s">
        <v>1900</v>
      </c>
      <c r="WH22" t="s">
        <v>1900</v>
      </c>
      <c r="WI22" t="s">
        <v>1900</v>
      </c>
      <c r="WJ22" t="s">
        <v>1900</v>
      </c>
      <c r="WK22" t="s">
        <v>1900</v>
      </c>
      <c r="WL22" t="s">
        <v>1900</v>
      </c>
      <c r="WM22" t="s">
        <v>1900</v>
      </c>
      <c r="WN22" t="s">
        <v>1900</v>
      </c>
      <c r="WO22" t="s">
        <v>1900</v>
      </c>
      <c r="WP22" t="s">
        <v>1900</v>
      </c>
      <c r="WQ22" t="s">
        <v>1900</v>
      </c>
      <c r="WR22" t="s">
        <v>1900</v>
      </c>
      <c r="WS22" t="s">
        <v>1900</v>
      </c>
      <c r="WT22" t="s">
        <v>1900</v>
      </c>
      <c r="WU22" t="s">
        <v>1900</v>
      </c>
      <c r="WV22" t="s">
        <v>1900</v>
      </c>
      <c r="WW22" t="s">
        <v>1900</v>
      </c>
      <c r="WX22" t="s">
        <v>1900</v>
      </c>
      <c r="WY22" t="s">
        <v>1900</v>
      </c>
      <c r="WZ22" t="s">
        <v>1900</v>
      </c>
      <c r="XA22" t="s">
        <v>1900</v>
      </c>
      <c r="XB22" t="s">
        <v>1900</v>
      </c>
      <c r="XC22" t="s">
        <v>1900</v>
      </c>
      <c r="XD22" t="s">
        <v>1900</v>
      </c>
      <c r="XE22" t="s">
        <v>1900</v>
      </c>
      <c r="XF22" t="s">
        <v>1900</v>
      </c>
      <c r="XG22" t="s">
        <v>1900</v>
      </c>
      <c r="XH22" t="s">
        <v>1900</v>
      </c>
      <c r="XI22" t="s">
        <v>1900</v>
      </c>
      <c r="XJ22">
        <v>0</v>
      </c>
      <c r="XK22">
        <v>0</v>
      </c>
      <c r="XL22" t="s">
        <v>1900</v>
      </c>
      <c r="XM22" t="s">
        <v>1900</v>
      </c>
      <c r="XN22" t="s">
        <v>1900</v>
      </c>
      <c r="XO22" t="s">
        <v>1900</v>
      </c>
      <c r="XP22" t="s">
        <v>1900</v>
      </c>
      <c r="XQ22" t="s">
        <v>1900</v>
      </c>
      <c r="XR22" t="s">
        <v>1900</v>
      </c>
      <c r="XS22" t="s">
        <v>1900</v>
      </c>
      <c r="XT22" t="s">
        <v>1900</v>
      </c>
      <c r="XU22" t="s">
        <v>1900</v>
      </c>
      <c r="XV22" t="s">
        <v>1900</v>
      </c>
      <c r="XW22" t="s">
        <v>1900</v>
      </c>
      <c r="XX22" t="s">
        <v>1900</v>
      </c>
      <c r="XY22">
        <v>0</v>
      </c>
      <c r="XZ22">
        <v>0</v>
      </c>
      <c r="YA22" t="s">
        <v>1900</v>
      </c>
      <c r="YB22" t="s">
        <v>1900</v>
      </c>
      <c r="YC22" t="s">
        <v>1900</v>
      </c>
      <c r="YD22" t="s">
        <v>1900</v>
      </c>
      <c r="YE22" t="s">
        <v>1900</v>
      </c>
      <c r="YF22" t="s">
        <v>1900</v>
      </c>
      <c r="YG22" t="s">
        <v>1900</v>
      </c>
      <c r="YH22" t="s">
        <v>1900</v>
      </c>
      <c r="YI22" t="s">
        <v>1900</v>
      </c>
      <c r="YJ22" t="s">
        <v>1900</v>
      </c>
      <c r="YK22" t="s">
        <v>1900</v>
      </c>
      <c r="YL22" t="s">
        <v>1900</v>
      </c>
      <c r="YM22" t="s">
        <v>1900</v>
      </c>
      <c r="YN22" t="s">
        <v>1900</v>
      </c>
      <c r="YO22" t="s">
        <v>1900</v>
      </c>
      <c r="YP22" t="s">
        <v>1900</v>
      </c>
      <c r="YQ22" t="s">
        <v>1900</v>
      </c>
      <c r="YR22" t="s">
        <v>1900</v>
      </c>
      <c r="YS22" t="s">
        <v>1900</v>
      </c>
      <c r="YT22" t="s">
        <v>1900</v>
      </c>
      <c r="YU22" t="s">
        <v>1900</v>
      </c>
      <c r="YV22" t="s">
        <v>1900</v>
      </c>
      <c r="YW22" t="s">
        <v>1900</v>
      </c>
      <c r="YX22" t="s">
        <v>1900</v>
      </c>
      <c r="YY22" t="s">
        <v>1900</v>
      </c>
      <c r="YZ22" t="s">
        <v>1900</v>
      </c>
      <c r="ZA22" t="s">
        <v>1900</v>
      </c>
      <c r="ZB22" t="s">
        <v>1900</v>
      </c>
      <c r="ZC22" t="s">
        <v>1900</v>
      </c>
      <c r="ZD22" t="s">
        <v>1900</v>
      </c>
      <c r="ZE22" t="s">
        <v>1900</v>
      </c>
      <c r="ZF22" t="s">
        <v>1900</v>
      </c>
      <c r="ZG22" t="s">
        <v>1900</v>
      </c>
      <c r="ZH22" t="s">
        <v>1900</v>
      </c>
      <c r="ZI22" t="s">
        <v>1900</v>
      </c>
      <c r="ZJ22" t="s">
        <v>1900</v>
      </c>
      <c r="ZK22" t="s">
        <v>1900</v>
      </c>
      <c r="ZL22" t="s">
        <v>1900</v>
      </c>
      <c r="ZM22" t="s">
        <v>1900</v>
      </c>
      <c r="ZN22" t="s">
        <v>1900</v>
      </c>
      <c r="ZO22" t="s">
        <v>1900</v>
      </c>
      <c r="ZP22" t="s">
        <v>1900</v>
      </c>
      <c r="ZQ22" t="s">
        <v>1900</v>
      </c>
      <c r="ZR22" t="s">
        <v>1900</v>
      </c>
      <c r="ZS22" t="s">
        <v>1900</v>
      </c>
      <c r="ZT22" t="s">
        <v>1900</v>
      </c>
      <c r="ZU22" t="s">
        <v>1900</v>
      </c>
      <c r="ZV22" t="s">
        <v>1900</v>
      </c>
      <c r="ZW22" t="s">
        <v>1900</v>
      </c>
      <c r="ZX22" t="s">
        <v>1900</v>
      </c>
      <c r="ZY22" t="s">
        <v>1900</v>
      </c>
      <c r="ZZ22" t="s">
        <v>1900</v>
      </c>
      <c r="AAA22" t="s">
        <v>1900</v>
      </c>
      <c r="AAB22" t="s">
        <v>1900</v>
      </c>
      <c r="AAC22" t="s">
        <v>1900</v>
      </c>
      <c r="AAD22" t="s">
        <v>1900</v>
      </c>
      <c r="AAE22" t="s">
        <v>1900</v>
      </c>
      <c r="AAF22" t="s">
        <v>1900</v>
      </c>
      <c r="AAG22" t="s">
        <v>1900</v>
      </c>
      <c r="AAH22" t="s">
        <v>1900</v>
      </c>
      <c r="AAI22" t="s">
        <v>1900</v>
      </c>
      <c r="AAJ22" t="s">
        <v>1900</v>
      </c>
      <c r="AAK22" t="s">
        <v>1900</v>
      </c>
      <c r="AAL22" t="s">
        <v>1900</v>
      </c>
      <c r="AAM22" t="s">
        <v>1900</v>
      </c>
      <c r="AAN22" t="s">
        <v>1900</v>
      </c>
      <c r="AAO22" t="s">
        <v>1900</v>
      </c>
      <c r="AAP22" t="s">
        <v>1900</v>
      </c>
      <c r="AAQ22" t="s">
        <v>1900</v>
      </c>
      <c r="AAR22" t="s">
        <v>1900</v>
      </c>
      <c r="AAS22" t="s">
        <v>1900</v>
      </c>
      <c r="AAT22" t="s">
        <v>1900</v>
      </c>
      <c r="AAU22" t="s">
        <v>1900</v>
      </c>
      <c r="AAV22" t="s">
        <v>1900</v>
      </c>
      <c r="AAW22" t="s">
        <v>1900</v>
      </c>
      <c r="AAX22" t="s">
        <v>1900</v>
      </c>
      <c r="AAY22" t="s">
        <v>1900</v>
      </c>
      <c r="AAZ22" t="s">
        <v>1900</v>
      </c>
      <c r="ABA22" t="s">
        <v>1900</v>
      </c>
      <c r="ABB22" t="s">
        <v>1900</v>
      </c>
      <c r="ABC22" t="s">
        <v>1900</v>
      </c>
      <c r="ABD22" t="s">
        <v>1900</v>
      </c>
      <c r="ABE22" t="s">
        <v>1900</v>
      </c>
      <c r="ABF22" t="s">
        <v>1900</v>
      </c>
      <c r="ABG22" t="s">
        <v>1900</v>
      </c>
      <c r="ABH22" t="s">
        <v>1900</v>
      </c>
      <c r="ABI22" t="s">
        <v>1900</v>
      </c>
      <c r="ABJ22" t="s">
        <v>1900</v>
      </c>
      <c r="ABK22" t="s">
        <v>1900</v>
      </c>
      <c r="ABL22" t="s">
        <v>1900</v>
      </c>
      <c r="ABM22" t="s">
        <v>1900</v>
      </c>
      <c r="ABN22" t="s">
        <v>1900</v>
      </c>
      <c r="ABO22" t="s">
        <v>1900</v>
      </c>
      <c r="ABP22" t="s">
        <v>1900</v>
      </c>
      <c r="ABQ22" t="s">
        <v>1900</v>
      </c>
      <c r="ABR22" t="s">
        <v>1900</v>
      </c>
      <c r="ABS22" t="s">
        <v>1900</v>
      </c>
      <c r="ABT22" t="s">
        <v>1900</v>
      </c>
      <c r="ABU22" t="s">
        <v>1900</v>
      </c>
      <c r="ABV22" t="s">
        <v>1900</v>
      </c>
      <c r="ABW22" t="s">
        <v>1900</v>
      </c>
      <c r="ABX22" t="s">
        <v>1900</v>
      </c>
      <c r="ABY22" t="s">
        <v>1900</v>
      </c>
      <c r="ABZ22" t="s">
        <v>1900</v>
      </c>
      <c r="ACA22" t="s">
        <v>1900</v>
      </c>
      <c r="ACB22" t="s">
        <v>1900</v>
      </c>
      <c r="ACC22" t="s">
        <v>1900</v>
      </c>
      <c r="ACD22" t="s">
        <v>1900</v>
      </c>
      <c r="ACE22">
        <v>51.013</v>
      </c>
      <c r="ACF22">
        <v>46.533</v>
      </c>
      <c r="ACG22">
        <v>55.538</v>
      </c>
      <c r="ACH22" t="s">
        <v>1900</v>
      </c>
      <c r="ACI22" t="s">
        <v>1900</v>
      </c>
      <c r="ACJ22">
        <v>28.933</v>
      </c>
      <c r="ACK22">
        <v>24.12</v>
      </c>
      <c r="ACL22">
        <v>56.09</v>
      </c>
      <c r="ACM22" t="s">
        <v>1900</v>
      </c>
      <c r="ACN22" t="s">
        <v>1900</v>
      </c>
      <c r="ACO22">
        <v>22.324</v>
      </c>
      <c r="ACP22">
        <v>22.265</v>
      </c>
      <c r="ACQ22">
        <v>44.502</v>
      </c>
      <c r="ACR22" t="s">
        <v>1900</v>
      </c>
      <c r="ACS22" t="s">
        <v>1900</v>
      </c>
      <c r="ACT22">
        <v>38.231</v>
      </c>
      <c r="ACU22">
        <v>35.631</v>
      </c>
      <c r="ACV22">
        <v>41.654</v>
      </c>
      <c r="ACW22" t="s">
        <v>1900</v>
      </c>
      <c r="ACX22" t="s">
        <v>1900</v>
      </c>
      <c r="ACY22">
        <v>22.384</v>
      </c>
      <c r="ACZ22">
        <v>18.695</v>
      </c>
      <c r="ADA22">
        <v>42.206</v>
      </c>
      <c r="ADB22" t="s">
        <v>1900</v>
      </c>
      <c r="ADC22" t="s">
        <v>1900</v>
      </c>
      <c r="ADD22">
        <v>16.73</v>
      </c>
      <c r="ADE22">
        <v>17.049</v>
      </c>
      <c r="ADF22">
        <v>33.377</v>
      </c>
      <c r="ADG22" t="s">
        <v>1900</v>
      </c>
      <c r="ADH22" t="s">
        <v>1900</v>
      </c>
      <c r="ADI22">
        <v>18.541</v>
      </c>
      <c r="ADJ22">
        <v>18.896</v>
      </c>
      <c r="ADK22">
        <v>28.151</v>
      </c>
      <c r="ADL22" t="s">
        <v>1900</v>
      </c>
      <c r="ADM22" t="s">
        <v>1900</v>
      </c>
      <c r="ADN22">
        <v>95.69199999999999</v>
      </c>
      <c r="ADO22">
        <v>93.41</v>
      </c>
      <c r="ADP22">
        <v>92.471</v>
      </c>
      <c r="ADQ22" t="s">
        <v>1900</v>
      </c>
      <c r="ADR22" t="s">
        <v>1900</v>
      </c>
      <c r="ADS22">
        <v>20.524805935</v>
      </c>
      <c r="ADT22">
        <v>19.702099137</v>
      </c>
      <c r="ADU22">
        <v>28.405121378</v>
      </c>
      <c r="ADV22" t="s">
        <v>1900</v>
      </c>
      <c r="ADW22" t="s">
        <v>1900</v>
      </c>
      <c r="ADX22">
        <v>22.688</v>
      </c>
      <c r="ADY22">
        <v>21.079</v>
      </c>
      <c r="ADZ22">
        <v>28.822</v>
      </c>
      <c r="AEA22" t="s">
        <v>1900</v>
      </c>
      <c r="AEB22" t="s">
        <v>1900</v>
      </c>
      <c r="AEC22">
        <v>20.525</v>
      </c>
      <c r="AED22">
        <v>19.702</v>
      </c>
      <c r="AEE22">
        <v>28.405</v>
      </c>
      <c r="AEF22" t="s">
        <v>1900</v>
      </c>
      <c r="AEG22" t="s">
        <v>1900</v>
      </c>
      <c r="AEH22">
        <v>16.059</v>
      </c>
      <c r="AEI22">
        <v>15.846</v>
      </c>
      <c r="AEJ22">
        <v>21.531</v>
      </c>
      <c r="AEK22" t="s">
        <v>1900</v>
      </c>
      <c r="AEL22" t="s">
        <v>1900</v>
      </c>
      <c r="AEM22">
        <v>25.825424117</v>
      </c>
      <c r="AEN22">
        <v>24.53625677</v>
      </c>
      <c r="AEO22">
        <v>39.674795075</v>
      </c>
      <c r="AEP22" t="s">
        <v>1900</v>
      </c>
      <c r="AEQ22" t="s">
        <v>1900</v>
      </c>
      <c r="AER22">
        <v>1.273055684</v>
      </c>
      <c r="AES22">
        <v>1.267299606</v>
      </c>
      <c r="AET22">
        <v>1.443373906</v>
      </c>
      <c r="AEU22" t="s">
        <v>1900</v>
      </c>
      <c r="AEV22" t="s">
        <v>1900</v>
      </c>
      <c r="AEW22" t="s">
        <v>1900</v>
      </c>
      <c r="AEX22" t="s">
        <v>1900</v>
      </c>
      <c r="AEY22" t="s">
        <v>1900</v>
      </c>
      <c r="AEZ22" t="s">
        <v>1900</v>
      </c>
      <c r="AFA22" t="s">
        <v>1900</v>
      </c>
      <c r="AFB22" t="s">
        <v>1900</v>
      </c>
      <c r="AFC22" t="s">
        <v>1900</v>
      </c>
      <c r="AFD22" t="s">
        <v>1900</v>
      </c>
      <c r="AFE22" t="s">
        <v>1900</v>
      </c>
      <c r="AFF22" t="s">
        <v>1900</v>
      </c>
      <c r="AFG22">
        <v>1.41</v>
      </c>
      <c r="AFH22">
        <v>1.225</v>
      </c>
      <c r="AFI22">
        <v>1.973</v>
      </c>
      <c r="AFJ22" t="s">
        <v>1900</v>
      </c>
      <c r="AFK22" t="s">
        <v>1900</v>
      </c>
      <c r="AFL22">
        <v>10.347</v>
      </c>
      <c r="AFM22">
        <v>24.983</v>
      </c>
      <c r="AFN22">
        <v>101.48</v>
      </c>
      <c r="AFO22" t="s">
        <v>1900</v>
      </c>
      <c r="AFP22" t="s">
        <v>1900</v>
      </c>
      <c r="AFQ22">
        <v>170.862</v>
      </c>
      <c r="AFR22" t="s">
        <v>1901</v>
      </c>
      <c r="AFS22" t="s">
        <v>1901</v>
      </c>
      <c r="AFT22" t="s">
        <v>1900</v>
      </c>
      <c r="AFU22" t="s">
        <v>1900</v>
      </c>
      <c r="AFV22">
        <v>3.088</v>
      </c>
      <c r="AFW22">
        <v>35.15</v>
      </c>
      <c r="AFX22">
        <v>13.925</v>
      </c>
      <c r="AFY22" t="s">
        <v>1900</v>
      </c>
      <c r="AFZ22" t="s">
        <v>1900</v>
      </c>
      <c r="AGA22">
        <v>0</v>
      </c>
      <c r="AGB22">
        <v>0</v>
      </c>
      <c r="AGC22">
        <v>0</v>
      </c>
      <c r="AGD22" t="s">
        <v>1900</v>
      </c>
      <c r="AGE22" t="s">
        <v>1900</v>
      </c>
      <c r="AGF22" t="s">
        <v>1900</v>
      </c>
      <c r="AGG22" t="s">
        <v>1900</v>
      </c>
      <c r="AGH22" t="s">
        <v>1900</v>
      </c>
      <c r="AGI22" t="s">
        <v>1900</v>
      </c>
      <c r="AGJ22" t="s">
        <v>1900</v>
      </c>
      <c r="AGK22" t="s">
        <v>1900</v>
      </c>
      <c r="AGL22" t="s">
        <v>1900</v>
      </c>
      <c r="AGM22" t="s">
        <v>1900</v>
      </c>
      <c r="AGN22" t="s">
        <v>1900</v>
      </c>
      <c r="AGO22" t="s">
        <v>1900</v>
      </c>
      <c r="AGP22" t="s">
        <v>1900</v>
      </c>
      <c r="AGQ22" t="s">
        <v>1900</v>
      </c>
      <c r="AGR22" t="s">
        <v>1900</v>
      </c>
      <c r="AGS22" t="s">
        <v>1900</v>
      </c>
      <c r="AGT22" t="s">
        <v>1900</v>
      </c>
      <c r="AGU22">
        <v>0</v>
      </c>
      <c r="AGV22">
        <v>0</v>
      </c>
      <c r="AGW22">
        <v>0</v>
      </c>
      <c r="AGX22">
        <v>0</v>
      </c>
      <c r="AGY22">
        <v>0</v>
      </c>
      <c r="AGZ22">
        <v>2.654</v>
      </c>
      <c r="AHA22">
        <v>8.026</v>
      </c>
      <c r="AHB22">
        <v>3.441</v>
      </c>
      <c r="AHC22" t="s">
        <v>1900</v>
      </c>
      <c r="AHD22" t="s">
        <v>1900</v>
      </c>
      <c r="AHE22">
        <v>2.606</v>
      </c>
      <c r="AHF22">
        <v>8.002000000000001</v>
      </c>
      <c r="AHG22">
        <v>3.441</v>
      </c>
      <c r="AHH22" t="s">
        <v>1900</v>
      </c>
      <c r="AHI22" t="s">
        <v>1900</v>
      </c>
      <c r="AHJ22">
        <v>1.051</v>
      </c>
      <c r="AHK22">
        <v>0.99</v>
      </c>
      <c r="AHL22" t="s">
        <v>1901</v>
      </c>
      <c r="AHM22" t="s">
        <v>1900</v>
      </c>
      <c r="AHN22" t="s">
        <v>1900</v>
      </c>
      <c r="AHO22">
        <v>43.761</v>
      </c>
      <c r="AHP22">
        <v>47.848</v>
      </c>
      <c r="AHQ22">
        <v>80.129</v>
      </c>
      <c r="AHR22" t="s">
        <v>1900</v>
      </c>
      <c r="AHS22" t="s">
        <v>1900</v>
      </c>
      <c r="AHT22">
        <v>77.813</v>
      </c>
      <c r="AHU22">
        <v>91.748</v>
      </c>
      <c r="AHV22" t="s">
        <v>1901</v>
      </c>
      <c r="AHW22" t="s">
        <v>1900</v>
      </c>
      <c r="AHX22" t="s">
        <v>1900</v>
      </c>
      <c r="AHY22">
        <v>95.175</v>
      </c>
      <c r="AHZ22">
        <v>100.977</v>
      </c>
      <c r="AIA22">
        <v>0</v>
      </c>
      <c r="AIB22" t="s">
        <v>1900</v>
      </c>
      <c r="AIC22" t="s">
        <v>1900</v>
      </c>
      <c r="AID22">
        <v>0.602998518</v>
      </c>
      <c r="AIE22">
        <v>3.339747835</v>
      </c>
      <c r="AIF22">
        <v>11.248151472</v>
      </c>
      <c r="AIG22" t="s">
        <v>1900</v>
      </c>
      <c r="AIH22" t="s">
        <v>1900</v>
      </c>
      <c r="AII22">
        <v>36.980843775</v>
      </c>
      <c r="AIJ22">
        <v>19.191499015</v>
      </c>
      <c r="AIK22">
        <v>62.25786312</v>
      </c>
      <c r="AIL22" t="s">
        <v>1900</v>
      </c>
      <c r="AIM22" t="s">
        <v>1900</v>
      </c>
      <c r="AIN22">
        <v>14.589274061</v>
      </c>
      <c r="AIO22">
        <v>3.836122696</v>
      </c>
      <c r="AIP22">
        <v>19.871179875</v>
      </c>
      <c r="AIQ22" t="s">
        <v>1900</v>
      </c>
      <c r="AIR22" t="s">
        <v>1900</v>
      </c>
      <c r="AIS22">
        <v>13.585364836</v>
      </c>
      <c r="AIT22">
        <v>1.209130182</v>
      </c>
      <c r="AIU22">
        <v>0</v>
      </c>
      <c r="AIV22" t="s">
        <v>1900</v>
      </c>
      <c r="AIW22" t="s">
        <v>1900</v>
      </c>
      <c r="AIX22">
        <v>14.0709738165133</v>
      </c>
      <c r="AIY22">
        <v>11.7075542892065</v>
      </c>
      <c r="AIZ22">
        <v>17.0700448649973</v>
      </c>
      <c r="AJA22" t="s">
        <v>1900</v>
      </c>
      <c r="AJB22" t="s">
        <v>1900</v>
      </c>
      <c r="AJC22">
        <v>75.8905684076924</v>
      </c>
      <c r="AJD22">
        <v>61.9567733704386</v>
      </c>
      <c r="AJE22">
        <v>60.6372592395705</v>
      </c>
      <c r="AJF22" t="s">
        <v>1900</v>
      </c>
      <c r="AJG22" t="s">
        <v>1900</v>
      </c>
      <c r="AJH22">
        <v>56.304</v>
      </c>
      <c r="AJI22">
        <v>57.252</v>
      </c>
      <c r="AJJ22">
        <v>60.447</v>
      </c>
      <c r="AJK22" t="s">
        <v>1900</v>
      </c>
      <c r="AJL22" t="s">
        <v>1900</v>
      </c>
      <c r="AJM22">
        <v>42.7290540137564</v>
      </c>
      <c r="AJN22">
        <v>35.4716783792534</v>
      </c>
      <c r="AJO22">
        <v>36.6533351697695</v>
      </c>
      <c r="AJP22" t="s">
        <v>1900</v>
      </c>
      <c r="AJQ22" t="s">
        <v>1900</v>
      </c>
      <c r="AJR22">
        <v>27.5832617436148</v>
      </c>
      <c r="AJS22">
        <v>25.1598214864187</v>
      </c>
      <c r="AJT22">
        <v>30.7356865519863</v>
      </c>
      <c r="AJU22" t="s">
        <v>1900</v>
      </c>
      <c r="AJV22" t="s">
        <v>1900</v>
      </c>
      <c r="AJW22">
        <v>1.0950624500823</v>
      </c>
      <c r="AJX22">
        <v>6.09878724706078</v>
      </c>
      <c r="AJY22">
        <v>2.34546720707297</v>
      </c>
      <c r="AJZ22" t="s">
        <v>1900</v>
      </c>
      <c r="AKA22" t="s">
        <v>1900</v>
      </c>
      <c r="AKB22">
        <v>63.0314366219555</v>
      </c>
      <c r="AKC22">
        <v>52.5826519434481</v>
      </c>
      <c r="AKD22">
        <v>38.357843280167</v>
      </c>
      <c r="AKE22" t="s">
        <v>1900</v>
      </c>
      <c r="AKF22" t="s">
        <v>1900</v>
      </c>
      <c r="AKG22">
        <v>13.585364836</v>
      </c>
      <c r="AKH22">
        <v>1.209130182</v>
      </c>
      <c r="AKI22">
        <v>0</v>
      </c>
      <c r="AKJ22" t="s">
        <v>1900</v>
      </c>
      <c r="AKK22" t="s">
        <v>1900</v>
      </c>
      <c r="AKL22">
        <v>0.585269281</v>
      </c>
      <c r="AKM22">
        <v>0.079681396</v>
      </c>
      <c r="AKN22">
        <v>0</v>
      </c>
      <c r="AKO22" t="s">
        <v>1900</v>
      </c>
      <c r="AKP22" t="s">
        <v>1900</v>
      </c>
      <c r="AKQ22">
        <v>0.704670891</v>
      </c>
      <c r="AKR22">
        <v>0.09388652</v>
      </c>
      <c r="AKS22">
        <v>0</v>
      </c>
      <c r="AKT22" t="s">
        <v>1900</v>
      </c>
      <c r="AKU22" t="s">
        <v>1900</v>
      </c>
      <c r="AKV22">
        <v>3.752209453</v>
      </c>
      <c r="AKW22">
        <v>6.345639541</v>
      </c>
      <c r="AKX22">
        <v>11.299893544</v>
      </c>
      <c r="AKY22" t="s">
        <v>1900</v>
      </c>
      <c r="AKZ22" t="s">
        <v>1900</v>
      </c>
      <c r="ALA22">
        <v>4.517702991</v>
      </c>
      <c r="ALB22">
        <v>7.476902267</v>
      </c>
      <c r="ALC22">
        <v>17.863219831</v>
      </c>
      <c r="ALD22" t="s">
        <v>1900</v>
      </c>
      <c r="ALE22" t="s">
        <v>1900</v>
      </c>
      <c r="ALF22">
        <v>46.645012525</v>
      </c>
      <c r="ALG22">
        <v>49.558397278</v>
      </c>
      <c r="ALH22">
        <v>1.591609771</v>
      </c>
      <c r="ALI22" t="s">
        <v>1900</v>
      </c>
      <c r="ALJ22" t="s">
        <v>1900</v>
      </c>
      <c r="ALK22">
        <v>56.161127257</v>
      </c>
      <c r="ALL22">
        <v>58.393372426</v>
      </c>
      <c r="ALM22">
        <v>2.516065759</v>
      </c>
      <c r="ALN22" t="s">
        <v>1900</v>
      </c>
      <c r="ALO22" t="s">
        <v>1900</v>
      </c>
      <c r="ALP22">
        <v>0.857680052</v>
      </c>
      <c r="ALQ22">
        <v>9.763935769</v>
      </c>
      <c r="ALR22">
        <v>3.86802926</v>
      </c>
      <c r="ALS22" t="s">
        <v>1900</v>
      </c>
      <c r="ALT22" t="s">
        <v>1900</v>
      </c>
      <c r="ALU22">
        <v>0</v>
      </c>
      <c r="ALV22">
        <v>0</v>
      </c>
      <c r="ALW22">
        <v>0</v>
      </c>
      <c r="ALX22" t="s">
        <v>1900</v>
      </c>
      <c r="ALY22" t="s">
        <v>1900</v>
      </c>
      <c r="ALZ22">
        <v>95.6919134111029</v>
      </c>
      <c r="AMA22">
        <v>93.4100233845966</v>
      </c>
      <c r="AMB22">
        <v>92.4709606638703</v>
      </c>
      <c r="AMC22" t="s">
        <v>1900</v>
      </c>
      <c r="AMD22" t="s">
        <v>1900</v>
      </c>
      <c r="AME22">
        <v>95.6919134111029</v>
      </c>
      <c r="AMF22">
        <v>93.4100233845966</v>
      </c>
      <c r="AMG22">
        <v>92.4709606638703</v>
      </c>
      <c r="AMH22" t="s">
        <v>1900</v>
      </c>
      <c r="AMI22" t="s">
        <v>1900</v>
      </c>
      <c r="AMJ22">
        <v>2221.21611152667</v>
      </c>
      <c r="AMK22">
        <v>1417.45606754141</v>
      </c>
      <c r="AML22">
        <v>1228.19069652259</v>
      </c>
      <c r="AMM22" t="s">
        <v>1900</v>
      </c>
      <c r="AMN22" t="s">
        <v>1900</v>
      </c>
      <c r="AMO22">
        <v>1.2730556838558</v>
      </c>
      <c r="AMP22">
        <v>1.26729960635946</v>
      </c>
      <c r="AMQ22">
        <v>1.44337390556593</v>
      </c>
      <c r="AMR22" t="s">
        <v>1900</v>
      </c>
      <c r="AMS22" t="s">
        <v>1900</v>
      </c>
      <c r="AMT22">
        <v>1.2730556838558</v>
      </c>
      <c r="AMU22">
        <v>1.26729960635946</v>
      </c>
      <c r="AMV22">
        <v>1.44337390556593</v>
      </c>
      <c r="AMW22" t="s">
        <v>1900</v>
      </c>
      <c r="AMX22" t="s">
        <v>1900</v>
      </c>
      <c r="AMY22">
        <v>1.2730556838558</v>
      </c>
      <c r="AMZ22">
        <v>1.26729960635946</v>
      </c>
      <c r="ANA22">
        <v>1.44337390556593</v>
      </c>
      <c r="ANB22" t="s">
        <v>1900</v>
      </c>
      <c r="ANC22" t="s">
        <v>1900</v>
      </c>
      <c r="AND22">
        <v>20.5248059352748</v>
      </c>
      <c r="ANE22">
        <v>19.7020991369646</v>
      </c>
      <c r="ANF22">
        <v>28.4051213776782</v>
      </c>
      <c r="ANG22" t="s">
        <v>1900</v>
      </c>
      <c r="ANH22" t="s">
        <v>1900</v>
      </c>
      <c r="ANI22">
        <v>20.5248059352748</v>
      </c>
      <c r="ANJ22">
        <v>19.7020991369646</v>
      </c>
      <c r="ANK22">
        <v>28.4051213776782</v>
      </c>
      <c r="ANL22" t="s">
        <v>1900</v>
      </c>
      <c r="ANM22" t="s">
        <v>1900</v>
      </c>
      <c r="ANN22">
        <v>25.8254241173155</v>
      </c>
      <c r="ANO22">
        <v>24.5362567703614</v>
      </c>
      <c r="ANP22">
        <v>39.6747950751076</v>
      </c>
      <c r="ANQ22" t="s">
        <v>1900</v>
      </c>
      <c r="ANR22" t="s">
        <v>1900</v>
      </c>
      <c r="ANS22">
        <v>28.9332519350793</v>
      </c>
      <c r="ANT22">
        <v>24.1405321608597</v>
      </c>
      <c r="ANU22">
        <v>56.0393761963894</v>
      </c>
      <c r="ANV22" t="s">
        <v>1900</v>
      </c>
      <c r="ANW22" t="s">
        <v>1900</v>
      </c>
      <c r="ANX22">
        <v>95.6919134111029</v>
      </c>
      <c r="ANY22">
        <v>93.4100233845965</v>
      </c>
      <c r="ANZ22">
        <v>92.4709606638703</v>
      </c>
      <c r="AOA22" t="s">
        <v>1900</v>
      </c>
      <c r="AOB22" t="s">
        <v>1900</v>
      </c>
      <c r="AOC22">
        <v>120.404755895494</v>
      </c>
      <c r="AOD22">
        <v>116.329346571496</v>
      </c>
      <c r="AOE22">
        <v>129.158624811244</v>
      </c>
      <c r="AOF22" t="s">
        <v>1900</v>
      </c>
      <c r="AOG22" t="s">
        <v>1900</v>
      </c>
      <c r="AOH22" t="s">
        <v>1901</v>
      </c>
      <c r="AOI22" t="s">
        <v>1901</v>
      </c>
      <c r="AOJ22" t="s">
        <v>1901</v>
      </c>
      <c r="AOK22" t="s">
        <v>1900</v>
      </c>
      <c r="AOL22" t="s">
        <v>1900</v>
      </c>
      <c r="AOM22">
        <v>476.425102229182</v>
      </c>
      <c r="AON22">
        <v>298.970698786894</v>
      </c>
      <c r="AOO22">
        <v>377.27417947427</v>
      </c>
      <c r="AOP22" t="s">
        <v>1900</v>
      </c>
      <c r="AOQ22" t="s">
        <v>1900</v>
      </c>
      <c r="AOR22">
        <v>27.3055683855802</v>
      </c>
      <c r="AOS22">
        <v>26.7299606359456</v>
      </c>
      <c r="AOT22">
        <v>44.337390556593</v>
      </c>
      <c r="AOU22" t="s">
        <v>1900</v>
      </c>
      <c r="AOV22" t="s">
        <v>1900</v>
      </c>
      <c r="AOW22">
        <v>24.7121005155833</v>
      </c>
      <c r="AOX22">
        <v>23.2144717276458</v>
      </c>
      <c r="AOY22">
        <v>44.9036909518233</v>
      </c>
      <c r="AOZ22" t="s">
        <v>1900</v>
      </c>
      <c r="APA22" t="s">
        <v>1900</v>
      </c>
      <c r="APB22">
        <v>13.8956187707221</v>
      </c>
      <c r="APC22">
        <v>14.4690877820501</v>
      </c>
      <c r="APD22">
        <v>21.1133095719559</v>
      </c>
      <c r="APE22" t="s">
        <v>1900</v>
      </c>
      <c r="APF22" t="s">
        <v>1900</v>
      </c>
      <c r="APG22">
        <v>13.8956187707221</v>
      </c>
      <c r="APH22">
        <v>14.4690877820501</v>
      </c>
      <c r="API22">
        <v>21.1133095719559</v>
      </c>
      <c r="APJ22" t="s">
        <v>1900</v>
      </c>
      <c r="APK22" t="s">
        <v>1900</v>
      </c>
      <c r="APL22">
        <v>322.547341702325</v>
      </c>
      <c r="APM22">
        <v>219.562050466612</v>
      </c>
      <c r="APN22">
        <v>280.425013462731</v>
      </c>
      <c r="APO22" t="s">
        <v>1900</v>
      </c>
      <c r="APP22" t="s">
        <v>1900</v>
      </c>
      <c r="APQ22">
        <v>18.4863023699436</v>
      </c>
      <c r="APR22">
        <v>19.6303015309985</v>
      </c>
      <c r="APS22">
        <v>32.9556434555387</v>
      </c>
      <c r="APT22" t="s">
        <v>1900</v>
      </c>
      <c r="APU22" t="s">
        <v>1900</v>
      </c>
      <c r="APV22">
        <v>17.4842212519863</v>
      </c>
      <c r="APW22">
        <v>18.0192603125829</v>
      </c>
      <c r="APX22">
        <v>29.4899718782025</v>
      </c>
      <c r="APY22" t="s">
        <v>1900</v>
      </c>
      <c r="APZ22" t="s">
        <v>1900</v>
      </c>
      <c r="AQA22">
        <v>16.7304835364189</v>
      </c>
      <c r="AQB22">
        <v>17.0485503552784</v>
      </c>
      <c r="AQC22">
        <v>33.3765702101279</v>
      </c>
      <c r="AQD22" t="s">
        <v>1900</v>
      </c>
      <c r="AQE22" t="s">
        <v>1900</v>
      </c>
      <c r="AQF22">
        <v>0.273055683855802</v>
      </c>
      <c r="AQG22">
        <v>0.267299606359456</v>
      </c>
      <c r="AQH22">
        <v>0.44337390556593</v>
      </c>
      <c r="AQI22" t="s">
        <v>1900</v>
      </c>
      <c r="AQJ22" t="s">
        <v>1900</v>
      </c>
      <c r="AQK22">
        <v>1</v>
      </c>
      <c r="AQO22" t="s">
        <v>1903</v>
      </c>
      <c r="AQP22">
        <v>14</v>
      </c>
      <c r="AQQ22">
        <v>0</v>
      </c>
      <c r="AQS22" t="s">
        <v>1905</v>
      </c>
      <c r="AQU22" t="s">
        <v>1906</v>
      </c>
      <c r="AQV22">
        <v>1138358.52611539</v>
      </c>
      <c r="AQW22">
        <v>805438.054920702</v>
      </c>
      <c r="AQX22">
        <v>485098.076049763</v>
      </c>
      <c r="AQY22">
        <v>233645.878332838</v>
      </c>
      <c r="AQZ22">
        <v>158688.204067316</v>
      </c>
      <c r="ARA22">
        <v>137792.697302717</v>
      </c>
      <c r="ARB22">
        <v>2428894.657085855</v>
      </c>
      <c r="ARC22">
        <v>530126.779702871</v>
      </c>
      <c r="ARD22">
        <v>0.2791951486105448</v>
      </c>
      <c r="ARE22">
        <v>0.2791951486105448</v>
      </c>
      <c r="ARF22">
        <v>0.2791951486105448</v>
      </c>
      <c r="ARG22">
        <v>0.2791951486105448</v>
      </c>
      <c r="ARH22">
        <v>0.2791951486105448</v>
      </c>
      <c r="ARI22">
        <v>0.2791951486105448</v>
      </c>
      <c r="ARJ22" t="s">
        <v>1183</v>
      </c>
      <c r="ARK22" t="s">
        <v>1521</v>
      </c>
      <c r="ARL22" t="s">
        <v>1909</v>
      </c>
      <c r="ARP22" t="s">
        <v>1907</v>
      </c>
      <c r="ARQ22" t="s">
        <v>1926</v>
      </c>
    </row>
    <row r="23" spans="1:1163">
      <c r="A23">
        <v>88</v>
      </c>
      <c r="B23" t="s">
        <v>1184</v>
      </c>
      <c r="C23" t="s">
        <v>1307</v>
      </c>
      <c r="E23" s="2">
        <v>42998</v>
      </c>
      <c r="F23" t="s">
        <v>1431</v>
      </c>
      <c r="G23" t="s">
        <v>1433</v>
      </c>
      <c r="H23" t="s">
        <v>1434</v>
      </c>
      <c r="I23" t="s">
        <v>1437</v>
      </c>
      <c r="J23" t="s">
        <v>1463</v>
      </c>
      <c r="L23" t="s">
        <v>1522</v>
      </c>
      <c r="N23" t="s">
        <v>1630</v>
      </c>
      <c r="O23" t="s">
        <v>1654</v>
      </c>
      <c r="P23">
        <v>6209</v>
      </c>
      <c r="Q23">
        <v>6209</v>
      </c>
      <c r="R23" t="s">
        <v>1693</v>
      </c>
      <c r="Z23" t="s">
        <v>1899</v>
      </c>
      <c r="AA23" s="2">
        <v>45291</v>
      </c>
      <c r="AB23">
        <v>2023</v>
      </c>
      <c r="AC23" t="s">
        <v>1900</v>
      </c>
      <c r="AD23">
        <v>9787254.834394701</v>
      </c>
      <c r="AE23">
        <v>2783329.4955419</v>
      </c>
      <c r="AF23">
        <v>1257709.10428362</v>
      </c>
      <c r="AG23">
        <v>1527946.05665698</v>
      </c>
      <c r="AH23" t="s">
        <v>1900</v>
      </c>
      <c r="AI23">
        <v>9513941.206139909</v>
      </c>
      <c r="AJ23">
        <v>2669348.42916065</v>
      </c>
      <c r="AK23">
        <v>1244443.96489656</v>
      </c>
      <c r="AL23">
        <v>1527946.05665698</v>
      </c>
      <c r="AM23" t="s">
        <v>1900</v>
      </c>
      <c r="AN23">
        <v>1271749.74489566</v>
      </c>
      <c r="AO23">
        <v>7999.49616193771</v>
      </c>
      <c r="AP23" t="s">
        <v>1900</v>
      </c>
      <c r="AQ23" t="s">
        <v>1900</v>
      </c>
      <c r="AR23" t="s">
        <v>1900</v>
      </c>
      <c r="AS23">
        <v>8515505.089499051</v>
      </c>
      <c r="AT23">
        <v>2775329.99937996</v>
      </c>
      <c r="AU23">
        <v>1257709.10428362</v>
      </c>
      <c r="AV23">
        <v>1527946.05665698</v>
      </c>
      <c r="AW23" t="s">
        <v>1900</v>
      </c>
      <c r="AX23">
        <v>6676000.38800194</v>
      </c>
      <c r="AY23">
        <v>2609554.12482864</v>
      </c>
      <c r="AZ23">
        <v>1198699.96003053</v>
      </c>
      <c r="BA23">
        <v>1235815.12806385</v>
      </c>
      <c r="BB23" t="s">
        <v>1900</v>
      </c>
      <c r="BC23">
        <v>1839504.70149711</v>
      </c>
      <c r="BD23">
        <v>165775.873484725</v>
      </c>
      <c r="BE23">
        <v>59009.144253087</v>
      </c>
      <c r="BF23">
        <v>292130.928593129</v>
      </c>
      <c r="BG23" t="s">
        <v>1900</v>
      </c>
      <c r="BH23">
        <v>-140200.263970156</v>
      </c>
      <c r="BI23">
        <v>-37031.3422948062</v>
      </c>
      <c r="BJ23">
        <v>-15937.8609186172</v>
      </c>
      <c r="BK23">
        <v>-112155.697952652</v>
      </c>
      <c r="BL23" t="s">
        <v>1900</v>
      </c>
      <c r="BM23">
        <v>2.3978510761261</v>
      </c>
      <c r="BN23">
        <v>2748.1362454772</v>
      </c>
      <c r="BO23">
        <v>223.450714659691</v>
      </c>
      <c r="BP23">
        <v>1030.64070159197</v>
      </c>
      <c r="BQ23" t="s">
        <v>1900</v>
      </c>
      <c r="BR23">
        <v>140202.661821232</v>
      </c>
      <c r="BS23">
        <v>39779.4785402834</v>
      </c>
      <c r="BT23">
        <v>16161.3116332769</v>
      </c>
      <c r="BU23">
        <v>113186.338654244</v>
      </c>
      <c r="BV23" t="s">
        <v>1900</v>
      </c>
      <c r="BW23">
        <v>1699304.43752695</v>
      </c>
      <c r="BX23">
        <v>128744.531189919</v>
      </c>
      <c r="BY23">
        <v>43071.2833344698</v>
      </c>
      <c r="BZ23">
        <v>179975.230640477</v>
      </c>
      <c r="CA23" t="s">
        <v>1900</v>
      </c>
      <c r="CB23">
        <v>99921.570443573</v>
      </c>
      <c r="CC23" t="s">
        <v>1900</v>
      </c>
      <c r="CD23" t="s">
        <v>1900</v>
      </c>
      <c r="CE23" t="s">
        <v>1900</v>
      </c>
      <c r="CF23" t="s">
        <v>1900</v>
      </c>
      <c r="CG23">
        <v>1599382.86708338</v>
      </c>
      <c r="CH23">
        <v>128744.531189919</v>
      </c>
      <c r="CI23">
        <v>43071.2833344698</v>
      </c>
      <c r="CJ23">
        <v>179975.230640477</v>
      </c>
      <c r="CK23" t="s">
        <v>1900</v>
      </c>
      <c r="CL23" t="s">
        <v>1900</v>
      </c>
      <c r="CM23" t="s">
        <v>1900</v>
      </c>
      <c r="CN23" t="s">
        <v>1900</v>
      </c>
      <c r="CO23" t="s">
        <v>1900</v>
      </c>
      <c r="CP23" t="s">
        <v>1900</v>
      </c>
      <c r="CQ23" t="s">
        <v>1900</v>
      </c>
      <c r="CR23" t="s">
        <v>1900</v>
      </c>
      <c r="CS23" t="s">
        <v>1900</v>
      </c>
      <c r="CT23" t="s">
        <v>1900</v>
      </c>
      <c r="CU23" t="s">
        <v>1900</v>
      </c>
      <c r="CV23" t="s">
        <v>1900</v>
      </c>
      <c r="CW23" t="s">
        <v>1900</v>
      </c>
      <c r="CX23" t="s">
        <v>1900</v>
      </c>
      <c r="CY23" t="s">
        <v>1900</v>
      </c>
      <c r="CZ23" t="s">
        <v>1900</v>
      </c>
      <c r="DA23">
        <v>1599382.86708338</v>
      </c>
      <c r="DB23">
        <v>128744.531189919</v>
      </c>
      <c r="DC23">
        <v>43071.2833344698</v>
      </c>
      <c r="DD23">
        <v>179975.230640477</v>
      </c>
      <c r="DE23" t="s">
        <v>1900</v>
      </c>
      <c r="DF23" t="s">
        <v>1900</v>
      </c>
      <c r="DG23" t="s">
        <v>1900</v>
      </c>
      <c r="DH23" t="s">
        <v>1900</v>
      </c>
      <c r="DI23" t="s">
        <v>1900</v>
      </c>
      <c r="DJ23" t="s">
        <v>1900</v>
      </c>
      <c r="DK23">
        <v>1271749.74489566</v>
      </c>
      <c r="DL23">
        <v>7999.49616193771</v>
      </c>
      <c r="DM23" t="s">
        <v>1900</v>
      </c>
      <c r="DN23" t="s">
        <v>1900</v>
      </c>
      <c r="DO23" t="s">
        <v>1900</v>
      </c>
      <c r="DP23">
        <v>4688315.87140355</v>
      </c>
      <c r="DQ23">
        <v>2084772.05329138</v>
      </c>
      <c r="DR23">
        <v>1155990.64442832</v>
      </c>
      <c r="DS23">
        <v>1235541.42356511</v>
      </c>
      <c r="DT23" t="s">
        <v>1900</v>
      </c>
      <c r="DU23">
        <v>683342.251675606</v>
      </c>
      <c r="DV23">
        <v>433662.584981895</v>
      </c>
      <c r="DW23">
        <v>185855.621767831</v>
      </c>
      <c r="DX23">
        <v>152828.861369741</v>
      </c>
      <c r="DY23" t="s">
        <v>1900</v>
      </c>
      <c r="DZ23">
        <v>1304342.26492278</v>
      </c>
      <c r="EA23">
        <v>91119.4865553635</v>
      </c>
      <c r="EB23">
        <v>-143146.306165624</v>
      </c>
      <c r="EC23">
        <v>-152555.155643904</v>
      </c>
      <c r="ED23" t="s">
        <v>1900</v>
      </c>
      <c r="EE23">
        <v>76244.99001781461</v>
      </c>
      <c r="EF23">
        <v>39779.4785402834</v>
      </c>
      <c r="EG23">
        <v>16094.1710870504</v>
      </c>
      <c r="EH23">
        <v>113013.415820968</v>
      </c>
      <c r="EI23" t="s">
        <v>1900</v>
      </c>
      <c r="EJ23" t="s">
        <v>1900</v>
      </c>
      <c r="EK23" t="s">
        <v>1900</v>
      </c>
      <c r="EL23" t="s">
        <v>1900</v>
      </c>
      <c r="EM23" t="s">
        <v>1900</v>
      </c>
      <c r="EN23" t="s">
        <v>1900</v>
      </c>
      <c r="EO23">
        <v>2282725.11875898</v>
      </c>
      <c r="EP23">
        <v>562407.116171813</v>
      </c>
      <c r="EQ23">
        <v>228926.905102301</v>
      </c>
      <c r="ER23">
        <v>332804.092010218</v>
      </c>
      <c r="ES23" t="s">
        <v>1900</v>
      </c>
      <c r="ET23">
        <v>7147207.55062392</v>
      </c>
      <c r="EU23">
        <v>2686958.64800348</v>
      </c>
      <c r="EV23">
        <v>1401011.72061768</v>
      </c>
      <c r="EW23">
        <v>1681358.9313963</v>
      </c>
      <c r="EX23" t="s">
        <v>1900</v>
      </c>
      <c r="EY23">
        <v>2522846.95206771</v>
      </c>
      <c r="EZ23">
        <v>599438.458466619</v>
      </c>
      <c r="FA23">
        <v>244864.766020918</v>
      </c>
      <c r="FB23">
        <v>444959.78996287</v>
      </c>
      <c r="FC23" t="s">
        <v>1900</v>
      </c>
      <c r="FD23">
        <v>2026188.77822863</v>
      </c>
      <c r="FE23">
        <v>1585214.0773133</v>
      </c>
      <c r="FF23">
        <v>1182562.95399985</v>
      </c>
      <c r="FG23">
        <v>1008303.83758641</v>
      </c>
      <c r="FH23" t="s">
        <v>1900</v>
      </c>
      <c r="FI23">
        <v>1211873.82337408</v>
      </c>
      <c r="FJ23">
        <v>1352138.04797639</v>
      </c>
      <c r="FK23">
        <v>1103399.4251215</v>
      </c>
      <c r="FL23">
        <v>904390.3447501661</v>
      </c>
      <c r="FM23" t="s">
        <v>1900</v>
      </c>
      <c r="FN23">
        <v>420181.554722319</v>
      </c>
      <c r="FO23">
        <v>175224.185061538</v>
      </c>
      <c r="FP23">
        <v>43052.652059412</v>
      </c>
      <c r="FQ23">
        <v>64605.6246416926</v>
      </c>
      <c r="FR23" t="s">
        <v>1900</v>
      </c>
      <c r="FS23">
        <v>394133.400132227</v>
      </c>
      <c r="FT23">
        <v>57851.8442753792</v>
      </c>
      <c r="FU23">
        <v>36110.876818943</v>
      </c>
      <c r="FV23">
        <v>39307.8681945562</v>
      </c>
      <c r="FW23" t="s">
        <v>1900</v>
      </c>
      <c r="FX23">
        <v>1211873.82337408</v>
      </c>
      <c r="FY23">
        <v>1352138.04797639</v>
      </c>
      <c r="FZ23">
        <v>1103399.4251215</v>
      </c>
      <c r="GA23">
        <v>904390.3447501661</v>
      </c>
      <c r="GB23" t="s">
        <v>1900</v>
      </c>
      <c r="GC23">
        <v>420181.554722319</v>
      </c>
      <c r="GD23">
        <v>175224.185061538</v>
      </c>
      <c r="GE23">
        <v>43052.652059412</v>
      </c>
      <c r="GF23">
        <v>64605.6246416926</v>
      </c>
      <c r="GG23" t="s">
        <v>1900</v>
      </c>
      <c r="GH23">
        <v>394133.400132227</v>
      </c>
      <c r="GI23">
        <v>57851.8442753792</v>
      </c>
      <c r="GJ23">
        <v>36110.876818943</v>
      </c>
      <c r="GK23">
        <v>39307.8681945562</v>
      </c>
      <c r="GL23" t="s">
        <v>1900</v>
      </c>
      <c r="GM23">
        <v>4159471.99451992</v>
      </c>
      <c r="GN23">
        <v>682755.56817807</v>
      </c>
      <c r="GO23">
        <v>550746.300947928</v>
      </c>
      <c r="GP23">
        <v>117400.295816433</v>
      </c>
      <c r="GQ23" t="s">
        <v>1900</v>
      </c>
      <c r="GR23">
        <v>0</v>
      </c>
      <c r="GS23">
        <v>0</v>
      </c>
      <c r="GT23">
        <v>0</v>
      </c>
      <c r="GU23">
        <v>0</v>
      </c>
      <c r="GV23" t="s">
        <v>1900</v>
      </c>
      <c r="GW23">
        <v>3517652.05917902</v>
      </c>
      <c r="GX23">
        <v>350991.471916503</v>
      </c>
      <c r="GY23">
        <v>541928.1354520801</v>
      </c>
      <c r="GZ23">
        <v>82590.5564398289</v>
      </c>
      <c r="HA23" t="s">
        <v>1900</v>
      </c>
      <c r="HB23">
        <v>641819.9353409</v>
      </c>
      <c r="HC23">
        <v>331764.096261567</v>
      </c>
      <c r="HD23">
        <v>8818.16549584866</v>
      </c>
      <c r="HE23">
        <v>34809.7393766046</v>
      </c>
      <c r="HF23" t="s">
        <v>1900</v>
      </c>
      <c r="HG23">
        <v>641819.9353409</v>
      </c>
      <c r="HH23">
        <v>331764.096261567</v>
      </c>
      <c r="HI23">
        <v>8818.16549584866</v>
      </c>
      <c r="HJ23">
        <v>34809.7393766046</v>
      </c>
      <c r="HK23" t="s">
        <v>1900</v>
      </c>
      <c r="HL23">
        <v>6185660.77274855</v>
      </c>
      <c r="HM23">
        <v>2267969.64549137</v>
      </c>
      <c r="HN23">
        <v>1733309.25494778</v>
      </c>
      <c r="HO23">
        <v>1125704.13340285</v>
      </c>
      <c r="HP23" t="s">
        <v>1900</v>
      </c>
      <c r="HQ23">
        <v>1662510.38516423</v>
      </c>
      <c r="HR23">
        <v>571984.95559048</v>
      </c>
      <c r="HS23">
        <v>470667.99345324</v>
      </c>
      <c r="HT23">
        <v>459592.126952052</v>
      </c>
      <c r="HU23" t="s">
        <v>1900</v>
      </c>
      <c r="HV23">
        <v>6630.00297546387</v>
      </c>
      <c r="HW23">
        <v>6399.59692955017</v>
      </c>
      <c r="HX23">
        <v>6795.6018447876</v>
      </c>
      <c r="HY23">
        <v>3681.29789829254</v>
      </c>
      <c r="HZ23" t="s">
        <v>1900</v>
      </c>
      <c r="IA23">
        <v>1655880.38108377</v>
      </c>
      <c r="IB23">
        <v>565585.35866093</v>
      </c>
      <c r="IC23">
        <v>463872.391608453</v>
      </c>
      <c r="ID23">
        <v>455910.82782666</v>
      </c>
      <c r="IE23" t="s">
        <v>1900</v>
      </c>
      <c r="IF23">
        <v>4079977.23119365</v>
      </c>
      <c r="IG23">
        <v>1012069.51475919</v>
      </c>
      <c r="IH23">
        <v>752438.585796905</v>
      </c>
      <c r="II23">
        <v>308378.803164977</v>
      </c>
      <c r="IJ23" t="s">
        <v>1900</v>
      </c>
      <c r="IK23">
        <v>4079977.23119365</v>
      </c>
      <c r="IL23">
        <v>1012069.51475919</v>
      </c>
      <c r="IM23">
        <v>752438.585796905</v>
      </c>
      <c r="IN23">
        <v>308378.803164977</v>
      </c>
      <c r="IO23" t="s">
        <v>1900</v>
      </c>
      <c r="IP23">
        <v>0</v>
      </c>
      <c r="IQ23">
        <v>0</v>
      </c>
      <c r="IR23">
        <v>0</v>
      </c>
      <c r="IS23">
        <v>0</v>
      </c>
      <c r="IT23" t="s">
        <v>1900</v>
      </c>
      <c r="IU23">
        <v>0</v>
      </c>
      <c r="IV23">
        <v>0</v>
      </c>
      <c r="IW23">
        <v>0</v>
      </c>
      <c r="IX23">
        <v>0</v>
      </c>
      <c r="IY23" t="s">
        <v>1900</v>
      </c>
      <c r="IZ23">
        <v>443173.156390667</v>
      </c>
      <c r="JA23">
        <v>683915.175141704</v>
      </c>
      <c r="JB23">
        <v>510202.675697637</v>
      </c>
      <c r="JC23">
        <v>357733.203285819</v>
      </c>
      <c r="JD23" t="s">
        <v>1900</v>
      </c>
      <c r="JE23">
        <v>74852.9435430813</v>
      </c>
      <c r="JF23">
        <v>222811.790483576</v>
      </c>
      <c r="JG23">
        <v>211719.852279139</v>
      </c>
      <c r="JH23">
        <v>0</v>
      </c>
      <c r="JI23" t="s">
        <v>1900</v>
      </c>
      <c r="JJ23">
        <v>0</v>
      </c>
      <c r="JK23">
        <v>0</v>
      </c>
      <c r="JL23" t="s">
        <v>1900</v>
      </c>
      <c r="JM23">
        <v>0</v>
      </c>
      <c r="JN23" t="s">
        <v>1900</v>
      </c>
      <c r="JO23">
        <v>368320.212847586</v>
      </c>
      <c r="JP23">
        <v>461103.384658128</v>
      </c>
      <c r="JQ23">
        <v>298482.823418498</v>
      </c>
      <c r="JR23">
        <v>357733.203285819</v>
      </c>
      <c r="JS23" t="s">
        <v>1900</v>
      </c>
      <c r="JT23">
        <v>6185660.77274855</v>
      </c>
      <c r="JU23">
        <v>2267969.64549137</v>
      </c>
      <c r="JV23">
        <v>1733309.25494778</v>
      </c>
      <c r="JW23">
        <v>1125704.13340285</v>
      </c>
      <c r="JX23" t="s">
        <v>1900</v>
      </c>
      <c r="JY23">
        <v>3517652.05917902</v>
      </c>
      <c r="JZ23">
        <v>350991.471916503</v>
      </c>
      <c r="KA23">
        <v>541928.1354520801</v>
      </c>
      <c r="KB23">
        <v>82590.5564398289</v>
      </c>
      <c r="KC23" t="s">
        <v>1900</v>
      </c>
      <c r="KD23" t="s">
        <v>1900</v>
      </c>
      <c r="KE23" t="s">
        <v>1900</v>
      </c>
      <c r="KF23" t="s">
        <v>1900</v>
      </c>
      <c r="KG23" t="s">
        <v>1900</v>
      </c>
      <c r="KH23" t="s">
        <v>1900</v>
      </c>
      <c r="KI23" t="s">
        <v>1900</v>
      </c>
      <c r="KJ23" t="s">
        <v>1900</v>
      </c>
      <c r="KK23" t="s">
        <v>1900</v>
      </c>
      <c r="KL23" t="s">
        <v>1900</v>
      </c>
      <c r="KM23" t="s">
        <v>1900</v>
      </c>
      <c r="KN23">
        <v>42</v>
      </c>
      <c r="KO23">
        <v>43</v>
      </c>
      <c r="KP23">
        <v>24</v>
      </c>
      <c r="KQ23">
        <v>23</v>
      </c>
      <c r="KR23" t="s">
        <v>1900</v>
      </c>
      <c r="KS23" t="s">
        <v>1900</v>
      </c>
      <c r="KT23" t="s">
        <v>1900</v>
      </c>
      <c r="KU23" t="s">
        <v>1900</v>
      </c>
      <c r="KV23" t="s">
        <v>1900</v>
      </c>
      <c r="KW23" t="s">
        <v>1900</v>
      </c>
      <c r="KX23" t="s">
        <v>1900</v>
      </c>
      <c r="KY23" t="s">
        <v>1900</v>
      </c>
      <c r="KZ23" t="s">
        <v>1900</v>
      </c>
      <c r="LA23" t="s">
        <v>1900</v>
      </c>
      <c r="LB23" t="s">
        <v>1900</v>
      </c>
      <c r="LC23" t="s">
        <v>1900</v>
      </c>
      <c r="LD23" t="s">
        <v>1900</v>
      </c>
      <c r="LE23" t="s">
        <v>1900</v>
      </c>
      <c r="LF23" t="s">
        <v>1900</v>
      </c>
      <c r="LG23" t="s">
        <v>1900</v>
      </c>
      <c r="LH23" t="s">
        <v>1900</v>
      </c>
      <c r="LI23" t="s">
        <v>1900</v>
      </c>
      <c r="LJ23" t="s">
        <v>1900</v>
      </c>
      <c r="LK23" t="s">
        <v>1900</v>
      </c>
      <c r="LL23" t="s">
        <v>1900</v>
      </c>
      <c r="LM23" t="s">
        <v>1900</v>
      </c>
      <c r="LN23" t="s">
        <v>1900</v>
      </c>
      <c r="LO23" t="s">
        <v>1900</v>
      </c>
      <c r="LP23" t="s">
        <v>1900</v>
      </c>
      <c r="LQ23" t="s">
        <v>1900</v>
      </c>
      <c r="LR23" t="s">
        <v>1900</v>
      </c>
      <c r="LS23" t="s">
        <v>1900</v>
      </c>
      <c r="LT23" t="s">
        <v>1900</v>
      </c>
      <c r="LU23" t="s">
        <v>1900</v>
      </c>
      <c r="LV23" t="s">
        <v>1900</v>
      </c>
      <c r="LW23" t="s">
        <v>1900</v>
      </c>
      <c r="LX23" t="s">
        <v>1900</v>
      </c>
      <c r="LY23" t="s">
        <v>1900</v>
      </c>
      <c r="LZ23" t="s">
        <v>1900</v>
      </c>
      <c r="MA23" t="s">
        <v>1900</v>
      </c>
      <c r="MB23" t="s">
        <v>1900</v>
      </c>
      <c r="MC23" t="s">
        <v>1900</v>
      </c>
      <c r="MD23" t="s">
        <v>1900</v>
      </c>
      <c r="ME23" t="s">
        <v>1900</v>
      </c>
      <c r="MF23" t="s">
        <v>1900</v>
      </c>
      <c r="MG23" t="s">
        <v>1900</v>
      </c>
      <c r="MH23" t="s">
        <v>1900</v>
      </c>
      <c r="MI23" t="s">
        <v>1900</v>
      </c>
      <c r="MJ23" t="s">
        <v>1900</v>
      </c>
      <c r="MK23" t="s">
        <v>1900</v>
      </c>
      <c r="ML23" t="s">
        <v>1900</v>
      </c>
      <c r="MM23" t="s">
        <v>1900</v>
      </c>
      <c r="MN23" t="s">
        <v>1900</v>
      </c>
      <c r="MO23" t="s">
        <v>1900</v>
      </c>
      <c r="MP23" t="s">
        <v>1900</v>
      </c>
      <c r="MQ23">
        <v>641819.9353409</v>
      </c>
      <c r="MR23">
        <v>331764.096261567</v>
      </c>
      <c r="MS23">
        <v>8818.16549584866</v>
      </c>
      <c r="MT23">
        <v>34809.7393766046</v>
      </c>
      <c r="MU23" t="s">
        <v>1900</v>
      </c>
      <c r="MV23" t="s">
        <v>1900</v>
      </c>
      <c r="MW23" t="s">
        <v>1900</v>
      </c>
      <c r="MX23" t="s">
        <v>1900</v>
      </c>
      <c r="MY23" t="s">
        <v>1900</v>
      </c>
      <c r="MZ23" t="s">
        <v>1900</v>
      </c>
      <c r="NA23" t="s">
        <v>1900</v>
      </c>
      <c r="NB23" t="s">
        <v>1900</v>
      </c>
      <c r="NC23" t="s">
        <v>1900</v>
      </c>
      <c r="ND23" t="s">
        <v>1900</v>
      </c>
      <c r="NE23" t="s">
        <v>1900</v>
      </c>
      <c r="NF23" t="s">
        <v>1900</v>
      </c>
      <c r="NG23" t="s">
        <v>1900</v>
      </c>
      <c r="NH23" t="s">
        <v>1900</v>
      </c>
      <c r="NI23" t="s">
        <v>1900</v>
      </c>
      <c r="NJ23" t="s">
        <v>1900</v>
      </c>
      <c r="NK23" t="s">
        <v>1900</v>
      </c>
      <c r="NL23" t="s">
        <v>1900</v>
      </c>
      <c r="NM23" t="s">
        <v>1900</v>
      </c>
      <c r="NN23" t="s">
        <v>1900</v>
      </c>
      <c r="NO23" t="s">
        <v>1900</v>
      </c>
      <c r="NP23" t="s">
        <v>1900</v>
      </c>
      <c r="NQ23" t="s">
        <v>1900</v>
      </c>
      <c r="NR23" t="s">
        <v>1900</v>
      </c>
      <c r="NS23" t="s">
        <v>1900</v>
      </c>
      <c r="NT23" t="s">
        <v>1900</v>
      </c>
      <c r="NU23">
        <v>2026188.77822863</v>
      </c>
      <c r="NV23">
        <v>1585214.0773133</v>
      </c>
      <c r="NW23">
        <v>1182562.95399985</v>
      </c>
      <c r="NX23">
        <v>1008303.83758641</v>
      </c>
      <c r="NY23" t="s">
        <v>1900</v>
      </c>
      <c r="NZ23" t="s">
        <v>1900</v>
      </c>
      <c r="OA23" t="s">
        <v>1900</v>
      </c>
      <c r="OB23" t="s">
        <v>1900</v>
      </c>
      <c r="OC23" t="s">
        <v>1900</v>
      </c>
      <c r="OD23" t="s">
        <v>1900</v>
      </c>
      <c r="OE23" t="s">
        <v>1900</v>
      </c>
      <c r="OF23" t="s">
        <v>1900</v>
      </c>
      <c r="OG23" t="s">
        <v>1900</v>
      </c>
      <c r="OH23" t="s">
        <v>1900</v>
      </c>
      <c r="OI23" t="s">
        <v>1900</v>
      </c>
      <c r="OJ23" t="s">
        <v>1900</v>
      </c>
      <c r="OK23" t="s">
        <v>1900</v>
      </c>
      <c r="OL23" t="s">
        <v>1900</v>
      </c>
      <c r="OM23" t="s">
        <v>1900</v>
      </c>
      <c r="ON23" t="s">
        <v>1900</v>
      </c>
      <c r="OO23" t="s">
        <v>1900</v>
      </c>
      <c r="OP23" t="s">
        <v>1900</v>
      </c>
      <c r="OQ23" t="s">
        <v>1900</v>
      </c>
      <c r="OR23" t="s">
        <v>1900</v>
      </c>
      <c r="OS23" t="s">
        <v>1900</v>
      </c>
      <c r="OT23" t="s">
        <v>1900</v>
      </c>
      <c r="OU23" t="s">
        <v>1900</v>
      </c>
      <c r="OV23" t="s">
        <v>1900</v>
      </c>
      <c r="OW23" t="s">
        <v>1900</v>
      </c>
      <c r="OX23" t="s">
        <v>1900</v>
      </c>
      <c r="OY23" t="s">
        <v>1900</v>
      </c>
      <c r="OZ23" t="s">
        <v>1900</v>
      </c>
      <c r="PA23" t="s">
        <v>1900</v>
      </c>
      <c r="PB23" t="s">
        <v>1900</v>
      </c>
      <c r="PC23" t="s">
        <v>1900</v>
      </c>
      <c r="PD23" t="s">
        <v>1900</v>
      </c>
      <c r="PE23" t="s">
        <v>1900</v>
      </c>
      <c r="PF23" t="s">
        <v>1900</v>
      </c>
      <c r="PG23" t="s">
        <v>1900</v>
      </c>
      <c r="PH23" t="s">
        <v>1900</v>
      </c>
      <c r="PI23" t="s">
        <v>1900</v>
      </c>
      <c r="PJ23" t="s">
        <v>1900</v>
      </c>
      <c r="PK23" t="s">
        <v>1900</v>
      </c>
      <c r="PL23" t="s">
        <v>1900</v>
      </c>
      <c r="PM23" t="s">
        <v>1900</v>
      </c>
      <c r="PN23" t="s">
        <v>1900</v>
      </c>
      <c r="PO23" t="s">
        <v>1900</v>
      </c>
      <c r="PP23" t="s">
        <v>1900</v>
      </c>
      <c r="PQ23" t="s">
        <v>1900</v>
      </c>
      <c r="PR23" t="s">
        <v>1900</v>
      </c>
      <c r="PS23" t="s">
        <v>1900</v>
      </c>
      <c r="PT23" t="s">
        <v>1900</v>
      </c>
      <c r="PU23" t="s">
        <v>1900</v>
      </c>
      <c r="PV23" t="s">
        <v>1900</v>
      </c>
      <c r="PW23" t="s">
        <v>1900</v>
      </c>
      <c r="PX23" t="s">
        <v>1900</v>
      </c>
      <c r="PY23" t="s">
        <v>1900</v>
      </c>
      <c r="PZ23" t="s">
        <v>1900</v>
      </c>
      <c r="QA23" t="s">
        <v>1900</v>
      </c>
      <c r="QB23" t="s">
        <v>1900</v>
      </c>
      <c r="QC23" t="s">
        <v>1900</v>
      </c>
      <c r="QD23" t="s">
        <v>1900</v>
      </c>
      <c r="QE23" t="s">
        <v>1900</v>
      </c>
      <c r="QF23" t="s">
        <v>1900</v>
      </c>
      <c r="QG23" t="s">
        <v>1900</v>
      </c>
      <c r="QH23" t="s">
        <v>1900</v>
      </c>
      <c r="QI23" t="s">
        <v>1900</v>
      </c>
      <c r="QJ23" t="s">
        <v>1900</v>
      </c>
      <c r="QK23" t="s">
        <v>1900</v>
      </c>
      <c r="QL23" t="s">
        <v>1900</v>
      </c>
      <c r="QM23" t="s">
        <v>1900</v>
      </c>
      <c r="QN23" t="s">
        <v>1900</v>
      </c>
      <c r="QO23" t="s">
        <v>1900</v>
      </c>
      <c r="QP23" t="s">
        <v>1900</v>
      </c>
      <c r="QQ23" t="s">
        <v>1900</v>
      </c>
      <c r="QR23" t="s">
        <v>1900</v>
      </c>
      <c r="QS23" t="s">
        <v>1900</v>
      </c>
      <c r="QT23" t="s">
        <v>1900</v>
      </c>
      <c r="QU23" t="s">
        <v>1900</v>
      </c>
      <c r="QV23" t="s">
        <v>1900</v>
      </c>
      <c r="QW23" t="s">
        <v>1900</v>
      </c>
      <c r="QX23" t="s">
        <v>1900</v>
      </c>
      <c r="QY23" t="s">
        <v>1900</v>
      </c>
      <c r="QZ23" t="s">
        <v>1900</v>
      </c>
      <c r="RA23" t="s">
        <v>1900</v>
      </c>
      <c r="RB23" t="s">
        <v>1900</v>
      </c>
      <c r="RC23" t="s">
        <v>1900</v>
      </c>
      <c r="RD23" t="s">
        <v>1900</v>
      </c>
      <c r="RE23" t="s">
        <v>1900</v>
      </c>
      <c r="RF23" t="s">
        <v>1900</v>
      </c>
      <c r="RG23" t="s">
        <v>1900</v>
      </c>
      <c r="RH23" t="s">
        <v>1900</v>
      </c>
      <c r="RI23" t="s">
        <v>1900</v>
      </c>
      <c r="RJ23" t="s">
        <v>1900</v>
      </c>
      <c r="RK23" t="s">
        <v>1900</v>
      </c>
      <c r="RL23" t="s">
        <v>1900</v>
      </c>
      <c r="RM23" t="s">
        <v>1900</v>
      </c>
      <c r="RN23" t="s">
        <v>1900</v>
      </c>
      <c r="RO23" t="s">
        <v>1900</v>
      </c>
      <c r="RP23" t="s">
        <v>1900</v>
      </c>
      <c r="RQ23" t="s">
        <v>1900</v>
      </c>
      <c r="RR23" t="s">
        <v>1900</v>
      </c>
      <c r="RS23" t="s">
        <v>1900</v>
      </c>
      <c r="RT23" t="s">
        <v>1900</v>
      </c>
      <c r="RU23" t="s">
        <v>1900</v>
      </c>
      <c r="RV23" t="s">
        <v>1900</v>
      </c>
      <c r="RW23" t="s">
        <v>1900</v>
      </c>
      <c r="RX23" t="s">
        <v>1900</v>
      </c>
      <c r="RY23" t="s">
        <v>1900</v>
      </c>
      <c r="RZ23" t="s">
        <v>1900</v>
      </c>
      <c r="SA23" t="s">
        <v>1900</v>
      </c>
      <c r="SB23" t="s">
        <v>1900</v>
      </c>
      <c r="SC23" t="s">
        <v>1900</v>
      </c>
      <c r="SD23" t="s">
        <v>1900</v>
      </c>
      <c r="SE23" t="s">
        <v>1900</v>
      </c>
      <c r="SF23" t="s">
        <v>1900</v>
      </c>
      <c r="SG23" t="s">
        <v>1900</v>
      </c>
      <c r="SH23" t="s">
        <v>1900</v>
      </c>
      <c r="SI23" t="s">
        <v>1900</v>
      </c>
      <c r="SJ23" t="s">
        <v>1900</v>
      </c>
      <c r="SK23">
        <v>394133.400132227</v>
      </c>
      <c r="SL23">
        <v>57851.8442753792</v>
      </c>
      <c r="SM23">
        <v>36110.876818943</v>
      </c>
      <c r="SN23">
        <v>39307.8681945562</v>
      </c>
      <c r="SO23" t="s">
        <v>1900</v>
      </c>
      <c r="SP23" t="s">
        <v>1900</v>
      </c>
      <c r="SQ23" t="s">
        <v>1900</v>
      </c>
      <c r="SR23" t="s">
        <v>1900</v>
      </c>
      <c r="SS23" t="s">
        <v>1900</v>
      </c>
      <c r="ST23" t="s">
        <v>1900</v>
      </c>
      <c r="SU23" t="s">
        <v>1900</v>
      </c>
      <c r="SV23" t="s">
        <v>1900</v>
      </c>
      <c r="SW23" t="s">
        <v>1900</v>
      </c>
      <c r="SX23" t="s">
        <v>1900</v>
      </c>
      <c r="SY23" t="s">
        <v>1900</v>
      </c>
      <c r="SZ23" t="s">
        <v>1900</v>
      </c>
      <c r="TA23" t="s">
        <v>1900</v>
      </c>
      <c r="TB23" t="s">
        <v>1900</v>
      </c>
      <c r="TC23" t="s">
        <v>1900</v>
      </c>
      <c r="TD23" t="s">
        <v>1900</v>
      </c>
      <c r="TE23" t="s">
        <v>1900</v>
      </c>
      <c r="TF23" t="s">
        <v>1900</v>
      </c>
      <c r="TG23" t="s">
        <v>1900</v>
      </c>
      <c r="TH23" t="s">
        <v>1900</v>
      </c>
      <c r="TI23" t="s">
        <v>1900</v>
      </c>
      <c r="TJ23" t="s">
        <v>1900</v>
      </c>
      <c r="TK23" t="s">
        <v>1900</v>
      </c>
      <c r="TL23" t="s">
        <v>1900</v>
      </c>
      <c r="TM23" t="s">
        <v>1900</v>
      </c>
      <c r="TN23" t="s">
        <v>1900</v>
      </c>
      <c r="TO23" t="s">
        <v>1900</v>
      </c>
      <c r="TP23" t="s">
        <v>1900</v>
      </c>
      <c r="TQ23" t="s">
        <v>1900</v>
      </c>
      <c r="TR23" t="s">
        <v>1900</v>
      </c>
      <c r="TS23" t="s">
        <v>1900</v>
      </c>
      <c r="TT23">
        <v>6185660.77274855</v>
      </c>
      <c r="TU23">
        <v>2267969.64549137</v>
      </c>
      <c r="TV23">
        <v>1733309.25494778</v>
      </c>
      <c r="TW23">
        <v>1125704.13340285</v>
      </c>
      <c r="TX23" t="s">
        <v>1900</v>
      </c>
      <c r="TY23" t="s">
        <v>1900</v>
      </c>
      <c r="TZ23" t="s">
        <v>1900</v>
      </c>
      <c r="UA23" t="s">
        <v>1900</v>
      </c>
      <c r="UB23" t="s">
        <v>1900</v>
      </c>
      <c r="UC23" t="s">
        <v>1900</v>
      </c>
      <c r="UD23">
        <v>74852.9435430813</v>
      </c>
      <c r="UE23">
        <v>222811.790483576</v>
      </c>
      <c r="UF23">
        <v>211719.852279139</v>
      </c>
      <c r="UG23">
        <v>0</v>
      </c>
      <c r="UH23" t="s">
        <v>1900</v>
      </c>
      <c r="UI23" t="s">
        <v>1900</v>
      </c>
      <c r="UJ23" t="s">
        <v>1900</v>
      </c>
      <c r="UK23" t="s">
        <v>1900</v>
      </c>
      <c r="UL23" t="s">
        <v>1900</v>
      </c>
      <c r="UM23" t="s">
        <v>1900</v>
      </c>
      <c r="UN23" t="s">
        <v>1900</v>
      </c>
      <c r="UO23" t="s">
        <v>1900</v>
      </c>
      <c r="UP23" t="s">
        <v>1900</v>
      </c>
      <c r="UQ23" t="s">
        <v>1900</v>
      </c>
      <c r="UR23" t="s">
        <v>1900</v>
      </c>
      <c r="US23" t="s">
        <v>1900</v>
      </c>
      <c r="UT23" t="s">
        <v>1900</v>
      </c>
      <c r="UU23" t="s">
        <v>1900</v>
      </c>
      <c r="UV23" t="s">
        <v>1900</v>
      </c>
      <c r="UW23" t="s">
        <v>1900</v>
      </c>
      <c r="UX23" t="s">
        <v>1900</v>
      </c>
      <c r="UY23" t="s">
        <v>1900</v>
      </c>
      <c r="UZ23" t="s">
        <v>1900</v>
      </c>
      <c r="VA23" t="s">
        <v>1900</v>
      </c>
      <c r="VB23" t="s">
        <v>1900</v>
      </c>
      <c r="VC23" t="s">
        <v>1900</v>
      </c>
      <c r="VD23" t="s">
        <v>1900</v>
      </c>
      <c r="VE23" t="s">
        <v>1900</v>
      </c>
      <c r="VF23" t="s">
        <v>1900</v>
      </c>
      <c r="VG23" t="s">
        <v>1900</v>
      </c>
      <c r="VH23" t="s">
        <v>1900</v>
      </c>
      <c r="VI23" t="s">
        <v>1900</v>
      </c>
      <c r="VJ23" t="s">
        <v>1900</v>
      </c>
      <c r="VK23" t="s">
        <v>1900</v>
      </c>
      <c r="VL23" t="s">
        <v>1900</v>
      </c>
      <c r="VM23" t="s">
        <v>1900</v>
      </c>
      <c r="VN23" t="s">
        <v>1900</v>
      </c>
      <c r="VO23" t="s">
        <v>1900</v>
      </c>
      <c r="VP23" t="s">
        <v>1900</v>
      </c>
      <c r="VQ23" t="s">
        <v>1900</v>
      </c>
      <c r="VR23" t="s">
        <v>1900</v>
      </c>
      <c r="VS23" t="s">
        <v>1900</v>
      </c>
      <c r="VT23" t="s">
        <v>1900</v>
      </c>
      <c r="VU23" t="s">
        <v>1900</v>
      </c>
      <c r="VV23" t="s">
        <v>1900</v>
      </c>
      <c r="VW23" t="s">
        <v>1900</v>
      </c>
      <c r="VX23" t="s">
        <v>1900</v>
      </c>
      <c r="VY23" t="s">
        <v>1900</v>
      </c>
      <c r="VZ23" t="s">
        <v>1900</v>
      </c>
      <c r="WA23" t="s">
        <v>1900</v>
      </c>
      <c r="WB23">
        <v>368320.212847586</v>
      </c>
      <c r="WC23">
        <v>461103.384658128</v>
      </c>
      <c r="WD23">
        <v>298482.823418498</v>
      </c>
      <c r="WE23">
        <v>357733.203285819</v>
      </c>
      <c r="WF23" t="s">
        <v>1900</v>
      </c>
      <c r="WG23" t="s">
        <v>1900</v>
      </c>
      <c r="WH23" t="s">
        <v>1900</v>
      </c>
      <c r="WI23" t="s">
        <v>1900</v>
      </c>
      <c r="WJ23" t="s">
        <v>1900</v>
      </c>
      <c r="WK23" t="s">
        <v>1900</v>
      </c>
      <c r="WL23" t="s">
        <v>1900</v>
      </c>
      <c r="WM23" t="s">
        <v>1900</v>
      </c>
      <c r="WN23" t="s">
        <v>1900</v>
      </c>
      <c r="WO23" t="s">
        <v>1900</v>
      </c>
      <c r="WP23" t="s">
        <v>1900</v>
      </c>
      <c r="WQ23" t="s">
        <v>1900</v>
      </c>
      <c r="WR23" t="s">
        <v>1900</v>
      </c>
      <c r="WS23" t="s">
        <v>1900</v>
      </c>
      <c r="WT23" t="s">
        <v>1900</v>
      </c>
      <c r="WU23" t="s">
        <v>1900</v>
      </c>
      <c r="WV23" t="s">
        <v>1900</v>
      </c>
      <c r="WW23" t="s">
        <v>1900</v>
      </c>
      <c r="WX23" t="s">
        <v>1900</v>
      </c>
      <c r="WY23" t="s">
        <v>1900</v>
      </c>
      <c r="WZ23" t="s">
        <v>1900</v>
      </c>
      <c r="XA23" t="s">
        <v>1900</v>
      </c>
      <c r="XB23" t="s">
        <v>1900</v>
      </c>
      <c r="XC23" t="s">
        <v>1900</v>
      </c>
      <c r="XD23" t="s">
        <v>1900</v>
      </c>
      <c r="XE23" t="s">
        <v>1900</v>
      </c>
      <c r="XF23" t="s">
        <v>1900</v>
      </c>
      <c r="XG23" t="s">
        <v>1900</v>
      </c>
      <c r="XH23" t="s">
        <v>1900</v>
      </c>
      <c r="XI23" t="s">
        <v>1900</v>
      </c>
      <c r="XJ23" t="s">
        <v>1900</v>
      </c>
      <c r="XK23">
        <v>0</v>
      </c>
      <c r="XL23">
        <v>0</v>
      </c>
      <c r="XM23">
        <v>0</v>
      </c>
      <c r="XN23">
        <v>0</v>
      </c>
      <c r="XO23" t="s">
        <v>1900</v>
      </c>
      <c r="XP23" t="s">
        <v>1900</v>
      </c>
      <c r="XQ23" t="s">
        <v>1900</v>
      </c>
      <c r="XR23" t="s">
        <v>1900</v>
      </c>
      <c r="XS23" t="s">
        <v>1900</v>
      </c>
      <c r="XT23" t="s">
        <v>1900</v>
      </c>
      <c r="XU23" t="s">
        <v>1900</v>
      </c>
      <c r="XV23" t="s">
        <v>1900</v>
      </c>
      <c r="XW23" t="s">
        <v>1900</v>
      </c>
      <c r="XX23" t="s">
        <v>1900</v>
      </c>
      <c r="XY23" t="s">
        <v>1900</v>
      </c>
      <c r="XZ23">
        <v>0</v>
      </c>
      <c r="YA23">
        <v>0</v>
      </c>
      <c r="YB23">
        <v>0</v>
      </c>
      <c r="YC23">
        <v>0</v>
      </c>
      <c r="YD23" t="s">
        <v>1900</v>
      </c>
      <c r="YE23" t="s">
        <v>1900</v>
      </c>
      <c r="YF23" t="s">
        <v>1900</v>
      </c>
      <c r="YG23" t="s">
        <v>1900</v>
      </c>
      <c r="YH23" t="s">
        <v>1900</v>
      </c>
      <c r="YI23" t="s">
        <v>1900</v>
      </c>
      <c r="YJ23" t="s">
        <v>1900</v>
      </c>
      <c r="YK23" t="s">
        <v>1900</v>
      </c>
      <c r="YL23" t="s">
        <v>1900</v>
      </c>
      <c r="YM23" t="s">
        <v>1900</v>
      </c>
      <c r="YN23" t="s">
        <v>1900</v>
      </c>
      <c r="YO23" t="s">
        <v>1900</v>
      </c>
      <c r="YP23" t="s">
        <v>1900</v>
      </c>
      <c r="YQ23" t="s">
        <v>1900</v>
      </c>
      <c r="YR23" t="s">
        <v>1900</v>
      </c>
      <c r="YS23" t="s">
        <v>1900</v>
      </c>
      <c r="YT23" t="s">
        <v>1900</v>
      </c>
      <c r="YU23" t="s">
        <v>1900</v>
      </c>
      <c r="YV23" t="s">
        <v>1900</v>
      </c>
      <c r="YW23" t="s">
        <v>1900</v>
      </c>
      <c r="YX23" t="s">
        <v>1900</v>
      </c>
      <c r="YY23" t="s">
        <v>1900</v>
      </c>
      <c r="YZ23" t="s">
        <v>1900</v>
      </c>
      <c r="ZA23" t="s">
        <v>1900</v>
      </c>
      <c r="ZB23" t="s">
        <v>1900</v>
      </c>
      <c r="ZC23" t="s">
        <v>1900</v>
      </c>
      <c r="ZD23" t="s">
        <v>1900</v>
      </c>
      <c r="ZE23" t="s">
        <v>1900</v>
      </c>
      <c r="ZF23" t="s">
        <v>1900</v>
      </c>
      <c r="ZG23" t="s">
        <v>1900</v>
      </c>
      <c r="ZH23" t="s">
        <v>1900</v>
      </c>
      <c r="ZI23" t="s">
        <v>1900</v>
      </c>
      <c r="ZJ23" t="s">
        <v>1900</v>
      </c>
      <c r="ZK23" t="s">
        <v>1900</v>
      </c>
      <c r="ZL23" t="s">
        <v>1900</v>
      </c>
      <c r="ZM23" t="s">
        <v>1900</v>
      </c>
      <c r="ZN23" t="s">
        <v>1900</v>
      </c>
      <c r="ZO23" t="s">
        <v>1900</v>
      </c>
      <c r="ZP23" t="s">
        <v>1900</v>
      </c>
      <c r="ZQ23" t="s">
        <v>1900</v>
      </c>
      <c r="ZR23" t="s">
        <v>1900</v>
      </c>
      <c r="ZS23" t="s">
        <v>1900</v>
      </c>
      <c r="ZT23" t="s">
        <v>1900</v>
      </c>
      <c r="ZU23" t="s">
        <v>1900</v>
      </c>
      <c r="ZV23" t="s">
        <v>1900</v>
      </c>
      <c r="ZW23" t="s">
        <v>1900</v>
      </c>
      <c r="ZX23" t="s">
        <v>1900</v>
      </c>
      <c r="ZY23" t="s">
        <v>1900</v>
      </c>
      <c r="ZZ23" t="s">
        <v>1900</v>
      </c>
      <c r="AAA23" t="s">
        <v>1900</v>
      </c>
      <c r="AAB23" t="s">
        <v>1900</v>
      </c>
      <c r="AAC23" t="s">
        <v>1900</v>
      </c>
      <c r="AAD23" t="s">
        <v>1900</v>
      </c>
      <c r="AAE23" t="s">
        <v>1900</v>
      </c>
      <c r="AAF23" t="s">
        <v>1900</v>
      </c>
      <c r="AAG23" t="s">
        <v>1900</v>
      </c>
      <c r="AAH23" t="s">
        <v>1900</v>
      </c>
      <c r="AAI23" t="s">
        <v>1900</v>
      </c>
      <c r="AAJ23" t="s">
        <v>1900</v>
      </c>
      <c r="AAK23" t="s">
        <v>1900</v>
      </c>
      <c r="AAL23" t="s">
        <v>1900</v>
      </c>
      <c r="AAM23" t="s">
        <v>1900</v>
      </c>
      <c r="AAN23" t="s">
        <v>1900</v>
      </c>
      <c r="AAO23" t="s">
        <v>1900</v>
      </c>
      <c r="AAP23" t="s">
        <v>1900</v>
      </c>
      <c r="AAQ23" t="s">
        <v>1900</v>
      </c>
      <c r="AAR23" t="s">
        <v>1900</v>
      </c>
      <c r="AAS23" t="s">
        <v>1900</v>
      </c>
      <c r="AAT23" t="s">
        <v>1900</v>
      </c>
      <c r="AAU23" t="s">
        <v>1900</v>
      </c>
      <c r="AAV23" t="s">
        <v>1900</v>
      </c>
      <c r="AAW23" t="s">
        <v>1900</v>
      </c>
      <c r="AAX23" t="s">
        <v>1900</v>
      </c>
      <c r="AAY23" t="s">
        <v>1900</v>
      </c>
      <c r="AAZ23" t="s">
        <v>1900</v>
      </c>
      <c r="ABA23" t="s">
        <v>1900</v>
      </c>
      <c r="ABB23" t="s">
        <v>1900</v>
      </c>
      <c r="ABC23" t="s">
        <v>1900</v>
      </c>
      <c r="ABD23" t="s">
        <v>1900</v>
      </c>
      <c r="ABE23" t="s">
        <v>1900</v>
      </c>
      <c r="ABF23" t="s">
        <v>1900</v>
      </c>
      <c r="ABG23" t="s">
        <v>1900</v>
      </c>
      <c r="ABH23" t="s">
        <v>1900</v>
      </c>
      <c r="ABI23" t="s">
        <v>1900</v>
      </c>
      <c r="ABJ23" t="s">
        <v>1900</v>
      </c>
      <c r="ABK23" t="s">
        <v>1900</v>
      </c>
      <c r="ABL23" t="s">
        <v>1900</v>
      </c>
      <c r="ABM23" t="s">
        <v>1900</v>
      </c>
      <c r="ABN23" t="s">
        <v>1900</v>
      </c>
      <c r="ABO23" t="s">
        <v>1900</v>
      </c>
      <c r="ABP23" t="s">
        <v>1900</v>
      </c>
      <c r="ABQ23" t="s">
        <v>1900</v>
      </c>
      <c r="ABR23" t="s">
        <v>1900</v>
      </c>
      <c r="ABS23" t="s">
        <v>1900</v>
      </c>
      <c r="ABT23" t="s">
        <v>1900</v>
      </c>
      <c r="ABU23" t="s">
        <v>1900</v>
      </c>
      <c r="ABV23" t="s">
        <v>1900</v>
      </c>
      <c r="ABW23" t="s">
        <v>1900</v>
      </c>
      <c r="ABX23" t="s">
        <v>1900</v>
      </c>
      <c r="ABY23" t="s">
        <v>1900</v>
      </c>
      <c r="ABZ23" t="s">
        <v>1900</v>
      </c>
      <c r="ACA23" t="s">
        <v>1900</v>
      </c>
      <c r="ACB23" t="s">
        <v>1900</v>
      </c>
      <c r="ACC23" t="s">
        <v>1900</v>
      </c>
      <c r="ACD23" t="s">
        <v>1900</v>
      </c>
      <c r="ACE23" t="s">
        <v>1900</v>
      </c>
      <c r="ACF23">
        <v>102.213</v>
      </c>
      <c r="ACG23">
        <v>22.508</v>
      </c>
      <c r="ACH23">
        <v>9.151</v>
      </c>
      <c r="ACI23">
        <v>39.16</v>
      </c>
      <c r="ACJ23" t="s">
        <v>1900</v>
      </c>
      <c r="ACK23">
        <v>30.92</v>
      </c>
      <c r="ACL23">
        <v>10.639</v>
      </c>
      <c r="ACM23">
        <v>4.837</v>
      </c>
      <c r="ACN23">
        <v>38.151</v>
      </c>
      <c r="ACO23" t="s">
        <v>1900</v>
      </c>
      <c r="ACP23">
        <v>27.472</v>
      </c>
      <c r="ACQ23">
        <v>5.677</v>
      </c>
      <c r="ACR23">
        <v>2.485</v>
      </c>
      <c r="ACS23">
        <v>15.988</v>
      </c>
      <c r="ACT23" t="s">
        <v>1900</v>
      </c>
      <c r="ACU23">
        <v>96.203</v>
      </c>
      <c r="ACV23">
        <v>22.508</v>
      </c>
      <c r="ACW23">
        <v>9.151</v>
      </c>
      <c r="ACX23">
        <v>39.16</v>
      </c>
      <c r="ACY23" t="s">
        <v>1900</v>
      </c>
      <c r="ACZ23">
        <v>29.179</v>
      </c>
      <c r="ADA23">
        <v>10.639</v>
      </c>
      <c r="ADB23">
        <v>4.837</v>
      </c>
      <c r="ADC23">
        <v>38.151</v>
      </c>
      <c r="ADD23" t="s">
        <v>1900</v>
      </c>
      <c r="ADE23">
        <v>25.856</v>
      </c>
      <c r="ADF23">
        <v>5.677</v>
      </c>
      <c r="ADG23">
        <v>2.485</v>
      </c>
      <c r="ADH23">
        <v>15.988</v>
      </c>
      <c r="ADI23" t="s">
        <v>1900</v>
      </c>
      <c r="ADJ23">
        <v>17.362</v>
      </c>
      <c r="ADK23">
        <v>4.626</v>
      </c>
      <c r="ADL23">
        <v>3.425</v>
      </c>
      <c r="ADM23">
        <v>11.779</v>
      </c>
      <c r="ADN23" t="s">
        <v>1900</v>
      </c>
      <c r="ADO23">
        <v>87.006</v>
      </c>
      <c r="ADP23">
        <v>99.71299999999999</v>
      </c>
      <c r="ADQ23">
        <v>100</v>
      </c>
      <c r="ADR23">
        <v>100</v>
      </c>
      <c r="ADS23" t="s">
        <v>1900</v>
      </c>
      <c r="ADT23">
        <v>18.794899414</v>
      </c>
      <c r="ADU23">
        <v>5.956027619</v>
      </c>
      <c r="ADV23">
        <v>4.691795905</v>
      </c>
      <c r="ADW23">
        <v>19.119191238</v>
      </c>
      <c r="ADX23" t="s">
        <v>1900</v>
      </c>
      <c r="ADY23">
        <v>25.777</v>
      </c>
      <c r="ADZ23">
        <v>21.537</v>
      </c>
      <c r="AEA23">
        <v>19.469</v>
      </c>
      <c r="AEB23">
        <v>29.121</v>
      </c>
      <c r="AEC23" t="s">
        <v>1900</v>
      </c>
      <c r="AED23">
        <v>18.795</v>
      </c>
      <c r="AEE23">
        <v>5.956</v>
      </c>
      <c r="AEF23">
        <v>4.692</v>
      </c>
      <c r="AEG23">
        <v>19.119</v>
      </c>
      <c r="AEH23" t="s">
        <v>1900</v>
      </c>
      <c r="AEI23">
        <v>23.323</v>
      </c>
      <c r="AEJ23">
        <v>20.206</v>
      </c>
      <c r="AEK23">
        <v>18.202</v>
      </c>
      <c r="AEL23">
        <v>21.781</v>
      </c>
      <c r="AEM23" t="s">
        <v>1900</v>
      </c>
      <c r="AEN23">
        <v>23.144973996</v>
      </c>
      <c r="AEO23">
        <v>6.333236962</v>
      </c>
      <c r="AEP23">
        <v>4.922761844</v>
      </c>
      <c r="AEQ23">
        <v>23.638724107</v>
      </c>
      <c r="AER23" t="s">
        <v>1900</v>
      </c>
      <c r="AES23">
        <v>1.275539933</v>
      </c>
      <c r="AET23">
        <v>1.063526513</v>
      </c>
      <c r="AEU23" t="s">
        <v>1900</v>
      </c>
      <c r="AEV23" t="s">
        <v>1900</v>
      </c>
      <c r="AEW23" t="s">
        <v>1900</v>
      </c>
      <c r="AEX23" t="s">
        <v>1900</v>
      </c>
      <c r="AEY23" t="s">
        <v>1900</v>
      </c>
      <c r="AEZ23" t="s">
        <v>1900</v>
      </c>
      <c r="AFA23" t="s">
        <v>1900</v>
      </c>
      <c r="AFB23" t="s">
        <v>1900</v>
      </c>
      <c r="AFC23" t="s">
        <v>1900</v>
      </c>
      <c r="AFD23" t="s">
        <v>1900</v>
      </c>
      <c r="AFE23" t="s">
        <v>1900</v>
      </c>
      <c r="AFF23" t="s">
        <v>1900</v>
      </c>
      <c r="AFG23" t="s">
        <v>1900</v>
      </c>
      <c r="AFH23">
        <v>1.704</v>
      </c>
      <c r="AFI23">
        <v>1.757</v>
      </c>
      <c r="AFJ23">
        <v>1.028</v>
      </c>
      <c r="AFK23">
        <v>1.99</v>
      </c>
      <c r="AFL23" t="s">
        <v>1900</v>
      </c>
      <c r="AFM23">
        <v>24.126</v>
      </c>
      <c r="AFN23">
        <v>4.167</v>
      </c>
      <c r="AFO23">
        <v>3.666</v>
      </c>
      <c r="AFP23">
        <v>2.585</v>
      </c>
      <c r="AFQ23" t="s">
        <v>1900</v>
      </c>
      <c r="AFR23" t="s">
        <v>1901</v>
      </c>
      <c r="AFS23" t="s">
        <v>1901</v>
      </c>
      <c r="AFT23" t="s">
        <v>1901</v>
      </c>
      <c r="AFU23" t="s">
        <v>1901</v>
      </c>
      <c r="AFV23" t="s">
        <v>1900</v>
      </c>
      <c r="AFW23">
        <v>129.388</v>
      </c>
      <c r="AFX23">
        <v>45.398</v>
      </c>
      <c r="AFY23">
        <v>155.119</v>
      </c>
      <c r="AFZ23">
        <v>19.459</v>
      </c>
      <c r="AGA23" t="s">
        <v>1900</v>
      </c>
      <c r="AGB23">
        <v>0</v>
      </c>
      <c r="AGC23">
        <v>0</v>
      </c>
      <c r="AGD23" t="s">
        <v>1900</v>
      </c>
      <c r="AGE23">
        <v>0</v>
      </c>
      <c r="AGF23" t="s">
        <v>1900</v>
      </c>
      <c r="AGG23" t="s">
        <v>1900</v>
      </c>
      <c r="AGH23" t="s">
        <v>1900</v>
      </c>
      <c r="AGI23" t="s">
        <v>1900</v>
      </c>
      <c r="AGJ23" t="s">
        <v>1900</v>
      </c>
      <c r="AGK23" t="s">
        <v>1900</v>
      </c>
      <c r="AGL23" t="s">
        <v>1900</v>
      </c>
      <c r="AGM23" t="s">
        <v>1900</v>
      </c>
      <c r="AGN23" t="s">
        <v>1900</v>
      </c>
      <c r="AGO23" t="s">
        <v>1900</v>
      </c>
      <c r="AGP23" t="s">
        <v>1900</v>
      </c>
      <c r="AGQ23" t="s">
        <v>1900</v>
      </c>
      <c r="AGR23" t="s">
        <v>1900</v>
      </c>
      <c r="AGS23" t="s">
        <v>1900</v>
      </c>
      <c r="AGT23" t="s">
        <v>1900</v>
      </c>
      <c r="AGU23">
        <v>0</v>
      </c>
      <c r="AGV23">
        <v>0</v>
      </c>
      <c r="AGW23">
        <v>0</v>
      </c>
      <c r="AGX23">
        <v>0</v>
      </c>
      <c r="AGY23">
        <v>0</v>
      </c>
      <c r="AGZ23" t="s">
        <v>1900</v>
      </c>
      <c r="AHA23">
        <v>9.385999999999999</v>
      </c>
      <c r="AHB23">
        <v>0.998</v>
      </c>
      <c r="AHC23">
        <v>1.079</v>
      </c>
      <c r="AHD23">
        <v>0.328</v>
      </c>
      <c r="AHE23" t="s">
        <v>1900</v>
      </c>
      <c r="AHF23">
        <v>9.385999999999999</v>
      </c>
      <c r="AHG23">
        <v>0.998</v>
      </c>
      <c r="AHH23">
        <v>1.079</v>
      </c>
      <c r="AHI23">
        <v>0.328</v>
      </c>
      <c r="AHJ23" t="s">
        <v>1900</v>
      </c>
      <c r="AHK23">
        <v>0.407</v>
      </c>
      <c r="AHL23">
        <v>0.5649999999999999</v>
      </c>
      <c r="AHM23">
        <v>0.626</v>
      </c>
      <c r="AHN23">
        <v>1.49</v>
      </c>
      <c r="AHO23" t="s">
        <v>1900</v>
      </c>
      <c r="AHP23">
        <v>26.877</v>
      </c>
      <c r="AHQ23">
        <v>25.22</v>
      </c>
      <c r="AHR23">
        <v>27.154</v>
      </c>
      <c r="AHS23">
        <v>40.827</v>
      </c>
      <c r="AHT23" t="s">
        <v>1900</v>
      </c>
      <c r="AHU23">
        <v>36.756</v>
      </c>
      <c r="AHV23">
        <v>33.726</v>
      </c>
      <c r="AHW23">
        <v>37.276</v>
      </c>
      <c r="AHX23">
        <v>68.996</v>
      </c>
      <c r="AHY23" t="s">
        <v>1900</v>
      </c>
      <c r="AHZ23">
        <v>249.913</v>
      </c>
      <c r="AIA23">
        <v>215.894</v>
      </c>
      <c r="AIB23">
        <v>204.849</v>
      </c>
      <c r="AIC23">
        <v>67.098</v>
      </c>
      <c r="AID23" t="s">
        <v>1900</v>
      </c>
      <c r="AIE23">
        <v>6.371726718</v>
      </c>
      <c r="AIF23">
        <v>2.550820924</v>
      </c>
      <c r="AIG23">
        <v>2.083348757</v>
      </c>
      <c r="AIH23">
        <v>3.491847194</v>
      </c>
      <c r="AII23" t="s">
        <v>1900</v>
      </c>
      <c r="AIJ23">
        <v>10.375931674</v>
      </c>
      <c r="AIK23">
        <v>14.628242354</v>
      </c>
      <c r="AIL23">
        <v>0.508747384</v>
      </c>
      <c r="AIM23">
        <v>3.092263619</v>
      </c>
      <c r="AIN23" t="s">
        <v>1900</v>
      </c>
      <c r="AIO23">
        <v>5.954419849</v>
      </c>
      <c r="AIP23">
        <v>20.331109174</v>
      </c>
      <c r="AIQ23">
        <v>17.220402105</v>
      </c>
      <c r="AIR23">
        <v>31.778616838</v>
      </c>
      <c r="AIS23" t="s">
        <v>1900</v>
      </c>
      <c r="AIT23">
        <v>0</v>
      </c>
      <c r="AIU23">
        <v>0</v>
      </c>
      <c r="AIV23" t="s">
        <v>1900</v>
      </c>
      <c r="AIW23" t="s">
        <v>1900</v>
      </c>
      <c r="AIX23" t="s">
        <v>1900</v>
      </c>
      <c r="AIY23">
        <v>40.4596296227846</v>
      </c>
      <c r="AIZ23">
        <v>2.99405888968647</v>
      </c>
      <c r="AJA23">
        <v>1.79463689998627</v>
      </c>
      <c r="AJB23">
        <v>7.82500976108611</v>
      </c>
      <c r="AJC23" t="s">
        <v>1900</v>
      </c>
      <c r="AJD23">
        <v>233.029877140945</v>
      </c>
      <c r="AJE23">
        <v>64.7285930187976</v>
      </c>
      <c r="AJF23">
        <v>52.4045463893509</v>
      </c>
      <c r="AJG23">
        <v>66.4324368191385</v>
      </c>
      <c r="AJH23" t="s">
        <v>1900</v>
      </c>
      <c r="AJI23">
        <v>47.902</v>
      </c>
      <c r="AJJ23">
        <v>74.902</v>
      </c>
      <c r="AJK23">
        <v>91.91200000000001</v>
      </c>
      <c r="AJL23">
        <v>80.863</v>
      </c>
      <c r="AJM23" t="s">
        <v>1900</v>
      </c>
      <c r="AJN23">
        <v>111.626568866632</v>
      </c>
      <c r="AJO23">
        <v>48.4830711556041</v>
      </c>
      <c r="AJP23">
        <v>48.1662767567968</v>
      </c>
      <c r="AJQ23">
        <v>53.719192328918</v>
      </c>
      <c r="AJR23" t="s">
        <v>1900</v>
      </c>
      <c r="AJS23">
        <v>39.5835808096247</v>
      </c>
      <c r="AJT23">
        <v>13.3019760586715</v>
      </c>
      <c r="AJU23">
        <v>19.6111668658018</v>
      </c>
      <c r="AJV23">
        <v>19.9822666026282</v>
      </c>
      <c r="AJW23" t="s">
        <v>1900</v>
      </c>
      <c r="AJX23">
        <v>83.75362087759591</v>
      </c>
      <c r="AJY23">
        <v>8.16259202288628</v>
      </c>
      <c r="AJZ23">
        <v>22.5803385996366</v>
      </c>
      <c r="AKA23">
        <v>3.59089381160557</v>
      </c>
      <c r="AKB23" t="s">
        <v>1900</v>
      </c>
      <c r="AKC23">
        <v>147.277637446394</v>
      </c>
      <c r="AKD23">
        <v>52.743480152511</v>
      </c>
      <c r="AKE23">
        <v>72.2212190505409</v>
      </c>
      <c r="AKF23">
        <v>48.9436580807412</v>
      </c>
      <c r="AKG23" t="s">
        <v>1900</v>
      </c>
      <c r="AKH23">
        <v>0</v>
      </c>
      <c r="AKI23">
        <v>0</v>
      </c>
      <c r="AKJ23" t="s">
        <v>1900</v>
      </c>
      <c r="AKK23" t="s">
        <v>1900</v>
      </c>
      <c r="AKL23" t="s">
        <v>1900</v>
      </c>
      <c r="AKM23">
        <v>0</v>
      </c>
      <c r="AKN23">
        <v>0</v>
      </c>
      <c r="AKO23">
        <v>0</v>
      </c>
      <c r="AKP23">
        <v>0</v>
      </c>
      <c r="AKQ23" t="s">
        <v>1900</v>
      </c>
      <c r="AKR23">
        <v>0</v>
      </c>
      <c r="AKS23">
        <v>0</v>
      </c>
      <c r="AKT23">
        <v>0</v>
      </c>
      <c r="AKU23">
        <v>0</v>
      </c>
      <c r="AKV23" t="s">
        <v>1900</v>
      </c>
      <c r="AKW23">
        <v>12.38216276</v>
      </c>
      <c r="AKX23">
        <v>48.579877091</v>
      </c>
      <c r="AKY23">
        <v>87.730892729</v>
      </c>
      <c r="AKZ23">
        <v>59.189939384</v>
      </c>
      <c r="ALA23" t="s">
        <v>1900</v>
      </c>
      <c r="ALB23">
        <v>19.591663169</v>
      </c>
      <c r="ALC23">
        <v>59.618877645</v>
      </c>
      <c r="ALD23">
        <v>63.658543446</v>
      </c>
      <c r="ALE23">
        <v>80.339968373</v>
      </c>
      <c r="ALF23" t="s">
        <v>1900</v>
      </c>
      <c r="ALG23">
        <v>4.293150243</v>
      </c>
      <c r="ALH23">
        <v>6.295488383</v>
      </c>
      <c r="ALI23">
        <v>3.423100931</v>
      </c>
      <c r="ALJ23">
        <v>4.228266067</v>
      </c>
      <c r="ALK23" t="s">
        <v>1900</v>
      </c>
      <c r="ALL23">
        <v>6.792832167</v>
      </c>
      <c r="ALM23">
        <v>7.72603749</v>
      </c>
      <c r="ALN23">
        <v>2.483841354</v>
      </c>
      <c r="ALO23">
        <v>5.73913009</v>
      </c>
      <c r="ALP23" t="s">
        <v>1900</v>
      </c>
      <c r="ALQ23">
        <v>35.941151208</v>
      </c>
      <c r="ALR23">
        <v>12.610489433</v>
      </c>
      <c r="ALS23">
        <v>43.088511772</v>
      </c>
      <c r="ALT23">
        <v>5.405331954</v>
      </c>
      <c r="ALU23" t="s">
        <v>1900</v>
      </c>
      <c r="ALV23">
        <v>0</v>
      </c>
      <c r="ALW23">
        <v>0</v>
      </c>
      <c r="ALX23" t="s">
        <v>1900</v>
      </c>
      <c r="ALY23">
        <v>0</v>
      </c>
      <c r="ALZ23" t="s">
        <v>1900</v>
      </c>
      <c r="AMA23">
        <v>87.00606281930629</v>
      </c>
      <c r="AMB23">
        <v>99.71259255597479</v>
      </c>
      <c r="AMC23">
        <v>100</v>
      </c>
      <c r="AMD23">
        <v>100</v>
      </c>
      <c r="AME23" t="s">
        <v>1900</v>
      </c>
      <c r="AMF23">
        <v>89.5055467023854</v>
      </c>
      <c r="AMG23" t="s">
        <v>1901</v>
      </c>
      <c r="AMH23" t="s">
        <v>1901</v>
      </c>
      <c r="AMI23">
        <v>100</v>
      </c>
      <c r="AMJ23" t="s">
        <v>1900</v>
      </c>
      <c r="AMK23">
        <v>669.589683322304</v>
      </c>
      <c r="AML23">
        <v>34693.81</v>
      </c>
      <c r="AMM23" t="s">
        <v>1900</v>
      </c>
      <c r="AMN23" t="s">
        <v>1900</v>
      </c>
      <c r="AMO23" t="s">
        <v>1900</v>
      </c>
      <c r="AMP23">
        <v>1.27553993328147</v>
      </c>
      <c r="AMQ23">
        <v>1.06352651319781</v>
      </c>
      <c r="AMR23">
        <v>1.04922761843721</v>
      </c>
      <c r="AMS23">
        <v>1.23638724106801</v>
      </c>
      <c r="AMT23" t="s">
        <v>1900</v>
      </c>
      <c r="AMU23">
        <v>1.27553993328147</v>
      </c>
      <c r="AMV23">
        <v>1.06352651278908</v>
      </c>
      <c r="AMW23">
        <v>1.04922761843721</v>
      </c>
      <c r="AMX23">
        <v>1.23638724106801</v>
      </c>
      <c r="AMY23" t="s">
        <v>1900</v>
      </c>
      <c r="AMZ23">
        <v>1.27553993328147</v>
      </c>
      <c r="ANA23">
        <v>1.06352651276312</v>
      </c>
      <c r="ANB23" t="s">
        <v>1900</v>
      </c>
      <c r="ANC23" t="s">
        <v>1900</v>
      </c>
      <c r="AND23" t="s">
        <v>1900</v>
      </c>
      <c r="ANE23">
        <v>18.7948994138035</v>
      </c>
      <c r="ANF23">
        <v>5.95602761908895</v>
      </c>
      <c r="ANG23">
        <v>4.69179590511895</v>
      </c>
      <c r="ANH23">
        <v>19.1191912384844</v>
      </c>
      <c r="ANI23" t="s">
        <v>1900</v>
      </c>
      <c r="ANJ23">
        <v>19.3348336051306</v>
      </c>
      <c r="ANK23">
        <v>6.21034974953987</v>
      </c>
      <c r="ANL23">
        <v>4.74180806188344</v>
      </c>
      <c r="ANM23">
        <v>19.1191912384844</v>
      </c>
      <c r="ANN23" t="s">
        <v>1900</v>
      </c>
      <c r="ANO23">
        <v>23.1449739956339</v>
      </c>
      <c r="ANP23">
        <v>6.3332369617108</v>
      </c>
      <c r="ANQ23">
        <v>4.92276184372143</v>
      </c>
      <c r="ANR23">
        <v>23.6387241068015</v>
      </c>
      <c r="ANS23" t="s">
        <v>1900</v>
      </c>
      <c r="ANT23">
        <v>32.0332375860446</v>
      </c>
      <c r="ANU23">
        <v>10.4652886998343</v>
      </c>
      <c r="ANV23">
        <v>4.82453003312794</v>
      </c>
      <c r="ANW23">
        <v>38.0393211691765</v>
      </c>
      <c r="ANX23" t="s">
        <v>1900</v>
      </c>
      <c r="ANY23">
        <v>87.00606281930629</v>
      </c>
      <c r="ANZ23">
        <v>99.71259255597479</v>
      </c>
      <c r="AOA23" t="s">
        <v>1900</v>
      </c>
      <c r="AOB23" t="s">
        <v>1900</v>
      </c>
      <c r="AOC23" t="s">
        <v>1900</v>
      </c>
      <c r="AOD23">
        <v>107.14359343346</v>
      </c>
      <c r="AOE23">
        <v>106.02762732321</v>
      </c>
      <c r="AOF23">
        <v>104.922761843721</v>
      </c>
      <c r="AOG23">
        <v>123.638724106801</v>
      </c>
      <c r="AOH23" t="s">
        <v>1900</v>
      </c>
      <c r="AOI23" t="s">
        <v>1901</v>
      </c>
      <c r="AOJ23" t="s">
        <v>1901</v>
      </c>
      <c r="AOK23">
        <v>72.5611486059658</v>
      </c>
      <c r="AOL23" t="s">
        <v>1901</v>
      </c>
      <c r="AOM23" t="s">
        <v>1900</v>
      </c>
      <c r="AON23">
        <v>144.643606879436</v>
      </c>
      <c r="AOO23">
        <v>2072.32893333333</v>
      </c>
      <c r="AOP23" t="s">
        <v>1900</v>
      </c>
      <c r="AOQ23" t="s">
        <v>1900</v>
      </c>
      <c r="AOR23" t="s">
        <v>1900</v>
      </c>
      <c r="AOS23">
        <v>27.5539933281468</v>
      </c>
      <c r="AOT23">
        <v>6.35265127890807</v>
      </c>
      <c r="AOU23">
        <v>4.92276184372143</v>
      </c>
      <c r="AOV23">
        <v>23.6387241068015</v>
      </c>
      <c r="AOW23" t="s">
        <v>1900</v>
      </c>
      <c r="AOX23">
        <v>29.7382085613424</v>
      </c>
      <c r="AOY23">
        <v>7.30943969264669</v>
      </c>
      <c r="AOZ23">
        <v>3.40442099900198</v>
      </c>
      <c r="APA23">
        <v>25.9509510469734</v>
      </c>
      <c r="APB23" t="s">
        <v>1900</v>
      </c>
      <c r="APC23">
        <v>16.3414858828726</v>
      </c>
      <c r="APD23">
        <v>4.62555839673781</v>
      </c>
      <c r="APE23">
        <v>3.42458229711256</v>
      </c>
      <c r="APF23">
        <v>11.7788995139166</v>
      </c>
      <c r="APG23" t="s">
        <v>1900</v>
      </c>
      <c r="APH23">
        <v>16.8109391516021</v>
      </c>
      <c r="API23">
        <v>4.82306954699057</v>
      </c>
      <c r="APJ23">
        <v>3.46108660168158</v>
      </c>
      <c r="APK23">
        <v>11.7788995139166</v>
      </c>
      <c r="APL23" t="s">
        <v>1900</v>
      </c>
      <c r="APM23">
        <v>125.762389456158</v>
      </c>
      <c r="APN23">
        <v>1609.408</v>
      </c>
      <c r="APO23" t="s">
        <v>1900</v>
      </c>
      <c r="APP23" t="s">
        <v>1900</v>
      </c>
      <c r="APQ23" t="s">
        <v>1900</v>
      </c>
      <c r="APR23">
        <v>23.9572015297929</v>
      </c>
      <c r="APS23">
        <v>4.93358347945256</v>
      </c>
      <c r="APT23">
        <v>3.59316632774166</v>
      </c>
      <c r="APU23">
        <v>14.5632810728287</v>
      </c>
      <c r="APV23" t="s">
        <v>1900</v>
      </c>
      <c r="APW23">
        <v>20.1237185409637</v>
      </c>
      <c r="APX23">
        <v>4.91850597080553</v>
      </c>
      <c r="APY23">
        <v>3.59316632774166</v>
      </c>
      <c r="APZ23">
        <v>14.5632810728287</v>
      </c>
      <c r="AQA23" t="s">
        <v>1900</v>
      </c>
      <c r="AQB23">
        <v>25.8562977480045</v>
      </c>
      <c r="AQC23">
        <v>5.67664260612381</v>
      </c>
      <c r="AQD23">
        <v>2.48491624974144</v>
      </c>
      <c r="AQE23">
        <v>15.9877915786306</v>
      </c>
      <c r="AQF23" t="s">
        <v>1900</v>
      </c>
      <c r="AQG23">
        <v>0.275539933281468</v>
      </c>
      <c r="AQH23">
        <v>0.06352651276311561</v>
      </c>
      <c r="AQI23" t="s">
        <v>1900</v>
      </c>
      <c r="AQJ23" t="s">
        <v>1900</v>
      </c>
      <c r="AQK23">
        <v>6</v>
      </c>
      <c r="AQO23" t="s">
        <v>1902</v>
      </c>
      <c r="AQP23">
        <v>2</v>
      </c>
      <c r="AQQ23">
        <v>0</v>
      </c>
      <c r="AQS23" t="s">
        <v>1905</v>
      </c>
      <c r="AQU23" t="s">
        <v>1906</v>
      </c>
      <c r="AQV23" t="s">
        <v>1900</v>
      </c>
      <c r="AQW23">
        <v>9787254.834394701</v>
      </c>
      <c r="AQX23">
        <v>2783329.4955419</v>
      </c>
      <c r="AQY23" t="s">
        <v>1900</v>
      </c>
      <c r="AQZ23">
        <v>1839504.70149711</v>
      </c>
      <c r="ARA23">
        <v>165775.873484725</v>
      </c>
      <c r="ARB23">
        <v>12570584.3299366</v>
      </c>
      <c r="ARC23">
        <v>2005280.574981835</v>
      </c>
      <c r="ARD23">
        <v>0.1897986675528782</v>
      </c>
      <c r="ARE23">
        <v>0.1897986675528782</v>
      </c>
      <c r="ARF23">
        <v>0.1897986675528782</v>
      </c>
      <c r="ARG23">
        <v>0.1897986675528782</v>
      </c>
      <c r="ARH23">
        <v>0.1897986675528782</v>
      </c>
      <c r="ARI23">
        <v>0.1897986675528782</v>
      </c>
      <c r="ARJ23" t="s">
        <v>1184</v>
      </c>
      <c r="ARK23" t="s">
        <v>1522</v>
      </c>
      <c r="ARL23" t="s">
        <v>1908</v>
      </c>
      <c r="ARM23" t="s">
        <v>1908</v>
      </c>
      <c r="ARN23" t="s">
        <v>1909</v>
      </c>
      <c r="ARO23" t="s">
        <v>1908</v>
      </c>
      <c r="ARP23" t="s">
        <v>1907</v>
      </c>
      <c r="ARQ23" t="s">
        <v>1927</v>
      </c>
      <c r="ARR23">
        <f>HYPERLINK("C:\Users\Usuario\Documents\Proyectos\llmthon\evidence\bornan_net_233648.png", "Ver Evidencia")</f>
        <v>0</v>
      </c>
      <c r="ARS23">
        <v>100</v>
      </c>
    </row>
    <row r="24" spans="1:1163">
      <c r="A24">
        <v>221</v>
      </c>
      <c r="B24" t="s">
        <v>1185</v>
      </c>
      <c r="C24" t="s">
        <v>1308</v>
      </c>
      <c r="E24" s="2">
        <v>38838</v>
      </c>
      <c r="F24" t="s">
        <v>1431</v>
      </c>
      <c r="G24" t="s">
        <v>1433</v>
      </c>
      <c r="H24" t="s">
        <v>1434</v>
      </c>
      <c r="I24" t="s">
        <v>1440</v>
      </c>
      <c r="J24" t="s">
        <v>1459</v>
      </c>
      <c r="L24" t="s">
        <v>1523</v>
      </c>
      <c r="N24" t="s">
        <v>1629</v>
      </c>
      <c r="O24" t="s">
        <v>1653</v>
      </c>
      <c r="P24">
        <v>7022</v>
      </c>
      <c r="Q24">
        <v>7022</v>
      </c>
      <c r="R24" t="s">
        <v>1694</v>
      </c>
      <c r="Z24" t="s">
        <v>1899</v>
      </c>
      <c r="AA24" s="2">
        <v>45657</v>
      </c>
      <c r="AB24">
        <v>2024</v>
      </c>
      <c r="AC24">
        <v>3725763.75327333</v>
      </c>
      <c r="AD24">
        <v>3689700.70269234</v>
      </c>
      <c r="AE24">
        <v>2836668.23633601</v>
      </c>
      <c r="AF24">
        <v>2425304.13361616</v>
      </c>
      <c r="AG24">
        <v>3051655.02532998</v>
      </c>
      <c r="AH24">
        <v>3677787.82959031</v>
      </c>
      <c r="AI24">
        <v>3659230.0930175</v>
      </c>
      <c r="AJ24">
        <v>2786886.61550124</v>
      </c>
      <c r="AK24">
        <v>2336143.03988979</v>
      </c>
      <c r="AL24">
        <v>3004547.87351115</v>
      </c>
      <c r="AM24">
        <v>1649134.46196502</v>
      </c>
      <c r="AN24">
        <v>1846088.55965186</v>
      </c>
      <c r="AO24">
        <v>1345788.70921472</v>
      </c>
      <c r="AP24">
        <v>1350054.69631648</v>
      </c>
      <c r="AQ24">
        <v>1505907.62320105</v>
      </c>
      <c r="AR24">
        <v>2076629.29130831</v>
      </c>
      <c r="AS24">
        <v>1843612.14304048</v>
      </c>
      <c r="AT24">
        <v>1490879.52712129</v>
      </c>
      <c r="AU24">
        <v>1075249.43729968</v>
      </c>
      <c r="AV24">
        <v>1545747.40212893</v>
      </c>
      <c r="AW24">
        <v>1981841.26076397</v>
      </c>
      <c r="AX24">
        <v>1710986.0165695</v>
      </c>
      <c r="AY24">
        <v>1389827.35309691</v>
      </c>
      <c r="AZ24">
        <v>1060170.0194581</v>
      </c>
      <c r="BA24">
        <v>1499308.08683282</v>
      </c>
      <c r="BB24">
        <v>94788.03054433819</v>
      </c>
      <c r="BC24">
        <v>132626.126470976</v>
      </c>
      <c r="BD24">
        <v>101052.174024379</v>
      </c>
      <c r="BE24">
        <v>15079.4178415775</v>
      </c>
      <c r="BF24">
        <v>46439.3152961075</v>
      </c>
      <c r="BG24">
        <v>-57223.5840563965</v>
      </c>
      <c r="BH24">
        <v>-62932.2865932369</v>
      </c>
      <c r="BI24">
        <v>-20431.7381996971</v>
      </c>
      <c r="BJ24">
        <v>-9683.46080474854</v>
      </c>
      <c r="BK24">
        <v>-3624.59363966584</v>
      </c>
      <c r="BL24">
        <v>3934.22944942951</v>
      </c>
      <c r="BM24">
        <v>25.9233116340637</v>
      </c>
      <c r="BN24">
        <v>8.65972124516964</v>
      </c>
      <c r="BO24">
        <v>4.56437923908234</v>
      </c>
      <c r="BP24">
        <v>1498.36187056303</v>
      </c>
      <c r="BQ24">
        <v>61157.813505826</v>
      </c>
      <c r="BR24">
        <v>62958.2087998705</v>
      </c>
      <c r="BS24">
        <v>20440.3979209423</v>
      </c>
      <c r="BT24">
        <v>9688.02518398762</v>
      </c>
      <c r="BU24">
        <v>5122.95551022887</v>
      </c>
      <c r="BV24">
        <v>37564.4464879417</v>
      </c>
      <c r="BW24">
        <v>69693.839877739</v>
      </c>
      <c r="BX24">
        <v>80620.4368912816</v>
      </c>
      <c r="BY24">
        <v>5395.957036829</v>
      </c>
      <c r="BZ24">
        <v>42814.7216564417</v>
      </c>
      <c r="CA24">
        <v>6721.33719278216</v>
      </c>
      <c r="CB24">
        <v>9183.71326653767</v>
      </c>
      <c r="CC24">
        <v>20131.6493670762</v>
      </c>
      <c r="CD24">
        <v>2902.19767985344</v>
      </c>
      <c r="CE24">
        <v>10664.4132365286</v>
      </c>
      <c r="CF24">
        <v>30843.1092951596</v>
      </c>
      <c r="CG24">
        <v>60510.1266112013</v>
      </c>
      <c r="CH24">
        <v>60488.7875242055</v>
      </c>
      <c r="CI24">
        <v>2493.75935697556</v>
      </c>
      <c r="CJ24">
        <v>32150.3084199131</v>
      </c>
      <c r="CK24" t="s">
        <v>1900</v>
      </c>
      <c r="CL24" t="s">
        <v>1900</v>
      </c>
      <c r="CM24" t="s">
        <v>1900</v>
      </c>
      <c r="CN24" t="s">
        <v>1900</v>
      </c>
      <c r="CO24" t="s">
        <v>1900</v>
      </c>
      <c r="CP24" t="s">
        <v>1900</v>
      </c>
      <c r="CQ24" t="s">
        <v>1900</v>
      </c>
      <c r="CR24" t="s">
        <v>1900</v>
      </c>
      <c r="CS24" t="s">
        <v>1900</v>
      </c>
      <c r="CT24" t="s">
        <v>1900</v>
      </c>
      <c r="CU24" t="s">
        <v>1900</v>
      </c>
      <c r="CV24" t="s">
        <v>1900</v>
      </c>
      <c r="CW24" t="s">
        <v>1900</v>
      </c>
      <c r="CX24" t="s">
        <v>1900</v>
      </c>
      <c r="CY24" t="s">
        <v>1900</v>
      </c>
      <c r="CZ24">
        <v>30843.1092951596</v>
      </c>
      <c r="DA24">
        <v>60510.1266112013</v>
      </c>
      <c r="DB24">
        <v>60488.7875242055</v>
      </c>
      <c r="DC24">
        <v>2493.75935697556</v>
      </c>
      <c r="DD24">
        <v>32150.3084199131</v>
      </c>
      <c r="DE24" t="s">
        <v>1900</v>
      </c>
      <c r="DF24" t="s">
        <v>1900</v>
      </c>
      <c r="DG24" t="s">
        <v>1900</v>
      </c>
      <c r="DH24" t="s">
        <v>1900</v>
      </c>
      <c r="DI24" t="s">
        <v>1900</v>
      </c>
      <c r="DJ24">
        <v>1811100.34446188</v>
      </c>
      <c r="DK24">
        <v>1978066.625432</v>
      </c>
      <c r="DL24">
        <v>1430477.77518193</v>
      </c>
      <c r="DM24">
        <v>1421977.0810411</v>
      </c>
      <c r="DN24">
        <v>1505907.62320105</v>
      </c>
      <c r="DO24">
        <v>1468027.86315962</v>
      </c>
      <c r="DP24">
        <v>1428314.53581001</v>
      </c>
      <c r="DQ24">
        <v>1310913.92442523</v>
      </c>
      <c r="DR24">
        <v>1289088.84912021</v>
      </c>
      <c r="DS24">
        <v>1344913.34858906</v>
      </c>
      <c r="DT24">
        <v>300674.793647172</v>
      </c>
      <c r="DU24">
        <v>279139.479274368</v>
      </c>
      <c r="DV24">
        <v>200855.5840339</v>
      </c>
      <c r="DW24">
        <v>43137.2233243704</v>
      </c>
      <c r="DX24">
        <v>18416.4289957881</v>
      </c>
      <c r="DY24">
        <v>213138.603957182</v>
      </c>
      <c r="DZ24">
        <v>3532.00038011837</v>
      </c>
      <c r="EA24">
        <v>-121942.154295617</v>
      </c>
      <c r="EB24">
        <v>-272056.052986479</v>
      </c>
      <c r="EC24">
        <v>135978.309247971</v>
      </c>
      <c r="ED24">
        <v>61157.813505826</v>
      </c>
      <c r="EE24">
        <v>56416.5075190353</v>
      </c>
      <c r="EF24">
        <v>20440.3979209423</v>
      </c>
      <c r="EG24">
        <v>7071.71847374439</v>
      </c>
      <c r="EH24">
        <v>5122.95551022887</v>
      </c>
      <c r="EI24" t="s">
        <v>1900</v>
      </c>
      <c r="EJ24" t="s">
        <v>1900</v>
      </c>
      <c r="EK24" t="s">
        <v>1900</v>
      </c>
      <c r="EL24" t="s">
        <v>1900</v>
      </c>
      <c r="EM24" t="s">
        <v>1900</v>
      </c>
      <c r="EN24">
        <v>331517.902942332</v>
      </c>
      <c r="EO24">
        <v>339649.60588557</v>
      </c>
      <c r="EP24">
        <v>261344.371558106</v>
      </c>
      <c r="EQ24">
        <v>45630.9826813459</v>
      </c>
      <c r="ER24">
        <v>50566.7374157012</v>
      </c>
      <c r="ES24">
        <v>1867424.91680056</v>
      </c>
      <c r="ET24">
        <v>1833564.36248116</v>
      </c>
      <c r="EU24">
        <v>1612830.34327135</v>
      </c>
      <c r="EV24">
        <v>1344693.74795516</v>
      </c>
      <c r="EW24">
        <v>1411267.45475152</v>
      </c>
      <c r="EX24">
        <v>395462.824191511</v>
      </c>
      <c r="EY24">
        <v>411765.605745344</v>
      </c>
      <c r="EZ24">
        <v>301907.75805828</v>
      </c>
      <c r="FA24">
        <v>58216.6400333476</v>
      </c>
      <c r="FB24">
        <v>64855.7442918956</v>
      </c>
      <c r="FC24">
        <v>1207581.84659599</v>
      </c>
      <c r="FD24">
        <v>1599477.37777579</v>
      </c>
      <c r="FE24">
        <v>1622447.10290534</v>
      </c>
      <c r="FF24">
        <v>966705.135171389</v>
      </c>
      <c r="FG24">
        <v>521043.750535411</v>
      </c>
      <c r="FH24">
        <v>673367.63065194</v>
      </c>
      <c r="FI24">
        <v>1011406.19145667</v>
      </c>
      <c r="FJ24">
        <v>1031676.36518006</v>
      </c>
      <c r="FK24">
        <v>917082.246076369</v>
      </c>
      <c r="FL24">
        <v>448188.202322721</v>
      </c>
      <c r="FM24">
        <v>515674.056293113</v>
      </c>
      <c r="FN24">
        <v>569653.203803358</v>
      </c>
      <c r="FO24">
        <v>566006.590796828</v>
      </c>
      <c r="FP24">
        <v>31835.288006258</v>
      </c>
      <c r="FQ24">
        <v>50973.7907953083</v>
      </c>
      <c r="FR24">
        <v>18540.1596509409</v>
      </c>
      <c r="FS24">
        <v>18417.9803057632</v>
      </c>
      <c r="FT24">
        <v>24764.1469284594</v>
      </c>
      <c r="FU24">
        <v>17787.6010887623</v>
      </c>
      <c r="FV24">
        <v>21881.7574173808</v>
      </c>
      <c r="FW24">
        <v>673367.63065194</v>
      </c>
      <c r="FX24">
        <v>1011406.19145667</v>
      </c>
      <c r="FY24">
        <v>1031676.36518006</v>
      </c>
      <c r="FZ24">
        <v>917082.246076369</v>
      </c>
      <c r="GA24">
        <v>448188.202322721</v>
      </c>
      <c r="GB24">
        <v>515674.056293113</v>
      </c>
      <c r="GC24">
        <v>569653.203803358</v>
      </c>
      <c r="GD24">
        <v>566006.590796828</v>
      </c>
      <c r="GE24">
        <v>31835.288006258</v>
      </c>
      <c r="GF24">
        <v>50973.7907953083</v>
      </c>
      <c r="GG24">
        <v>18540.1596509409</v>
      </c>
      <c r="GH24">
        <v>18417.9803057632</v>
      </c>
      <c r="GI24">
        <v>24764.1469284594</v>
      </c>
      <c r="GJ24">
        <v>17787.6010887623</v>
      </c>
      <c r="GK24">
        <v>21881.7574173808</v>
      </c>
      <c r="GL24">
        <v>1147617.89488659</v>
      </c>
      <c r="GM24">
        <v>1329387.92991297</v>
      </c>
      <c r="GN24">
        <v>1045768.81091867</v>
      </c>
      <c r="GO24">
        <v>882037.5991868729</v>
      </c>
      <c r="GP24">
        <v>1465760.98355136</v>
      </c>
      <c r="GQ24">
        <v>434510.902335823</v>
      </c>
      <c r="GR24">
        <v>580618.775674572</v>
      </c>
      <c r="GS24">
        <v>152420.266670585</v>
      </c>
      <c r="GT24">
        <v>71922.384724617</v>
      </c>
      <c r="GU24">
        <v>0</v>
      </c>
      <c r="GV24">
        <v>675146.41366788</v>
      </c>
      <c r="GW24">
        <v>696018.452714529</v>
      </c>
      <c r="GX24">
        <v>766419.877354938</v>
      </c>
      <c r="GY24">
        <v>704916.432426167</v>
      </c>
      <c r="GZ24">
        <v>1337918.61262046</v>
      </c>
      <c r="HA24">
        <v>37960.5788828874</v>
      </c>
      <c r="HB24">
        <v>52750.7015238666</v>
      </c>
      <c r="HC24">
        <v>126928.666893148</v>
      </c>
      <c r="HD24">
        <v>105198.78203609</v>
      </c>
      <c r="HE24">
        <v>127842.370930898</v>
      </c>
      <c r="HF24">
        <v>35123.9779654062</v>
      </c>
      <c r="HG24">
        <v>49733.6192198372</v>
      </c>
      <c r="HH24">
        <v>81268.5667363167</v>
      </c>
      <c r="HI24">
        <v>85269.0033777952</v>
      </c>
      <c r="HJ24">
        <v>121971.314332771</v>
      </c>
      <c r="HK24">
        <v>2355199.74148258</v>
      </c>
      <c r="HL24">
        <v>2928865.30768876</v>
      </c>
      <c r="HM24">
        <v>2668215.91382402</v>
      </c>
      <c r="HN24">
        <v>1848742.73435826</v>
      </c>
      <c r="HO24">
        <v>1986804.73408677</v>
      </c>
      <c r="HP24">
        <v>573189.217894659</v>
      </c>
      <c r="HQ24">
        <v>580010.638651647</v>
      </c>
      <c r="HR24">
        <v>484054.237794584</v>
      </c>
      <c r="HS24">
        <v>450398.978350854</v>
      </c>
      <c r="HT24">
        <v>565393.69612537</v>
      </c>
      <c r="HU24">
        <v>92669.83904838561</v>
      </c>
      <c r="HV24">
        <v>98566.04423522951</v>
      </c>
      <c r="HW24">
        <v>95140.6743526459</v>
      </c>
      <c r="HX24">
        <v>101027.947425842</v>
      </c>
      <c r="HY24">
        <v>109457.257509232</v>
      </c>
      <c r="HZ24">
        <v>480519.378846273</v>
      </c>
      <c r="IA24">
        <v>481444.594416418</v>
      </c>
      <c r="IB24">
        <v>388913.563441938</v>
      </c>
      <c r="IC24">
        <v>349371.030925012</v>
      </c>
      <c r="ID24">
        <v>455936.438616139</v>
      </c>
      <c r="IE24">
        <v>411112.651040715</v>
      </c>
      <c r="IF24">
        <v>582721.238018131</v>
      </c>
      <c r="IG24">
        <v>931096.876050889</v>
      </c>
      <c r="IH24">
        <v>457433.547534513</v>
      </c>
      <c r="II24">
        <v>441755.747795105</v>
      </c>
      <c r="IJ24">
        <v>406434.68379895</v>
      </c>
      <c r="IK24">
        <v>576714.985722599</v>
      </c>
      <c r="IL24">
        <v>861458.595462501</v>
      </c>
      <c r="IM24">
        <v>383486.07346015</v>
      </c>
      <c r="IN24">
        <v>441755.747795105</v>
      </c>
      <c r="IO24">
        <v>4677.96724176526</v>
      </c>
      <c r="IP24">
        <v>6006.25229553223</v>
      </c>
      <c r="IQ24">
        <v>69638.2805883884</v>
      </c>
      <c r="IR24">
        <v>73947.47407436369</v>
      </c>
      <c r="IS24">
        <v>0</v>
      </c>
      <c r="IT24" t="s">
        <v>1900</v>
      </c>
      <c r="IU24" t="s">
        <v>1900</v>
      </c>
      <c r="IV24">
        <v>69638.2805883884</v>
      </c>
      <c r="IW24">
        <v>73947.47407436369</v>
      </c>
      <c r="IX24">
        <v>0</v>
      </c>
      <c r="IY24">
        <v>1370897.87254721</v>
      </c>
      <c r="IZ24">
        <v>1766133.43101898</v>
      </c>
      <c r="JA24">
        <v>1253064.79997854</v>
      </c>
      <c r="JB24">
        <v>940910.208472896</v>
      </c>
      <c r="JC24">
        <v>979655.290166295</v>
      </c>
      <c r="JD24">
        <v>829392.6907920979</v>
      </c>
      <c r="JE24">
        <v>842028.742992153</v>
      </c>
      <c r="JF24">
        <v>621179.030497754</v>
      </c>
      <c r="JG24">
        <v>263966.897004533</v>
      </c>
      <c r="JH24">
        <v>322346.665883517</v>
      </c>
      <c r="JI24">
        <v>352451.157296743</v>
      </c>
      <c r="JJ24">
        <v>740279.1812782</v>
      </c>
      <c r="JK24">
        <v>399191.36944077</v>
      </c>
      <c r="JL24">
        <v>514025.213061333</v>
      </c>
      <c r="JM24">
        <v>464691.276735872</v>
      </c>
      <c r="JN24">
        <v>189054.024458369</v>
      </c>
      <c r="JO24">
        <v>183825.506748629</v>
      </c>
      <c r="JP24">
        <v>232694.400040019</v>
      </c>
      <c r="JQ24">
        <v>162918.09840703</v>
      </c>
      <c r="JR24">
        <v>192617.347546905</v>
      </c>
      <c r="JS24">
        <v>2355199.74148258</v>
      </c>
      <c r="JT24">
        <v>2928865.30768876</v>
      </c>
      <c r="JU24">
        <v>2668215.91382402</v>
      </c>
      <c r="JV24">
        <v>1848742.73435826</v>
      </c>
      <c r="JW24">
        <v>1986804.73408677</v>
      </c>
      <c r="JX24">
        <v>757206.158706959</v>
      </c>
      <c r="JY24">
        <v>536358.047110901</v>
      </c>
      <c r="JZ24">
        <v>519648.774584752</v>
      </c>
      <c r="KA24">
        <v>262813.604089451</v>
      </c>
      <c r="KB24">
        <v>873227.335884589</v>
      </c>
      <c r="KC24" t="s">
        <v>1900</v>
      </c>
      <c r="KD24" t="s">
        <v>1900</v>
      </c>
      <c r="KE24" t="s">
        <v>1900</v>
      </c>
      <c r="KF24" t="s">
        <v>1900</v>
      </c>
      <c r="KG24" t="s">
        <v>1900</v>
      </c>
      <c r="KH24" t="s">
        <v>1900</v>
      </c>
      <c r="KI24" t="s">
        <v>1900</v>
      </c>
      <c r="KJ24" t="s">
        <v>1900</v>
      </c>
      <c r="KK24" t="s">
        <v>1900</v>
      </c>
      <c r="KL24" t="s">
        <v>1900</v>
      </c>
      <c r="KM24">
        <v>33</v>
      </c>
      <c r="KN24">
        <v>31</v>
      </c>
      <c r="KO24">
        <v>31</v>
      </c>
      <c r="KP24">
        <v>30</v>
      </c>
      <c r="KQ24">
        <v>30</v>
      </c>
      <c r="KR24" t="s">
        <v>1900</v>
      </c>
      <c r="KS24" t="s">
        <v>1900</v>
      </c>
      <c r="KT24" t="s">
        <v>1900</v>
      </c>
      <c r="KU24" t="s">
        <v>1900</v>
      </c>
      <c r="KV24" t="s">
        <v>1900</v>
      </c>
      <c r="KW24" t="s">
        <v>1900</v>
      </c>
      <c r="KX24" t="s">
        <v>1900</v>
      </c>
      <c r="KY24" t="s">
        <v>1900</v>
      </c>
      <c r="KZ24" t="s">
        <v>1900</v>
      </c>
      <c r="LA24" t="s">
        <v>1900</v>
      </c>
      <c r="LB24" t="s">
        <v>1900</v>
      </c>
      <c r="LC24" t="s">
        <v>1900</v>
      </c>
      <c r="LD24" t="s">
        <v>1900</v>
      </c>
      <c r="LE24" t="s">
        <v>1900</v>
      </c>
      <c r="LF24" t="s">
        <v>1900</v>
      </c>
      <c r="LG24" t="s">
        <v>1900</v>
      </c>
      <c r="LH24" t="s">
        <v>1900</v>
      </c>
      <c r="LI24" t="s">
        <v>1900</v>
      </c>
      <c r="LJ24" t="s">
        <v>1900</v>
      </c>
      <c r="LK24" t="s">
        <v>1900</v>
      </c>
      <c r="LL24" t="s">
        <v>1900</v>
      </c>
      <c r="LM24" t="s">
        <v>1900</v>
      </c>
      <c r="LN24" t="s">
        <v>1900</v>
      </c>
      <c r="LO24" t="s">
        <v>1900</v>
      </c>
      <c r="LP24" t="s">
        <v>1900</v>
      </c>
      <c r="LQ24" t="s">
        <v>1900</v>
      </c>
      <c r="LR24" t="s">
        <v>1900</v>
      </c>
      <c r="LS24" t="s">
        <v>1900</v>
      </c>
      <c r="LT24" t="s">
        <v>1900</v>
      </c>
      <c r="LU24" t="s">
        <v>1900</v>
      </c>
      <c r="LV24" t="s">
        <v>1900</v>
      </c>
      <c r="LW24" t="s">
        <v>1900</v>
      </c>
      <c r="LX24" t="s">
        <v>1900</v>
      </c>
      <c r="LY24" t="s">
        <v>1900</v>
      </c>
      <c r="LZ24" t="s">
        <v>1900</v>
      </c>
      <c r="MA24" t="s">
        <v>1900</v>
      </c>
      <c r="MB24" t="s">
        <v>1900</v>
      </c>
      <c r="MC24" t="s">
        <v>1900</v>
      </c>
      <c r="MD24" t="s">
        <v>1900</v>
      </c>
      <c r="ME24" t="s">
        <v>1900</v>
      </c>
      <c r="MF24" t="s">
        <v>1900</v>
      </c>
      <c r="MG24" t="s">
        <v>1900</v>
      </c>
      <c r="MH24" t="s">
        <v>1900</v>
      </c>
      <c r="MI24" t="s">
        <v>1900</v>
      </c>
      <c r="MJ24" t="s">
        <v>1900</v>
      </c>
      <c r="MK24" t="s">
        <v>1900</v>
      </c>
      <c r="ML24" t="s">
        <v>1900</v>
      </c>
      <c r="MM24" t="s">
        <v>1900</v>
      </c>
      <c r="MN24" t="s">
        <v>1900</v>
      </c>
      <c r="MO24" t="s">
        <v>1900</v>
      </c>
      <c r="MP24">
        <v>37960.5788828874</v>
      </c>
      <c r="MQ24">
        <v>52750.7015238666</v>
      </c>
      <c r="MR24">
        <v>126928.666893148</v>
      </c>
      <c r="MS24">
        <v>105198.78203609</v>
      </c>
      <c r="MT24">
        <v>127842.370930898</v>
      </c>
      <c r="MU24" t="s">
        <v>1900</v>
      </c>
      <c r="MV24" t="s">
        <v>1900</v>
      </c>
      <c r="MW24" t="s">
        <v>1900</v>
      </c>
      <c r="MX24" t="s">
        <v>1900</v>
      </c>
      <c r="MY24" t="s">
        <v>1900</v>
      </c>
      <c r="MZ24" t="s">
        <v>1900</v>
      </c>
      <c r="NA24" t="s">
        <v>1900</v>
      </c>
      <c r="NB24" t="s">
        <v>1900</v>
      </c>
      <c r="NC24" t="s">
        <v>1900</v>
      </c>
      <c r="ND24" t="s">
        <v>1900</v>
      </c>
      <c r="NE24" t="s">
        <v>1900</v>
      </c>
      <c r="NF24" t="s">
        <v>1900</v>
      </c>
      <c r="NG24" t="s">
        <v>1900</v>
      </c>
      <c r="NH24" t="s">
        <v>1900</v>
      </c>
      <c r="NI24" t="s">
        <v>1900</v>
      </c>
      <c r="NJ24" t="s">
        <v>1900</v>
      </c>
      <c r="NK24" t="s">
        <v>1900</v>
      </c>
      <c r="NL24" t="s">
        <v>1900</v>
      </c>
      <c r="NM24" t="s">
        <v>1900</v>
      </c>
      <c r="NN24" t="s">
        <v>1900</v>
      </c>
      <c r="NO24" t="s">
        <v>1900</v>
      </c>
      <c r="NP24" t="s">
        <v>1900</v>
      </c>
      <c r="NQ24" t="s">
        <v>1900</v>
      </c>
      <c r="NR24" t="s">
        <v>1900</v>
      </c>
      <c r="NS24" t="s">
        <v>1900</v>
      </c>
      <c r="NT24">
        <v>1207581.84659599</v>
      </c>
      <c r="NU24">
        <v>1599477.37777579</v>
      </c>
      <c r="NV24">
        <v>1622447.10290534</v>
      </c>
      <c r="NW24">
        <v>966705.135171389</v>
      </c>
      <c r="NX24">
        <v>521043.750535411</v>
      </c>
      <c r="NY24" t="s">
        <v>1900</v>
      </c>
      <c r="NZ24" t="s">
        <v>1900</v>
      </c>
      <c r="OA24" t="s">
        <v>1900</v>
      </c>
      <c r="OB24" t="s">
        <v>1900</v>
      </c>
      <c r="OC24" t="s">
        <v>1900</v>
      </c>
      <c r="OD24" t="s">
        <v>1900</v>
      </c>
      <c r="OE24" t="s">
        <v>1900</v>
      </c>
      <c r="OF24" t="s">
        <v>1900</v>
      </c>
      <c r="OG24" t="s">
        <v>1900</v>
      </c>
      <c r="OH24" t="s">
        <v>1900</v>
      </c>
      <c r="OI24" t="s">
        <v>1900</v>
      </c>
      <c r="OJ24" t="s">
        <v>1900</v>
      </c>
      <c r="OK24" t="s">
        <v>1900</v>
      </c>
      <c r="OL24" t="s">
        <v>1900</v>
      </c>
      <c r="OM24" t="s">
        <v>1900</v>
      </c>
      <c r="ON24" t="s">
        <v>1900</v>
      </c>
      <c r="OO24" t="s">
        <v>1900</v>
      </c>
      <c r="OP24" t="s">
        <v>1900</v>
      </c>
      <c r="OQ24" t="s">
        <v>1900</v>
      </c>
      <c r="OR24" t="s">
        <v>1900</v>
      </c>
      <c r="OS24" t="s">
        <v>1900</v>
      </c>
      <c r="OT24" t="s">
        <v>1900</v>
      </c>
      <c r="OU24" t="s">
        <v>1900</v>
      </c>
      <c r="OV24" t="s">
        <v>1900</v>
      </c>
      <c r="OW24" t="s">
        <v>1900</v>
      </c>
      <c r="OX24" t="s">
        <v>1900</v>
      </c>
      <c r="OY24" t="s">
        <v>1900</v>
      </c>
      <c r="OZ24" t="s">
        <v>1900</v>
      </c>
      <c r="PA24" t="s">
        <v>1900</v>
      </c>
      <c r="PB24" t="s">
        <v>1900</v>
      </c>
      <c r="PC24" t="s">
        <v>1900</v>
      </c>
      <c r="PD24" t="s">
        <v>1900</v>
      </c>
      <c r="PE24" t="s">
        <v>1900</v>
      </c>
      <c r="PF24" t="s">
        <v>1900</v>
      </c>
      <c r="PG24" t="s">
        <v>1900</v>
      </c>
      <c r="PH24" t="s">
        <v>1900</v>
      </c>
      <c r="PI24" t="s">
        <v>1900</v>
      </c>
      <c r="PJ24" t="s">
        <v>1900</v>
      </c>
      <c r="PK24" t="s">
        <v>1900</v>
      </c>
      <c r="PL24" t="s">
        <v>1900</v>
      </c>
      <c r="PM24" t="s">
        <v>1900</v>
      </c>
      <c r="PN24" t="s">
        <v>1900</v>
      </c>
      <c r="PO24" t="s">
        <v>1900</v>
      </c>
      <c r="PP24" t="s">
        <v>1900</v>
      </c>
      <c r="PQ24" t="s">
        <v>1900</v>
      </c>
      <c r="PR24" t="s">
        <v>1900</v>
      </c>
      <c r="PS24" t="s">
        <v>1900</v>
      </c>
      <c r="PT24" t="s">
        <v>1900</v>
      </c>
      <c r="PU24" t="s">
        <v>1900</v>
      </c>
      <c r="PV24" t="s">
        <v>1900</v>
      </c>
      <c r="PW24" t="s">
        <v>1900</v>
      </c>
      <c r="PX24" t="s">
        <v>1900</v>
      </c>
      <c r="PY24" t="s">
        <v>1900</v>
      </c>
      <c r="PZ24" t="s">
        <v>1900</v>
      </c>
      <c r="QA24" t="s">
        <v>1900</v>
      </c>
      <c r="QB24" t="s">
        <v>1900</v>
      </c>
      <c r="QC24" t="s">
        <v>1900</v>
      </c>
      <c r="QD24" t="s">
        <v>1900</v>
      </c>
      <c r="QE24" t="s">
        <v>1900</v>
      </c>
      <c r="QF24" t="s">
        <v>1900</v>
      </c>
      <c r="QG24" t="s">
        <v>1900</v>
      </c>
      <c r="QH24" t="s">
        <v>1900</v>
      </c>
      <c r="QI24" t="s">
        <v>1900</v>
      </c>
      <c r="QJ24" t="s">
        <v>1900</v>
      </c>
      <c r="QK24" t="s">
        <v>1900</v>
      </c>
      <c r="QL24" t="s">
        <v>1900</v>
      </c>
      <c r="QM24" t="s">
        <v>1900</v>
      </c>
      <c r="QN24" t="s">
        <v>1900</v>
      </c>
      <c r="QO24" t="s">
        <v>1900</v>
      </c>
      <c r="QP24" t="s">
        <v>1900</v>
      </c>
      <c r="QQ24" t="s">
        <v>1900</v>
      </c>
      <c r="QR24" t="s">
        <v>1900</v>
      </c>
      <c r="QS24" t="s">
        <v>1900</v>
      </c>
      <c r="QT24" t="s">
        <v>1900</v>
      </c>
      <c r="QU24" t="s">
        <v>1900</v>
      </c>
      <c r="QV24" t="s">
        <v>1900</v>
      </c>
      <c r="QW24" t="s">
        <v>1900</v>
      </c>
      <c r="QX24" t="s">
        <v>1900</v>
      </c>
      <c r="QY24" t="s">
        <v>1900</v>
      </c>
      <c r="QZ24" t="s">
        <v>1900</v>
      </c>
      <c r="RA24" t="s">
        <v>1900</v>
      </c>
      <c r="RB24" t="s">
        <v>1900</v>
      </c>
      <c r="RC24" t="s">
        <v>1900</v>
      </c>
      <c r="RD24" t="s">
        <v>1900</v>
      </c>
      <c r="RE24" t="s">
        <v>1900</v>
      </c>
      <c r="RF24" t="s">
        <v>1900</v>
      </c>
      <c r="RG24" t="s">
        <v>1900</v>
      </c>
      <c r="RH24" t="s">
        <v>1900</v>
      </c>
      <c r="RI24" t="s">
        <v>1900</v>
      </c>
      <c r="RJ24" t="s">
        <v>1900</v>
      </c>
      <c r="RK24" t="s">
        <v>1900</v>
      </c>
      <c r="RL24" t="s">
        <v>1900</v>
      </c>
      <c r="RM24" t="s">
        <v>1900</v>
      </c>
      <c r="RN24" t="s">
        <v>1900</v>
      </c>
      <c r="RO24" t="s">
        <v>1900</v>
      </c>
      <c r="RP24" t="s">
        <v>1900</v>
      </c>
      <c r="RQ24" t="s">
        <v>1900</v>
      </c>
      <c r="RR24" t="s">
        <v>1900</v>
      </c>
      <c r="RS24" t="s">
        <v>1900</v>
      </c>
      <c r="RT24" t="s">
        <v>1900</v>
      </c>
      <c r="RU24" t="s">
        <v>1900</v>
      </c>
      <c r="RV24" t="s">
        <v>1900</v>
      </c>
      <c r="RW24" t="s">
        <v>1900</v>
      </c>
      <c r="RX24" t="s">
        <v>1900</v>
      </c>
      <c r="RY24" t="s">
        <v>1900</v>
      </c>
      <c r="RZ24" t="s">
        <v>1900</v>
      </c>
      <c r="SA24" t="s">
        <v>1900</v>
      </c>
      <c r="SB24" t="s">
        <v>1900</v>
      </c>
      <c r="SC24" t="s">
        <v>1900</v>
      </c>
      <c r="SD24" t="s">
        <v>1900</v>
      </c>
      <c r="SE24" t="s">
        <v>1900</v>
      </c>
      <c r="SF24" t="s">
        <v>1900</v>
      </c>
      <c r="SG24" t="s">
        <v>1900</v>
      </c>
      <c r="SH24" t="s">
        <v>1900</v>
      </c>
      <c r="SI24" t="s">
        <v>1900</v>
      </c>
      <c r="SJ24">
        <v>18540.1596509409</v>
      </c>
      <c r="SK24">
        <v>18417.9803057632</v>
      </c>
      <c r="SL24">
        <v>24764.1469284594</v>
      </c>
      <c r="SM24">
        <v>17787.6010887623</v>
      </c>
      <c r="SN24">
        <v>21881.7574173808</v>
      </c>
      <c r="SO24" t="s">
        <v>1900</v>
      </c>
      <c r="SP24" t="s">
        <v>1900</v>
      </c>
      <c r="SQ24" t="s">
        <v>1900</v>
      </c>
      <c r="SR24" t="s">
        <v>1900</v>
      </c>
      <c r="SS24" t="s">
        <v>1900</v>
      </c>
      <c r="ST24" t="s">
        <v>1900</v>
      </c>
      <c r="SU24" t="s">
        <v>1900</v>
      </c>
      <c r="SV24" t="s">
        <v>1900</v>
      </c>
      <c r="SW24" t="s">
        <v>1900</v>
      </c>
      <c r="SX24" t="s">
        <v>1900</v>
      </c>
      <c r="SY24" t="s">
        <v>1900</v>
      </c>
      <c r="SZ24" t="s">
        <v>1900</v>
      </c>
      <c r="TA24" t="s">
        <v>1900</v>
      </c>
      <c r="TB24" t="s">
        <v>1900</v>
      </c>
      <c r="TC24" t="s">
        <v>1900</v>
      </c>
      <c r="TD24" t="s">
        <v>1900</v>
      </c>
      <c r="TE24" t="s">
        <v>1900</v>
      </c>
      <c r="TF24" t="s">
        <v>1900</v>
      </c>
      <c r="TG24" t="s">
        <v>1900</v>
      </c>
      <c r="TH24" t="s">
        <v>1900</v>
      </c>
      <c r="TI24" t="s">
        <v>1900</v>
      </c>
      <c r="TJ24" t="s">
        <v>1900</v>
      </c>
      <c r="TK24" t="s">
        <v>1900</v>
      </c>
      <c r="TL24" t="s">
        <v>1900</v>
      </c>
      <c r="TM24" t="s">
        <v>1900</v>
      </c>
      <c r="TN24" t="s">
        <v>1900</v>
      </c>
      <c r="TO24" t="s">
        <v>1900</v>
      </c>
      <c r="TP24" t="s">
        <v>1900</v>
      </c>
      <c r="TQ24" t="s">
        <v>1900</v>
      </c>
      <c r="TR24" t="s">
        <v>1900</v>
      </c>
      <c r="TS24">
        <v>2355199.74148258</v>
      </c>
      <c r="TT24">
        <v>2928865.30768876</v>
      </c>
      <c r="TU24">
        <v>2668215.91382402</v>
      </c>
      <c r="TV24">
        <v>1848742.73435826</v>
      </c>
      <c r="TW24">
        <v>1986804.73408677</v>
      </c>
      <c r="TX24" t="s">
        <v>1900</v>
      </c>
      <c r="TY24" t="s">
        <v>1900</v>
      </c>
      <c r="TZ24" t="s">
        <v>1900</v>
      </c>
      <c r="UA24" t="s">
        <v>1900</v>
      </c>
      <c r="UB24" t="s">
        <v>1900</v>
      </c>
      <c r="UC24">
        <v>829392.6907920979</v>
      </c>
      <c r="UD24">
        <v>842028.742992153</v>
      </c>
      <c r="UE24">
        <v>621179.030497754</v>
      </c>
      <c r="UF24">
        <v>263966.897004533</v>
      </c>
      <c r="UG24">
        <v>322346.665883517</v>
      </c>
      <c r="UH24" t="s">
        <v>1900</v>
      </c>
      <c r="UI24" t="s">
        <v>1900</v>
      </c>
      <c r="UJ24" t="s">
        <v>1900</v>
      </c>
      <c r="UK24" t="s">
        <v>1900</v>
      </c>
      <c r="UL24" t="s">
        <v>1900</v>
      </c>
      <c r="UM24" t="s">
        <v>1900</v>
      </c>
      <c r="UN24" t="s">
        <v>1900</v>
      </c>
      <c r="UO24" t="s">
        <v>1900</v>
      </c>
      <c r="UP24" t="s">
        <v>1900</v>
      </c>
      <c r="UQ24" t="s">
        <v>1900</v>
      </c>
      <c r="UR24" t="s">
        <v>1900</v>
      </c>
      <c r="US24" t="s">
        <v>1900</v>
      </c>
      <c r="UT24" t="s">
        <v>1900</v>
      </c>
      <c r="UU24" t="s">
        <v>1900</v>
      </c>
      <c r="UV24" t="s">
        <v>1900</v>
      </c>
      <c r="UW24" t="s">
        <v>1900</v>
      </c>
      <c r="UX24" t="s">
        <v>1900</v>
      </c>
      <c r="UY24" t="s">
        <v>1900</v>
      </c>
      <c r="UZ24" t="s">
        <v>1900</v>
      </c>
      <c r="VA24" t="s">
        <v>1900</v>
      </c>
      <c r="VB24" t="s">
        <v>1900</v>
      </c>
      <c r="VC24" t="s">
        <v>1900</v>
      </c>
      <c r="VD24" t="s">
        <v>1900</v>
      </c>
      <c r="VE24" t="s">
        <v>1900</v>
      </c>
      <c r="VF24" t="s">
        <v>1900</v>
      </c>
      <c r="VG24" t="s">
        <v>1900</v>
      </c>
      <c r="VH24" t="s">
        <v>1900</v>
      </c>
      <c r="VI24" t="s">
        <v>1900</v>
      </c>
      <c r="VJ24" t="s">
        <v>1900</v>
      </c>
      <c r="VK24" t="s">
        <v>1900</v>
      </c>
      <c r="VL24" t="s">
        <v>1900</v>
      </c>
      <c r="VM24" t="s">
        <v>1900</v>
      </c>
      <c r="VN24" t="s">
        <v>1900</v>
      </c>
      <c r="VO24" t="s">
        <v>1900</v>
      </c>
      <c r="VP24" t="s">
        <v>1900</v>
      </c>
      <c r="VQ24" t="s">
        <v>1900</v>
      </c>
      <c r="VR24" t="s">
        <v>1900</v>
      </c>
      <c r="VS24" t="s">
        <v>1900</v>
      </c>
      <c r="VT24" t="s">
        <v>1900</v>
      </c>
      <c r="VU24" t="s">
        <v>1900</v>
      </c>
      <c r="VV24" t="s">
        <v>1900</v>
      </c>
      <c r="VW24" t="s">
        <v>1900</v>
      </c>
      <c r="VX24" t="s">
        <v>1900</v>
      </c>
      <c r="VY24" t="s">
        <v>1900</v>
      </c>
      <c r="VZ24" t="s">
        <v>1900</v>
      </c>
      <c r="WA24">
        <v>189054.024458369</v>
      </c>
      <c r="WB24">
        <v>183825.506748629</v>
      </c>
      <c r="WC24">
        <v>232694.400040019</v>
      </c>
      <c r="WD24">
        <v>162918.09840703</v>
      </c>
      <c r="WE24">
        <v>192617.347546905</v>
      </c>
      <c r="WF24" t="s">
        <v>1900</v>
      </c>
      <c r="WG24" t="s">
        <v>1900</v>
      </c>
      <c r="WH24" t="s">
        <v>1900</v>
      </c>
      <c r="WI24" t="s">
        <v>1900</v>
      </c>
      <c r="WJ24" t="s">
        <v>1900</v>
      </c>
      <c r="WK24" t="s">
        <v>1900</v>
      </c>
      <c r="WL24" t="s">
        <v>1900</v>
      </c>
      <c r="WM24" t="s">
        <v>1900</v>
      </c>
      <c r="WN24" t="s">
        <v>1900</v>
      </c>
      <c r="WO24" t="s">
        <v>1900</v>
      </c>
      <c r="WP24" t="s">
        <v>1900</v>
      </c>
      <c r="WQ24" t="s">
        <v>1900</v>
      </c>
      <c r="WR24" t="s">
        <v>1900</v>
      </c>
      <c r="WS24" t="s">
        <v>1900</v>
      </c>
      <c r="WT24" t="s">
        <v>1900</v>
      </c>
      <c r="WU24" t="s">
        <v>1900</v>
      </c>
      <c r="WV24" t="s">
        <v>1900</v>
      </c>
      <c r="WW24" t="s">
        <v>1900</v>
      </c>
      <c r="WX24" t="s">
        <v>1900</v>
      </c>
      <c r="WY24" t="s">
        <v>1900</v>
      </c>
      <c r="WZ24" t="s">
        <v>1900</v>
      </c>
      <c r="XA24" t="s">
        <v>1900</v>
      </c>
      <c r="XB24" t="s">
        <v>1900</v>
      </c>
      <c r="XC24" t="s">
        <v>1900</v>
      </c>
      <c r="XD24" t="s">
        <v>1900</v>
      </c>
      <c r="XE24" t="s">
        <v>1900</v>
      </c>
      <c r="XF24" t="s">
        <v>1900</v>
      </c>
      <c r="XG24" t="s">
        <v>1900</v>
      </c>
      <c r="XH24" t="s">
        <v>1900</v>
      </c>
      <c r="XI24" t="s">
        <v>1900</v>
      </c>
      <c r="XJ24">
        <v>4677.96724176526</v>
      </c>
      <c r="XK24">
        <v>6006.25229553223</v>
      </c>
      <c r="XL24">
        <v>69638.2805883884</v>
      </c>
      <c r="XM24">
        <v>73947.47407436369</v>
      </c>
      <c r="XN24">
        <v>0</v>
      </c>
      <c r="XO24" t="s">
        <v>1900</v>
      </c>
      <c r="XP24" t="s">
        <v>1900</v>
      </c>
      <c r="XQ24" t="s">
        <v>1900</v>
      </c>
      <c r="XR24" t="s">
        <v>1900</v>
      </c>
      <c r="XS24" t="s">
        <v>1900</v>
      </c>
      <c r="XT24" t="s">
        <v>1900</v>
      </c>
      <c r="XU24" t="s">
        <v>1900</v>
      </c>
      <c r="XV24" t="s">
        <v>1900</v>
      </c>
      <c r="XW24" t="s">
        <v>1900</v>
      </c>
      <c r="XX24" t="s">
        <v>1900</v>
      </c>
      <c r="XY24" t="s">
        <v>1900</v>
      </c>
      <c r="XZ24" t="s">
        <v>1900</v>
      </c>
      <c r="YA24">
        <v>69638.2805883884</v>
      </c>
      <c r="YB24">
        <v>73947.47407436369</v>
      </c>
      <c r="YC24">
        <v>0</v>
      </c>
      <c r="YD24" t="s">
        <v>1900</v>
      </c>
      <c r="YE24" t="s">
        <v>1900</v>
      </c>
      <c r="YF24" t="s">
        <v>1900</v>
      </c>
      <c r="YG24" t="s">
        <v>1900</v>
      </c>
      <c r="YH24" t="s">
        <v>1900</v>
      </c>
      <c r="YI24" t="s">
        <v>1900</v>
      </c>
      <c r="YJ24" t="s">
        <v>1900</v>
      </c>
      <c r="YK24" t="s">
        <v>1900</v>
      </c>
      <c r="YL24" t="s">
        <v>1900</v>
      </c>
      <c r="YM24" t="s">
        <v>1900</v>
      </c>
      <c r="YN24" t="s">
        <v>1900</v>
      </c>
      <c r="YO24" t="s">
        <v>1900</v>
      </c>
      <c r="YP24" t="s">
        <v>1900</v>
      </c>
      <c r="YQ24" t="s">
        <v>1900</v>
      </c>
      <c r="YR24" t="s">
        <v>1900</v>
      </c>
      <c r="YS24" t="s">
        <v>1900</v>
      </c>
      <c r="YT24" t="s">
        <v>1900</v>
      </c>
      <c r="YU24" t="s">
        <v>1900</v>
      </c>
      <c r="YV24" t="s">
        <v>1900</v>
      </c>
      <c r="YW24" t="s">
        <v>1900</v>
      </c>
      <c r="YX24" t="s">
        <v>1900</v>
      </c>
      <c r="YY24" t="s">
        <v>1900</v>
      </c>
      <c r="YZ24" t="s">
        <v>1900</v>
      </c>
      <c r="ZA24" t="s">
        <v>1900</v>
      </c>
      <c r="ZB24" t="s">
        <v>1900</v>
      </c>
      <c r="ZC24" t="s">
        <v>1900</v>
      </c>
      <c r="ZD24" t="s">
        <v>1900</v>
      </c>
      <c r="ZE24" t="s">
        <v>1900</v>
      </c>
      <c r="ZF24" t="s">
        <v>1900</v>
      </c>
      <c r="ZG24" t="s">
        <v>1900</v>
      </c>
      <c r="ZH24" t="s">
        <v>1900</v>
      </c>
      <c r="ZI24" t="s">
        <v>1900</v>
      </c>
      <c r="ZJ24" t="s">
        <v>1900</v>
      </c>
      <c r="ZK24" t="s">
        <v>1900</v>
      </c>
      <c r="ZL24" t="s">
        <v>1900</v>
      </c>
      <c r="ZM24" t="s">
        <v>1900</v>
      </c>
      <c r="ZN24" t="s">
        <v>1900</v>
      </c>
      <c r="ZO24" t="s">
        <v>1900</v>
      </c>
      <c r="ZP24" t="s">
        <v>1900</v>
      </c>
      <c r="ZQ24" t="s">
        <v>1900</v>
      </c>
      <c r="ZR24" t="s">
        <v>1900</v>
      </c>
      <c r="ZS24" t="s">
        <v>1900</v>
      </c>
      <c r="ZT24" t="s">
        <v>1900</v>
      </c>
      <c r="ZU24" t="s">
        <v>1900</v>
      </c>
      <c r="ZV24" t="s">
        <v>1900</v>
      </c>
      <c r="ZW24" t="s">
        <v>1900</v>
      </c>
      <c r="ZX24" t="s">
        <v>1900</v>
      </c>
      <c r="ZY24" t="s">
        <v>1900</v>
      </c>
      <c r="ZZ24" t="s">
        <v>1900</v>
      </c>
      <c r="AAA24" t="s">
        <v>1900</v>
      </c>
      <c r="AAB24" t="s">
        <v>1900</v>
      </c>
      <c r="AAC24" t="s">
        <v>1900</v>
      </c>
      <c r="AAD24" t="s">
        <v>1900</v>
      </c>
      <c r="AAE24" t="s">
        <v>1900</v>
      </c>
      <c r="AAF24" t="s">
        <v>1900</v>
      </c>
      <c r="AAG24" t="s">
        <v>1900</v>
      </c>
      <c r="AAH24" t="s">
        <v>1900</v>
      </c>
      <c r="AAI24" t="s">
        <v>1900</v>
      </c>
      <c r="AAJ24" t="s">
        <v>1900</v>
      </c>
      <c r="AAK24" t="s">
        <v>1900</v>
      </c>
      <c r="AAL24" t="s">
        <v>1900</v>
      </c>
      <c r="AAM24" t="s">
        <v>1900</v>
      </c>
      <c r="AAN24" t="s">
        <v>1900</v>
      </c>
      <c r="AAO24" t="s">
        <v>1900</v>
      </c>
      <c r="AAP24" t="s">
        <v>1900</v>
      </c>
      <c r="AAQ24" t="s">
        <v>1900</v>
      </c>
      <c r="AAR24" t="s">
        <v>1900</v>
      </c>
      <c r="AAS24" t="s">
        <v>1900</v>
      </c>
      <c r="AAT24" t="s">
        <v>1900</v>
      </c>
      <c r="AAU24" t="s">
        <v>1900</v>
      </c>
      <c r="AAV24" t="s">
        <v>1900</v>
      </c>
      <c r="AAW24" t="s">
        <v>1900</v>
      </c>
      <c r="AAX24" t="s">
        <v>1900</v>
      </c>
      <c r="AAY24" t="s">
        <v>1900</v>
      </c>
      <c r="AAZ24" t="s">
        <v>1900</v>
      </c>
      <c r="ABA24" t="s">
        <v>1900</v>
      </c>
      <c r="ABB24" t="s">
        <v>1900</v>
      </c>
      <c r="ABC24" t="s">
        <v>1900</v>
      </c>
      <c r="ABD24" t="s">
        <v>1900</v>
      </c>
      <c r="ABE24" t="s">
        <v>1900</v>
      </c>
      <c r="ABF24" t="s">
        <v>1900</v>
      </c>
      <c r="ABG24" t="s">
        <v>1900</v>
      </c>
      <c r="ABH24" t="s">
        <v>1900</v>
      </c>
      <c r="ABI24" t="s">
        <v>1900</v>
      </c>
      <c r="ABJ24" t="s">
        <v>1900</v>
      </c>
      <c r="ABK24" t="s">
        <v>1900</v>
      </c>
      <c r="ABL24" t="s">
        <v>1900</v>
      </c>
      <c r="ABM24" t="s">
        <v>1900</v>
      </c>
      <c r="ABN24" t="s">
        <v>1900</v>
      </c>
      <c r="ABO24" t="s">
        <v>1900</v>
      </c>
      <c r="ABP24" t="s">
        <v>1900</v>
      </c>
      <c r="ABQ24" t="s">
        <v>1900</v>
      </c>
      <c r="ABR24" t="s">
        <v>1900</v>
      </c>
      <c r="ABS24" t="s">
        <v>1900</v>
      </c>
      <c r="ABT24" t="s">
        <v>1900</v>
      </c>
      <c r="ABU24" t="s">
        <v>1900</v>
      </c>
      <c r="ABV24" t="s">
        <v>1900</v>
      </c>
      <c r="ABW24" t="s">
        <v>1900</v>
      </c>
      <c r="ABX24" t="s">
        <v>1900</v>
      </c>
      <c r="ABY24" t="s">
        <v>1900</v>
      </c>
      <c r="ABZ24" t="s">
        <v>1900</v>
      </c>
      <c r="ACA24" t="s">
        <v>1900</v>
      </c>
      <c r="ACB24" t="s">
        <v>1900</v>
      </c>
      <c r="ACC24" t="s">
        <v>1900</v>
      </c>
      <c r="ACD24" t="s">
        <v>1900</v>
      </c>
      <c r="ACE24">
        <v>6.554</v>
      </c>
      <c r="ACF24">
        <v>12.016</v>
      </c>
      <c r="ACG24">
        <v>16.655</v>
      </c>
      <c r="ACH24">
        <v>1.198</v>
      </c>
      <c r="ACI24">
        <v>7.573</v>
      </c>
      <c r="ACJ24">
        <v>10.03</v>
      </c>
      <c r="ACK24">
        <v>10.846</v>
      </c>
      <c r="ACL24">
        <v>7.141</v>
      </c>
      <c r="ACM24">
        <v>1.373</v>
      </c>
      <c r="ACN24">
        <v>4.76</v>
      </c>
      <c r="ACO24">
        <v>1.595</v>
      </c>
      <c r="ACP24">
        <v>2.38</v>
      </c>
      <c r="ACQ24">
        <v>3.022</v>
      </c>
      <c r="ACR24">
        <v>0.292</v>
      </c>
      <c r="ACS24">
        <v>2.155</v>
      </c>
      <c r="ACT24">
        <v>5.381</v>
      </c>
      <c r="ACU24">
        <v>10.433</v>
      </c>
      <c r="ACV24">
        <v>12.496</v>
      </c>
      <c r="ACW24">
        <v>0.554</v>
      </c>
      <c r="ACX24">
        <v>5.686</v>
      </c>
      <c r="ACY24">
        <v>9.347</v>
      </c>
      <c r="ACZ24">
        <v>10.056</v>
      </c>
      <c r="ADA24">
        <v>5.719</v>
      </c>
      <c r="ADB24">
        <v>1.054</v>
      </c>
      <c r="ADC24">
        <v>3.701</v>
      </c>
      <c r="ADD24">
        <v>1.31</v>
      </c>
      <c r="ADE24">
        <v>2.066</v>
      </c>
      <c r="ADF24">
        <v>2.267</v>
      </c>
      <c r="ADG24">
        <v>0.135</v>
      </c>
      <c r="ADH24">
        <v>1.618</v>
      </c>
      <c r="ADI24">
        <v>1.008</v>
      </c>
      <c r="ADJ24">
        <v>1.889</v>
      </c>
      <c r="ADK24">
        <v>2.842</v>
      </c>
      <c r="ADL24">
        <v>0.222</v>
      </c>
      <c r="ADM24">
        <v>1.403</v>
      </c>
      <c r="ADN24">
        <v>55.737</v>
      </c>
      <c r="ADO24">
        <v>49.966</v>
      </c>
      <c r="ADP24">
        <v>52.557</v>
      </c>
      <c r="ADQ24">
        <v>44.335</v>
      </c>
      <c r="ADR24">
        <v>50.653</v>
      </c>
      <c r="ADS24">
        <v>2.544123482</v>
      </c>
      <c r="ADT24">
        <v>3.59449552</v>
      </c>
      <c r="ADU24">
        <v>3.56235434</v>
      </c>
      <c r="ADV24">
        <v>0.621753686</v>
      </c>
      <c r="ADW24">
        <v>1.521774739</v>
      </c>
      <c r="ADX24">
        <v>10.614</v>
      </c>
      <c r="ADY24">
        <v>11.16</v>
      </c>
      <c r="ADZ24">
        <v>10.643</v>
      </c>
      <c r="AEA24">
        <v>2.4</v>
      </c>
      <c r="AEB24">
        <v>2.125</v>
      </c>
      <c r="AEC24">
        <v>2.544</v>
      </c>
      <c r="AED24">
        <v>3.594</v>
      </c>
      <c r="AEE24">
        <v>3.562</v>
      </c>
      <c r="AEF24">
        <v>0.622</v>
      </c>
      <c r="AEG24">
        <v>1.522</v>
      </c>
      <c r="AEH24">
        <v>8.898</v>
      </c>
      <c r="AEI24">
        <v>9.205</v>
      </c>
      <c r="AEJ24">
        <v>9.212999999999999</v>
      </c>
      <c r="AEK24">
        <v>1.881</v>
      </c>
      <c r="AEL24">
        <v>1.657</v>
      </c>
      <c r="AEM24">
        <v>2.610538813</v>
      </c>
      <c r="AEN24">
        <v>3.728516893</v>
      </c>
      <c r="AEO24">
        <v>3.693945778</v>
      </c>
      <c r="AEP24">
        <v>0.6256436480000001</v>
      </c>
      <c r="AEQ24">
        <v>1.545290581</v>
      </c>
      <c r="AER24">
        <v>1.047828266</v>
      </c>
      <c r="AES24">
        <v>1.077514442</v>
      </c>
      <c r="AET24">
        <v>1.072708437</v>
      </c>
      <c r="AEU24">
        <v>1.014223584</v>
      </c>
      <c r="AEV24">
        <v>1.030973831</v>
      </c>
      <c r="AEW24" t="s">
        <v>1900</v>
      </c>
      <c r="AEX24" t="s">
        <v>1900</v>
      </c>
      <c r="AEY24" t="s">
        <v>1900</v>
      </c>
      <c r="AEZ24" t="s">
        <v>1900</v>
      </c>
      <c r="AFA24" t="s">
        <v>1900</v>
      </c>
      <c r="AFB24" t="s">
        <v>1900</v>
      </c>
      <c r="AFC24" t="s">
        <v>1900</v>
      </c>
      <c r="AFD24" t="s">
        <v>1900</v>
      </c>
      <c r="AFE24" t="s">
        <v>1900</v>
      </c>
      <c r="AFF24" t="s">
        <v>1900</v>
      </c>
      <c r="AFG24">
        <v>3.785</v>
      </c>
      <c r="AFH24">
        <v>3.173</v>
      </c>
      <c r="AFI24">
        <v>2.004</v>
      </c>
      <c r="AFJ24">
        <v>2.672</v>
      </c>
      <c r="AFK24">
        <v>3.03</v>
      </c>
      <c r="AFL24">
        <v>1.55</v>
      </c>
      <c r="AFM24">
        <v>2.351</v>
      </c>
      <c r="AFN24">
        <v>4.944</v>
      </c>
      <c r="AFO24">
        <v>2.132</v>
      </c>
      <c r="AFP24">
        <v>9.065</v>
      </c>
      <c r="AFQ24">
        <v>8.574999999999999</v>
      </c>
      <c r="AFR24">
        <v>6.355</v>
      </c>
      <c r="AFS24">
        <v>18.611</v>
      </c>
      <c r="AFT24">
        <v>33.721</v>
      </c>
      <c r="AFU24" t="s">
        <v>1901</v>
      </c>
      <c r="AFV24">
        <v>65.236</v>
      </c>
      <c r="AFW24">
        <v>67.91</v>
      </c>
      <c r="AFX24">
        <v>97.26600000000001</v>
      </c>
      <c r="AFY24">
        <v>104.634</v>
      </c>
      <c r="AFZ24">
        <v>157.833</v>
      </c>
      <c r="AGA24">
        <v>34.055</v>
      </c>
      <c r="AGB24">
        <v>72.22799999999999</v>
      </c>
      <c r="AGC24">
        <v>50.661</v>
      </c>
      <c r="AGD24">
        <v>76.29900000000001</v>
      </c>
      <c r="AGE24">
        <v>54.819</v>
      </c>
      <c r="AGF24" t="s">
        <v>1900</v>
      </c>
      <c r="AGG24" t="s">
        <v>1900</v>
      </c>
      <c r="AGH24" t="s">
        <v>1900</v>
      </c>
      <c r="AGI24" t="s">
        <v>1900</v>
      </c>
      <c r="AGJ24" t="s">
        <v>1900</v>
      </c>
      <c r="AGK24" t="s">
        <v>1900</v>
      </c>
      <c r="AGL24" t="s">
        <v>1900</v>
      </c>
      <c r="AGM24" t="s">
        <v>1900</v>
      </c>
      <c r="AGN24" t="s">
        <v>1900</v>
      </c>
      <c r="AGO24" t="s">
        <v>1900</v>
      </c>
      <c r="AGP24" t="s">
        <v>1900</v>
      </c>
      <c r="AGQ24" t="s">
        <v>1900</v>
      </c>
      <c r="AGR24" t="s">
        <v>1900</v>
      </c>
      <c r="AGS24" t="s">
        <v>1900</v>
      </c>
      <c r="AGT24" t="s">
        <v>1900</v>
      </c>
      <c r="AGU24">
        <v>0</v>
      </c>
      <c r="AGV24">
        <v>0</v>
      </c>
      <c r="AGW24">
        <v>0</v>
      </c>
      <c r="AGX24">
        <v>0</v>
      </c>
      <c r="AGY24">
        <v>0</v>
      </c>
      <c r="AGZ24">
        <v>0.837</v>
      </c>
      <c r="AHA24">
        <v>0.753</v>
      </c>
      <c r="AHB24">
        <v>0.835</v>
      </c>
      <c r="AHC24">
        <v>0.9370000000000001</v>
      </c>
      <c r="AHD24">
        <v>1.496</v>
      </c>
      <c r="AHE24">
        <v>0.52</v>
      </c>
      <c r="AHF24">
        <v>0.424</v>
      </c>
      <c r="AHG24">
        <v>0.713</v>
      </c>
      <c r="AHH24">
        <v>0.861</v>
      </c>
      <c r="AHI24">
        <v>1.496</v>
      </c>
      <c r="AHJ24">
        <v>1.394</v>
      </c>
      <c r="AHK24">
        <v>0.995</v>
      </c>
      <c r="AHL24">
        <v>0.52</v>
      </c>
      <c r="AHM24">
        <v>0.985</v>
      </c>
      <c r="AHN24">
        <v>1.28</v>
      </c>
      <c r="AHO24">
        <v>24.337</v>
      </c>
      <c r="AHP24">
        <v>19.803</v>
      </c>
      <c r="AHQ24">
        <v>18.141</v>
      </c>
      <c r="AHR24">
        <v>24.362</v>
      </c>
      <c r="AHS24">
        <v>28.457</v>
      </c>
      <c r="AHT24">
        <v>32.165</v>
      </c>
      <c r="AHU24">
        <v>24.693</v>
      </c>
      <c r="AHV24">
        <v>22.162</v>
      </c>
      <c r="AHW24">
        <v>32.209</v>
      </c>
      <c r="AHX24">
        <v>39.777</v>
      </c>
      <c r="AHY24">
        <v>216.422</v>
      </c>
      <c r="AHZ24">
        <v>245.642</v>
      </c>
      <c r="AIA24">
        <v>320.682</v>
      </c>
      <c r="AIB24">
        <v>160.169</v>
      </c>
      <c r="AIC24">
        <v>135.145</v>
      </c>
      <c r="AID24">
        <v>0.787201159</v>
      </c>
      <c r="AIE24">
        <v>0.628843541</v>
      </c>
      <c r="AIF24">
        <v>0.928116304</v>
      </c>
      <c r="AIG24">
        <v>0.962145828</v>
      </c>
      <c r="AIH24">
        <v>1.101354202</v>
      </c>
      <c r="AII24">
        <v>1.611777473</v>
      </c>
      <c r="AIJ24">
        <v>1.801062732</v>
      </c>
      <c r="AIK24">
        <v>4.75706131</v>
      </c>
      <c r="AIL24">
        <v>5.690287788</v>
      </c>
      <c r="AIM24">
        <v>6.434571487</v>
      </c>
      <c r="AIN24">
        <v>8.027090914</v>
      </c>
      <c r="AIO24">
        <v>6.276338699</v>
      </c>
      <c r="AIP24">
        <v>8.720973398</v>
      </c>
      <c r="AIQ24">
        <v>8.812372613000001</v>
      </c>
      <c r="AIR24">
        <v>9.694830309</v>
      </c>
      <c r="AIS24">
        <v>26.347815315</v>
      </c>
      <c r="AIT24">
        <v>31.451295911</v>
      </c>
      <c r="AIU24">
        <v>11.325720422</v>
      </c>
      <c r="AIV24">
        <v>5.327368211</v>
      </c>
      <c r="AIW24">
        <v>0</v>
      </c>
      <c r="AIX24">
        <v>1.13831703246772</v>
      </c>
      <c r="AIY24">
        <v>2.24818870395946</v>
      </c>
      <c r="AIZ24">
        <v>2.60065966743469</v>
      </c>
      <c r="AJA24">
        <v>0.179864857027531</v>
      </c>
      <c r="AJB24">
        <v>1.42715697951496</v>
      </c>
      <c r="AJC24">
        <v>112.901931791446</v>
      </c>
      <c r="AJD24">
        <v>119.022603490882</v>
      </c>
      <c r="AJE24">
        <v>91.50542704739389</v>
      </c>
      <c r="AJF24">
        <v>80.8434707430053</v>
      </c>
      <c r="AJG24">
        <v>101.721834586699</v>
      </c>
      <c r="AJH24">
        <v>39.402</v>
      </c>
      <c r="AJI24">
        <v>38.711</v>
      </c>
      <c r="AJJ24">
        <v>46.213</v>
      </c>
      <c r="AJK24">
        <v>53.152</v>
      </c>
      <c r="AJL24">
        <v>44.072</v>
      </c>
      <c r="AJM24">
        <v>44.4856928859823</v>
      </c>
      <c r="AJN24">
        <v>46.0746620177422</v>
      </c>
      <c r="AJO24">
        <v>42.2875456395429</v>
      </c>
      <c r="AJP24">
        <v>42.9696279264736</v>
      </c>
      <c r="AJQ24">
        <v>44.8304445439356</v>
      </c>
      <c r="AJR24">
        <v>17.3693697355232</v>
      </c>
      <c r="AJS24">
        <v>18.7100208868275</v>
      </c>
      <c r="AJT24">
        <v>15.6146527976769</v>
      </c>
      <c r="AJU24">
        <v>15.0132989008284</v>
      </c>
      <c r="AJV24">
        <v>18.8464561284792</v>
      </c>
      <c r="AJW24">
        <v>22.94564120442</v>
      </c>
      <c r="AJX24">
        <v>17.3018723448677</v>
      </c>
      <c r="AJY24">
        <v>16.7628642123789</v>
      </c>
      <c r="AJZ24">
        <v>8.7604538471818</v>
      </c>
      <c r="AKA24">
        <v>29.1075782718527</v>
      </c>
      <c r="AKB24">
        <v>71.3696890099087</v>
      </c>
      <c r="AKC24">
        <v>94.47952587625031</v>
      </c>
      <c r="AKD24">
        <v>86.0714812975359</v>
      </c>
      <c r="AKE24">
        <v>61.6247578119421</v>
      </c>
      <c r="AKF24">
        <v>66.2268240605259</v>
      </c>
      <c r="AKG24">
        <v>26.347815315</v>
      </c>
      <c r="AKH24">
        <v>31.451295911</v>
      </c>
      <c r="AKI24">
        <v>11.325720422</v>
      </c>
      <c r="AKJ24">
        <v>5.327368211</v>
      </c>
      <c r="AKK24">
        <v>0</v>
      </c>
      <c r="AKL24">
        <v>11.662331031</v>
      </c>
      <c r="AKM24">
        <v>15.736202539</v>
      </c>
      <c r="AKN24">
        <v>5.373214418</v>
      </c>
      <c r="AKO24">
        <v>2.965499614</v>
      </c>
      <c r="AKP24">
        <v>0</v>
      </c>
      <c r="AKQ24">
        <v>18.449004332</v>
      </c>
      <c r="AKR24">
        <v>19.824017655</v>
      </c>
      <c r="AKS24">
        <v>5.712441256</v>
      </c>
      <c r="AKT24">
        <v>3.890340359</v>
      </c>
      <c r="AKU24">
        <v>0</v>
      </c>
      <c r="AKV24">
        <v>18.073277729</v>
      </c>
      <c r="AKW24">
        <v>27.411605248</v>
      </c>
      <c r="AKX24">
        <v>36.369299447</v>
      </c>
      <c r="AKY24">
        <v>37.813082218</v>
      </c>
      <c r="AKZ24">
        <v>14.686725682</v>
      </c>
      <c r="ALA24">
        <v>28.590680391</v>
      </c>
      <c r="ALB24">
        <v>34.532355885</v>
      </c>
      <c r="ALC24">
        <v>38.665400346</v>
      </c>
      <c r="ALD24">
        <v>49.605725504</v>
      </c>
      <c r="ALE24">
        <v>22.558241111</v>
      </c>
      <c r="ALF24">
        <v>13.840760994</v>
      </c>
      <c r="ALG24">
        <v>15.439008464</v>
      </c>
      <c r="ALH24">
        <v>19.953217777</v>
      </c>
      <c r="ALI24">
        <v>1.312630757</v>
      </c>
      <c r="ALJ24">
        <v>1.670365437</v>
      </c>
      <c r="ALK24">
        <v>21.895130473</v>
      </c>
      <c r="ALL24">
        <v>19.449621063</v>
      </c>
      <c r="ALM24">
        <v>21.212923132</v>
      </c>
      <c r="ALN24">
        <v>1.721996653</v>
      </c>
      <c r="ALO24">
        <v>2.565616536</v>
      </c>
      <c r="ALP24">
        <v>18.121020504</v>
      </c>
      <c r="ALQ24">
        <v>18.863818743</v>
      </c>
      <c r="ALR24">
        <v>27.018312101</v>
      </c>
      <c r="ALS24">
        <v>29.06507364</v>
      </c>
      <c r="ALT24">
        <v>43.842393767</v>
      </c>
      <c r="ALU24">
        <v>52.203662815</v>
      </c>
      <c r="ALV24">
        <v>106.359131484</v>
      </c>
      <c r="ALW24">
        <v>52.085205673</v>
      </c>
      <c r="ALX24">
        <v>72.920021355</v>
      </c>
      <c r="ALY24">
        <v>34.732402431</v>
      </c>
      <c r="ALZ24">
        <v>55.7370093442949</v>
      </c>
      <c r="AMA24">
        <v>49.966441497415</v>
      </c>
      <c r="AMB24">
        <v>52.5574160567676</v>
      </c>
      <c r="AMC24">
        <v>44.3346227137489</v>
      </c>
      <c r="AMD24">
        <v>50.6527569236561</v>
      </c>
      <c r="AME24">
        <v>56.4640862259756</v>
      </c>
      <c r="AMF24">
        <v>50.3825147961708</v>
      </c>
      <c r="AMG24">
        <v>53.4962390945046</v>
      </c>
      <c r="AMH24">
        <v>46.0266952382508</v>
      </c>
      <c r="AMI24">
        <v>51.4469220396396</v>
      </c>
      <c r="AMJ24">
        <v>125.922375597797</v>
      </c>
      <c r="AMK24">
        <v>99.8658560230798</v>
      </c>
      <c r="AML24">
        <v>110.781099359292</v>
      </c>
      <c r="AMM24">
        <v>79.64487959142809</v>
      </c>
      <c r="AMN24">
        <v>102.645565924103</v>
      </c>
      <c r="AMO24">
        <v>1.04782826577533</v>
      </c>
      <c r="AMP24">
        <v>1.0775144420741</v>
      </c>
      <c r="AMQ24">
        <v>1.07270843662647</v>
      </c>
      <c r="AMR24">
        <v>1.01422358448627</v>
      </c>
      <c r="AMS24">
        <v>1.03097383099841</v>
      </c>
      <c r="AMT24">
        <v>1.04782826577533</v>
      </c>
      <c r="AMU24">
        <v>1.0775144420741</v>
      </c>
      <c r="AMV24">
        <v>1.07270843662647</v>
      </c>
      <c r="AMW24">
        <v>1.01422358448627</v>
      </c>
      <c r="AMX24">
        <v>1.03097383099841</v>
      </c>
      <c r="AMY24">
        <v>1.05208490189839</v>
      </c>
      <c r="AMZ24">
        <v>1.08399332403911</v>
      </c>
      <c r="ANA24">
        <v>1.07742641145454</v>
      </c>
      <c r="ANB24">
        <v>1.01525874417665</v>
      </c>
      <c r="ANC24">
        <v>1.03097383099841</v>
      </c>
      <c r="AND24">
        <v>2.54412348236145</v>
      </c>
      <c r="ANE24">
        <v>3.59449552030602</v>
      </c>
      <c r="ANF24">
        <v>3.56235433985412</v>
      </c>
      <c r="ANG24">
        <v>0.621753685757089</v>
      </c>
      <c r="ANH24">
        <v>1.52177473897417</v>
      </c>
      <c r="ANI24">
        <v>2.57731100695108</v>
      </c>
      <c r="ANJ24">
        <v>3.62442708164352</v>
      </c>
      <c r="ANK24">
        <v>3.62598799184388</v>
      </c>
      <c r="ANL24">
        <v>0.645483499259058</v>
      </c>
      <c r="ANM24">
        <v>1.54563406046974</v>
      </c>
      <c r="ANN24">
        <v>2.61053881332748</v>
      </c>
      <c r="ANO24">
        <v>3.72851689299871</v>
      </c>
      <c r="ANP24">
        <v>3.69394577757336</v>
      </c>
      <c r="ANQ24">
        <v>0.625643648199475</v>
      </c>
      <c r="ANR24">
        <v>1.54529058067463</v>
      </c>
      <c r="ANS24">
        <v>9.629975674724809</v>
      </c>
      <c r="ANT24">
        <v>11.4064238825924</v>
      </c>
      <c r="ANU24">
        <v>7.14073380826336</v>
      </c>
      <c r="ANV24">
        <v>1.66103520325748</v>
      </c>
      <c r="ANW24">
        <v>4.61096568899803</v>
      </c>
      <c r="ANX24">
        <v>51.38982328467</v>
      </c>
      <c r="ANY24">
        <v>46.3895100220834</v>
      </c>
      <c r="ANZ24">
        <v>49.5719042199449</v>
      </c>
      <c r="AOA24">
        <v>41.3691230995879</v>
      </c>
      <c r="AOB24">
        <v>50.6527569236561</v>
      </c>
      <c r="AOC24">
        <v>57.1920456066157</v>
      </c>
      <c r="AOD24">
        <v>51.8294487094764</v>
      </c>
      <c r="AOE24">
        <v>54.4988585079982</v>
      </c>
      <c r="AOF24">
        <v>44.6119994647106</v>
      </c>
      <c r="AOG24">
        <v>51.4354892052494</v>
      </c>
      <c r="AOH24">
        <v>88.1721093430947</v>
      </c>
      <c r="AOI24">
        <v>62.9462931668686</v>
      </c>
      <c r="AOJ24">
        <v>55.8755203953716</v>
      </c>
      <c r="AOK24">
        <v>58.1611176783298</v>
      </c>
      <c r="AOL24">
        <v>77.8006703733484</v>
      </c>
      <c r="AOM24">
        <v>5.7477442094924</v>
      </c>
      <c r="AON24">
        <v>7.18416924137089</v>
      </c>
      <c r="AOO24">
        <v>7.50876964061794</v>
      </c>
      <c r="AOP24">
        <v>1.11694866013359</v>
      </c>
      <c r="AOQ24">
        <v>3.08380903188426</v>
      </c>
      <c r="AOR24">
        <v>4.7828265775332</v>
      </c>
      <c r="AOS24">
        <v>7.75144420741025</v>
      </c>
      <c r="AOT24">
        <v>7.27084366264686</v>
      </c>
      <c r="AOU24">
        <v>1.42235844862744</v>
      </c>
      <c r="AOV24">
        <v>3.09738309984089</v>
      </c>
      <c r="AOW24">
        <v>4.02462809734642</v>
      </c>
      <c r="AOX24">
        <v>4.5282425969815</v>
      </c>
      <c r="AOY24">
        <v>3.78725625242052</v>
      </c>
      <c r="AOZ24">
        <v>0.815657990770247</v>
      </c>
      <c r="APA24">
        <v>2.33738698621801</v>
      </c>
      <c r="APB24">
        <v>0.827833199785195</v>
      </c>
      <c r="APC24">
        <v>1.63997384847632</v>
      </c>
      <c r="APD24">
        <v>2.13238850949789</v>
      </c>
      <c r="APE24">
        <v>0.102822541816944</v>
      </c>
      <c r="APF24">
        <v>1.05353679079229</v>
      </c>
      <c r="APG24">
        <v>0.83863209962809</v>
      </c>
      <c r="APH24">
        <v>1.65363000065686</v>
      </c>
      <c r="API24">
        <v>2.17047895625729</v>
      </c>
      <c r="APJ24">
        <v>0.106746860718477</v>
      </c>
      <c r="APK24">
        <v>1.07005478938639</v>
      </c>
      <c r="APL24">
        <v>1.87026043094197</v>
      </c>
      <c r="APM24">
        <v>3.27774777081184</v>
      </c>
      <c r="APN24">
        <v>4.49467194293085</v>
      </c>
      <c r="APO24">
        <v>0.184715431439895</v>
      </c>
      <c r="APP24">
        <v>2.13494559191967</v>
      </c>
      <c r="APQ24">
        <v>1.55628555655714</v>
      </c>
      <c r="APR24">
        <v>3.53656464899246</v>
      </c>
      <c r="APS24">
        <v>4.35225191024051</v>
      </c>
      <c r="APT24">
        <v>0.235222588000576</v>
      </c>
      <c r="APU24">
        <v>2.14434302744463</v>
      </c>
      <c r="APV24">
        <v>0.849444106775198</v>
      </c>
      <c r="APW24">
        <v>1.70112055045752</v>
      </c>
      <c r="APX24">
        <v>2.21115778480594</v>
      </c>
      <c r="APY24">
        <v>0.103465844518739</v>
      </c>
      <c r="APZ24">
        <v>1.06981699558434</v>
      </c>
      <c r="AQA24">
        <v>1.30957509683421</v>
      </c>
      <c r="AQB24">
        <v>2.06599212508517</v>
      </c>
      <c r="AQC24">
        <v>2.26701247117271</v>
      </c>
      <c r="AQD24">
        <v>0.134889474377904</v>
      </c>
      <c r="AQE24">
        <v>1.61819165559271</v>
      </c>
      <c r="AQF24">
        <v>0.0520849018983901</v>
      </c>
      <c r="AQG24">
        <v>0.08399332403910589</v>
      </c>
      <c r="AQH24">
        <v>0.0774264114545407</v>
      </c>
      <c r="AQI24">
        <v>0.0152587441766498</v>
      </c>
      <c r="AQJ24">
        <v>0.0309738309984089</v>
      </c>
      <c r="AQK24">
        <v>2</v>
      </c>
      <c r="AQO24" t="s">
        <v>1903</v>
      </c>
      <c r="AQP24">
        <v>5</v>
      </c>
      <c r="AQQ24">
        <v>0</v>
      </c>
      <c r="AQS24" t="s">
        <v>1905</v>
      </c>
      <c r="AQU24" t="s">
        <v>1906</v>
      </c>
      <c r="AQV24">
        <v>3725763.75327333</v>
      </c>
      <c r="AQW24">
        <v>3689700.70269234</v>
      </c>
      <c r="AQX24">
        <v>2836668.23633601</v>
      </c>
      <c r="AQY24">
        <v>94788.03054433819</v>
      </c>
      <c r="AQZ24">
        <v>132626.126470976</v>
      </c>
      <c r="ARA24">
        <v>101052.174024379</v>
      </c>
      <c r="ARB24">
        <v>10252132.69230168</v>
      </c>
      <c r="ARC24">
        <v>328466.3310396932</v>
      </c>
      <c r="ARD24">
        <v>0.03309929204410721</v>
      </c>
      <c r="ARE24">
        <v>0.03309929204410721</v>
      </c>
      <c r="ARF24">
        <v>0.03309929204410721</v>
      </c>
      <c r="ARG24">
        <v>0.03309929204410721</v>
      </c>
      <c r="ARH24">
        <v>0.03309929204410721</v>
      </c>
      <c r="ARI24">
        <v>0.03309929204410721</v>
      </c>
      <c r="ARJ24" t="s">
        <v>1185</v>
      </c>
      <c r="ARK24" t="s">
        <v>1523</v>
      </c>
      <c r="ARL24" t="s">
        <v>1908</v>
      </c>
      <c r="ARM24" t="s">
        <v>1908</v>
      </c>
      <c r="ARN24" t="s">
        <v>1909</v>
      </c>
      <c r="ARO24" t="s">
        <v>1908</v>
      </c>
      <c r="ARP24" t="s">
        <v>1907</v>
      </c>
      <c r="ARQ24" t="s">
        <v>1928</v>
      </c>
      <c r="ARR24">
        <f>HYPERLINK("C:\Users\Usuario\Documents\Proyectos\llmthon\evidence\bitec_es_233712.png", "Ver Evidencia")</f>
        <v>0</v>
      </c>
      <c r="ARS24">
        <v>95</v>
      </c>
    </row>
    <row r="25" spans="1:1163">
      <c r="A25">
        <v>359</v>
      </c>
      <c r="B25" t="s">
        <v>1186</v>
      </c>
      <c r="C25" t="s">
        <v>1309</v>
      </c>
      <c r="E25" s="2">
        <v>42878</v>
      </c>
      <c r="F25" t="s">
        <v>1431</v>
      </c>
      <c r="G25" t="s">
        <v>1433</v>
      </c>
      <c r="H25" t="s">
        <v>1434</v>
      </c>
      <c r="I25" t="s">
        <v>1439</v>
      </c>
      <c r="J25" t="s">
        <v>1464</v>
      </c>
      <c r="L25" t="s">
        <v>1524</v>
      </c>
      <c r="N25" t="s">
        <v>1630</v>
      </c>
      <c r="O25" t="s">
        <v>1654</v>
      </c>
      <c r="P25">
        <v>6209</v>
      </c>
      <c r="Q25">
        <v>6209</v>
      </c>
      <c r="R25" t="s">
        <v>1695</v>
      </c>
      <c r="S25" t="s">
        <v>1801</v>
      </c>
      <c r="Z25" t="s">
        <v>1899</v>
      </c>
      <c r="AA25" s="2">
        <v>45291</v>
      </c>
      <c r="AB25">
        <v>2023</v>
      </c>
      <c r="AC25" t="s">
        <v>1900</v>
      </c>
      <c r="AD25">
        <v>1962471.14568294</v>
      </c>
      <c r="AE25">
        <v>1041167.74604421</v>
      </c>
      <c r="AF25" t="s">
        <v>1900</v>
      </c>
      <c r="AG25">
        <v>303348.015083128</v>
      </c>
      <c r="AH25" t="s">
        <v>1900</v>
      </c>
      <c r="AI25">
        <v>1962471.14568294</v>
      </c>
      <c r="AJ25">
        <v>1041039.49812174</v>
      </c>
      <c r="AK25" t="s">
        <v>1900</v>
      </c>
      <c r="AL25">
        <v>292849.567026848</v>
      </c>
      <c r="AM25" t="s">
        <v>1900</v>
      </c>
      <c r="AN25">
        <v>284376.507574682</v>
      </c>
      <c r="AO25">
        <v>133538.021278059</v>
      </c>
      <c r="AP25" t="s">
        <v>1900</v>
      </c>
      <c r="AQ25">
        <v>461592.286539131</v>
      </c>
      <c r="AR25" t="s">
        <v>1900</v>
      </c>
      <c r="AS25">
        <v>1678094.63810825</v>
      </c>
      <c r="AT25">
        <v>907629.724766147</v>
      </c>
      <c r="AU25" t="s">
        <v>1900</v>
      </c>
      <c r="AV25">
        <v>-158244.271456003</v>
      </c>
      <c r="AW25" t="s">
        <v>1900</v>
      </c>
      <c r="AX25">
        <v>1791941.8889015</v>
      </c>
      <c r="AY25">
        <v>1538878.43463799</v>
      </c>
      <c r="AZ25" t="s">
        <v>1900</v>
      </c>
      <c r="BA25">
        <v>369593.976984328</v>
      </c>
      <c r="BB25" t="s">
        <v>1900</v>
      </c>
      <c r="BC25">
        <v>-113847.250793247</v>
      </c>
      <c r="BD25">
        <v>-631248.710938442</v>
      </c>
      <c r="BE25" t="s">
        <v>1900</v>
      </c>
      <c r="BF25">
        <v>-527838.248440331</v>
      </c>
      <c r="BG25" t="s">
        <v>1900</v>
      </c>
      <c r="BH25">
        <v>-70500.0250345449</v>
      </c>
      <c r="BI25">
        <v>-86593.28629898011</v>
      </c>
      <c r="BJ25" t="s">
        <v>1900</v>
      </c>
      <c r="BK25">
        <v>-18738.2112450778</v>
      </c>
      <c r="BL25" t="s">
        <v>1900</v>
      </c>
      <c r="BM25">
        <v>3.17135142326355</v>
      </c>
      <c r="BN25" t="s">
        <v>1900</v>
      </c>
      <c r="BO25" t="s">
        <v>1900</v>
      </c>
      <c r="BP25" t="s">
        <v>1900</v>
      </c>
      <c r="BQ25" t="s">
        <v>1900</v>
      </c>
      <c r="BR25">
        <v>70503.1974909687</v>
      </c>
      <c r="BS25">
        <v>86593.28629898011</v>
      </c>
      <c r="BT25" t="s">
        <v>1900</v>
      </c>
      <c r="BU25">
        <v>18738.2112450778</v>
      </c>
      <c r="BV25" t="s">
        <v>1900</v>
      </c>
      <c r="BW25">
        <v>-184347.276932793</v>
      </c>
      <c r="BX25">
        <v>-717841.998304021</v>
      </c>
      <c r="BY25" t="s">
        <v>1900</v>
      </c>
      <c r="BZ25">
        <v>-546576.459685409</v>
      </c>
      <c r="CA25" t="s">
        <v>1900</v>
      </c>
      <c r="CB25">
        <v>-127956.847425461</v>
      </c>
      <c r="CC25">
        <v>-174008.485630816</v>
      </c>
      <c r="CD25" t="s">
        <v>1900</v>
      </c>
      <c r="CE25">
        <v>-136184.511014247</v>
      </c>
      <c r="CF25" t="s">
        <v>1900</v>
      </c>
      <c r="CG25">
        <v>-56390.4295073318</v>
      </c>
      <c r="CH25">
        <v>-543833.512673205</v>
      </c>
      <c r="CI25" t="s">
        <v>1900</v>
      </c>
      <c r="CJ25">
        <v>-410391.947444063</v>
      </c>
      <c r="CK25" t="s">
        <v>1900</v>
      </c>
      <c r="CL25" t="s">
        <v>1900</v>
      </c>
      <c r="CM25" t="s">
        <v>1900</v>
      </c>
      <c r="CN25" t="s">
        <v>1900</v>
      </c>
      <c r="CO25" t="s">
        <v>1900</v>
      </c>
      <c r="CP25" t="s">
        <v>1900</v>
      </c>
      <c r="CQ25" t="s">
        <v>1900</v>
      </c>
      <c r="CR25" t="s">
        <v>1900</v>
      </c>
      <c r="CS25" t="s">
        <v>1900</v>
      </c>
      <c r="CT25" t="s">
        <v>1900</v>
      </c>
      <c r="CU25" t="s">
        <v>1900</v>
      </c>
      <c r="CV25" t="s">
        <v>1900</v>
      </c>
      <c r="CW25" t="s">
        <v>1900</v>
      </c>
      <c r="CX25" t="s">
        <v>1900</v>
      </c>
      <c r="CY25" t="s">
        <v>1900</v>
      </c>
      <c r="CZ25" t="s">
        <v>1900</v>
      </c>
      <c r="DA25">
        <v>-56390.4295073318</v>
      </c>
      <c r="DB25">
        <v>-543833.512673205</v>
      </c>
      <c r="DC25" t="s">
        <v>1900</v>
      </c>
      <c r="DD25">
        <v>-410391.947444063</v>
      </c>
      <c r="DE25" t="s">
        <v>1900</v>
      </c>
      <c r="DF25" t="s">
        <v>1900</v>
      </c>
      <c r="DG25" t="s">
        <v>1900</v>
      </c>
      <c r="DH25" t="s">
        <v>1900</v>
      </c>
      <c r="DI25" t="s">
        <v>1900</v>
      </c>
      <c r="DJ25" t="s">
        <v>1900</v>
      </c>
      <c r="DK25">
        <v>284376.507574682</v>
      </c>
      <c r="DL25">
        <v>133538.021278059</v>
      </c>
      <c r="DM25" t="s">
        <v>1900</v>
      </c>
      <c r="DN25">
        <v>461592.286539131</v>
      </c>
      <c r="DO25" t="s">
        <v>1900</v>
      </c>
      <c r="DP25">
        <v>899386.8214337541</v>
      </c>
      <c r="DQ25">
        <v>870863.944411927</v>
      </c>
      <c r="DR25" t="s">
        <v>1900</v>
      </c>
      <c r="DS25">
        <v>451685.508952057</v>
      </c>
      <c r="DT25" t="s">
        <v>1900</v>
      </c>
      <c r="DU25">
        <v>431847.509057856</v>
      </c>
      <c r="DV25">
        <v>291971.925187373</v>
      </c>
      <c r="DW25" t="s">
        <v>1900</v>
      </c>
      <c r="DX25">
        <v>150083.901591879</v>
      </c>
      <c r="DY25" t="s">
        <v>1900</v>
      </c>
      <c r="DZ25">
        <v>460707.558409891</v>
      </c>
      <c r="EA25">
        <v>376042.565038689</v>
      </c>
      <c r="EB25" t="s">
        <v>1900</v>
      </c>
      <c r="EC25">
        <v>-232175.432332509</v>
      </c>
      <c r="ED25" t="s">
        <v>1900</v>
      </c>
      <c r="EE25">
        <v>67239.0039260387</v>
      </c>
      <c r="EF25">
        <v>86264.5827352881</v>
      </c>
      <c r="EG25" t="s">
        <v>1900</v>
      </c>
      <c r="EH25">
        <v>17663.0391099095</v>
      </c>
      <c r="EI25" t="s">
        <v>1900</v>
      </c>
      <c r="EJ25" t="s">
        <v>1900</v>
      </c>
      <c r="EK25" t="s">
        <v>1900</v>
      </c>
      <c r="EL25" t="s">
        <v>1900</v>
      </c>
      <c r="EM25" t="s">
        <v>1900</v>
      </c>
      <c r="EN25" t="s">
        <v>1900</v>
      </c>
      <c r="EO25">
        <v>375457.079550524</v>
      </c>
      <c r="EP25">
        <v>-251861.587485832</v>
      </c>
      <c r="EQ25" t="s">
        <v>1900</v>
      </c>
      <c r="ER25">
        <v>-260308.045852184</v>
      </c>
      <c r="ES25" t="s">
        <v>1900</v>
      </c>
      <c r="ET25">
        <v>1214126.05637986</v>
      </c>
      <c r="EU25">
        <v>531258.454030567</v>
      </c>
      <c r="EV25" t="s">
        <v>1900</v>
      </c>
      <c r="EW25">
        <v>72855.989968437</v>
      </c>
      <c r="EX25" t="s">
        <v>1900</v>
      </c>
      <c r="EY25">
        <v>318000.258264608</v>
      </c>
      <c r="EZ25">
        <v>-339276.784684469</v>
      </c>
      <c r="FA25" t="s">
        <v>1900</v>
      </c>
      <c r="FB25">
        <v>-377754.346848452</v>
      </c>
      <c r="FC25" t="s">
        <v>1900</v>
      </c>
      <c r="FD25">
        <v>1923578.90732858</v>
      </c>
      <c r="FE25">
        <v>1718001.76718336</v>
      </c>
      <c r="FF25" t="s">
        <v>1900</v>
      </c>
      <c r="FG25">
        <v>1080825.60251867</v>
      </c>
      <c r="FH25" t="s">
        <v>1900</v>
      </c>
      <c r="FI25">
        <v>1236225.28285272</v>
      </c>
      <c r="FJ25">
        <v>1187376.7025929</v>
      </c>
      <c r="FK25" t="s">
        <v>1900</v>
      </c>
      <c r="FL25">
        <v>782474.605744666</v>
      </c>
      <c r="FM25" t="s">
        <v>1900</v>
      </c>
      <c r="FN25">
        <v>16909.2258886528</v>
      </c>
      <c r="FO25">
        <v>8598.6904224515</v>
      </c>
      <c r="FP25" t="s">
        <v>1900</v>
      </c>
      <c r="FQ25">
        <v>7186.59294406772</v>
      </c>
      <c r="FR25" t="s">
        <v>1900</v>
      </c>
      <c r="FS25">
        <v>670444.398587208</v>
      </c>
      <c r="FT25">
        <v>522026.374168009</v>
      </c>
      <c r="FU25" t="s">
        <v>1900</v>
      </c>
      <c r="FV25">
        <v>291164.403829932</v>
      </c>
      <c r="FW25" t="s">
        <v>1900</v>
      </c>
      <c r="FX25">
        <v>1236225.28285272</v>
      </c>
      <c r="FY25">
        <v>1187376.7025929</v>
      </c>
      <c r="FZ25" t="s">
        <v>1900</v>
      </c>
      <c r="GA25">
        <v>782474.605744666</v>
      </c>
      <c r="GB25" t="s">
        <v>1900</v>
      </c>
      <c r="GC25">
        <v>16909.2258886528</v>
      </c>
      <c r="GD25">
        <v>8598.6904224515</v>
      </c>
      <c r="GE25" t="s">
        <v>1900</v>
      </c>
      <c r="GF25">
        <v>7186.59294406772</v>
      </c>
      <c r="GG25" t="s">
        <v>1900</v>
      </c>
      <c r="GH25">
        <v>670444.398587208</v>
      </c>
      <c r="GI25">
        <v>522026.374168009</v>
      </c>
      <c r="GJ25" t="s">
        <v>1900</v>
      </c>
      <c r="GK25">
        <v>291164.403829932</v>
      </c>
      <c r="GL25" t="s">
        <v>1900</v>
      </c>
      <c r="GM25">
        <v>697011.991810417</v>
      </c>
      <c r="GN25">
        <v>238437.451654571</v>
      </c>
      <c r="GO25" t="s">
        <v>1900</v>
      </c>
      <c r="GP25">
        <v>1177849.08004053</v>
      </c>
      <c r="GQ25" t="s">
        <v>1900</v>
      </c>
      <c r="GR25">
        <v>0</v>
      </c>
      <c r="GS25">
        <v>0</v>
      </c>
      <c r="GT25" t="s">
        <v>1900</v>
      </c>
      <c r="GU25">
        <v>0</v>
      </c>
      <c r="GV25" t="s">
        <v>1900</v>
      </c>
      <c r="GW25">
        <v>274725.764743547</v>
      </c>
      <c r="GX25">
        <v>94975.97005966899</v>
      </c>
      <c r="GY25" t="s">
        <v>1900</v>
      </c>
      <c r="GZ25">
        <v>100426.481570035</v>
      </c>
      <c r="HA25" t="s">
        <v>1900</v>
      </c>
      <c r="HB25">
        <v>422286.22706687</v>
      </c>
      <c r="HC25">
        <v>143461.481594902</v>
      </c>
      <c r="HD25" t="s">
        <v>1900</v>
      </c>
      <c r="HE25">
        <v>1077422.59847049</v>
      </c>
      <c r="HF25" t="s">
        <v>1900</v>
      </c>
      <c r="HG25">
        <v>422286.22706687</v>
      </c>
      <c r="HH25">
        <v>139316.643985546</v>
      </c>
      <c r="HI25" t="s">
        <v>1900</v>
      </c>
      <c r="HJ25">
        <v>1075544.13032094</v>
      </c>
      <c r="HK25" t="s">
        <v>1900</v>
      </c>
      <c r="HL25">
        <v>2620590.89913899</v>
      </c>
      <c r="HM25">
        <v>1956439.21883793</v>
      </c>
      <c r="HN25" t="s">
        <v>1900</v>
      </c>
      <c r="HO25">
        <v>2258674.68255919</v>
      </c>
      <c r="HP25" t="s">
        <v>1900</v>
      </c>
      <c r="HQ25">
        <v>37754.3640936947</v>
      </c>
      <c r="HR25">
        <v>90873.0711421907</v>
      </c>
      <c r="HS25" t="s">
        <v>1900</v>
      </c>
      <c r="HT25">
        <v>1396258.31238046</v>
      </c>
      <c r="HU25" t="s">
        <v>1900</v>
      </c>
      <c r="HV25">
        <v>93042.14675617219</v>
      </c>
      <c r="HW25">
        <v>89808.74351084229</v>
      </c>
      <c r="HX25" t="s">
        <v>1900</v>
      </c>
      <c r="HY25">
        <v>103322.988111377</v>
      </c>
      <c r="HZ25" t="s">
        <v>1900</v>
      </c>
      <c r="IA25">
        <v>-55287.781557477</v>
      </c>
      <c r="IB25">
        <v>1064.32763134837</v>
      </c>
      <c r="IC25" t="s">
        <v>1900</v>
      </c>
      <c r="ID25">
        <v>1292935.32426909</v>
      </c>
      <c r="IE25" t="s">
        <v>1900</v>
      </c>
      <c r="IF25">
        <v>641793.603179083</v>
      </c>
      <c r="IG25">
        <v>365202.192872369</v>
      </c>
      <c r="IH25" t="s">
        <v>1900</v>
      </c>
      <c r="II25">
        <v>593336.551009381</v>
      </c>
      <c r="IJ25" t="s">
        <v>1900</v>
      </c>
      <c r="IK25">
        <v>342485.820603428</v>
      </c>
      <c r="IL25">
        <v>155190.225541592</v>
      </c>
      <c r="IM25" t="s">
        <v>1900</v>
      </c>
      <c r="IN25">
        <v>529192.045742428</v>
      </c>
      <c r="IO25" t="s">
        <v>1900</v>
      </c>
      <c r="IP25">
        <v>299307.782575655</v>
      </c>
      <c r="IQ25">
        <v>210011.967330778</v>
      </c>
      <c r="IR25" t="s">
        <v>1900</v>
      </c>
      <c r="IS25">
        <v>64144.5052669525</v>
      </c>
      <c r="IT25" t="s">
        <v>1900</v>
      </c>
      <c r="IU25">
        <v>299307.782575655</v>
      </c>
      <c r="IV25">
        <v>210011.967330778</v>
      </c>
      <c r="IW25" t="s">
        <v>1900</v>
      </c>
      <c r="IX25">
        <v>41692.907476902</v>
      </c>
      <c r="IY25" t="s">
        <v>1900</v>
      </c>
      <c r="IZ25">
        <v>1941042.93186622</v>
      </c>
      <c r="JA25">
        <v>1500363.95482337</v>
      </c>
      <c r="JB25" t="s">
        <v>1900</v>
      </c>
      <c r="JC25">
        <v>269079.819169349</v>
      </c>
      <c r="JD25" t="s">
        <v>1900</v>
      </c>
      <c r="JE25">
        <v>5036.83536046982</v>
      </c>
      <c r="JF25">
        <v>0</v>
      </c>
      <c r="JG25" t="s">
        <v>1900</v>
      </c>
      <c r="JH25">
        <v>24400.7714012384</v>
      </c>
      <c r="JI25" t="s">
        <v>1900</v>
      </c>
      <c r="JJ25" t="s">
        <v>1900</v>
      </c>
      <c r="JK25">
        <v>0</v>
      </c>
      <c r="JL25" t="s">
        <v>1900</v>
      </c>
      <c r="JM25" t="s">
        <v>1900</v>
      </c>
      <c r="JN25" t="s">
        <v>1900</v>
      </c>
      <c r="JO25">
        <v>1936006.09540075</v>
      </c>
      <c r="JP25">
        <v>1500363.95482337</v>
      </c>
      <c r="JQ25" t="s">
        <v>1900</v>
      </c>
      <c r="JR25">
        <v>244679.04776811</v>
      </c>
      <c r="JS25" t="s">
        <v>1900</v>
      </c>
      <c r="JT25">
        <v>2620590.89913899</v>
      </c>
      <c r="JU25">
        <v>1956439.21883793</v>
      </c>
      <c r="JV25" t="s">
        <v>1900</v>
      </c>
      <c r="JW25">
        <v>2258674.68255919</v>
      </c>
      <c r="JX25" t="s">
        <v>1900</v>
      </c>
      <c r="JY25">
        <v>274725.764743547</v>
      </c>
      <c r="JZ25">
        <v>94975.97005966899</v>
      </c>
      <c r="KA25" t="s">
        <v>1900</v>
      </c>
      <c r="KB25">
        <v>100426.481570035</v>
      </c>
      <c r="KC25" t="s">
        <v>1900</v>
      </c>
      <c r="KD25" t="s">
        <v>1900</v>
      </c>
      <c r="KE25" t="s">
        <v>1900</v>
      </c>
      <c r="KF25" t="s">
        <v>1900</v>
      </c>
      <c r="KG25" t="s">
        <v>1900</v>
      </c>
      <c r="KH25" t="s">
        <v>1900</v>
      </c>
      <c r="KI25" t="s">
        <v>1900</v>
      </c>
      <c r="KJ25" t="s">
        <v>1900</v>
      </c>
      <c r="KK25" t="s">
        <v>1900</v>
      </c>
      <c r="KL25" t="s">
        <v>1900</v>
      </c>
      <c r="KM25" t="s">
        <v>1900</v>
      </c>
      <c r="KN25">
        <v>18</v>
      </c>
      <c r="KO25">
        <v>15</v>
      </c>
      <c r="KP25" t="s">
        <v>1900</v>
      </c>
      <c r="KQ25">
        <v>6</v>
      </c>
      <c r="KR25" t="s">
        <v>1900</v>
      </c>
      <c r="KS25" t="s">
        <v>1900</v>
      </c>
      <c r="KT25" t="s">
        <v>1900</v>
      </c>
      <c r="KU25" t="s">
        <v>1900</v>
      </c>
      <c r="KV25" t="s">
        <v>1900</v>
      </c>
      <c r="KW25" t="s">
        <v>1900</v>
      </c>
      <c r="KX25" t="s">
        <v>1900</v>
      </c>
      <c r="KY25" t="s">
        <v>1900</v>
      </c>
      <c r="KZ25" t="s">
        <v>1900</v>
      </c>
      <c r="LA25" t="s">
        <v>1900</v>
      </c>
      <c r="LB25" t="s">
        <v>1900</v>
      </c>
      <c r="LC25" t="s">
        <v>1900</v>
      </c>
      <c r="LD25" t="s">
        <v>1900</v>
      </c>
      <c r="LE25" t="s">
        <v>1900</v>
      </c>
      <c r="LF25" t="s">
        <v>1900</v>
      </c>
      <c r="LG25" t="s">
        <v>1900</v>
      </c>
      <c r="LH25" t="s">
        <v>1900</v>
      </c>
      <c r="LI25" t="s">
        <v>1900</v>
      </c>
      <c r="LJ25" t="s">
        <v>1900</v>
      </c>
      <c r="LK25" t="s">
        <v>1900</v>
      </c>
      <c r="LL25" t="s">
        <v>1900</v>
      </c>
      <c r="LM25" t="s">
        <v>1900</v>
      </c>
      <c r="LN25" t="s">
        <v>1900</v>
      </c>
      <c r="LO25" t="s">
        <v>1900</v>
      </c>
      <c r="LP25" t="s">
        <v>1900</v>
      </c>
      <c r="LQ25" t="s">
        <v>1900</v>
      </c>
      <c r="LR25" t="s">
        <v>1900</v>
      </c>
      <c r="LS25" t="s">
        <v>1900</v>
      </c>
      <c r="LT25" t="s">
        <v>1900</v>
      </c>
      <c r="LU25" t="s">
        <v>1900</v>
      </c>
      <c r="LV25" t="s">
        <v>1900</v>
      </c>
      <c r="LW25" t="s">
        <v>1900</v>
      </c>
      <c r="LX25" t="s">
        <v>1900</v>
      </c>
      <c r="LY25" t="s">
        <v>1900</v>
      </c>
      <c r="LZ25" t="s">
        <v>1900</v>
      </c>
      <c r="MA25" t="s">
        <v>1900</v>
      </c>
      <c r="MB25" t="s">
        <v>1900</v>
      </c>
      <c r="MC25" t="s">
        <v>1900</v>
      </c>
      <c r="MD25" t="s">
        <v>1900</v>
      </c>
      <c r="ME25" t="s">
        <v>1900</v>
      </c>
      <c r="MF25" t="s">
        <v>1900</v>
      </c>
      <c r="MG25" t="s">
        <v>1900</v>
      </c>
      <c r="MH25" t="s">
        <v>1900</v>
      </c>
      <c r="MI25" t="s">
        <v>1900</v>
      </c>
      <c r="MJ25" t="s">
        <v>1900</v>
      </c>
      <c r="MK25" t="s">
        <v>1900</v>
      </c>
      <c r="ML25" t="s">
        <v>1900</v>
      </c>
      <c r="MM25" t="s">
        <v>1900</v>
      </c>
      <c r="MN25" t="s">
        <v>1900</v>
      </c>
      <c r="MO25" t="s">
        <v>1900</v>
      </c>
      <c r="MP25" t="s">
        <v>1900</v>
      </c>
      <c r="MQ25">
        <v>422286.22706687</v>
      </c>
      <c r="MR25">
        <v>143461.481594902</v>
      </c>
      <c r="MS25" t="s">
        <v>1900</v>
      </c>
      <c r="MT25">
        <v>1077422.59847049</v>
      </c>
      <c r="MU25" t="s">
        <v>1900</v>
      </c>
      <c r="MV25" t="s">
        <v>1900</v>
      </c>
      <c r="MW25" t="s">
        <v>1900</v>
      </c>
      <c r="MX25" t="s">
        <v>1900</v>
      </c>
      <c r="MY25" t="s">
        <v>1900</v>
      </c>
      <c r="MZ25" t="s">
        <v>1900</v>
      </c>
      <c r="NA25" t="s">
        <v>1900</v>
      </c>
      <c r="NB25" t="s">
        <v>1900</v>
      </c>
      <c r="NC25" t="s">
        <v>1900</v>
      </c>
      <c r="ND25" t="s">
        <v>1900</v>
      </c>
      <c r="NE25" t="s">
        <v>1900</v>
      </c>
      <c r="NF25" t="s">
        <v>1900</v>
      </c>
      <c r="NG25" t="s">
        <v>1900</v>
      </c>
      <c r="NH25" t="s">
        <v>1900</v>
      </c>
      <c r="NI25" t="s">
        <v>1900</v>
      </c>
      <c r="NJ25" t="s">
        <v>1900</v>
      </c>
      <c r="NK25" t="s">
        <v>1900</v>
      </c>
      <c r="NL25" t="s">
        <v>1900</v>
      </c>
      <c r="NM25" t="s">
        <v>1900</v>
      </c>
      <c r="NN25" t="s">
        <v>1900</v>
      </c>
      <c r="NO25" t="s">
        <v>1900</v>
      </c>
      <c r="NP25" t="s">
        <v>1900</v>
      </c>
      <c r="NQ25" t="s">
        <v>1900</v>
      </c>
      <c r="NR25" t="s">
        <v>1900</v>
      </c>
      <c r="NS25" t="s">
        <v>1900</v>
      </c>
      <c r="NT25" t="s">
        <v>1900</v>
      </c>
      <c r="NU25">
        <v>1923578.90732858</v>
      </c>
      <c r="NV25">
        <v>1718001.76718336</v>
      </c>
      <c r="NW25" t="s">
        <v>1900</v>
      </c>
      <c r="NX25">
        <v>1080825.60251867</v>
      </c>
      <c r="NY25" t="s">
        <v>1900</v>
      </c>
      <c r="NZ25" t="s">
        <v>1900</v>
      </c>
      <c r="OA25" t="s">
        <v>1900</v>
      </c>
      <c r="OB25" t="s">
        <v>1900</v>
      </c>
      <c r="OC25" t="s">
        <v>1900</v>
      </c>
      <c r="OD25" t="s">
        <v>1900</v>
      </c>
      <c r="OE25" t="s">
        <v>1900</v>
      </c>
      <c r="OF25" t="s">
        <v>1900</v>
      </c>
      <c r="OG25" t="s">
        <v>1900</v>
      </c>
      <c r="OH25" t="s">
        <v>1900</v>
      </c>
      <c r="OI25" t="s">
        <v>1900</v>
      </c>
      <c r="OJ25" t="s">
        <v>1900</v>
      </c>
      <c r="OK25" t="s">
        <v>1900</v>
      </c>
      <c r="OL25" t="s">
        <v>1900</v>
      </c>
      <c r="OM25" t="s">
        <v>1900</v>
      </c>
      <c r="ON25" t="s">
        <v>1900</v>
      </c>
      <c r="OO25" t="s">
        <v>1900</v>
      </c>
      <c r="OP25" t="s">
        <v>1900</v>
      </c>
      <c r="OQ25" t="s">
        <v>1900</v>
      </c>
      <c r="OR25" t="s">
        <v>1900</v>
      </c>
      <c r="OS25" t="s">
        <v>1900</v>
      </c>
      <c r="OT25" t="s">
        <v>1900</v>
      </c>
      <c r="OU25" t="s">
        <v>1900</v>
      </c>
      <c r="OV25" t="s">
        <v>1900</v>
      </c>
      <c r="OW25" t="s">
        <v>1900</v>
      </c>
      <c r="OX25" t="s">
        <v>1900</v>
      </c>
      <c r="OY25" t="s">
        <v>1900</v>
      </c>
      <c r="OZ25" t="s">
        <v>1900</v>
      </c>
      <c r="PA25" t="s">
        <v>1900</v>
      </c>
      <c r="PB25" t="s">
        <v>1900</v>
      </c>
      <c r="PC25" t="s">
        <v>1900</v>
      </c>
      <c r="PD25" t="s">
        <v>1900</v>
      </c>
      <c r="PE25" t="s">
        <v>1900</v>
      </c>
      <c r="PF25" t="s">
        <v>1900</v>
      </c>
      <c r="PG25" t="s">
        <v>1900</v>
      </c>
      <c r="PH25" t="s">
        <v>1900</v>
      </c>
      <c r="PI25" t="s">
        <v>1900</v>
      </c>
      <c r="PJ25" t="s">
        <v>1900</v>
      </c>
      <c r="PK25" t="s">
        <v>1900</v>
      </c>
      <c r="PL25" t="s">
        <v>1900</v>
      </c>
      <c r="PM25" t="s">
        <v>1900</v>
      </c>
      <c r="PN25" t="s">
        <v>1900</v>
      </c>
      <c r="PO25" t="s">
        <v>1900</v>
      </c>
      <c r="PP25" t="s">
        <v>1900</v>
      </c>
      <c r="PQ25" t="s">
        <v>1900</v>
      </c>
      <c r="PR25" t="s">
        <v>1900</v>
      </c>
      <c r="PS25" t="s">
        <v>1900</v>
      </c>
      <c r="PT25" t="s">
        <v>1900</v>
      </c>
      <c r="PU25" t="s">
        <v>1900</v>
      </c>
      <c r="PV25" t="s">
        <v>1900</v>
      </c>
      <c r="PW25" t="s">
        <v>1900</v>
      </c>
      <c r="PX25" t="s">
        <v>1900</v>
      </c>
      <c r="PY25" t="s">
        <v>1900</v>
      </c>
      <c r="PZ25" t="s">
        <v>1900</v>
      </c>
      <c r="QA25" t="s">
        <v>1900</v>
      </c>
      <c r="QB25" t="s">
        <v>1900</v>
      </c>
      <c r="QC25" t="s">
        <v>1900</v>
      </c>
      <c r="QD25" t="s">
        <v>1900</v>
      </c>
      <c r="QE25" t="s">
        <v>1900</v>
      </c>
      <c r="QF25" t="s">
        <v>1900</v>
      </c>
      <c r="QG25" t="s">
        <v>1900</v>
      </c>
      <c r="QH25" t="s">
        <v>1900</v>
      </c>
      <c r="QI25" t="s">
        <v>1900</v>
      </c>
      <c r="QJ25" t="s">
        <v>1900</v>
      </c>
      <c r="QK25" t="s">
        <v>1900</v>
      </c>
      <c r="QL25" t="s">
        <v>1900</v>
      </c>
      <c r="QM25" t="s">
        <v>1900</v>
      </c>
      <c r="QN25" t="s">
        <v>1900</v>
      </c>
      <c r="QO25" t="s">
        <v>1900</v>
      </c>
      <c r="QP25" t="s">
        <v>1900</v>
      </c>
      <c r="QQ25" t="s">
        <v>1900</v>
      </c>
      <c r="QR25" t="s">
        <v>1900</v>
      </c>
      <c r="QS25" t="s">
        <v>1900</v>
      </c>
      <c r="QT25" t="s">
        <v>1900</v>
      </c>
      <c r="QU25" t="s">
        <v>1900</v>
      </c>
      <c r="QV25" t="s">
        <v>1900</v>
      </c>
      <c r="QW25" t="s">
        <v>1900</v>
      </c>
      <c r="QX25" t="s">
        <v>1900</v>
      </c>
      <c r="QY25" t="s">
        <v>1900</v>
      </c>
      <c r="QZ25" t="s">
        <v>1900</v>
      </c>
      <c r="RA25" t="s">
        <v>1900</v>
      </c>
      <c r="RB25" t="s">
        <v>1900</v>
      </c>
      <c r="RC25" t="s">
        <v>1900</v>
      </c>
      <c r="RD25" t="s">
        <v>1900</v>
      </c>
      <c r="RE25" t="s">
        <v>1900</v>
      </c>
      <c r="RF25" t="s">
        <v>1900</v>
      </c>
      <c r="RG25" t="s">
        <v>1900</v>
      </c>
      <c r="RH25" t="s">
        <v>1900</v>
      </c>
      <c r="RI25" t="s">
        <v>1900</v>
      </c>
      <c r="RJ25" t="s">
        <v>1900</v>
      </c>
      <c r="RK25" t="s">
        <v>1900</v>
      </c>
      <c r="RL25" t="s">
        <v>1900</v>
      </c>
      <c r="RM25" t="s">
        <v>1900</v>
      </c>
      <c r="RN25" t="s">
        <v>1900</v>
      </c>
      <c r="RO25" t="s">
        <v>1900</v>
      </c>
      <c r="RP25" t="s">
        <v>1900</v>
      </c>
      <c r="RQ25" t="s">
        <v>1900</v>
      </c>
      <c r="RR25" t="s">
        <v>1900</v>
      </c>
      <c r="RS25" t="s">
        <v>1900</v>
      </c>
      <c r="RT25" t="s">
        <v>1900</v>
      </c>
      <c r="RU25" t="s">
        <v>1900</v>
      </c>
      <c r="RV25" t="s">
        <v>1900</v>
      </c>
      <c r="RW25" t="s">
        <v>1900</v>
      </c>
      <c r="RX25" t="s">
        <v>1900</v>
      </c>
      <c r="RY25" t="s">
        <v>1900</v>
      </c>
      <c r="RZ25" t="s">
        <v>1900</v>
      </c>
      <c r="SA25" t="s">
        <v>1900</v>
      </c>
      <c r="SB25" t="s">
        <v>1900</v>
      </c>
      <c r="SC25" t="s">
        <v>1900</v>
      </c>
      <c r="SD25" t="s">
        <v>1900</v>
      </c>
      <c r="SE25" t="s">
        <v>1900</v>
      </c>
      <c r="SF25" t="s">
        <v>1900</v>
      </c>
      <c r="SG25" t="s">
        <v>1900</v>
      </c>
      <c r="SH25" t="s">
        <v>1900</v>
      </c>
      <c r="SI25" t="s">
        <v>1900</v>
      </c>
      <c r="SJ25" t="s">
        <v>1900</v>
      </c>
      <c r="SK25">
        <v>670444.398587208</v>
      </c>
      <c r="SL25">
        <v>522026.374168009</v>
      </c>
      <c r="SM25" t="s">
        <v>1900</v>
      </c>
      <c r="SN25">
        <v>291164.403829932</v>
      </c>
      <c r="SO25" t="s">
        <v>1900</v>
      </c>
      <c r="SP25" t="s">
        <v>1900</v>
      </c>
      <c r="SQ25" t="s">
        <v>1900</v>
      </c>
      <c r="SR25" t="s">
        <v>1900</v>
      </c>
      <c r="SS25" t="s">
        <v>1900</v>
      </c>
      <c r="ST25" t="s">
        <v>1900</v>
      </c>
      <c r="SU25" t="s">
        <v>1900</v>
      </c>
      <c r="SV25" t="s">
        <v>1900</v>
      </c>
      <c r="SW25" t="s">
        <v>1900</v>
      </c>
      <c r="SX25" t="s">
        <v>1900</v>
      </c>
      <c r="SY25" t="s">
        <v>1900</v>
      </c>
      <c r="SZ25" t="s">
        <v>1900</v>
      </c>
      <c r="TA25" t="s">
        <v>1900</v>
      </c>
      <c r="TB25" t="s">
        <v>1900</v>
      </c>
      <c r="TC25" t="s">
        <v>1900</v>
      </c>
      <c r="TD25" t="s">
        <v>1900</v>
      </c>
      <c r="TE25" t="s">
        <v>1900</v>
      </c>
      <c r="TF25" t="s">
        <v>1900</v>
      </c>
      <c r="TG25" t="s">
        <v>1900</v>
      </c>
      <c r="TH25" t="s">
        <v>1900</v>
      </c>
      <c r="TI25" t="s">
        <v>1900</v>
      </c>
      <c r="TJ25" t="s">
        <v>1900</v>
      </c>
      <c r="TK25" t="s">
        <v>1900</v>
      </c>
      <c r="TL25" t="s">
        <v>1900</v>
      </c>
      <c r="TM25" t="s">
        <v>1900</v>
      </c>
      <c r="TN25" t="s">
        <v>1900</v>
      </c>
      <c r="TO25" t="s">
        <v>1900</v>
      </c>
      <c r="TP25" t="s">
        <v>1900</v>
      </c>
      <c r="TQ25" t="s">
        <v>1900</v>
      </c>
      <c r="TR25" t="s">
        <v>1900</v>
      </c>
      <c r="TS25" t="s">
        <v>1900</v>
      </c>
      <c r="TT25">
        <v>2620590.89913899</v>
      </c>
      <c r="TU25">
        <v>1956439.21883793</v>
      </c>
      <c r="TV25" t="s">
        <v>1900</v>
      </c>
      <c r="TW25">
        <v>2258674.68255919</v>
      </c>
      <c r="TX25" t="s">
        <v>1900</v>
      </c>
      <c r="TY25" t="s">
        <v>1900</v>
      </c>
      <c r="TZ25" t="s">
        <v>1900</v>
      </c>
      <c r="UA25" t="s">
        <v>1900</v>
      </c>
      <c r="UB25" t="s">
        <v>1900</v>
      </c>
      <c r="UC25" t="s">
        <v>1900</v>
      </c>
      <c r="UD25">
        <v>5036.83536046982</v>
      </c>
      <c r="UE25">
        <v>0</v>
      </c>
      <c r="UF25" t="s">
        <v>1900</v>
      </c>
      <c r="UG25">
        <v>24400.7714012384</v>
      </c>
      <c r="UH25" t="s">
        <v>1900</v>
      </c>
      <c r="UI25" t="s">
        <v>1900</v>
      </c>
      <c r="UJ25" t="s">
        <v>1900</v>
      </c>
      <c r="UK25" t="s">
        <v>1900</v>
      </c>
      <c r="UL25" t="s">
        <v>1900</v>
      </c>
      <c r="UM25" t="s">
        <v>1900</v>
      </c>
      <c r="UN25" t="s">
        <v>1900</v>
      </c>
      <c r="UO25" t="s">
        <v>1900</v>
      </c>
      <c r="UP25" t="s">
        <v>1900</v>
      </c>
      <c r="UQ25" t="s">
        <v>1900</v>
      </c>
      <c r="UR25" t="s">
        <v>1900</v>
      </c>
      <c r="US25" t="s">
        <v>1900</v>
      </c>
      <c r="UT25" t="s">
        <v>1900</v>
      </c>
      <c r="UU25" t="s">
        <v>1900</v>
      </c>
      <c r="UV25" t="s">
        <v>1900</v>
      </c>
      <c r="UW25" t="s">
        <v>1900</v>
      </c>
      <c r="UX25" t="s">
        <v>1900</v>
      </c>
      <c r="UY25" t="s">
        <v>1900</v>
      </c>
      <c r="UZ25" t="s">
        <v>1900</v>
      </c>
      <c r="VA25" t="s">
        <v>1900</v>
      </c>
      <c r="VB25" t="s">
        <v>1900</v>
      </c>
      <c r="VC25" t="s">
        <v>1900</v>
      </c>
      <c r="VD25" t="s">
        <v>1900</v>
      </c>
      <c r="VE25" t="s">
        <v>1900</v>
      </c>
      <c r="VF25" t="s">
        <v>1900</v>
      </c>
      <c r="VG25" t="s">
        <v>1900</v>
      </c>
      <c r="VH25" t="s">
        <v>1900</v>
      </c>
      <c r="VI25" t="s">
        <v>1900</v>
      </c>
      <c r="VJ25" t="s">
        <v>1900</v>
      </c>
      <c r="VK25" t="s">
        <v>1900</v>
      </c>
      <c r="VL25" t="s">
        <v>1900</v>
      </c>
      <c r="VM25" t="s">
        <v>1900</v>
      </c>
      <c r="VN25" t="s">
        <v>1900</v>
      </c>
      <c r="VO25" t="s">
        <v>1900</v>
      </c>
      <c r="VP25" t="s">
        <v>1900</v>
      </c>
      <c r="VQ25" t="s">
        <v>1900</v>
      </c>
      <c r="VR25" t="s">
        <v>1900</v>
      </c>
      <c r="VS25" t="s">
        <v>1900</v>
      </c>
      <c r="VT25" t="s">
        <v>1900</v>
      </c>
      <c r="VU25" t="s">
        <v>1900</v>
      </c>
      <c r="VV25" t="s">
        <v>1900</v>
      </c>
      <c r="VW25" t="s">
        <v>1900</v>
      </c>
      <c r="VX25" t="s">
        <v>1900</v>
      </c>
      <c r="VY25" t="s">
        <v>1900</v>
      </c>
      <c r="VZ25" t="s">
        <v>1900</v>
      </c>
      <c r="WA25" t="s">
        <v>1900</v>
      </c>
      <c r="WB25">
        <v>1936006.09540075</v>
      </c>
      <c r="WC25">
        <v>1500363.95482337</v>
      </c>
      <c r="WD25" t="s">
        <v>1900</v>
      </c>
      <c r="WE25">
        <v>244679.04776811</v>
      </c>
      <c r="WF25" t="s">
        <v>1900</v>
      </c>
      <c r="WG25" t="s">
        <v>1900</v>
      </c>
      <c r="WH25" t="s">
        <v>1900</v>
      </c>
      <c r="WI25" t="s">
        <v>1900</v>
      </c>
      <c r="WJ25" t="s">
        <v>1900</v>
      </c>
      <c r="WK25" t="s">
        <v>1900</v>
      </c>
      <c r="WL25" t="s">
        <v>1900</v>
      </c>
      <c r="WM25" t="s">
        <v>1900</v>
      </c>
      <c r="WN25" t="s">
        <v>1900</v>
      </c>
      <c r="WO25" t="s">
        <v>1900</v>
      </c>
      <c r="WP25" t="s">
        <v>1900</v>
      </c>
      <c r="WQ25" t="s">
        <v>1900</v>
      </c>
      <c r="WR25" t="s">
        <v>1900</v>
      </c>
      <c r="WS25" t="s">
        <v>1900</v>
      </c>
      <c r="WT25" t="s">
        <v>1900</v>
      </c>
      <c r="WU25" t="s">
        <v>1900</v>
      </c>
      <c r="WV25" t="s">
        <v>1900</v>
      </c>
      <c r="WW25" t="s">
        <v>1900</v>
      </c>
      <c r="WX25" t="s">
        <v>1900</v>
      </c>
      <c r="WY25" t="s">
        <v>1900</v>
      </c>
      <c r="WZ25" t="s">
        <v>1900</v>
      </c>
      <c r="XA25" t="s">
        <v>1900</v>
      </c>
      <c r="XB25" t="s">
        <v>1900</v>
      </c>
      <c r="XC25" t="s">
        <v>1900</v>
      </c>
      <c r="XD25" t="s">
        <v>1900</v>
      </c>
      <c r="XE25" t="s">
        <v>1900</v>
      </c>
      <c r="XF25" t="s">
        <v>1900</v>
      </c>
      <c r="XG25" t="s">
        <v>1900</v>
      </c>
      <c r="XH25" t="s">
        <v>1900</v>
      </c>
      <c r="XI25" t="s">
        <v>1900</v>
      </c>
      <c r="XJ25" t="s">
        <v>1900</v>
      </c>
      <c r="XK25">
        <v>299307.782575655</v>
      </c>
      <c r="XL25">
        <v>210011.967330778</v>
      </c>
      <c r="XM25" t="s">
        <v>1900</v>
      </c>
      <c r="XN25">
        <v>64144.5052669525</v>
      </c>
      <c r="XO25" t="s">
        <v>1900</v>
      </c>
      <c r="XP25" t="s">
        <v>1900</v>
      </c>
      <c r="XQ25" t="s">
        <v>1900</v>
      </c>
      <c r="XR25" t="s">
        <v>1900</v>
      </c>
      <c r="XS25" t="s">
        <v>1900</v>
      </c>
      <c r="XT25" t="s">
        <v>1900</v>
      </c>
      <c r="XU25" t="s">
        <v>1900</v>
      </c>
      <c r="XV25" t="s">
        <v>1900</v>
      </c>
      <c r="XW25" t="s">
        <v>1900</v>
      </c>
      <c r="XX25" t="s">
        <v>1900</v>
      </c>
      <c r="XY25" t="s">
        <v>1900</v>
      </c>
      <c r="XZ25">
        <v>299307.782575655</v>
      </c>
      <c r="YA25">
        <v>210011.967330778</v>
      </c>
      <c r="YB25" t="s">
        <v>1900</v>
      </c>
      <c r="YC25">
        <v>41692.907476902</v>
      </c>
      <c r="YD25" t="s">
        <v>1900</v>
      </c>
      <c r="YE25" t="s">
        <v>1900</v>
      </c>
      <c r="YF25" t="s">
        <v>1900</v>
      </c>
      <c r="YG25" t="s">
        <v>1900</v>
      </c>
      <c r="YH25" t="s">
        <v>1900</v>
      </c>
      <c r="YI25" t="s">
        <v>1900</v>
      </c>
      <c r="YJ25" t="s">
        <v>1900</v>
      </c>
      <c r="YK25" t="s">
        <v>1900</v>
      </c>
      <c r="YL25" t="s">
        <v>1900</v>
      </c>
      <c r="YM25" t="s">
        <v>1900</v>
      </c>
      <c r="YN25" t="s">
        <v>1900</v>
      </c>
      <c r="YO25" t="s">
        <v>1900</v>
      </c>
      <c r="YP25" t="s">
        <v>1900</v>
      </c>
      <c r="YQ25" t="s">
        <v>1900</v>
      </c>
      <c r="YR25" t="s">
        <v>1900</v>
      </c>
      <c r="YS25" t="s">
        <v>1900</v>
      </c>
      <c r="YT25" t="s">
        <v>1900</v>
      </c>
      <c r="YU25" t="s">
        <v>1900</v>
      </c>
      <c r="YV25" t="s">
        <v>1900</v>
      </c>
      <c r="YW25" t="s">
        <v>1900</v>
      </c>
      <c r="YX25" t="s">
        <v>1900</v>
      </c>
      <c r="YY25" t="s">
        <v>1900</v>
      </c>
      <c r="YZ25" t="s">
        <v>1900</v>
      </c>
      <c r="ZA25" t="s">
        <v>1900</v>
      </c>
      <c r="ZB25" t="s">
        <v>1900</v>
      </c>
      <c r="ZC25" t="s">
        <v>1900</v>
      </c>
      <c r="ZD25" t="s">
        <v>1900</v>
      </c>
      <c r="ZE25" t="s">
        <v>1900</v>
      </c>
      <c r="ZF25" t="s">
        <v>1900</v>
      </c>
      <c r="ZG25" t="s">
        <v>1900</v>
      </c>
      <c r="ZH25" t="s">
        <v>1900</v>
      </c>
      <c r="ZI25" t="s">
        <v>1900</v>
      </c>
      <c r="ZJ25" t="s">
        <v>1900</v>
      </c>
      <c r="ZK25" t="s">
        <v>1900</v>
      </c>
      <c r="ZL25" t="s">
        <v>1900</v>
      </c>
      <c r="ZM25" t="s">
        <v>1900</v>
      </c>
      <c r="ZN25" t="s">
        <v>1900</v>
      </c>
      <c r="ZO25" t="s">
        <v>1900</v>
      </c>
      <c r="ZP25" t="s">
        <v>1900</v>
      </c>
      <c r="ZQ25" t="s">
        <v>1900</v>
      </c>
      <c r="ZR25" t="s">
        <v>1900</v>
      </c>
      <c r="ZS25" t="s">
        <v>1900</v>
      </c>
      <c r="ZT25" t="s">
        <v>1900</v>
      </c>
      <c r="ZU25" t="s">
        <v>1900</v>
      </c>
      <c r="ZV25" t="s">
        <v>1900</v>
      </c>
      <c r="ZW25" t="s">
        <v>1900</v>
      </c>
      <c r="ZX25" t="s">
        <v>1900</v>
      </c>
      <c r="ZY25" t="s">
        <v>1900</v>
      </c>
      <c r="ZZ25" t="s">
        <v>1900</v>
      </c>
      <c r="AAA25" t="s">
        <v>1900</v>
      </c>
      <c r="AAB25" t="s">
        <v>1900</v>
      </c>
      <c r="AAC25" t="s">
        <v>1900</v>
      </c>
      <c r="AAD25" t="s">
        <v>1900</v>
      </c>
      <c r="AAE25" t="s">
        <v>1900</v>
      </c>
      <c r="AAF25" t="s">
        <v>1900</v>
      </c>
      <c r="AAG25" t="s">
        <v>1900</v>
      </c>
      <c r="AAH25" t="s">
        <v>1900</v>
      </c>
      <c r="AAI25" t="s">
        <v>1900</v>
      </c>
      <c r="AAJ25" t="s">
        <v>1900</v>
      </c>
      <c r="AAK25" t="s">
        <v>1900</v>
      </c>
      <c r="AAL25" t="s">
        <v>1900</v>
      </c>
      <c r="AAM25" t="s">
        <v>1900</v>
      </c>
      <c r="AAN25" t="s">
        <v>1900</v>
      </c>
      <c r="AAO25" t="s">
        <v>1900</v>
      </c>
      <c r="AAP25" t="s">
        <v>1900</v>
      </c>
      <c r="AAQ25" t="s">
        <v>1900</v>
      </c>
      <c r="AAR25" t="s">
        <v>1900</v>
      </c>
      <c r="AAS25" t="s">
        <v>1900</v>
      </c>
      <c r="AAT25" t="s">
        <v>1900</v>
      </c>
      <c r="AAU25" t="s">
        <v>1900</v>
      </c>
      <c r="AAV25" t="s">
        <v>1900</v>
      </c>
      <c r="AAW25" t="s">
        <v>1900</v>
      </c>
      <c r="AAX25" t="s">
        <v>1900</v>
      </c>
      <c r="AAY25" t="s">
        <v>1900</v>
      </c>
      <c r="AAZ25" t="s">
        <v>1900</v>
      </c>
      <c r="ABA25" t="s">
        <v>1900</v>
      </c>
      <c r="ABB25" t="s">
        <v>1900</v>
      </c>
      <c r="ABC25" t="s">
        <v>1900</v>
      </c>
      <c r="ABD25" t="s">
        <v>1900</v>
      </c>
      <c r="ABE25" t="s">
        <v>1900</v>
      </c>
      <c r="ABF25" t="s">
        <v>1900</v>
      </c>
      <c r="ABG25" t="s">
        <v>1900</v>
      </c>
      <c r="ABH25" t="s">
        <v>1900</v>
      </c>
      <c r="ABI25" t="s">
        <v>1900</v>
      </c>
      <c r="ABJ25" t="s">
        <v>1900</v>
      </c>
      <c r="ABK25" t="s">
        <v>1900</v>
      </c>
      <c r="ABL25" t="s">
        <v>1900</v>
      </c>
      <c r="ABM25" t="s">
        <v>1900</v>
      </c>
      <c r="ABN25" t="s">
        <v>1900</v>
      </c>
      <c r="ABO25" t="s">
        <v>1900</v>
      </c>
      <c r="ABP25" t="s">
        <v>1900</v>
      </c>
      <c r="ABQ25" t="s">
        <v>1900</v>
      </c>
      <c r="ABR25" t="s">
        <v>1900</v>
      </c>
      <c r="ABS25" t="s">
        <v>1900</v>
      </c>
      <c r="ABT25" t="s">
        <v>1900</v>
      </c>
      <c r="ABU25" t="s">
        <v>1900</v>
      </c>
      <c r="ABV25" t="s">
        <v>1900</v>
      </c>
      <c r="ABW25" t="s">
        <v>1900</v>
      </c>
      <c r="ABX25" t="s">
        <v>1900</v>
      </c>
      <c r="ABY25" t="s">
        <v>1900</v>
      </c>
      <c r="ABZ25" t="s">
        <v>1900</v>
      </c>
      <c r="ACA25" t="s">
        <v>1900</v>
      </c>
      <c r="ACB25" t="s">
        <v>1900</v>
      </c>
      <c r="ACC25" t="s">
        <v>1900</v>
      </c>
      <c r="ACD25" t="s">
        <v>1900</v>
      </c>
      <c r="ACE25" t="s">
        <v>1900</v>
      </c>
      <c r="ACF25">
        <v>-488.281</v>
      </c>
      <c r="ACG25">
        <v>-789.939</v>
      </c>
      <c r="ACH25" t="s">
        <v>1900</v>
      </c>
      <c r="ACI25">
        <v>-39.146</v>
      </c>
      <c r="ACJ25" t="s">
        <v>1900</v>
      </c>
      <c r="ACK25">
        <v>-17.233</v>
      </c>
      <c r="ACL25">
        <v>-138.481</v>
      </c>
      <c r="ACM25" t="s">
        <v>1900</v>
      </c>
      <c r="ACN25">
        <v>-26.584</v>
      </c>
      <c r="ACO25" t="s">
        <v>1900</v>
      </c>
      <c r="ACP25">
        <v>-7.035</v>
      </c>
      <c r="ACQ25">
        <v>-36.691</v>
      </c>
      <c r="ACR25" t="s">
        <v>1900</v>
      </c>
      <c r="ACS25">
        <v>-24.199</v>
      </c>
      <c r="ACT25" t="s">
        <v>1900</v>
      </c>
      <c r="ACU25">
        <v>-149.361</v>
      </c>
      <c r="ACV25">
        <v>-598.454</v>
      </c>
      <c r="ACW25" t="s">
        <v>1900</v>
      </c>
      <c r="ACX25">
        <v>-29.392</v>
      </c>
      <c r="ACY25" t="s">
        <v>1900</v>
      </c>
      <c r="ACZ25">
        <v>1.596</v>
      </c>
      <c r="ADA25">
        <v>-100.328</v>
      </c>
      <c r="ADB25" t="s">
        <v>1900</v>
      </c>
      <c r="ADC25">
        <v>-19.739</v>
      </c>
      <c r="ADD25" t="s">
        <v>1900</v>
      </c>
      <c r="ADE25">
        <v>-2.152</v>
      </c>
      <c r="ADF25">
        <v>-27.797</v>
      </c>
      <c r="ADG25" t="s">
        <v>1900</v>
      </c>
      <c r="ADH25">
        <v>-18.17</v>
      </c>
      <c r="ADI25" t="s">
        <v>1900</v>
      </c>
      <c r="ADJ25">
        <v>-9.394</v>
      </c>
      <c r="ADK25">
        <v>-68.946</v>
      </c>
      <c r="ADL25" t="s">
        <v>1900</v>
      </c>
      <c r="ADM25" t="s">
        <v>1901</v>
      </c>
      <c r="ADN25" t="s">
        <v>1900</v>
      </c>
      <c r="ADO25">
        <v>85.509</v>
      </c>
      <c r="ADP25">
        <v>87.17400000000001</v>
      </c>
      <c r="ADQ25" t="s">
        <v>1900</v>
      </c>
      <c r="ADR25">
        <v>-52.166</v>
      </c>
      <c r="ADS25" t="s">
        <v>1900</v>
      </c>
      <c r="ADT25">
        <v>-5.801219093</v>
      </c>
      <c r="ADU25">
        <v>-60.628915306</v>
      </c>
      <c r="ADV25" t="s">
        <v>1900</v>
      </c>
      <c r="ADW25">
        <v>-174.004187334</v>
      </c>
      <c r="ADX25" t="s">
        <v>1900</v>
      </c>
      <c r="ADY25">
        <v>16.204</v>
      </c>
      <c r="ADZ25">
        <v>-32.586</v>
      </c>
      <c r="AEA25" t="s">
        <v>1900</v>
      </c>
      <c r="AEB25" t="s">
        <v>1901</v>
      </c>
      <c r="AEC25" t="s">
        <v>1900</v>
      </c>
      <c r="AED25">
        <v>-5.801</v>
      </c>
      <c r="AEE25">
        <v>-60.629</v>
      </c>
      <c r="AEF25" t="s">
        <v>1900</v>
      </c>
      <c r="AEG25" t="s">
        <v>1901</v>
      </c>
      <c r="AEH25" t="s">
        <v>1900</v>
      </c>
      <c r="AEI25">
        <v>19.132</v>
      </c>
      <c r="AEJ25">
        <v>-24.19</v>
      </c>
      <c r="AEK25" t="s">
        <v>1900</v>
      </c>
      <c r="AEL25">
        <v>-85.812</v>
      </c>
      <c r="AEM25" t="s">
        <v>1900</v>
      </c>
      <c r="AEN25">
        <v>-5.483130669</v>
      </c>
      <c r="AEO25">
        <v>-37.744708162</v>
      </c>
      <c r="AEP25" t="s">
        <v>1900</v>
      </c>
      <c r="AEQ25">
        <v>-63.504207373</v>
      </c>
      <c r="AER25" t="s">
        <v>1900</v>
      </c>
      <c r="AES25">
        <v>0.936467108</v>
      </c>
      <c r="AET25">
        <v>0.589799495</v>
      </c>
      <c r="AEU25" t="s">
        <v>1900</v>
      </c>
      <c r="AEV25">
        <v>-0.428157062</v>
      </c>
      <c r="AEW25" t="s">
        <v>1900</v>
      </c>
      <c r="AEX25" t="s">
        <v>1900</v>
      </c>
      <c r="AEY25" t="s">
        <v>1900</v>
      </c>
      <c r="AEZ25" t="s">
        <v>1900</v>
      </c>
      <c r="AFA25" t="s">
        <v>1900</v>
      </c>
      <c r="AFB25" t="s">
        <v>1900</v>
      </c>
      <c r="AFC25" t="s">
        <v>1900</v>
      </c>
      <c r="AFD25" t="s">
        <v>1900</v>
      </c>
      <c r="AFE25" t="s">
        <v>1900</v>
      </c>
      <c r="AFF25" t="s">
        <v>1900</v>
      </c>
      <c r="AFG25" t="s">
        <v>1900</v>
      </c>
      <c r="AFH25">
        <v>2.888</v>
      </c>
      <c r="AFI25">
        <v>2.283</v>
      </c>
      <c r="AFJ25" t="s">
        <v>1900</v>
      </c>
      <c r="AFK25">
        <v>0.152</v>
      </c>
      <c r="AFL25" t="s">
        <v>1900</v>
      </c>
      <c r="AFM25">
        <v>-1.693</v>
      </c>
      <c r="AFN25">
        <v>-7.318</v>
      </c>
      <c r="AFO25" t="s">
        <v>1900</v>
      </c>
      <c r="AFP25">
        <v>-29.884</v>
      </c>
      <c r="AFQ25" t="s">
        <v>1900</v>
      </c>
      <c r="AFR25" t="s">
        <v>1901</v>
      </c>
      <c r="AFS25" t="s">
        <v>1901</v>
      </c>
      <c r="AFT25" t="s">
        <v>1900</v>
      </c>
      <c r="AFU25" t="s">
        <v>1901</v>
      </c>
      <c r="AFV25" t="s">
        <v>1900</v>
      </c>
      <c r="AFW25">
        <v>50.396</v>
      </c>
      <c r="AFX25">
        <v>32.839</v>
      </c>
      <c r="AFY25" t="s">
        <v>1900</v>
      </c>
      <c r="AFZ25">
        <v>119.182</v>
      </c>
      <c r="AGA25" t="s">
        <v>1900</v>
      </c>
      <c r="AGB25" t="s">
        <v>1900</v>
      </c>
      <c r="AGC25">
        <v>0</v>
      </c>
      <c r="AGD25" t="s">
        <v>1900</v>
      </c>
      <c r="AGE25" t="s">
        <v>1900</v>
      </c>
      <c r="AGF25" t="s">
        <v>1900</v>
      </c>
      <c r="AGG25" t="s">
        <v>1900</v>
      </c>
      <c r="AGH25" t="s">
        <v>1900</v>
      </c>
      <c r="AGI25" t="s">
        <v>1900</v>
      </c>
      <c r="AGJ25" t="s">
        <v>1900</v>
      </c>
      <c r="AGK25" t="s">
        <v>1900</v>
      </c>
      <c r="AGL25" t="s">
        <v>1900</v>
      </c>
      <c r="AGM25" t="s">
        <v>1900</v>
      </c>
      <c r="AGN25" t="s">
        <v>1900</v>
      </c>
      <c r="AGO25" t="s">
        <v>1900</v>
      </c>
      <c r="AGP25" t="s">
        <v>1900</v>
      </c>
      <c r="AGQ25" t="s">
        <v>1900</v>
      </c>
      <c r="AGR25" t="s">
        <v>1900</v>
      </c>
      <c r="AGS25" t="s">
        <v>1900</v>
      </c>
      <c r="AGT25" t="s">
        <v>1900</v>
      </c>
      <c r="AGU25">
        <v>0</v>
      </c>
      <c r="AGV25">
        <v>0</v>
      </c>
      <c r="AGW25">
        <v>0</v>
      </c>
      <c r="AGX25">
        <v>0</v>
      </c>
      <c r="AGY25">
        <v>0</v>
      </c>
      <c r="AGZ25" t="s">
        <v>1900</v>
      </c>
      <c r="AHA25">
        <v>0.359</v>
      </c>
      <c r="AHB25">
        <v>0.159</v>
      </c>
      <c r="AHC25" t="s">
        <v>1900</v>
      </c>
      <c r="AHD25">
        <v>4.377</v>
      </c>
      <c r="AHE25" t="s">
        <v>1900</v>
      </c>
      <c r="AHF25">
        <v>0.359</v>
      </c>
      <c r="AHG25">
        <v>0.159</v>
      </c>
      <c r="AHH25" t="s">
        <v>1900</v>
      </c>
      <c r="AHI25">
        <v>4.377</v>
      </c>
      <c r="AHJ25" t="s">
        <v>1900</v>
      </c>
      <c r="AHK25">
        <v>0.059</v>
      </c>
      <c r="AHL25">
        <v>0.249</v>
      </c>
      <c r="AHM25" t="s">
        <v>1900</v>
      </c>
      <c r="AHN25">
        <v>2.353</v>
      </c>
      <c r="AHO25" t="s">
        <v>1900</v>
      </c>
      <c r="AHP25">
        <v>1.441</v>
      </c>
      <c r="AHQ25">
        <v>4.645</v>
      </c>
      <c r="AHR25" t="s">
        <v>1900</v>
      </c>
      <c r="AHS25">
        <v>61.818</v>
      </c>
      <c r="AHT25" t="s">
        <v>1900</v>
      </c>
      <c r="AHU25">
        <v>1.462</v>
      </c>
      <c r="AHV25">
        <v>4.871</v>
      </c>
      <c r="AHW25" t="s">
        <v>1900</v>
      </c>
      <c r="AHX25" t="s">
        <v>1901</v>
      </c>
      <c r="AHY25" t="s">
        <v>1900</v>
      </c>
      <c r="AHZ25" t="s">
        <v>1901</v>
      </c>
      <c r="AIA25">
        <v>401.882</v>
      </c>
      <c r="AIB25" t="s">
        <v>1900</v>
      </c>
      <c r="AIC25">
        <v>44.242</v>
      </c>
      <c r="AID25" t="s">
        <v>1900</v>
      </c>
      <c r="AIE25">
        <v>25.583710865</v>
      </c>
      <c r="AIF25">
        <v>26.682473401</v>
      </c>
      <c r="AIG25" t="s">
        <v>1900</v>
      </c>
      <c r="AIH25">
        <v>12.890940253</v>
      </c>
      <c r="AII25" t="s">
        <v>1900</v>
      </c>
      <c r="AIJ25">
        <v>16.114160635</v>
      </c>
      <c r="AIK25">
        <v>7.332785001</v>
      </c>
      <c r="AIL25" t="s">
        <v>1900</v>
      </c>
      <c r="AIM25">
        <v>47.701539615</v>
      </c>
      <c r="AIN25" t="s">
        <v>1900</v>
      </c>
      <c r="AIO25">
        <v>73.87670070999999</v>
      </c>
      <c r="AIP25">
        <v>76.68850329599999</v>
      </c>
      <c r="AIQ25" t="s">
        <v>1900</v>
      </c>
      <c r="AIR25">
        <v>10.832859183</v>
      </c>
      <c r="AIS25" t="s">
        <v>1900</v>
      </c>
      <c r="AIT25">
        <v>0</v>
      </c>
      <c r="AIU25">
        <v>0</v>
      </c>
      <c r="AIV25" t="s">
        <v>1900</v>
      </c>
      <c r="AIW25">
        <v>0</v>
      </c>
      <c r="AIX25" t="s">
        <v>1900</v>
      </c>
      <c r="AIY25">
        <v>-10.2415158762665</v>
      </c>
      <c r="AIZ25">
        <v>-47.8561335758013</v>
      </c>
      <c r="AJA25" t="s">
        <v>1900</v>
      </c>
      <c r="AJB25">
        <v>-91.0960762052017</v>
      </c>
      <c r="AJC25" t="s">
        <v>1900</v>
      </c>
      <c r="AJD25">
        <v>109.026174514607</v>
      </c>
      <c r="AJE25">
        <v>69.4111834251469</v>
      </c>
      <c r="AJF25" t="s">
        <v>1900</v>
      </c>
      <c r="AJG25">
        <v>50.5580029228878</v>
      </c>
      <c r="AJH25" t="s">
        <v>1900</v>
      </c>
      <c r="AJI25">
        <v>45.829</v>
      </c>
      <c r="AJJ25">
        <v>83.643</v>
      </c>
      <c r="AJK25" t="s">
        <v>1900</v>
      </c>
      <c r="AJL25" t="s">
        <v>1901</v>
      </c>
      <c r="AJM25" t="s">
        <v>1900</v>
      </c>
      <c r="AJN25">
        <v>49.9659345240974</v>
      </c>
      <c r="AJO25">
        <v>58.0575966496617</v>
      </c>
      <c r="AJP25" t="s">
        <v>1900</v>
      </c>
      <c r="AJQ25">
        <v>75.28091856770931</v>
      </c>
      <c r="AJR25" t="s">
        <v>1900</v>
      </c>
      <c r="AJS25">
        <v>2.09746442631626</v>
      </c>
      <c r="AJT25">
        <v>6.05820509834588</v>
      </c>
      <c r="AJU25" t="s">
        <v>1900</v>
      </c>
      <c r="AJV25">
        <v>232.709718730077</v>
      </c>
      <c r="AJW25" t="s">
        <v>1900</v>
      </c>
      <c r="AJX25">
        <v>15.2625419946413</v>
      </c>
      <c r="AJY25">
        <v>6.33173133731127</v>
      </c>
      <c r="AJZ25" t="s">
        <v>1900</v>
      </c>
      <c r="AKA25">
        <v>16.7377473373723</v>
      </c>
      <c r="AKB25" t="s">
        <v>1900</v>
      </c>
      <c r="AKC25">
        <v>145.588383408278</v>
      </c>
      <c r="AKD25">
        <v>130.429281611395</v>
      </c>
      <c r="AKE25" t="s">
        <v>1900</v>
      </c>
      <c r="AKF25">
        <v>376.445780426532</v>
      </c>
      <c r="AKG25" t="s">
        <v>1900</v>
      </c>
      <c r="AKH25">
        <v>0</v>
      </c>
      <c r="AKI25">
        <v>0</v>
      </c>
      <c r="AKJ25" t="s">
        <v>1900</v>
      </c>
      <c r="AKK25">
        <v>0</v>
      </c>
      <c r="AKL25" t="s">
        <v>1900</v>
      </c>
      <c r="AKM25">
        <v>0</v>
      </c>
      <c r="AKN25">
        <v>0</v>
      </c>
      <c r="AKO25" t="s">
        <v>1900</v>
      </c>
      <c r="AKP25">
        <v>0</v>
      </c>
      <c r="AKQ25" t="s">
        <v>1900</v>
      </c>
      <c r="AKR25">
        <v>0</v>
      </c>
      <c r="AKS25">
        <v>0</v>
      </c>
      <c r="AKT25" t="s">
        <v>1900</v>
      </c>
      <c r="AKU25">
        <v>0</v>
      </c>
      <c r="AKV25" t="s">
        <v>1900</v>
      </c>
      <c r="AKW25">
        <v>62.993297281</v>
      </c>
      <c r="AKX25">
        <v>114.042785815</v>
      </c>
      <c r="AKY25" t="s">
        <v>1900</v>
      </c>
      <c r="AKZ25">
        <v>257.946176285</v>
      </c>
      <c r="ALA25" t="s">
        <v>1900</v>
      </c>
      <c r="ALB25">
        <v>47.173531865</v>
      </c>
      <c r="ALC25">
        <v>60.690702331</v>
      </c>
      <c r="ALD25" t="s">
        <v>1900</v>
      </c>
      <c r="ALE25">
        <v>34.64308569</v>
      </c>
      <c r="ALF25" t="s">
        <v>1900</v>
      </c>
      <c r="ALG25">
        <v>0.861629274</v>
      </c>
      <c r="ALH25">
        <v>0.825869842</v>
      </c>
      <c r="ALI25" t="s">
        <v>1900</v>
      </c>
      <c r="ALJ25">
        <v>2.369091798</v>
      </c>
      <c r="ALK25" t="s">
        <v>1900</v>
      </c>
      <c r="ALL25">
        <v>0.645244776</v>
      </c>
      <c r="ALM25">
        <v>0.439507159</v>
      </c>
      <c r="ALN25" t="s">
        <v>1900</v>
      </c>
      <c r="ALO25">
        <v>0.318177425</v>
      </c>
      <c r="ALP25" t="s">
        <v>1900</v>
      </c>
      <c r="ALQ25">
        <v>13.998970907</v>
      </c>
      <c r="ALR25">
        <v>9.122062263</v>
      </c>
      <c r="ALS25" t="s">
        <v>1900</v>
      </c>
      <c r="ALT25">
        <v>33.10602891</v>
      </c>
      <c r="ALU25" t="s">
        <v>1900</v>
      </c>
      <c r="ALV25" t="s">
        <v>1900</v>
      </c>
      <c r="ALW25">
        <v>0</v>
      </c>
      <c r="ALX25" t="s">
        <v>1900</v>
      </c>
      <c r="ALY25" t="s">
        <v>1900</v>
      </c>
      <c r="ALZ25" t="s">
        <v>1900</v>
      </c>
      <c r="AMA25">
        <v>85.5092642661138</v>
      </c>
      <c r="AMB25">
        <v>87.1742068667204</v>
      </c>
      <c r="AMC25" t="s">
        <v>1900</v>
      </c>
      <c r="AMD25">
        <v>-52.1659162373746</v>
      </c>
      <c r="AME25" t="s">
        <v>1900</v>
      </c>
      <c r="AMF25">
        <v>85.5092642661138</v>
      </c>
      <c r="AMG25">
        <v>87.184946047072</v>
      </c>
      <c r="AMH25" t="s">
        <v>1900</v>
      </c>
      <c r="AMI25">
        <v>-54.0360271188299</v>
      </c>
      <c r="AMJ25" t="s">
        <v>1900</v>
      </c>
      <c r="AMK25">
        <v>590.096085088026</v>
      </c>
      <c r="AML25">
        <v>679.678878029977</v>
      </c>
      <c r="AMM25" t="s">
        <v>1900</v>
      </c>
      <c r="AMN25">
        <v>-34.2822607895958</v>
      </c>
      <c r="AMO25" t="s">
        <v>1900</v>
      </c>
      <c r="AMP25">
        <v>0.936467107835155</v>
      </c>
      <c r="AMQ25">
        <v>0.589799495747473</v>
      </c>
      <c r="AMR25" t="s">
        <v>1900</v>
      </c>
      <c r="AMS25">
        <v>-0.428157062372024</v>
      </c>
      <c r="AMT25" t="s">
        <v>1900</v>
      </c>
      <c r="AMU25">
        <v>0.936467107835155</v>
      </c>
      <c r="AMV25">
        <v>0.589799495054371</v>
      </c>
      <c r="AMW25" t="s">
        <v>1900</v>
      </c>
      <c r="AMX25">
        <v>-0.428157062372024</v>
      </c>
      <c r="AMY25" t="s">
        <v>1900</v>
      </c>
      <c r="AMZ25">
        <v>0.936467107835155</v>
      </c>
      <c r="ANA25">
        <v>0.589799495338682</v>
      </c>
      <c r="ANB25" t="s">
        <v>1900</v>
      </c>
      <c r="ANC25">
        <v>-0.428157062372024</v>
      </c>
      <c r="AND25" t="s">
        <v>1900</v>
      </c>
      <c r="ANE25">
        <v>-5.80121909275913</v>
      </c>
      <c r="ANF25">
        <v>-60.6289153056072</v>
      </c>
      <c r="ANG25" t="s">
        <v>1900</v>
      </c>
      <c r="ANH25" t="s">
        <v>1901</v>
      </c>
      <c r="ANI25" t="s">
        <v>1900</v>
      </c>
      <c r="ANJ25">
        <v>-5.80121909275913</v>
      </c>
      <c r="ANK25">
        <v>-60.6363843136934</v>
      </c>
      <c r="ANL25" t="s">
        <v>1900</v>
      </c>
      <c r="ANM25" t="s">
        <v>1901</v>
      </c>
      <c r="ANN25" t="s">
        <v>1900</v>
      </c>
      <c r="ANO25">
        <v>-5.4831306694803</v>
      </c>
      <c r="ANP25">
        <v>-37.7447081618255</v>
      </c>
      <c r="ANQ25" t="s">
        <v>1900</v>
      </c>
      <c r="ANR25">
        <v>-63.5042073725793</v>
      </c>
      <c r="ANS25" t="s">
        <v>1900</v>
      </c>
      <c r="ANT25">
        <v>-16.75337964002</v>
      </c>
      <c r="ANU25">
        <v>-138.408890098957</v>
      </c>
      <c r="ANV25" t="s">
        <v>1900</v>
      </c>
      <c r="ANW25">
        <v>-26.5299362273688</v>
      </c>
      <c r="ANX25" t="s">
        <v>1900</v>
      </c>
      <c r="ANY25">
        <v>85.5092642661138</v>
      </c>
      <c r="ANZ25">
        <v>87.1742068667204</v>
      </c>
      <c r="AOA25" t="s">
        <v>1900</v>
      </c>
      <c r="AOB25">
        <v>-52.1659162373746</v>
      </c>
      <c r="AOC25" t="s">
        <v>1900</v>
      </c>
      <c r="AOD25">
        <v>80.8206795718916</v>
      </c>
      <c r="AOE25">
        <v>54.2705568924908</v>
      </c>
      <c r="AOF25" t="s">
        <v>1900</v>
      </c>
      <c r="AOG25">
        <v>-19.0383646121862</v>
      </c>
      <c r="AOH25" t="s">
        <v>1900</v>
      </c>
      <c r="AOI25">
        <v>64.0349716035265</v>
      </c>
      <c r="AOJ25">
        <v>46.3919203840767</v>
      </c>
      <c r="AOK25" t="s">
        <v>1900</v>
      </c>
      <c r="AOL25">
        <v>-7.00606743759595</v>
      </c>
      <c r="AOM25" t="s">
        <v>1900</v>
      </c>
      <c r="AON25">
        <v>-40.0339858465098</v>
      </c>
      <c r="AOO25">
        <v>-472.710846616504</v>
      </c>
      <c r="AOP25" t="s">
        <v>1900</v>
      </c>
      <c r="AOQ25">
        <v>-114.351618047583</v>
      </c>
      <c r="AOR25" t="s">
        <v>1900</v>
      </c>
      <c r="AOS25">
        <v>-6.35328921648447</v>
      </c>
      <c r="AOT25">
        <v>-41.0200504945629</v>
      </c>
      <c r="AOU25" t="s">
        <v>1900</v>
      </c>
      <c r="AOV25">
        <v>-142.815706237202</v>
      </c>
      <c r="AOW25" t="s">
        <v>1900</v>
      </c>
      <c r="AOX25">
        <v>-4.34433512039793</v>
      </c>
      <c r="AOY25">
        <v>-32.2651838534184</v>
      </c>
      <c r="AOZ25" t="s">
        <v>1900</v>
      </c>
      <c r="APA25">
        <v>-23.3693790662347</v>
      </c>
      <c r="APB25" t="s">
        <v>1900</v>
      </c>
      <c r="APC25">
        <v>-2.87343992962037</v>
      </c>
      <c r="APD25">
        <v>-52.2330349494052</v>
      </c>
      <c r="APE25" t="s">
        <v>1900</v>
      </c>
      <c r="APF25">
        <v>-135.287500507165</v>
      </c>
      <c r="APG25" t="s">
        <v>1900</v>
      </c>
      <c r="APH25">
        <v>-2.87343992962037</v>
      </c>
      <c r="API25">
        <v>-52.2394696507096</v>
      </c>
      <c r="APJ25" t="s">
        <v>1900</v>
      </c>
      <c r="APK25">
        <v>-140.137460884974</v>
      </c>
      <c r="APL25" t="s">
        <v>1900</v>
      </c>
      <c r="APM25">
        <v>-19.8294964616663</v>
      </c>
      <c r="APN25">
        <v>-407.249940854529</v>
      </c>
      <c r="APO25" t="s">
        <v>1900</v>
      </c>
      <c r="APP25">
        <v>-88.9078867675732</v>
      </c>
      <c r="APQ25" t="s">
        <v>1900</v>
      </c>
      <c r="APR25">
        <v>-3.14688940844507</v>
      </c>
      <c r="APS25">
        <v>-35.3396019095646</v>
      </c>
      <c r="APT25" t="s">
        <v>1900</v>
      </c>
      <c r="APU25">
        <v>-111.038591806236</v>
      </c>
      <c r="APV25" t="s">
        <v>1900</v>
      </c>
      <c r="APW25">
        <v>-2.71588546357026</v>
      </c>
      <c r="APX25">
        <v>-32.5178283436879</v>
      </c>
      <c r="APY25" t="s">
        <v>1900</v>
      </c>
      <c r="APZ25">
        <v>-49.3742456359158</v>
      </c>
      <c r="AQA25" t="s">
        <v>1900</v>
      </c>
      <c r="AQB25">
        <v>-2.15182116086334</v>
      </c>
      <c r="AQC25">
        <v>-27.7971074918558</v>
      </c>
      <c r="AQD25" t="s">
        <v>1900</v>
      </c>
      <c r="AQE25">
        <v>-18.1695908053066</v>
      </c>
      <c r="AQF25" t="s">
        <v>1900</v>
      </c>
      <c r="AQG25">
        <v>-0.0635328921648447</v>
      </c>
      <c r="AQH25">
        <v>-0.410200504661318</v>
      </c>
      <c r="AQI25" t="s">
        <v>1900</v>
      </c>
      <c r="AQJ25">
        <v>-1.42815706237202</v>
      </c>
      <c r="AQK25">
        <v>5</v>
      </c>
      <c r="AQO25" t="s">
        <v>1902</v>
      </c>
      <c r="AQP25">
        <v>7</v>
      </c>
      <c r="AQQ25">
        <v>0</v>
      </c>
      <c r="AQS25" t="s">
        <v>1905</v>
      </c>
      <c r="AQU25" t="s">
        <v>1906</v>
      </c>
      <c r="AQV25" t="s">
        <v>1900</v>
      </c>
      <c r="AQW25">
        <v>1962471.14568294</v>
      </c>
      <c r="AQX25">
        <v>1041167.74604421</v>
      </c>
      <c r="AQY25" t="s">
        <v>1900</v>
      </c>
      <c r="AQZ25">
        <v>-113847.250793247</v>
      </c>
      <c r="ARA25">
        <v>-631248.710938442</v>
      </c>
      <c r="ARB25">
        <v>3003638.89172715</v>
      </c>
      <c r="ARC25">
        <v>-745095.9617316891</v>
      </c>
      <c r="ARD25">
        <v>-0.1987593123702021</v>
      </c>
      <c r="ARE25">
        <v>-0.1987593123702021</v>
      </c>
      <c r="ARF25">
        <v>-0.1987593123702021</v>
      </c>
      <c r="ARG25" t="s">
        <v>1907</v>
      </c>
      <c r="ARH25" t="s">
        <v>1907</v>
      </c>
      <c r="ARI25" t="s">
        <v>1907</v>
      </c>
      <c r="ARJ25" t="s">
        <v>1186</v>
      </c>
      <c r="ARK25" t="s">
        <v>1524</v>
      </c>
      <c r="ARL25" t="s">
        <v>1908</v>
      </c>
      <c r="ARM25" t="s">
        <v>1908</v>
      </c>
      <c r="ARN25" t="s">
        <v>1909</v>
      </c>
      <c r="ARO25" t="s">
        <v>1908</v>
      </c>
      <c r="ARP25" t="s">
        <v>1907</v>
      </c>
      <c r="ARQ25" t="s">
        <v>1929</v>
      </c>
      <c r="ARR25">
        <f>HYPERLINK("C:\Users\Usuario\Documents\Proyectos\llmthon\evidence\chekin_com_233730.png", "Ver Evidencia")</f>
        <v>0</v>
      </c>
      <c r="ARS25">
        <v>95</v>
      </c>
    </row>
    <row r="26" spans="1:1163">
      <c r="A26">
        <v>602</v>
      </c>
      <c r="B26" t="s">
        <v>1187</v>
      </c>
      <c r="C26" t="s">
        <v>1310</v>
      </c>
      <c r="D26" t="s">
        <v>1412</v>
      </c>
      <c r="E26" s="2">
        <v>40639</v>
      </c>
      <c r="F26" t="s">
        <v>1431</v>
      </c>
      <c r="G26" t="s">
        <v>1433</v>
      </c>
      <c r="H26" t="s">
        <v>1434</v>
      </c>
      <c r="I26" t="s">
        <v>1442</v>
      </c>
      <c r="J26" t="s">
        <v>1461</v>
      </c>
      <c r="L26" t="s">
        <v>1525</v>
      </c>
      <c r="N26" t="s">
        <v>1628</v>
      </c>
      <c r="O26" t="s">
        <v>1652</v>
      </c>
      <c r="P26">
        <v>7490</v>
      </c>
      <c r="Q26">
        <v>7490</v>
      </c>
      <c r="R26" t="s">
        <v>1696</v>
      </c>
      <c r="S26" t="s">
        <v>1802</v>
      </c>
      <c r="Z26" t="s">
        <v>1899</v>
      </c>
      <c r="AA26" s="2">
        <v>45657</v>
      </c>
      <c r="AB26">
        <v>2024</v>
      </c>
      <c r="AC26">
        <v>1077771.76452021</v>
      </c>
      <c r="AD26">
        <v>629970.020522804</v>
      </c>
      <c r="AE26">
        <v>200622.62803967</v>
      </c>
      <c r="AF26" t="s">
        <v>1900</v>
      </c>
      <c r="AG26" t="s">
        <v>1900</v>
      </c>
      <c r="AH26">
        <v>1077771.76452021</v>
      </c>
      <c r="AI26">
        <v>627919.139602394</v>
      </c>
      <c r="AJ26">
        <v>200622.62803967</v>
      </c>
      <c r="AK26" t="s">
        <v>1900</v>
      </c>
      <c r="AL26" t="s">
        <v>1900</v>
      </c>
      <c r="AM26">
        <v>21183.4005858695</v>
      </c>
      <c r="AN26">
        <v>40997.2863990784</v>
      </c>
      <c r="AO26">
        <v>31294.9889250398</v>
      </c>
      <c r="AP26" t="s">
        <v>1900</v>
      </c>
      <c r="AQ26" t="s">
        <v>1900</v>
      </c>
      <c r="AR26">
        <v>1056588.36393434</v>
      </c>
      <c r="AS26">
        <v>588972.734123726</v>
      </c>
      <c r="AT26">
        <v>169327.63911463</v>
      </c>
      <c r="AU26" t="s">
        <v>1900</v>
      </c>
      <c r="AV26" t="s">
        <v>1900</v>
      </c>
      <c r="AW26">
        <v>1168725.403861</v>
      </c>
      <c r="AX26">
        <v>557777.012073469</v>
      </c>
      <c r="AY26">
        <v>281233.645790871</v>
      </c>
      <c r="AZ26" t="s">
        <v>1900</v>
      </c>
      <c r="BA26" t="s">
        <v>1900</v>
      </c>
      <c r="BB26">
        <v>-112137.039926659</v>
      </c>
      <c r="BC26">
        <v>31195.7220502567</v>
      </c>
      <c r="BD26">
        <v>-111906.00774284</v>
      </c>
      <c r="BE26" t="s">
        <v>1900</v>
      </c>
      <c r="BF26" t="s">
        <v>1900</v>
      </c>
      <c r="BG26">
        <v>-90617.33613150469</v>
      </c>
      <c r="BH26">
        <v>-2779.2309472847</v>
      </c>
      <c r="BI26">
        <v>-1483.18125038743</v>
      </c>
      <c r="BJ26" t="s">
        <v>1900</v>
      </c>
      <c r="BK26" t="s">
        <v>1900</v>
      </c>
      <c r="BL26">
        <v>12.4252385091782</v>
      </c>
      <c r="BM26">
        <v>36.9954166030884</v>
      </c>
      <c r="BN26" t="s">
        <v>1900</v>
      </c>
      <c r="BO26" t="s">
        <v>1900</v>
      </c>
      <c r="BP26" t="s">
        <v>1900</v>
      </c>
      <c r="BQ26">
        <v>90629.7624089134</v>
      </c>
      <c r="BR26">
        <v>2816.22636388779</v>
      </c>
      <c r="BS26">
        <v>1483.18125038743</v>
      </c>
      <c r="BT26" t="s">
        <v>1900</v>
      </c>
      <c r="BU26" t="s">
        <v>1900</v>
      </c>
      <c r="BV26">
        <v>-202754.377097063</v>
      </c>
      <c r="BW26">
        <v>28416.491102972</v>
      </c>
      <c r="BX26">
        <v>-113389.188993227</v>
      </c>
      <c r="BY26" t="s">
        <v>1900</v>
      </c>
      <c r="BZ26" t="s">
        <v>1900</v>
      </c>
      <c r="CA26">
        <v>-50069.7425957418</v>
      </c>
      <c r="CB26">
        <v>-21982.2279153538</v>
      </c>
      <c r="CC26" t="s">
        <v>1900</v>
      </c>
      <c r="CD26" t="s">
        <v>1900</v>
      </c>
      <c r="CE26" t="s">
        <v>1900</v>
      </c>
      <c r="CF26">
        <v>-152684.634501321</v>
      </c>
      <c r="CG26">
        <v>50398.7190183258</v>
      </c>
      <c r="CH26">
        <v>-113389.188993227</v>
      </c>
      <c r="CI26" t="s">
        <v>1900</v>
      </c>
      <c r="CJ26" t="s">
        <v>1900</v>
      </c>
      <c r="CK26" t="s">
        <v>1900</v>
      </c>
      <c r="CL26" t="s">
        <v>1900</v>
      </c>
      <c r="CM26" t="s">
        <v>1900</v>
      </c>
      <c r="CN26" t="s">
        <v>1900</v>
      </c>
      <c r="CO26" t="s">
        <v>1900</v>
      </c>
      <c r="CP26" t="s">
        <v>1900</v>
      </c>
      <c r="CQ26" t="s">
        <v>1900</v>
      </c>
      <c r="CR26" t="s">
        <v>1900</v>
      </c>
      <c r="CS26" t="s">
        <v>1900</v>
      </c>
      <c r="CT26" t="s">
        <v>1900</v>
      </c>
      <c r="CU26" t="s">
        <v>1900</v>
      </c>
      <c r="CV26" t="s">
        <v>1900</v>
      </c>
      <c r="CW26" t="s">
        <v>1900</v>
      </c>
      <c r="CX26" t="s">
        <v>1900</v>
      </c>
      <c r="CY26" t="s">
        <v>1900</v>
      </c>
      <c r="CZ26">
        <v>-152684.634501321</v>
      </c>
      <c r="DA26">
        <v>50398.7190183258</v>
      </c>
      <c r="DB26">
        <v>-113389.188993227</v>
      </c>
      <c r="DC26" t="s">
        <v>1900</v>
      </c>
      <c r="DD26" t="s">
        <v>1900</v>
      </c>
      <c r="DE26" t="s">
        <v>1900</v>
      </c>
      <c r="DF26" t="s">
        <v>1900</v>
      </c>
      <c r="DG26" t="s">
        <v>1900</v>
      </c>
      <c r="DH26" t="s">
        <v>1900</v>
      </c>
      <c r="DI26" t="s">
        <v>1900</v>
      </c>
      <c r="DJ26">
        <v>21183.4005858695</v>
      </c>
      <c r="DK26">
        <v>40997.2863990784</v>
      </c>
      <c r="DL26">
        <v>31294.9889250398</v>
      </c>
      <c r="DM26" t="s">
        <v>1900</v>
      </c>
      <c r="DN26" t="s">
        <v>1900</v>
      </c>
      <c r="DO26">
        <v>861908.875074911</v>
      </c>
      <c r="DP26">
        <v>483292.696695824</v>
      </c>
      <c r="DQ26">
        <v>314080.335384023</v>
      </c>
      <c r="DR26" t="s">
        <v>1900</v>
      </c>
      <c r="DS26" t="s">
        <v>1900</v>
      </c>
      <c r="DT26">
        <v>99180.34196833731</v>
      </c>
      <c r="DU26">
        <v>86029.1727088356</v>
      </c>
      <c r="DV26">
        <v>73701.07536510821</v>
      </c>
      <c r="DW26" t="s">
        <v>1900</v>
      </c>
      <c r="DX26" t="s">
        <v>1900</v>
      </c>
      <c r="DY26">
        <v>207636.185778849</v>
      </c>
      <c r="DZ26">
        <v>-11544.8573311901</v>
      </c>
      <c r="EA26">
        <v>-106547.762825062</v>
      </c>
      <c r="EB26" t="s">
        <v>1900</v>
      </c>
      <c r="EC26" t="s">
        <v>1900</v>
      </c>
      <c r="ED26">
        <v>90588.09214832781</v>
      </c>
      <c r="EE26">
        <v>2749.03128373146</v>
      </c>
      <c r="EF26">
        <v>1277.31688315868</v>
      </c>
      <c r="EG26" t="s">
        <v>1900</v>
      </c>
      <c r="EH26" t="s">
        <v>1900</v>
      </c>
      <c r="EI26" t="s">
        <v>1900</v>
      </c>
      <c r="EJ26" t="s">
        <v>1900</v>
      </c>
      <c r="EK26" t="s">
        <v>1900</v>
      </c>
      <c r="EL26" t="s">
        <v>1900</v>
      </c>
      <c r="EM26" t="s">
        <v>1900</v>
      </c>
      <c r="EN26">
        <v>-53504.292532984</v>
      </c>
      <c r="EO26">
        <v>136427.891727161</v>
      </c>
      <c r="EP26">
        <v>-39688.1136281192</v>
      </c>
      <c r="EQ26" t="s">
        <v>1900</v>
      </c>
      <c r="ER26" t="s">
        <v>1900</v>
      </c>
      <c r="ES26">
        <v>848922.932094513</v>
      </c>
      <c r="ET26">
        <v>600487.391791363</v>
      </c>
      <c r="EU26">
        <v>275669.537572463</v>
      </c>
      <c r="EV26" t="s">
        <v>1900</v>
      </c>
      <c r="EW26" t="s">
        <v>1900</v>
      </c>
      <c r="EX26">
        <v>-12956.696919422</v>
      </c>
      <c r="EY26">
        <v>117224.894759092</v>
      </c>
      <c r="EZ26">
        <v>-38204.9323777318</v>
      </c>
      <c r="FA26" t="s">
        <v>1900</v>
      </c>
      <c r="FB26" t="s">
        <v>1900</v>
      </c>
      <c r="FC26">
        <v>1274121.76228542</v>
      </c>
      <c r="FD26">
        <v>1075891.21369676</v>
      </c>
      <c r="FE26">
        <v>859886.854456604</v>
      </c>
      <c r="FF26" t="s">
        <v>1900</v>
      </c>
      <c r="FG26" t="s">
        <v>1900</v>
      </c>
      <c r="FH26">
        <v>1090162.70895554</v>
      </c>
      <c r="FI26">
        <v>956522.198075409</v>
      </c>
      <c r="FJ26">
        <v>769300.485256857</v>
      </c>
      <c r="FK26" t="s">
        <v>1900</v>
      </c>
      <c r="FL26" t="s">
        <v>1900</v>
      </c>
      <c r="FM26">
        <v>13804.6477636051</v>
      </c>
      <c r="FN26">
        <v>6869.76598306656</v>
      </c>
      <c r="FO26">
        <v>5646.84434071183</v>
      </c>
      <c r="FP26" t="s">
        <v>1900</v>
      </c>
      <c r="FQ26" t="s">
        <v>1900</v>
      </c>
      <c r="FR26">
        <v>170154.405566276</v>
      </c>
      <c r="FS26">
        <v>112499.249638281</v>
      </c>
      <c r="FT26">
        <v>84939.52485903499</v>
      </c>
      <c r="FU26" t="s">
        <v>1900</v>
      </c>
      <c r="FV26" t="s">
        <v>1900</v>
      </c>
      <c r="FW26">
        <v>1090162.70895554</v>
      </c>
      <c r="FX26">
        <v>956522.198075409</v>
      </c>
      <c r="FY26">
        <v>769300.485256857</v>
      </c>
      <c r="FZ26" t="s">
        <v>1900</v>
      </c>
      <c r="GA26" t="s">
        <v>1900</v>
      </c>
      <c r="GB26">
        <v>13804.6477636051</v>
      </c>
      <c r="GC26">
        <v>6869.76598306656</v>
      </c>
      <c r="GD26">
        <v>5646.84434071183</v>
      </c>
      <c r="GE26" t="s">
        <v>1900</v>
      </c>
      <c r="GF26" t="s">
        <v>1900</v>
      </c>
      <c r="GG26">
        <v>170154.405566276</v>
      </c>
      <c r="GH26">
        <v>112499.249638281</v>
      </c>
      <c r="GI26">
        <v>84939.52485903499</v>
      </c>
      <c r="GJ26" t="s">
        <v>1900</v>
      </c>
      <c r="GK26" t="s">
        <v>1900</v>
      </c>
      <c r="GL26">
        <v>411322.477580991</v>
      </c>
      <c r="GM26">
        <v>705359.143456516</v>
      </c>
      <c r="GN26">
        <v>521226.264561892</v>
      </c>
      <c r="GO26" t="s">
        <v>1900</v>
      </c>
      <c r="GP26" t="s">
        <v>1900</v>
      </c>
      <c r="GQ26">
        <v>2021.77122956157</v>
      </c>
      <c r="GR26">
        <v>23882.9282183647</v>
      </c>
      <c r="GS26">
        <v>1919.82574889064</v>
      </c>
      <c r="GT26" t="s">
        <v>1900</v>
      </c>
      <c r="GU26" t="s">
        <v>1900</v>
      </c>
      <c r="GV26">
        <v>214950.953817289</v>
      </c>
      <c r="GW26">
        <v>158545.040203066</v>
      </c>
      <c r="GX26">
        <v>30607.4268969238</v>
      </c>
      <c r="GY26" t="s">
        <v>1900</v>
      </c>
      <c r="GZ26" t="s">
        <v>1900</v>
      </c>
      <c r="HA26">
        <v>194349.75253414</v>
      </c>
      <c r="HB26">
        <v>522931.175035086</v>
      </c>
      <c r="HC26">
        <v>488699.011916077</v>
      </c>
      <c r="HD26" t="s">
        <v>1900</v>
      </c>
      <c r="HE26" t="s">
        <v>1900</v>
      </c>
      <c r="HF26">
        <v>186070.356921878</v>
      </c>
      <c r="HG26">
        <v>165526.23443614</v>
      </c>
      <c r="HH26">
        <v>81158.5576650977</v>
      </c>
      <c r="HI26" t="s">
        <v>1900</v>
      </c>
      <c r="HJ26" t="s">
        <v>1900</v>
      </c>
      <c r="HK26">
        <v>1685444.23986641</v>
      </c>
      <c r="HL26">
        <v>1781250.35715327</v>
      </c>
      <c r="HM26">
        <v>1381113.1190185</v>
      </c>
      <c r="HN26" t="s">
        <v>1900</v>
      </c>
      <c r="HO26" t="s">
        <v>1900</v>
      </c>
      <c r="HP26">
        <v>1234905.65252936</v>
      </c>
      <c r="HQ26">
        <v>1359003.05925387</v>
      </c>
      <c r="HR26">
        <v>420514.090456384</v>
      </c>
      <c r="HS26" t="s">
        <v>1900</v>
      </c>
      <c r="HT26" t="s">
        <v>1900</v>
      </c>
      <c r="HU26">
        <v>5879.1325019598</v>
      </c>
      <c r="HV26">
        <v>6253.19780635834</v>
      </c>
      <c r="HW26">
        <v>6035.88650405407</v>
      </c>
      <c r="HX26" t="s">
        <v>1900</v>
      </c>
      <c r="HY26" t="s">
        <v>1900</v>
      </c>
      <c r="HZ26">
        <v>1229026.52002741</v>
      </c>
      <c r="IA26">
        <v>1352749.86144752</v>
      </c>
      <c r="IB26">
        <v>414478.20395233</v>
      </c>
      <c r="IC26" t="s">
        <v>1900</v>
      </c>
      <c r="ID26" t="s">
        <v>1900</v>
      </c>
      <c r="IE26">
        <v>151017.740965936</v>
      </c>
      <c r="IF26">
        <v>214098.929084969</v>
      </c>
      <c r="IG26">
        <v>252647.127342939</v>
      </c>
      <c r="IH26" t="s">
        <v>1900</v>
      </c>
      <c r="II26" t="s">
        <v>1900</v>
      </c>
      <c r="IJ26">
        <v>143362.609698806</v>
      </c>
      <c r="IK26">
        <v>214098.929084969</v>
      </c>
      <c r="IL26">
        <v>252647.127342939</v>
      </c>
      <c r="IM26" t="s">
        <v>1900</v>
      </c>
      <c r="IN26" t="s">
        <v>1900</v>
      </c>
      <c r="IO26">
        <v>7655.13126713037</v>
      </c>
      <c r="IP26">
        <v>0</v>
      </c>
      <c r="IQ26">
        <v>0</v>
      </c>
      <c r="IR26" t="s">
        <v>1900</v>
      </c>
      <c r="IS26" t="s">
        <v>1900</v>
      </c>
      <c r="IT26" t="s">
        <v>1900</v>
      </c>
      <c r="IU26">
        <v>0</v>
      </c>
      <c r="IV26">
        <v>0</v>
      </c>
      <c r="IW26" t="s">
        <v>1900</v>
      </c>
      <c r="IX26" t="s">
        <v>1900</v>
      </c>
      <c r="IY26">
        <v>299520.846371112</v>
      </c>
      <c r="IZ26">
        <v>208148.36881443</v>
      </c>
      <c r="JA26">
        <v>707951.901219171</v>
      </c>
      <c r="JB26" t="s">
        <v>1900</v>
      </c>
      <c r="JC26" t="s">
        <v>1900</v>
      </c>
      <c r="JD26">
        <v>6594.29016792536</v>
      </c>
      <c r="JE26">
        <v>5774.01434130669</v>
      </c>
      <c r="JF26">
        <v>13801.3280742884</v>
      </c>
      <c r="JG26" t="s">
        <v>1900</v>
      </c>
      <c r="JH26" t="s">
        <v>1900</v>
      </c>
      <c r="JI26">
        <v>104.648350754976</v>
      </c>
      <c r="JJ26">
        <v>0</v>
      </c>
      <c r="JK26" t="s">
        <v>1900</v>
      </c>
      <c r="JL26" t="s">
        <v>1900</v>
      </c>
      <c r="JM26" t="s">
        <v>1900</v>
      </c>
      <c r="JN26">
        <v>292821.907852432</v>
      </c>
      <c r="JO26">
        <v>202374.354473124</v>
      </c>
      <c r="JP26">
        <v>694150.5720782829</v>
      </c>
      <c r="JQ26" t="s">
        <v>1900</v>
      </c>
      <c r="JR26" t="s">
        <v>1900</v>
      </c>
      <c r="JS26">
        <v>1685444.23986641</v>
      </c>
      <c r="JT26">
        <v>1781250.35715327</v>
      </c>
      <c r="JU26">
        <v>1381113.1190185</v>
      </c>
      <c r="JV26" t="s">
        <v>1900</v>
      </c>
      <c r="JW26" t="s">
        <v>1900</v>
      </c>
      <c r="JX26">
        <v>216868.076696095</v>
      </c>
      <c r="JY26">
        <v>182427.968421431</v>
      </c>
      <c r="JZ26">
        <v>32527.2526458144</v>
      </c>
      <c r="KA26" t="s">
        <v>1900</v>
      </c>
      <c r="KB26" t="s">
        <v>1900</v>
      </c>
      <c r="KC26" t="s">
        <v>1900</v>
      </c>
      <c r="KD26" t="s">
        <v>1900</v>
      </c>
      <c r="KE26" t="s">
        <v>1900</v>
      </c>
      <c r="KF26" t="s">
        <v>1900</v>
      </c>
      <c r="KG26" t="s">
        <v>1900</v>
      </c>
      <c r="KH26" t="s">
        <v>1900</v>
      </c>
      <c r="KI26" t="s">
        <v>1900</v>
      </c>
      <c r="KJ26" t="s">
        <v>1900</v>
      </c>
      <c r="KK26" t="s">
        <v>1900</v>
      </c>
      <c r="KL26" t="s">
        <v>1900</v>
      </c>
      <c r="KM26">
        <v>22</v>
      </c>
      <c r="KN26">
        <v>11</v>
      </c>
      <c r="KO26">
        <v>8</v>
      </c>
      <c r="KP26" t="s">
        <v>1900</v>
      </c>
      <c r="KQ26" t="s">
        <v>1900</v>
      </c>
      <c r="KR26" t="s">
        <v>1900</v>
      </c>
      <c r="KS26" t="s">
        <v>1900</v>
      </c>
      <c r="KT26" t="s">
        <v>1900</v>
      </c>
      <c r="KU26" t="s">
        <v>1900</v>
      </c>
      <c r="KV26" t="s">
        <v>1900</v>
      </c>
      <c r="KW26" t="s">
        <v>1900</v>
      </c>
      <c r="KX26" t="s">
        <v>1900</v>
      </c>
      <c r="KY26" t="s">
        <v>1900</v>
      </c>
      <c r="KZ26" t="s">
        <v>1900</v>
      </c>
      <c r="LA26" t="s">
        <v>1900</v>
      </c>
      <c r="LB26" t="s">
        <v>1900</v>
      </c>
      <c r="LC26" t="s">
        <v>1900</v>
      </c>
      <c r="LD26" t="s">
        <v>1900</v>
      </c>
      <c r="LE26" t="s">
        <v>1900</v>
      </c>
      <c r="LF26" t="s">
        <v>1900</v>
      </c>
      <c r="LG26" t="s">
        <v>1900</v>
      </c>
      <c r="LH26" t="s">
        <v>1900</v>
      </c>
      <c r="LI26" t="s">
        <v>1900</v>
      </c>
      <c r="LJ26" t="s">
        <v>1900</v>
      </c>
      <c r="LK26" t="s">
        <v>1900</v>
      </c>
      <c r="LL26" t="s">
        <v>1900</v>
      </c>
      <c r="LM26" t="s">
        <v>1900</v>
      </c>
      <c r="LN26" t="s">
        <v>1900</v>
      </c>
      <c r="LO26" t="s">
        <v>1900</v>
      </c>
      <c r="LP26" t="s">
        <v>1900</v>
      </c>
      <c r="LQ26" t="s">
        <v>1900</v>
      </c>
      <c r="LR26" t="s">
        <v>1900</v>
      </c>
      <c r="LS26" t="s">
        <v>1900</v>
      </c>
      <c r="LT26" t="s">
        <v>1900</v>
      </c>
      <c r="LU26" t="s">
        <v>1900</v>
      </c>
      <c r="LV26" t="s">
        <v>1900</v>
      </c>
      <c r="LW26" t="s">
        <v>1900</v>
      </c>
      <c r="LX26" t="s">
        <v>1900</v>
      </c>
      <c r="LY26" t="s">
        <v>1900</v>
      </c>
      <c r="LZ26" t="s">
        <v>1900</v>
      </c>
      <c r="MA26" t="s">
        <v>1900</v>
      </c>
      <c r="MB26" t="s">
        <v>1900</v>
      </c>
      <c r="MC26" t="s">
        <v>1900</v>
      </c>
      <c r="MD26" t="s">
        <v>1900</v>
      </c>
      <c r="ME26" t="s">
        <v>1900</v>
      </c>
      <c r="MF26" t="s">
        <v>1900</v>
      </c>
      <c r="MG26" t="s">
        <v>1900</v>
      </c>
      <c r="MH26" t="s">
        <v>1900</v>
      </c>
      <c r="MI26" t="s">
        <v>1900</v>
      </c>
      <c r="MJ26" t="s">
        <v>1900</v>
      </c>
      <c r="MK26" t="s">
        <v>1900</v>
      </c>
      <c r="ML26" t="s">
        <v>1900</v>
      </c>
      <c r="MM26" t="s">
        <v>1900</v>
      </c>
      <c r="MN26" t="s">
        <v>1900</v>
      </c>
      <c r="MO26" t="s">
        <v>1900</v>
      </c>
      <c r="MP26">
        <v>194349.75253414</v>
      </c>
      <c r="MQ26">
        <v>522931.175035086</v>
      </c>
      <c r="MR26">
        <v>488699.011916077</v>
      </c>
      <c r="MS26" t="s">
        <v>1900</v>
      </c>
      <c r="MT26" t="s">
        <v>1900</v>
      </c>
      <c r="MU26" t="s">
        <v>1900</v>
      </c>
      <c r="MV26" t="s">
        <v>1900</v>
      </c>
      <c r="MW26" t="s">
        <v>1900</v>
      </c>
      <c r="MX26" t="s">
        <v>1900</v>
      </c>
      <c r="MY26" t="s">
        <v>1900</v>
      </c>
      <c r="MZ26" t="s">
        <v>1900</v>
      </c>
      <c r="NA26" t="s">
        <v>1900</v>
      </c>
      <c r="NB26" t="s">
        <v>1900</v>
      </c>
      <c r="NC26" t="s">
        <v>1900</v>
      </c>
      <c r="ND26" t="s">
        <v>1900</v>
      </c>
      <c r="NE26" t="s">
        <v>1900</v>
      </c>
      <c r="NF26" t="s">
        <v>1900</v>
      </c>
      <c r="NG26" t="s">
        <v>1900</v>
      </c>
      <c r="NH26" t="s">
        <v>1900</v>
      </c>
      <c r="NI26" t="s">
        <v>1900</v>
      </c>
      <c r="NJ26" t="s">
        <v>1900</v>
      </c>
      <c r="NK26" t="s">
        <v>1900</v>
      </c>
      <c r="NL26" t="s">
        <v>1900</v>
      </c>
      <c r="NM26" t="s">
        <v>1900</v>
      </c>
      <c r="NN26" t="s">
        <v>1900</v>
      </c>
      <c r="NO26" t="s">
        <v>1900</v>
      </c>
      <c r="NP26" t="s">
        <v>1900</v>
      </c>
      <c r="NQ26" t="s">
        <v>1900</v>
      </c>
      <c r="NR26" t="s">
        <v>1900</v>
      </c>
      <c r="NS26" t="s">
        <v>1900</v>
      </c>
      <c r="NT26">
        <v>1274121.76228542</v>
      </c>
      <c r="NU26">
        <v>1075891.21369676</v>
      </c>
      <c r="NV26">
        <v>859886.854456604</v>
      </c>
      <c r="NW26" t="s">
        <v>1900</v>
      </c>
      <c r="NX26" t="s">
        <v>1900</v>
      </c>
      <c r="NY26" t="s">
        <v>1900</v>
      </c>
      <c r="NZ26" t="s">
        <v>1900</v>
      </c>
      <c r="OA26" t="s">
        <v>1900</v>
      </c>
      <c r="OB26" t="s">
        <v>1900</v>
      </c>
      <c r="OC26" t="s">
        <v>1900</v>
      </c>
      <c r="OD26" t="s">
        <v>1900</v>
      </c>
      <c r="OE26" t="s">
        <v>1900</v>
      </c>
      <c r="OF26" t="s">
        <v>1900</v>
      </c>
      <c r="OG26" t="s">
        <v>1900</v>
      </c>
      <c r="OH26" t="s">
        <v>1900</v>
      </c>
      <c r="OI26" t="s">
        <v>1900</v>
      </c>
      <c r="OJ26" t="s">
        <v>1900</v>
      </c>
      <c r="OK26" t="s">
        <v>1900</v>
      </c>
      <c r="OL26" t="s">
        <v>1900</v>
      </c>
      <c r="OM26" t="s">
        <v>1900</v>
      </c>
      <c r="ON26" t="s">
        <v>1900</v>
      </c>
      <c r="OO26" t="s">
        <v>1900</v>
      </c>
      <c r="OP26" t="s">
        <v>1900</v>
      </c>
      <c r="OQ26" t="s">
        <v>1900</v>
      </c>
      <c r="OR26" t="s">
        <v>1900</v>
      </c>
      <c r="OS26" t="s">
        <v>1900</v>
      </c>
      <c r="OT26" t="s">
        <v>1900</v>
      </c>
      <c r="OU26" t="s">
        <v>1900</v>
      </c>
      <c r="OV26" t="s">
        <v>1900</v>
      </c>
      <c r="OW26" t="s">
        <v>1900</v>
      </c>
      <c r="OX26" t="s">
        <v>1900</v>
      </c>
      <c r="OY26" t="s">
        <v>1900</v>
      </c>
      <c r="OZ26" t="s">
        <v>1900</v>
      </c>
      <c r="PA26" t="s">
        <v>1900</v>
      </c>
      <c r="PB26" t="s">
        <v>1900</v>
      </c>
      <c r="PC26" t="s">
        <v>1900</v>
      </c>
      <c r="PD26" t="s">
        <v>1900</v>
      </c>
      <c r="PE26" t="s">
        <v>1900</v>
      </c>
      <c r="PF26" t="s">
        <v>1900</v>
      </c>
      <c r="PG26" t="s">
        <v>1900</v>
      </c>
      <c r="PH26" t="s">
        <v>1900</v>
      </c>
      <c r="PI26" t="s">
        <v>1900</v>
      </c>
      <c r="PJ26" t="s">
        <v>1900</v>
      </c>
      <c r="PK26" t="s">
        <v>1900</v>
      </c>
      <c r="PL26" t="s">
        <v>1900</v>
      </c>
      <c r="PM26" t="s">
        <v>1900</v>
      </c>
      <c r="PN26" t="s">
        <v>1900</v>
      </c>
      <c r="PO26" t="s">
        <v>1900</v>
      </c>
      <c r="PP26" t="s">
        <v>1900</v>
      </c>
      <c r="PQ26" t="s">
        <v>1900</v>
      </c>
      <c r="PR26" t="s">
        <v>1900</v>
      </c>
      <c r="PS26" t="s">
        <v>1900</v>
      </c>
      <c r="PT26" t="s">
        <v>1900</v>
      </c>
      <c r="PU26" t="s">
        <v>1900</v>
      </c>
      <c r="PV26" t="s">
        <v>1900</v>
      </c>
      <c r="PW26" t="s">
        <v>1900</v>
      </c>
      <c r="PX26" t="s">
        <v>1900</v>
      </c>
      <c r="PY26" t="s">
        <v>1900</v>
      </c>
      <c r="PZ26" t="s">
        <v>1900</v>
      </c>
      <c r="QA26" t="s">
        <v>1900</v>
      </c>
      <c r="QB26" t="s">
        <v>1900</v>
      </c>
      <c r="QC26" t="s">
        <v>1900</v>
      </c>
      <c r="QD26" t="s">
        <v>1900</v>
      </c>
      <c r="QE26" t="s">
        <v>1900</v>
      </c>
      <c r="QF26" t="s">
        <v>1900</v>
      </c>
      <c r="QG26" t="s">
        <v>1900</v>
      </c>
      <c r="QH26" t="s">
        <v>1900</v>
      </c>
      <c r="QI26" t="s">
        <v>1900</v>
      </c>
      <c r="QJ26" t="s">
        <v>1900</v>
      </c>
      <c r="QK26" t="s">
        <v>1900</v>
      </c>
      <c r="QL26" t="s">
        <v>1900</v>
      </c>
      <c r="QM26" t="s">
        <v>1900</v>
      </c>
      <c r="QN26" t="s">
        <v>1900</v>
      </c>
      <c r="QO26" t="s">
        <v>1900</v>
      </c>
      <c r="QP26" t="s">
        <v>1900</v>
      </c>
      <c r="QQ26" t="s">
        <v>1900</v>
      </c>
      <c r="QR26" t="s">
        <v>1900</v>
      </c>
      <c r="QS26" t="s">
        <v>1900</v>
      </c>
      <c r="QT26" t="s">
        <v>1900</v>
      </c>
      <c r="QU26" t="s">
        <v>1900</v>
      </c>
      <c r="QV26" t="s">
        <v>1900</v>
      </c>
      <c r="QW26" t="s">
        <v>1900</v>
      </c>
      <c r="QX26" t="s">
        <v>1900</v>
      </c>
      <c r="QY26" t="s">
        <v>1900</v>
      </c>
      <c r="QZ26" t="s">
        <v>1900</v>
      </c>
      <c r="RA26" t="s">
        <v>1900</v>
      </c>
      <c r="RB26" t="s">
        <v>1900</v>
      </c>
      <c r="RC26" t="s">
        <v>1900</v>
      </c>
      <c r="RD26" t="s">
        <v>1900</v>
      </c>
      <c r="RE26" t="s">
        <v>1900</v>
      </c>
      <c r="RF26" t="s">
        <v>1900</v>
      </c>
      <c r="RG26" t="s">
        <v>1900</v>
      </c>
      <c r="RH26" t="s">
        <v>1900</v>
      </c>
      <c r="RI26" t="s">
        <v>1900</v>
      </c>
      <c r="RJ26" t="s">
        <v>1900</v>
      </c>
      <c r="RK26" t="s">
        <v>1900</v>
      </c>
      <c r="RL26" t="s">
        <v>1900</v>
      </c>
      <c r="RM26" t="s">
        <v>1900</v>
      </c>
      <c r="RN26" t="s">
        <v>1900</v>
      </c>
      <c r="RO26" t="s">
        <v>1900</v>
      </c>
      <c r="RP26" t="s">
        <v>1900</v>
      </c>
      <c r="RQ26" t="s">
        <v>1900</v>
      </c>
      <c r="RR26" t="s">
        <v>1900</v>
      </c>
      <c r="RS26" t="s">
        <v>1900</v>
      </c>
      <c r="RT26" t="s">
        <v>1900</v>
      </c>
      <c r="RU26" t="s">
        <v>1900</v>
      </c>
      <c r="RV26" t="s">
        <v>1900</v>
      </c>
      <c r="RW26" t="s">
        <v>1900</v>
      </c>
      <c r="RX26" t="s">
        <v>1900</v>
      </c>
      <c r="RY26" t="s">
        <v>1900</v>
      </c>
      <c r="RZ26" t="s">
        <v>1900</v>
      </c>
      <c r="SA26" t="s">
        <v>1900</v>
      </c>
      <c r="SB26" t="s">
        <v>1900</v>
      </c>
      <c r="SC26" t="s">
        <v>1900</v>
      </c>
      <c r="SD26" t="s">
        <v>1900</v>
      </c>
      <c r="SE26" t="s">
        <v>1900</v>
      </c>
      <c r="SF26" t="s">
        <v>1900</v>
      </c>
      <c r="SG26" t="s">
        <v>1900</v>
      </c>
      <c r="SH26" t="s">
        <v>1900</v>
      </c>
      <c r="SI26" t="s">
        <v>1900</v>
      </c>
      <c r="SJ26">
        <v>170154.405566276</v>
      </c>
      <c r="SK26">
        <v>112499.249638281</v>
      </c>
      <c r="SL26">
        <v>84939.52485903499</v>
      </c>
      <c r="SM26" t="s">
        <v>1900</v>
      </c>
      <c r="SN26" t="s">
        <v>1900</v>
      </c>
      <c r="SO26" t="s">
        <v>1900</v>
      </c>
      <c r="SP26" t="s">
        <v>1900</v>
      </c>
      <c r="SQ26" t="s">
        <v>1900</v>
      </c>
      <c r="SR26" t="s">
        <v>1900</v>
      </c>
      <c r="SS26" t="s">
        <v>1900</v>
      </c>
      <c r="ST26" t="s">
        <v>1900</v>
      </c>
      <c r="SU26" t="s">
        <v>1900</v>
      </c>
      <c r="SV26" t="s">
        <v>1900</v>
      </c>
      <c r="SW26" t="s">
        <v>1900</v>
      </c>
      <c r="SX26" t="s">
        <v>1900</v>
      </c>
      <c r="SY26" t="s">
        <v>1900</v>
      </c>
      <c r="SZ26" t="s">
        <v>1900</v>
      </c>
      <c r="TA26" t="s">
        <v>1900</v>
      </c>
      <c r="TB26" t="s">
        <v>1900</v>
      </c>
      <c r="TC26" t="s">
        <v>1900</v>
      </c>
      <c r="TD26" t="s">
        <v>1900</v>
      </c>
      <c r="TE26" t="s">
        <v>1900</v>
      </c>
      <c r="TF26" t="s">
        <v>1900</v>
      </c>
      <c r="TG26" t="s">
        <v>1900</v>
      </c>
      <c r="TH26" t="s">
        <v>1900</v>
      </c>
      <c r="TI26" t="s">
        <v>1900</v>
      </c>
      <c r="TJ26" t="s">
        <v>1900</v>
      </c>
      <c r="TK26" t="s">
        <v>1900</v>
      </c>
      <c r="TL26" t="s">
        <v>1900</v>
      </c>
      <c r="TM26" t="s">
        <v>1900</v>
      </c>
      <c r="TN26" t="s">
        <v>1900</v>
      </c>
      <c r="TO26" t="s">
        <v>1900</v>
      </c>
      <c r="TP26" t="s">
        <v>1900</v>
      </c>
      <c r="TQ26" t="s">
        <v>1900</v>
      </c>
      <c r="TR26" t="s">
        <v>1900</v>
      </c>
      <c r="TS26">
        <v>1685444.23986641</v>
      </c>
      <c r="TT26">
        <v>1781250.35715327</v>
      </c>
      <c r="TU26">
        <v>1381113.1190185</v>
      </c>
      <c r="TV26" t="s">
        <v>1900</v>
      </c>
      <c r="TW26" t="s">
        <v>1900</v>
      </c>
      <c r="TX26" t="s">
        <v>1900</v>
      </c>
      <c r="TY26" t="s">
        <v>1900</v>
      </c>
      <c r="TZ26" t="s">
        <v>1900</v>
      </c>
      <c r="UA26" t="s">
        <v>1900</v>
      </c>
      <c r="UB26" t="s">
        <v>1900</v>
      </c>
      <c r="UC26">
        <v>6594.29016792536</v>
      </c>
      <c r="UD26">
        <v>5774.01434130669</v>
      </c>
      <c r="UE26">
        <v>13801.3280742884</v>
      </c>
      <c r="UF26" t="s">
        <v>1900</v>
      </c>
      <c r="UG26" t="s">
        <v>1900</v>
      </c>
      <c r="UH26" t="s">
        <v>1900</v>
      </c>
      <c r="UI26" t="s">
        <v>1900</v>
      </c>
      <c r="UJ26" t="s">
        <v>1900</v>
      </c>
      <c r="UK26" t="s">
        <v>1900</v>
      </c>
      <c r="UL26" t="s">
        <v>1900</v>
      </c>
      <c r="UM26" t="s">
        <v>1900</v>
      </c>
      <c r="UN26" t="s">
        <v>1900</v>
      </c>
      <c r="UO26" t="s">
        <v>1900</v>
      </c>
      <c r="UP26" t="s">
        <v>1900</v>
      </c>
      <c r="UQ26" t="s">
        <v>1900</v>
      </c>
      <c r="UR26" t="s">
        <v>1900</v>
      </c>
      <c r="US26" t="s">
        <v>1900</v>
      </c>
      <c r="UT26" t="s">
        <v>1900</v>
      </c>
      <c r="UU26" t="s">
        <v>1900</v>
      </c>
      <c r="UV26" t="s">
        <v>1900</v>
      </c>
      <c r="UW26" t="s">
        <v>1900</v>
      </c>
      <c r="UX26" t="s">
        <v>1900</v>
      </c>
      <c r="UY26" t="s">
        <v>1900</v>
      </c>
      <c r="UZ26" t="s">
        <v>1900</v>
      </c>
      <c r="VA26" t="s">
        <v>1900</v>
      </c>
      <c r="VB26" t="s">
        <v>1900</v>
      </c>
      <c r="VC26" t="s">
        <v>1900</v>
      </c>
      <c r="VD26" t="s">
        <v>1900</v>
      </c>
      <c r="VE26" t="s">
        <v>1900</v>
      </c>
      <c r="VF26" t="s">
        <v>1900</v>
      </c>
      <c r="VG26" t="s">
        <v>1900</v>
      </c>
      <c r="VH26" t="s">
        <v>1900</v>
      </c>
      <c r="VI26" t="s">
        <v>1900</v>
      </c>
      <c r="VJ26" t="s">
        <v>1900</v>
      </c>
      <c r="VK26" t="s">
        <v>1900</v>
      </c>
      <c r="VL26" t="s">
        <v>1900</v>
      </c>
      <c r="VM26" t="s">
        <v>1900</v>
      </c>
      <c r="VN26" t="s">
        <v>1900</v>
      </c>
      <c r="VO26" t="s">
        <v>1900</v>
      </c>
      <c r="VP26" t="s">
        <v>1900</v>
      </c>
      <c r="VQ26" t="s">
        <v>1900</v>
      </c>
      <c r="VR26" t="s">
        <v>1900</v>
      </c>
      <c r="VS26" t="s">
        <v>1900</v>
      </c>
      <c r="VT26" t="s">
        <v>1900</v>
      </c>
      <c r="VU26" t="s">
        <v>1900</v>
      </c>
      <c r="VV26" t="s">
        <v>1900</v>
      </c>
      <c r="VW26" t="s">
        <v>1900</v>
      </c>
      <c r="VX26" t="s">
        <v>1900</v>
      </c>
      <c r="VY26" t="s">
        <v>1900</v>
      </c>
      <c r="VZ26" t="s">
        <v>1900</v>
      </c>
      <c r="WA26">
        <v>292821.907852432</v>
      </c>
      <c r="WB26">
        <v>202374.354473124</v>
      </c>
      <c r="WC26">
        <v>694150.5720782829</v>
      </c>
      <c r="WD26" t="s">
        <v>1900</v>
      </c>
      <c r="WE26" t="s">
        <v>1900</v>
      </c>
      <c r="WF26" t="s">
        <v>1900</v>
      </c>
      <c r="WG26" t="s">
        <v>1900</v>
      </c>
      <c r="WH26" t="s">
        <v>1900</v>
      </c>
      <c r="WI26" t="s">
        <v>1900</v>
      </c>
      <c r="WJ26" t="s">
        <v>1900</v>
      </c>
      <c r="WK26" t="s">
        <v>1900</v>
      </c>
      <c r="WL26" t="s">
        <v>1900</v>
      </c>
      <c r="WM26" t="s">
        <v>1900</v>
      </c>
      <c r="WN26" t="s">
        <v>1900</v>
      </c>
      <c r="WO26" t="s">
        <v>1900</v>
      </c>
      <c r="WP26" t="s">
        <v>1900</v>
      </c>
      <c r="WQ26" t="s">
        <v>1900</v>
      </c>
      <c r="WR26" t="s">
        <v>1900</v>
      </c>
      <c r="WS26" t="s">
        <v>1900</v>
      </c>
      <c r="WT26" t="s">
        <v>1900</v>
      </c>
      <c r="WU26" t="s">
        <v>1900</v>
      </c>
      <c r="WV26" t="s">
        <v>1900</v>
      </c>
      <c r="WW26" t="s">
        <v>1900</v>
      </c>
      <c r="WX26" t="s">
        <v>1900</v>
      </c>
      <c r="WY26" t="s">
        <v>1900</v>
      </c>
      <c r="WZ26" t="s">
        <v>1900</v>
      </c>
      <c r="XA26" t="s">
        <v>1900</v>
      </c>
      <c r="XB26" t="s">
        <v>1900</v>
      </c>
      <c r="XC26" t="s">
        <v>1900</v>
      </c>
      <c r="XD26" t="s">
        <v>1900</v>
      </c>
      <c r="XE26" t="s">
        <v>1900</v>
      </c>
      <c r="XF26" t="s">
        <v>1900</v>
      </c>
      <c r="XG26" t="s">
        <v>1900</v>
      </c>
      <c r="XH26" t="s">
        <v>1900</v>
      </c>
      <c r="XI26" t="s">
        <v>1900</v>
      </c>
      <c r="XJ26">
        <v>7655.13126713037</v>
      </c>
      <c r="XK26">
        <v>0</v>
      </c>
      <c r="XL26">
        <v>0</v>
      </c>
      <c r="XM26" t="s">
        <v>1900</v>
      </c>
      <c r="XN26" t="s">
        <v>1900</v>
      </c>
      <c r="XO26" t="s">
        <v>1900</v>
      </c>
      <c r="XP26" t="s">
        <v>1900</v>
      </c>
      <c r="XQ26" t="s">
        <v>1900</v>
      </c>
      <c r="XR26" t="s">
        <v>1900</v>
      </c>
      <c r="XS26" t="s">
        <v>1900</v>
      </c>
      <c r="XT26" t="s">
        <v>1900</v>
      </c>
      <c r="XU26" t="s">
        <v>1900</v>
      </c>
      <c r="XV26" t="s">
        <v>1900</v>
      </c>
      <c r="XW26" t="s">
        <v>1900</v>
      </c>
      <c r="XX26" t="s">
        <v>1900</v>
      </c>
      <c r="XY26" t="s">
        <v>1900</v>
      </c>
      <c r="XZ26">
        <v>0</v>
      </c>
      <c r="YA26">
        <v>0</v>
      </c>
      <c r="YB26" t="s">
        <v>1900</v>
      </c>
      <c r="YC26" t="s">
        <v>1900</v>
      </c>
      <c r="YD26" t="s">
        <v>1900</v>
      </c>
      <c r="YE26" t="s">
        <v>1900</v>
      </c>
      <c r="YF26" t="s">
        <v>1900</v>
      </c>
      <c r="YG26" t="s">
        <v>1900</v>
      </c>
      <c r="YH26" t="s">
        <v>1900</v>
      </c>
      <c r="YI26" t="s">
        <v>1900</v>
      </c>
      <c r="YJ26" t="s">
        <v>1900</v>
      </c>
      <c r="YK26" t="s">
        <v>1900</v>
      </c>
      <c r="YL26" t="s">
        <v>1900</v>
      </c>
      <c r="YM26" t="s">
        <v>1900</v>
      </c>
      <c r="YN26" t="s">
        <v>1900</v>
      </c>
      <c r="YO26" t="s">
        <v>1900</v>
      </c>
      <c r="YP26" t="s">
        <v>1900</v>
      </c>
      <c r="YQ26" t="s">
        <v>1900</v>
      </c>
      <c r="YR26" t="s">
        <v>1900</v>
      </c>
      <c r="YS26" t="s">
        <v>1900</v>
      </c>
      <c r="YT26" t="s">
        <v>1900</v>
      </c>
      <c r="YU26" t="s">
        <v>1900</v>
      </c>
      <c r="YV26" t="s">
        <v>1900</v>
      </c>
      <c r="YW26" t="s">
        <v>1900</v>
      </c>
      <c r="YX26" t="s">
        <v>1900</v>
      </c>
      <c r="YY26" t="s">
        <v>1900</v>
      </c>
      <c r="YZ26" t="s">
        <v>1900</v>
      </c>
      <c r="ZA26" t="s">
        <v>1900</v>
      </c>
      <c r="ZB26" t="s">
        <v>1900</v>
      </c>
      <c r="ZC26" t="s">
        <v>1900</v>
      </c>
      <c r="ZD26" t="s">
        <v>1900</v>
      </c>
      <c r="ZE26" t="s">
        <v>1900</v>
      </c>
      <c r="ZF26" t="s">
        <v>1900</v>
      </c>
      <c r="ZG26" t="s">
        <v>1900</v>
      </c>
      <c r="ZH26" t="s">
        <v>1900</v>
      </c>
      <c r="ZI26" t="s">
        <v>1900</v>
      </c>
      <c r="ZJ26" t="s">
        <v>1900</v>
      </c>
      <c r="ZK26" t="s">
        <v>1900</v>
      </c>
      <c r="ZL26" t="s">
        <v>1900</v>
      </c>
      <c r="ZM26" t="s">
        <v>1900</v>
      </c>
      <c r="ZN26" t="s">
        <v>1900</v>
      </c>
      <c r="ZO26" t="s">
        <v>1900</v>
      </c>
      <c r="ZP26" t="s">
        <v>1900</v>
      </c>
      <c r="ZQ26" t="s">
        <v>1900</v>
      </c>
      <c r="ZR26" t="s">
        <v>1900</v>
      </c>
      <c r="ZS26" t="s">
        <v>1900</v>
      </c>
      <c r="ZT26" t="s">
        <v>1900</v>
      </c>
      <c r="ZU26" t="s">
        <v>1900</v>
      </c>
      <c r="ZV26" t="s">
        <v>1900</v>
      </c>
      <c r="ZW26" t="s">
        <v>1900</v>
      </c>
      <c r="ZX26" t="s">
        <v>1900</v>
      </c>
      <c r="ZY26" t="s">
        <v>1900</v>
      </c>
      <c r="ZZ26" t="s">
        <v>1900</v>
      </c>
      <c r="AAA26" t="s">
        <v>1900</v>
      </c>
      <c r="AAB26" t="s">
        <v>1900</v>
      </c>
      <c r="AAC26" t="s">
        <v>1900</v>
      </c>
      <c r="AAD26" t="s">
        <v>1900</v>
      </c>
      <c r="AAE26" t="s">
        <v>1900</v>
      </c>
      <c r="AAF26" t="s">
        <v>1900</v>
      </c>
      <c r="AAG26" t="s">
        <v>1900</v>
      </c>
      <c r="AAH26" t="s">
        <v>1900</v>
      </c>
      <c r="AAI26" t="s">
        <v>1900</v>
      </c>
      <c r="AAJ26" t="s">
        <v>1900</v>
      </c>
      <c r="AAK26" t="s">
        <v>1900</v>
      </c>
      <c r="AAL26" t="s">
        <v>1900</v>
      </c>
      <c r="AAM26" t="s">
        <v>1900</v>
      </c>
      <c r="AAN26" t="s">
        <v>1900</v>
      </c>
      <c r="AAO26" t="s">
        <v>1900</v>
      </c>
      <c r="AAP26" t="s">
        <v>1900</v>
      </c>
      <c r="AAQ26" t="s">
        <v>1900</v>
      </c>
      <c r="AAR26" t="s">
        <v>1900</v>
      </c>
      <c r="AAS26" t="s">
        <v>1900</v>
      </c>
      <c r="AAT26" t="s">
        <v>1900</v>
      </c>
      <c r="AAU26" t="s">
        <v>1900</v>
      </c>
      <c r="AAV26" t="s">
        <v>1900</v>
      </c>
      <c r="AAW26" t="s">
        <v>1900</v>
      </c>
      <c r="AAX26" t="s">
        <v>1900</v>
      </c>
      <c r="AAY26" t="s">
        <v>1900</v>
      </c>
      <c r="AAZ26" t="s">
        <v>1900</v>
      </c>
      <c r="ABA26" t="s">
        <v>1900</v>
      </c>
      <c r="ABB26" t="s">
        <v>1900</v>
      </c>
      <c r="ABC26" t="s">
        <v>1900</v>
      </c>
      <c r="ABD26" t="s">
        <v>1900</v>
      </c>
      <c r="ABE26" t="s">
        <v>1900</v>
      </c>
      <c r="ABF26" t="s">
        <v>1900</v>
      </c>
      <c r="ABG26" t="s">
        <v>1900</v>
      </c>
      <c r="ABH26" t="s">
        <v>1900</v>
      </c>
      <c r="ABI26" t="s">
        <v>1900</v>
      </c>
      <c r="ABJ26" t="s">
        <v>1900</v>
      </c>
      <c r="ABK26" t="s">
        <v>1900</v>
      </c>
      <c r="ABL26" t="s">
        <v>1900</v>
      </c>
      <c r="ABM26" t="s">
        <v>1900</v>
      </c>
      <c r="ABN26" t="s">
        <v>1900</v>
      </c>
      <c r="ABO26" t="s">
        <v>1900</v>
      </c>
      <c r="ABP26" t="s">
        <v>1900</v>
      </c>
      <c r="ABQ26" t="s">
        <v>1900</v>
      </c>
      <c r="ABR26" t="s">
        <v>1900</v>
      </c>
      <c r="ABS26" t="s">
        <v>1900</v>
      </c>
      <c r="ABT26" t="s">
        <v>1900</v>
      </c>
      <c r="ABU26" t="s">
        <v>1900</v>
      </c>
      <c r="ABV26" t="s">
        <v>1900</v>
      </c>
      <c r="ABW26" t="s">
        <v>1900</v>
      </c>
      <c r="ABX26" t="s">
        <v>1900</v>
      </c>
      <c r="ABY26" t="s">
        <v>1900</v>
      </c>
      <c r="ABZ26" t="s">
        <v>1900</v>
      </c>
      <c r="ACA26" t="s">
        <v>1900</v>
      </c>
      <c r="ACB26" t="s">
        <v>1900</v>
      </c>
      <c r="ACC26" t="s">
        <v>1900</v>
      </c>
      <c r="ACD26" t="s">
        <v>1900</v>
      </c>
      <c r="ACE26">
        <v>-16.419</v>
      </c>
      <c r="ACF26">
        <v>2.091</v>
      </c>
      <c r="ACG26">
        <v>-26.964</v>
      </c>
      <c r="ACH26" t="s">
        <v>1900</v>
      </c>
      <c r="ACI26" t="s">
        <v>1900</v>
      </c>
      <c r="ACJ26">
        <v>-8.093</v>
      </c>
      <c r="ACK26">
        <v>1.981</v>
      </c>
      <c r="ACL26">
        <v>-16.655</v>
      </c>
      <c r="ACM26" t="s">
        <v>1900</v>
      </c>
      <c r="ACN26" t="s">
        <v>1900</v>
      </c>
      <c r="ACO26">
        <v>-12.03</v>
      </c>
      <c r="ACP26">
        <v>1.595</v>
      </c>
      <c r="ACQ26">
        <v>-8.210000000000001</v>
      </c>
      <c r="ACR26" t="s">
        <v>1900</v>
      </c>
      <c r="ACS26" t="s">
        <v>1900</v>
      </c>
      <c r="ACT26">
        <v>-12.364</v>
      </c>
      <c r="ACU26">
        <v>3.709</v>
      </c>
      <c r="ACV26">
        <v>-26.964</v>
      </c>
      <c r="ACW26" t="s">
        <v>1900</v>
      </c>
      <c r="ACX26" t="s">
        <v>1900</v>
      </c>
      <c r="ACY26">
        <v>-4.481</v>
      </c>
      <c r="ACZ26">
        <v>3.379</v>
      </c>
      <c r="ADA26">
        <v>-16.655</v>
      </c>
      <c r="ADB26" t="s">
        <v>1900</v>
      </c>
      <c r="ADC26" t="s">
        <v>1900</v>
      </c>
      <c r="ADD26">
        <v>-9.058999999999999</v>
      </c>
      <c r="ADE26">
        <v>2.829</v>
      </c>
      <c r="ADF26">
        <v>-8.210000000000001</v>
      </c>
      <c r="ADG26" t="s">
        <v>1900</v>
      </c>
      <c r="ADH26" t="s">
        <v>1900</v>
      </c>
      <c r="ADI26">
        <v>-18.812</v>
      </c>
      <c r="ADJ26">
        <v>4.511</v>
      </c>
      <c r="ADK26">
        <v>-56.519</v>
      </c>
      <c r="ADL26" t="s">
        <v>1900</v>
      </c>
      <c r="ADM26" t="s">
        <v>1900</v>
      </c>
      <c r="ADN26">
        <v>98.035</v>
      </c>
      <c r="ADO26">
        <v>93.492</v>
      </c>
      <c r="ADP26">
        <v>84.401</v>
      </c>
      <c r="ADQ26" t="s">
        <v>1900</v>
      </c>
      <c r="ADR26" t="s">
        <v>1900</v>
      </c>
      <c r="ADS26">
        <v>-10.404525672</v>
      </c>
      <c r="ADT26">
        <v>4.951937558</v>
      </c>
      <c r="ADU26">
        <v>-55.779354919</v>
      </c>
      <c r="ADV26" t="s">
        <v>1900</v>
      </c>
      <c r="ADW26" t="s">
        <v>1900</v>
      </c>
      <c r="ADX26">
        <v>-1.202</v>
      </c>
      <c r="ADY26">
        <v>18.608</v>
      </c>
      <c r="ADZ26">
        <v>-19.043</v>
      </c>
      <c r="AEA26" t="s">
        <v>1900</v>
      </c>
      <c r="AEB26" t="s">
        <v>1900</v>
      </c>
      <c r="AEC26">
        <v>-10.405</v>
      </c>
      <c r="AED26">
        <v>4.952</v>
      </c>
      <c r="AEE26">
        <v>-55.779</v>
      </c>
      <c r="AEF26" t="s">
        <v>1900</v>
      </c>
      <c r="AEG26" t="s">
        <v>1900</v>
      </c>
      <c r="AEH26">
        <v>-4.964</v>
      </c>
      <c r="AEI26">
        <v>21.656</v>
      </c>
      <c r="AEJ26">
        <v>-19.782</v>
      </c>
      <c r="AEK26" t="s">
        <v>1900</v>
      </c>
      <c r="AEL26" t="s">
        <v>1900</v>
      </c>
      <c r="AEM26">
        <v>-9.424002873999999</v>
      </c>
      <c r="AEN26">
        <v>5.20993004</v>
      </c>
      <c r="AEO26">
        <v>-35.806641354</v>
      </c>
      <c r="AEP26" t="s">
        <v>1900</v>
      </c>
      <c r="AEQ26" t="s">
        <v>1900</v>
      </c>
      <c r="AER26">
        <v>0.90405185</v>
      </c>
      <c r="AES26">
        <v>1.055928662</v>
      </c>
      <c r="AET26">
        <v>0.602088836</v>
      </c>
      <c r="AEU26" t="s">
        <v>1900</v>
      </c>
      <c r="AEV26" t="s">
        <v>1900</v>
      </c>
      <c r="AEW26" t="s">
        <v>1900</v>
      </c>
      <c r="AEX26" t="s">
        <v>1900</v>
      </c>
      <c r="AEY26" t="s">
        <v>1900</v>
      </c>
      <c r="AEZ26" t="s">
        <v>1900</v>
      </c>
      <c r="AFA26" t="s">
        <v>1900</v>
      </c>
      <c r="AFB26" t="s">
        <v>1900</v>
      </c>
      <c r="AFC26" t="s">
        <v>1900</v>
      </c>
      <c r="AFD26" t="s">
        <v>1900</v>
      </c>
      <c r="AFE26" t="s">
        <v>1900</v>
      </c>
      <c r="AFF26" t="s">
        <v>1900</v>
      </c>
      <c r="AFG26">
        <v>0.778</v>
      </c>
      <c r="AFH26">
        <v>0.4</v>
      </c>
      <c r="AFI26">
        <v>0.298</v>
      </c>
      <c r="AFJ26" t="s">
        <v>1900</v>
      </c>
      <c r="AFK26" t="s">
        <v>1900</v>
      </c>
      <c r="AFL26">
        <v>-1.238</v>
      </c>
      <c r="AFM26">
        <v>11.348</v>
      </c>
      <c r="AFN26">
        <v>-87.61</v>
      </c>
      <c r="AFO26" t="s">
        <v>1900</v>
      </c>
      <c r="AFP26" t="s">
        <v>1900</v>
      </c>
      <c r="AFQ26">
        <v>533.083</v>
      </c>
      <c r="AFR26">
        <v>26.377</v>
      </c>
      <c r="AFS26">
        <v>104.5</v>
      </c>
      <c r="AFT26" t="s">
        <v>1900</v>
      </c>
      <c r="AFU26" t="s">
        <v>1900</v>
      </c>
      <c r="AFV26">
        <v>71.798</v>
      </c>
      <c r="AFW26">
        <v>90.601</v>
      </c>
      <c r="AFX26">
        <v>54.922</v>
      </c>
      <c r="AFY26" t="s">
        <v>1900</v>
      </c>
      <c r="AFZ26" t="s">
        <v>1900</v>
      </c>
      <c r="AGA26">
        <v>0.035</v>
      </c>
      <c r="AGB26">
        <v>0</v>
      </c>
      <c r="AGC26" t="s">
        <v>1900</v>
      </c>
      <c r="AGD26" t="s">
        <v>1900</v>
      </c>
      <c r="AGE26" t="s">
        <v>1900</v>
      </c>
      <c r="AGF26" t="s">
        <v>1900</v>
      </c>
      <c r="AGG26" t="s">
        <v>1900</v>
      </c>
      <c r="AGH26" t="s">
        <v>1900</v>
      </c>
      <c r="AGI26" t="s">
        <v>1900</v>
      </c>
      <c r="AGJ26" t="s">
        <v>1900</v>
      </c>
      <c r="AGK26" t="s">
        <v>1900</v>
      </c>
      <c r="AGL26" t="s">
        <v>1900</v>
      </c>
      <c r="AGM26" t="s">
        <v>1900</v>
      </c>
      <c r="AGN26" t="s">
        <v>1900</v>
      </c>
      <c r="AGO26" t="s">
        <v>1900</v>
      </c>
      <c r="AGP26" t="s">
        <v>1900</v>
      </c>
      <c r="AGQ26" t="s">
        <v>1900</v>
      </c>
      <c r="AGR26" t="s">
        <v>1900</v>
      </c>
      <c r="AGS26" t="s">
        <v>1900</v>
      </c>
      <c r="AGT26" t="s">
        <v>1900</v>
      </c>
      <c r="AGU26">
        <v>0</v>
      </c>
      <c r="AGV26">
        <v>0</v>
      </c>
      <c r="AGW26">
        <v>0</v>
      </c>
      <c r="AGX26">
        <v>0</v>
      </c>
      <c r="AGY26">
        <v>0</v>
      </c>
      <c r="AGZ26">
        <v>1.373</v>
      </c>
      <c r="AHA26">
        <v>3.389</v>
      </c>
      <c r="AHB26">
        <v>0.736</v>
      </c>
      <c r="AHC26" t="s">
        <v>1900</v>
      </c>
      <c r="AHD26" t="s">
        <v>1900</v>
      </c>
      <c r="AHE26">
        <v>1.367</v>
      </c>
      <c r="AHF26">
        <v>3.274</v>
      </c>
      <c r="AHG26">
        <v>0.734</v>
      </c>
      <c r="AHH26" t="s">
        <v>1900</v>
      </c>
      <c r="AHI26" t="s">
        <v>1900</v>
      </c>
      <c r="AHJ26">
        <v>8.177</v>
      </c>
      <c r="AHK26">
        <v>6.348</v>
      </c>
      <c r="AHL26">
        <v>1.664</v>
      </c>
      <c r="AHM26" t="s">
        <v>1900</v>
      </c>
      <c r="AHN26" t="s">
        <v>1900</v>
      </c>
      <c r="AHO26">
        <v>73.26900000000001</v>
      </c>
      <c r="AHP26">
        <v>76.295</v>
      </c>
      <c r="AHQ26">
        <v>30.447</v>
      </c>
      <c r="AHR26" t="s">
        <v>1900</v>
      </c>
      <c r="AHS26" t="s">
        <v>1900</v>
      </c>
      <c r="AHT26" t="s">
        <v>1901</v>
      </c>
      <c r="AHU26" t="s">
        <v>1901</v>
      </c>
      <c r="AHV26">
        <v>43.776</v>
      </c>
      <c r="AHW26" t="s">
        <v>1900</v>
      </c>
      <c r="AHX26" t="s">
        <v>1900</v>
      </c>
      <c r="AHY26">
        <v>12.763</v>
      </c>
      <c r="AHZ26">
        <v>16.179</v>
      </c>
      <c r="AIA26">
        <v>63.363</v>
      </c>
      <c r="AIB26" t="s">
        <v>1900</v>
      </c>
      <c r="AIC26" t="s">
        <v>1900</v>
      </c>
      <c r="AID26">
        <v>10.095522684</v>
      </c>
      <c r="AIE26">
        <v>6.315746082</v>
      </c>
      <c r="AIF26">
        <v>6.150077332</v>
      </c>
      <c r="AIG26" t="s">
        <v>1900</v>
      </c>
      <c r="AIH26" t="s">
        <v>1900</v>
      </c>
      <c r="AII26">
        <v>11.531069847</v>
      </c>
      <c r="AIJ26">
        <v>29.357533765</v>
      </c>
      <c r="AIK26">
        <v>35.384430514</v>
      </c>
      <c r="AIL26" t="s">
        <v>1900</v>
      </c>
      <c r="AIM26" t="s">
        <v>1900</v>
      </c>
      <c r="AIN26">
        <v>17.373574333</v>
      </c>
      <c r="AIO26">
        <v>11.361364991</v>
      </c>
      <c r="AIP26">
        <v>50.260225793</v>
      </c>
      <c r="AIQ26" t="s">
        <v>1900</v>
      </c>
      <c r="AIR26" t="s">
        <v>1900</v>
      </c>
      <c r="AIS26">
        <v>9.544129713</v>
      </c>
      <c r="AIT26">
        <v>58.254900058</v>
      </c>
      <c r="AIU26">
        <v>6.134610731</v>
      </c>
      <c r="AIV26" t="s">
        <v>1900</v>
      </c>
      <c r="AIW26" t="s">
        <v>1900</v>
      </c>
      <c r="AIX26">
        <v>-9.216107955421091</v>
      </c>
      <c r="AIY26">
        <v>2.58331767436123</v>
      </c>
      <c r="AIZ26">
        <v>-14.1736480908537</v>
      </c>
      <c r="AJA26" t="s">
        <v>1900</v>
      </c>
      <c r="AJB26" t="s">
        <v>1900</v>
      </c>
      <c r="AJC26">
        <v>48.9896257544549</v>
      </c>
      <c r="AJD26">
        <v>57.2700021670732</v>
      </c>
      <c r="AJE26">
        <v>25.0778285049588</v>
      </c>
      <c r="AJF26" t="s">
        <v>1900</v>
      </c>
      <c r="AJG26" t="s">
        <v>1900</v>
      </c>
      <c r="AJH26">
        <v>79.971</v>
      </c>
      <c r="AJI26">
        <v>76.717</v>
      </c>
      <c r="AJJ26" t="s">
        <v>1901</v>
      </c>
      <c r="AJK26" t="s">
        <v>1900</v>
      </c>
      <c r="AJL26" t="s">
        <v>1900</v>
      </c>
      <c r="AJM26">
        <v>39.1776756675416</v>
      </c>
      <c r="AJN26">
        <v>43.935699297802</v>
      </c>
      <c r="AJO26">
        <v>39.2600424563026</v>
      </c>
      <c r="AJP26" t="s">
        <v>1900</v>
      </c>
      <c r="AJQ26" t="s">
        <v>1900</v>
      </c>
      <c r="AJR26">
        <v>56.1320746427441</v>
      </c>
      <c r="AJS26">
        <v>123.545732960807</v>
      </c>
      <c r="AJT26">
        <v>52.5642615736979</v>
      </c>
      <c r="AJU26" t="s">
        <v>1900</v>
      </c>
      <c r="AJV26" t="s">
        <v>1900</v>
      </c>
      <c r="AJW26">
        <v>9.857639849822521</v>
      </c>
      <c r="AJX26">
        <v>16.5843612678575</v>
      </c>
      <c r="AJY26">
        <v>4.06590711402655</v>
      </c>
      <c r="AJZ26" t="s">
        <v>1900</v>
      </c>
      <c r="AKA26" t="s">
        <v>1900</v>
      </c>
      <c r="AKB26">
        <v>76.61110133988259</v>
      </c>
      <c r="AKC26">
        <v>161.931850148025</v>
      </c>
      <c r="AKD26">
        <v>172.639140410612</v>
      </c>
      <c r="AKE26" t="s">
        <v>1900</v>
      </c>
      <c r="AKF26" t="s">
        <v>1900</v>
      </c>
      <c r="AKG26">
        <v>9.544129713</v>
      </c>
      <c r="AKH26">
        <v>58.254900058</v>
      </c>
      <c r="AKI26">
        <v>6.134610731</v>
      </c>
      <c r="AKJ26" t="s">
        <v>1900</v>
      </c>
      <c r="AKK26" t="s">
        <v>1900</v>
      </c>
      <c r="AKL26">
        <v>0.187588068</v>
      </c>
      <c r="AKM26">
        <v>3.791121393</v>
      </c>
      <c r="AKN26">
        <v>0.956933805</v>
      </c>
      <c r="AKO26" t="s">
        <v>1900</v>
      </c>
      <c r="AKP26" t="s">
        <v>1900</v>
      </c>
      <c r="AKQ26">
        <v>0.119954798</v>
      </c>
      <c r="AKR26">
        <v>1.340795701</v>
      </c>
      <c r="AKS26">
        <v>0.139005685</v>
      </c>
      <c r="AKT26" t="s">
        <v>1900</v>
      </c>
      <c r="AKU26" t="s">
        <v>1900</v>
      </c>
      <c r="AKV26">
        <v>101.149681671</v>
      </c>
      <c r="AKW26">
        <v>151.836145676</v>
      </c>
      <c r="AKX26">
        <v>383.456488819</v>
      </c>
      <c r="AKY26" t="s">
        <v>1900</v>
      </c>
      <c r="AKZ26" t="s">
        <v>1900</v>
      </c>
      <c r="ALA26">
        <v>64.681030862</v>
      </c>
      <c r="ALB26">
        <v>53.699481055</v>
      </c>
      <c r="ALC26">
        <v>55.701482714</v>
      </c>
      <c r="ALD26" t="s">
        <v>1900</v>
      </c>
      <c r="ALE26" t="s">
        <v>1900</v>
      </c>
      <c r="ALF26">
        <v>1.280850753</v>
      </c>
      <c r="ALG26">
        <v>1.090490938</v>
      </c>
      <c r="ALH26">
        <v>2.81465974</v>
      </c>
      <c r="ALI26" t="s">
        <v>1900</v>
      </c>
      <c r="ALJ26" t="s">
        <v>1900</v>
      </c>
      <c r="ALK26">
        <v>0.819050992</v>
      </c>
      <c r="ALL26">
        <v>0.385670995</v>
      </c>
      <c r="ALM26">
        <v>0.408861828</v>
      </c>
      <c r="ALN26" t="s">
        <v>1900</v>
      </c>
      <c r="ALO26" t="s">
        <v>1900</v>
      </c>
      <c r="ALP26">
        <v>19.944014205</v>
      </c>
      <c r="ALQ26">
        <v>25.16707701</v>
      </c>
      <c r="ALR26">
        <v>15.256218701</v>
      </c>
      <c r="ALS26" t="s">
        <v>1900</v>
      </c>
      <c r="ALT26" t="s">
        <v>1900</v>
      </c>
      <c r="ALU26">
        <v>0.048684758</v>
      </c>
      <c r="ALV26">
        <v>0</v>
      </c>
      <c r="ALW26" t="s">
        <v>1900</v>
      </c>
      <c r="ALX26" t="s">
        <v>1900</v>
      </c>
      <c r="ALY26" t="s">
        <v>1900</v>
      </c>
      <c r="ALZ26">
        <v>98.0345188765174</v>
      </c>
      <c r="AMA26">
        <v>93.492184538392</v>
      </c>
      <c r="AMB26">
        <v>84.4010672022242</v>
      </c>
      <c r="AMC26" t="s">
        <v>1900</v>
      </c>
      <c r="AMD26" t="s">
        <v>1900</v>
      </c>
      <c r="AME26">
        <v>98.0345188765174</v>
      </c>
      <c r="AMF26">
        <v>93.7975444571845</v>
      </c>
      <c r="AMG26">
        <v>84.4010672022242</v>
      </c>
      <c r="AMH26" t="s">
        <v>1900</v>
      </c>
      <c r="AMI26" t="s">
        <v>1900</v>
      </c>
      <c r="AMJ26">
        <v>4987.8127907336</v>
      </c>
      <c r="AMK26">
        <v>1436.61394656834</v>
      </c>
      <c r="AML26">
        <v>541.0694968457</v>
      </c>
      <c r="AMM26" t="s">
        <v>1900</v>
      </c>
      <c r="AMN26" t="s">
        <v>1900</v>
      </c>
      <c r="AMO26">
        <v>0.904051850369468</v>
      </c>
      <c r="AMP26">
        <v>1.05592866212663</v>
      </c>
      <c r="AMQ26">
        <v>0.602088838405006</v>
      </c>
      <c r="AMR26" t="s">
        <v>1900</v>
      </c>
      <c r="AMS26" t="s">
        <v>1900</v>
      </c>
      <c r="AMT26">
        <v>0.904051850369468</v>
      </c>
      <c r="AMU26">
        <v>1.05592866212663</v>
      </c>
      <c r="AMV26">
        <v>0.602088834612431</v>
      </c>
      <c r="AMW26" t="s">
        <v>1900</v>
      </c>
      <c r="AMX26" t="s">
        <v>1900</v>
      </c>
      <c r="AMY26">
        <v>0.904051850369468</v>
      </c>
      <c r="AMZ26">
        <v>1.05592866212663</v>
      </c>
      <c r="ANA26">
        <v>0.602088836121539</v>
      </c>
      <c r="ANB26" t="s">
        <v>1900</v>
      </c>
      <c r="ANC26" t="s">
        <v>1900</v>
      </c>
      <c r="AND26">
        <v>-10.4045256721472</v>
      </c>
      <c r="ANE26">
        <v>4.95193755797582</v>
      </c>
      <c r="ANF26">
        <v>-55.7793549193825</v>
      </c>
      <c r="ANG26" t="s">
        <v>1900</v>
      </c>
      <c r="ANH26" t="s">
        <v>1900</v>
      </c>
      <c r="ANI26">
        <v>-10.4045256721472</v>
      </c>
      <c r="ANJ26">
        <v>4.96811135109056</v>
      </c>
      <c r="ANK26">
        <v>-55.7793549193825</v>
      </c>
      <c r="ANL26" t="s">
        <v>1900</v>
      </c>
      <c r="ANM26" t="s">
        <v>1900</v>
      </c>
      <c r="ANN26">
        <v>-9.4240028737989</v>
      </c>
      <c r="ANO26">
        <v>5.20993004039017</v>
      </c>
      <c r="ANP26">
        <v>-35.8066413538873</v>
      </c>
      <c r="ANQ26" t="s">
        <v>1900</v>
      </c>
      <c r="ANR26" t="s">
        <v>1900</v>
      </c>
      <c r="ANS26">
        <v>-8.0911427322003</v>
      </c>
      <c r="ANT26">
        <v>1.98307053716197</v>
      </c>
      <c r="ANU26">
        <v>-16.6239534874988</v>
      </c>
      <c r="ANV26" t="s">
        <v>1900</v>
      </c>
      <c r="ANW26" t="s">
        <v>1900</v>
      </c>
      <c r="ANX26">
        <v>98.0345188765174</v>
      </c>
      <c r="ANY26">
        <v>93.492184538392</v>
      </c>
      <c r="ANZ26">
        <v>84.4010672022242</v>
      </c>
      <c r="AOA26" t="s">
        <v>1900</v>
      </c>
      <c r="AOB26" t="s">
        <v>1900</v>
      </c>
      <c r="AOC26">
        <v>88.7957430002795</v>
      </c>
      <c r="AOD26">
        <v>98.36306194607469</v>
      </c>
      <c r="AOE26">
        <v>54.1798797702704</v>
      </c>
      <c r="AOF26" t="s">
        <v>1900</v>
      </c>
      <c r="AOG26" t="s">
        <v>1900</v>
      </c>
      <c r="AOH26">
        <v>62.6890133142632</v>
      </c>
      <c r="AOI26">
        <v>33.0651293210125</v>
      </c>
      <c r="AOJ26">
        <v>12.2602295773546</v>
      </c>
      <c r="AOK26" t="s">
        <v>1900</v>
      </c>
      <c r="AOL26" t="s">
        <v>1900</v>
      </c>
      <c r="AOM26">
        <v>-529.3627879626659</v>
      </c>
      <c r="AON26">
        <v>76.0921631412122</v>
      </c>
      <c r="AOO26">
        <v>-357.584429925462</v>
      </c>
      <c r="AOP26" t="s">
        <v>1900</v>
      </c>
      <c r="AOQ26" t="s">
        <v>1900</v>
      </c>
      <c r="AOR26">
        <v>-9.594814963053199</v>
      </c>
      <c r="AOS26">
        <v>5.59286621266272</v>
      </c>
      <c r="AOT26">
        <v>-39.7911165387569</v>
      </c>
      <c r="AOU26" t="s">
        <v>1900</v>
      </c>
      <c r="AOV26" t="s">
        <v>1900</v>
      </c>
      <c r="AOW26">
        <v>-6.65326311450961</v>
      </c>
      <c r="AOX26">
        <v>1.75133843061301</v>
      </c>
      <c r="AOY26">
        <v>-8.1025953777318</v>
      </c>
      <c r="AOZ26" t="s">
        <v>1900</v>
      </c>
      <c r="APA26" t="s">
        <v>1900</v>
      </c>
      <c r="APB26">
        <v>-14.1666946126847</v>
      </c>
      <c r="APC26">
        <v>8.00017736978984</v>
      </c>
      <c r="APD26">
        <v>-56.5186440339155</v>
      </c>
      <c r="APE26" t="s">
        <v>1900</v>
      </c>
      <c r="APF26" t="s">
        <v>1900</v>
      </c>
      <c r="APG26">
        <v>-14.1666946126847</v>
      </c>
      <c r="APH26">
        <v>8.026307185068269</v>
      </c>
      <c r="API26">
        <v>-56.5186440339155</v>
      </c>
      <c r="APJ26" t="s">
        <v>1900</v>
      </c>
      <c r="APK26" t="s">
        <v>1900</v>
      </c>
      <c r="APL26">
        <v>-720.774900528341</v>
      </c>
      <c r="APM26">
        <v>122.931841214395</v>
      </c>
      <c r="APN26">
        <v>-362.323786932234</v>
      </c>
      <c r="APO26" t="s">
        <v>1900</v>
      </c>
      <c r="APP26" t="s">
        <v>1900</v>
      </c>
      <c r="APQ26">
        <v>-13.064200880456</v>
      </c>
      <c r="APR26">
        <v>9.03563931955077</v>
      </c>
      <c r="APS26">
        <v>-40.3185005387105</v>
      </c>
      <c r="APT26" t="s">
        <v>1900</v>
      </c>
      <c r="APU26" t="s">
        <v>1900</v>
      </c>
      <c r="APV26">
        <v>-12.831624905263</v>
      </c>
      <c r="APW26">
        <v>8.416981013863021</v>
      </c>
      <c r="APX26">
        <v>-36.2812158666112</v>
      </c>
      <c r="APY26" t="s">
        <v>1900</v>
      </c>
      <c r="APZ26" t="s">
        <v>1900</v>
      </c>
      <c r="AQA26">
        <v>-9.05901428773597</v>
      </c>
      <c r="AQB26">
        <v>2.82940120213484</v>
      </c>
      <c r="AQC26">
        <v>-8.20998565807621</v>
      </c>
      <c r="AQD26" t="s">
        <v>1900</v>
      </c>
      <c r="AQE26" t="s">
        <v>1900</v>
      </c>
      <c r="AQF26">
        <v>-0.095948149630532</v>
      </c>
      <c r="AQG26">
        <v>0.0559286621266272</v>
      </c>
      <c r="AQH26">
        <v>-0.397911163878461</v>
      </c>
      <c r="AQI26" t="s">
        <v>1900</v>
      </c>
      <c r="AQJ26" t="s">
        <v>1900</v>
      </c>
      <c r="AQK26">
        <v>7</v>
      </c>
      <c r="AQO26" t="s">
        <v>1902</v>
      </c>
      <c r="AQP26">
        <v>5</v>
      </c>
      <c r="AQQ26">
        <v>0</v>
      </c>
      <c r="AQS26" t="s">
        <v>1905</v>
      </c>
      <c r="AQU26" t="s">
        <v>1906</v>
      </c>
      <c r="AQV26">
        <v>1077771.76452021</v>
      </c>
      <c r="AQW26">
        <v>629970.020522804</v>
      </c>
      <c r="AQX26">
        <v>200622.62803967</v>
      </c>
      <c r="AQY26">
        <v>-112137.039926659</v>
      </c>
      <c r="AQZ26">
        <v>31195.7220502567</v>
      </c>
      <c r="ARA26">
        <v>-111906.00774284</v>
      </c>
      <c r="ARB26">
        <v>1908364.413082684</v>
      </c>
      <c r="ARC26">
        <v>-192847.3256192423</v>
      </c>
      <c r="ARD26">
        <v>-0.09177910158562998</v>
      </c>
      <c r="ARE26">
        <v>-0.09177910158562998</v>
      </c>
      <c r="ARF26">
        <v>-0.09177910158562998</v>
      </c>
      <c r="ARG26" t="s">
        <v>1907</v>
      </c>
      <c r="ARH26" t="s">
        <v>1907</v>
      </c>
      <c r="ARI26" t="s">
        <v>1907</v>
      </c>
      <c r="ARJ26" t="s">
        <v>1187</v>
      </c>
      <c r="ARK26" t="s">
        <v>1525</v>
      </c>
      <c r="ARL26" t="s">
        <v>1908</v>
      </c>
      <c r="ARM26" t="s">
        <v>1908</v>
      </c>
      <c r="ARN26" t="s">
        <v>1909</v>
      </c>
      <c r="ARO26" t="s">
        <v>1908</v>
      </c>
      <c r="ARP26" t="s">
        <v>1907</v>
      </c>
      <c r="ARQ26" t="s">
        <v>1930</v>
      </c>
      <c r="ARR26">
        <f>HYPERLINK("C:\Users\Usuario\Documents\Proyectos\llmthon\evidence\siguetuliga_com_233747.png", "Ver Evidencia")</f>
        <v>0</v>
      </c>
      <c r="ARS26">
        <v>100</v>
      </c>
    </row>
    <row r="27" spans="1:1163">
      <c r="A27">
        <v>444</v>
      </c>
      <c r="B27" t="s">
        <v>1188</v>
      </c>
      <c r="C27" t="s">
        <v>1311</v>
      </c>
      <c r="E27" s="2">
        <v>41323</v>
      </c>
      <c r="F27" t="s">
        <v>1431</v>
      </c>
      <c r="G27" t="s">
        <v>1433</v>
      </c>
      <c r="H27" t="s">
        <v>1434</v>
      </c>
      <c r="I27" t="s">
        <v>1443</v>
      </c>
      <c r="J27" t="s">
        <v>1465</v>
      </c>
      <c r="L27" t="s">
        <v>1526</v>
      </c>
      <c r="N27" t="s">
        <v>1631</v>
      </c>
      <c r="O27" t="s">
        <v>1655</v>
      </c>
      <c r="P27">
        <v>6202</v>
      </c>
      <c r="Q27">
        <v>6202</v>
      </c>
      <c r="R27" t="s">
        <v>1697</v>
      </c>
      <c r="Z27" t="s">
        <v>1899</v>
      </c>
      <c r="AA27" s="2">
        <v>45657</v>
      </c>
      <c r="AB27">
        <v>2024</v>
      </c>
      <c r="AC27">
        <v>1580155.09587461</v>
      </c>
      <c r="AD27">
        <v>1615271.70236409</v>
      </c>
      <c r="AE27">
        <v>1418731.32568373</v>
      </c>
      <c r="AF27">
        <v>1523516.57758921</v>
      </c>
      <c r="AG27">
        <v>1680563.14522963</v>
      </c>
      <c r="AH27">
        <v>1528888.68645368</v>
      </c>
      <c r="AI27">
        <v>1575293.16012221</v>
      </c>
      <c r="AJ27">
        <v>1416196.01870014</v>
      </c>
      <c r="AK27">
        <v>1459532.64618223</v>
      </c>
      <c r="AL27">
        <v>1596571.04505396</v>
      </c>
      <c r="AM27">
        <v>78268.3642765236</v>
      </c>
      <c r="AN27">
        <v>91758.9980803108</v>
      </c>
      <c r="AO27">
        <v>139017.516159064</v>
      </c>
      <c r="AP27">
        <v>107439.495832372</v>
      </c>
      <c r="AQ27">
        <v>99344.9162475169</v>
      </c>
      <c r="AR27">
        <v>1501886.73159809</v>
      </c>
      <c r="AS27">
        <v>1523512.70428378</v>
      </c>
      <c r="AT27">
        <v>1279713.80845807</v>
      </c>
      <c r="AU27">
        <v>1416077.08288944</v>
      </c>
      <c r="AV27">
        <v>1581218.22898211</v>
      </c>
      <c r="AW27">
        <v>1380762.75248793</v>
      </c>
      <c r="AX27">
        <v>1441282.29122978</v>
      </c>
      <c r="AY27">
        <v>1184514.52553014</v>
      </c>
      <c r="AZ27">
        <v>1287778.98553863</v>
      </c>
      <c r="BA27">
        <v>1406242.83775205</v>
      </c>
      <c r="BB27">
        <v>121123.978071252</v>
      </c>
      <c r="BC27">
        <v>82230.413053999</v>
      </c>
      <c r="BD27">
        <v>95199.2839945257</v>
      </c>
      <c r="BE27">
        <v>128298.097350812</v>
      </c>
      <c r="BF27">
        <v>174975.39000296</v>
      </c>
      <c r="BG27">
        <v>-77.5538507282734</v>
      </c>
      <c r="BH27">
        <v>-1366.86351343155</v>
      </c>
      <c r="BI27">
        <v>-2615.70725301504</v>
      </c>
      <c r="BJ27">
        <v>5805.68652405739</v>
      </c>
      <c r="BK27">
        <v>-2569.36186811328</v>
      </c>
      <c r="BL27" t="s">
        <v>1900</v>
      </c>
      <c r="BM27" t="s">
        <v>1900</v>
      </c>
      <c r="BN27" t="s">
        <v>1900</v>
      </c>
      <c r="BO27">
        <v>9147.33312320709</v>
      </c>
      <c r="BP27" t="s">
        <v>1900</v>
      </c>
      <c r="BQ27">
        <v>77.5538507282734</v>
      </c>
      <c r="BR27">
        <v>1366.86351343155</v>
      </c>
      <c r="BS27">
        <v>2615.70725301504</v>
      </c>
      <c r="BT27">
        <v>3341.6465991497</v>
      </c>
      <c r="BU27">
        <v>2569.36186811328</v>
      </c>
      <c r="BV27">
        <v>121046.424220524</v>
      </c>
      <c r="BW27">
        <v>80863.5495405674</v>
      </c>
      <c r="BX27">
        <v>92583.57674151059</v>
      </c>
      <c r="BY27">
        <v>134103.783874869</v>
      </c>
      <c r="BZ27">
        <v>172406.028134847</v>
      </c>
      <c r="CA27">
        <v>15130.8030275655</v>
      </c>
      <c r="CB27">
        <v>10107.9367863178</v>
      </c>
      <c r="CC27">
        <v>11572.9457594395</v>
      </c>
      <c r="CD27">
        <v>25144.4516899109</v>
      </c>
      <c r="CE27">
        <v>32326.1272075355</v>
      </c>
      <c r="CF27">
        <v>105915.621192958</v>
      </c>
      <c r="CG27">
        <v>70755.6127542496</v>
      </c>
      <c r="CH27">
        <v>81010.6309820712</v>
      </c>
      <c r="CI27">
        <v>108959.332184958</v>
      </c>
      <c r="CJ27">
        <v>140079.900927311</v>
      </c>
      <c r="CK27" t="s">
        <v>1900</v>
      </c>
      <c r="CL27" t="s">
        <v>1900</v>
      </c>
      <c r="CM27" t="s">
        <v>1900</v>
      </c>
      <c r="CN27" t="s">
        <v>1900</v>
      </c>
      <c r="CO27" t="s">
        <v>1900</v>
      </c>
      <c r="CP27" t="s">
        <v>1900</v>
      </c>
      <c r="CQ27" t="s">
        <v>1900</v>
      </c>
      <c r="CR27" t="s">
        <v>1900</v>
      </c>
      <c r="CS27" t="s">
        <v>1900</v>
      </c>
      <c r="CT27" t="s">
        <v>1900</v>
      </c>
      <c r="CU27" t="s">
        <v>1900</v>
      </c>
      <c r="CV27" t="s">
        <v>1900</v>
      </c>
      <c r="CW27" t="s">
        <v>1900</v>
      </c>
      <c r="CX27" t="s">
        <v>1900</v>
      </c>
      <c r="CY27" t="s">
        <v>1900</v>
      </c>
      <c r="CZ27">
        <v>105915.621192958</v>
      </c>
      <c r="DA27">
        <v>70755.6127542496</v>
      </c>
      <c r="DB27">
        <v>81010.6309820712</v>
      </c>
      <c r="DC27">
        <v>108959.332184958</v>
      </c>
      <c r="DD27">
        <v>140079.900927311</v>
      </c>
      <c r="DE27" t="s">
        <v>1900</v>
      </c>
      <c r="DF27" t="s">
        <v>1900</v>
      </c>
      <c r="DG27" t="s">
        <v>1900</v>
      </c>
      <c r="DH27" t="s">
        <v>1900</v>
      </c>
      <c r="DI27" t="s">
        <v>1900</v>
      </c>
      <c r="DJ27">
        <v>73073.86657201769</v>
      </c>
      <c r="DK27">
        <v>75183.99064165119</v>
      </c>
      <c r="DL27">
        <v>160349.505924231</v>
      </c>
      <c r="DM27">
        <v>107439.495832372</v>
      </c>
      <c r="DN27">
        <v>99344.9162475169</v>
      </c>
      <c r="DO27">
        <v>1170820.52139815</v>
      </c>
      <c r="DP27">
        <v>1222392.53304475</v>
      </c>
      <c r="DQ27">
        <v>1002451.57119976</v>
      </c>
      <c r="DR27">
        <v>1082352.16636984</v>
      </c>
      <c r="DS27">
        <v>1187317.34142196</v>
      </c>
      <c r="DT27">
        <v>27691.0257540929</v>
      </c>
      <c r="DU27">
        <v>36548.1013523388</v>
      </c>
      <c r="DV27">
        <v>34922.3977906525</v>
      </c>
      <c r="DW27">
        <v>39519.7319203377</v>
      </c>
      <c r="DX27">
        <v>40441.9275980049</v>
      </c>
      <c r="DY27">
        <v>182251.206374594</v>
      </c>
      <c r="DZ27">
        <v>182341.656832695</v>
      </c>
      <c r="EA27">
        <v>147140.556539726</v>
      </c>
      <c r="EB27">
        <v>165907.087248445</v>
      </c>
      <c r="EC27">
        <v>178483.568732089</v>
      </c>
      <c r="ED27">
        <v>77.5538507282734</v>
      </c>
      <c r="EE27">
        <v>1366.86351343155</v>
      </c>
      <c r="EF27">
        <v>2615.70725301504</v>
      </c>
      <c r="EG27">
        <v>3341.6465991497</v>
      </c>
      <c r="EH27">
        <v>2569.36186811328</v>
      </c>
      <c r="EI27" t="s">
        <v>1900</v>
      </c>
      <c r="EJ27" t="s">
        <v>1900</v>
      </c>
      <c r="EK27" t="s">
        <v>1900</v>
      </c>
      <c r="EL27" t="s">
        <v>1900</v>
      </c>
      <c r="EM27" t="s">
        <v>1900</v>
      </c>
      <c r="EN27">
        <v>133606.646947051</v>
      </c>
      <c r="EO27">
        <v>107303.714106588</v>
      </c>
      <c r="EP27">
        <v>115933.028772724</v>
      </c>
      <c r="EQ27">
        <v>148479.062972696</v>
      </c>
      <c r="ER27">
        <v>180521.828525316</v>
      </c>
      <c r="ES27">
        <v>1319635.52522349</v>
      </c>
      <c r="ET27">
        <v>1341171.04745109</v>
      </c>
      <c r="EU27">
        <v>1132573.25298494</v>
      </c>
      <c r="EV27">
        <v>1259317.3276316</v>
      </c>
      <c r="EW27">
        <v>1402734.65902292</v>
      </c>
      <c r="EX27">
        <v>148815.002786445</v>
      </c>
      <c r="EY27">
        <v>118778.514406338</v>
      </c>
      <c r="EZ27">
        <v>130121.681785178</v>
      </c>
      <c r="FA27">
        <v>167817.82927115</v>
      </c>
      <c r="FB27">
        <v>215417.317600965</v>
      </c>
      <c r="FC27">
        <v>50056.4862375998</v>
      </c>
      <c r="FD27">
        <v>55607.0062557411</v>
      </c>
      <c r="FE27">
        <v>57586.0903468847</v>
      </c>
      <c r="FF27">
        <v>86115.3955875635</v>
      </c>
      <c r="FG27">
        <v>89196.71914427281</v>
      </c>
      <c r="FH27">
        <v>24872.9172484398</v>
      </c>
      <c r="FI27">
        <v>15015.2771386719</v>
      </c>
      <c r="FJ27">
        <v>16639.7946304262</v>
      </c>
      <c r="FK27">
        <v>23635.2731062174</v>
      </c>
      <c r="FL27">
        <v>27033.0466504335</v>
      </c>
      <c r="FM27">
        <v>22814.8780359054</v>
      </c>
      <c r="FN27">
        <v>38072.327986393</v>
      </c>
      <c r="FO27">
        <v>38514.4488832295</v>
      </c>
      <c r="FP27">
        <v>59897.7937803268</v>
      </c>
      <c r="FQ27">
        <v>62102.3175288677</v>
      </c>
      <c r="FR27">
        <v>2368.6909532547</v>
      </c>
      <c r="FS27">
        <v>2519.40113067627</v>
      </c>
      <c r="FT27">
        <v>2431.84683322906</v>
      </c>
      <c r="FU27">
        <v>2582.32870101929</v>
      </c>
      <c r="FV27">
        <v>61.3549649715424</v>
      </c>
      <c r="FW27">
        <v>24872.9172484398</v>
      </c>
      <c r="FX27">
        <v>15015.2771386719</v>
      </c>
      <c r="FY27">
        <v>16639.7946304262</v>
      </c>
      <c r="FZ27">
        <v>23635.2731062174</v>
      </c>
      <c r="GA27">
        <v>27033.0466504335</v>
      </c>
      <c r="GB27">
        <v>22814.8780359054</v>
      </c>
      <c r="GC27">
        <v>38072.327986393</v>
      </c>
      <c r="GD27">
        <v>38514.4488832295</v>
      </c>
      <c r="GE27">
        <v>59897.7937803268</v>
      </c>
      <c r="GF27">
        <v>62102.3175288677</v>
      </c>
      <c r="GG27">
        <v>2368.6909532547</v>
      </c>
      <c r="GH27">
        <v>2519.40113067627</v>
      </c>
      <c r="GI27">
        <v>2431.84683322906</v>
      </c>
      <c r="GJ27">
        <v>2582.32870101929</v>
      </c>
      <c r="GK27">
        <v>61.3549649715424</v>
      </c>
      <c r="GL27">
        <v>995424.337809258</v>
      </c>
      <c r="GM27">
        <v>1041736.59866858</v>
      </c>
      <c r="GN27">
        <v>1007638.08186734</v>
      </c>
      <c r="GO27">
        <v>1118273.95556746</v>
      </c>
      <c r="GP27">
        <v>1293645.88838941</v>
      </c>
      <c r="GQ27">
        <v>888.259107470512</v>
      </c>
      <c r="GR27">
        <v>7508.47836971283</v>
      </c>
      <c r="GS27">
        <v>23971.8234986067</v>
      </c>
      <c r="GT27">
        <v>3444.43007705212</v>
      </c>
      <c r="GU27">
        <v>3215.61371415854</v>
      </c>
      <c r="GV27">
        <v>500320.139200144</v>
      </c>
      <c r="GW27">
        <v>485695.398724127</v>
      </c>
      <c r="GX27">
        <v>582757.013126177</v>
      </c>
      <c r="GY27">
        <v>524653.511694574</v>
      </c>
      <c r="GZ27">
        <v>497255.056264728</v>
      </c>
      <c r="HA27">
        <v>494215.939501643</v>
      </c>
      <c r="HB27">
        <v>548532.721574745</v>
      </c>
      <c r="HC27">
        <v>400909.244175954</v>
      </c>
      <c r="HD27">
        <v>590176.013795829</v>
      </c>
      <c r="HE27">
        <v>793175.218410528</v>
      </c>
      <c r="HF27">
        <v>493294.549887813</v>
      </c>
      <c r="HG27">
        <v>545142.303803167</v>
      </c>
      <c r="HH27">
        <v>400572.946423906</v>
      </c>
      <c r="HI27">
        <v>588965.8190413</v>
      </c>
      <c r="HJ27">
        <v>789815.862284434</v>
      </c>
      <c r="HK27">
        <v>1045480.82404686</v>
      </c>
      <c r="HL27">
        <v>1097343.60492433</v>
      </c>
      <c r="HM27">
        <v>1065224.17221422</v>
      </c>
      <c r="HN27">
        <v>1204389.35115502</v>
      </c>
      <c r="HO27">
        <v>1382842.60753369</v>
      </c>
      <c r="HP27">
        <v>713070.755734781</v>
      </c>
      <c r="HQ27">
        <v>721603.147996626</v>
      </c>
      <c r="HR27">
        <v>680052.890402782</v>
      </c>
      <c r="HS27">
        <v>717855.824638796</v>
      </c>
      <c r="HT27">
        <v>721918.445604074</v>
      </c>
      <c r="HU27">
        <v>228303.36861074</v>
      </c>
      <c r="HV27">
        <v>242829.383978844</v>
      </c>
      <c r="HW27">
        <v>234390.570542216</v>
      </c>
      <c r="HX27">
        <v>248894.580566883</v>
      </c>
      <c r="HY27">
        <v>278551.540970802</v>
      </c>
      <c r="HZ27">
        <v>484767.387124041</v>
      </c>
      <c r="IA27">
        <v>478773.764017782</v>
      </c>
      <c r="IB27">
        <v>445662.319860566</v>
      </c>
      <c r="IC27">
        <v>468961.242939312</v>
      </c>
      <c r="ID27">
        <v>443366.904633272</v>
      </c>
      <c r="IE27">
        <v>0</v>
      </c>
      <c r="IF27">
        <v>22618.8408010578</v>
      </c>
      <c r="IG27">
        <v>86572.6060015023</v>
      </c>
      <c r="IH27">
        <v>159483.827754736</v>
      </c>
      <c r="II27">
        <v>220877.873897552</v>
      </c>
      <c r="IJ27" t="s">
        <v>1900</v>
      </c>
      <c r="IK27">
        <v>22618.8408010578</v>
      </c>
      <c r="IL27">
        <v>86572.6060015023</v>
      </c>
      <c r="IM27">
        <v>159483.827754736</v>
      </c>
      <c r="IN27">
        <v>220877.873897552</v>
      </c>
      <c r="IO27" t="s">
        <v>1900</v>
      </c>
      <c r="IP27">
        <v>0</v>
      </c>
      <c r="IQ27">
        <v>0</v>
      </c>
      <c r="IR27">
        <v>0</v>
      </c>
      <c r="IS27">
        <v>0</v>
      </c>
      <c r="IT27" t="s">
        <v>1900</v>
      </c>
      <c r="IU27">
        <v>0</v>
      </c>
      <c r="IV27">
        <v>0</v>
      </c>
      <c r="IW27">
        <v>0</v>
      </c>
      <c r="IX27">
        <v>0</v>
      </c>
      <c r="IY27">
        <v>332410.068312076</v>
      </c>
      <c r="IZ27">
        <v>353121.616126642</v>
      </c>
      <c r="JA27">
        <v>298598.675809938</v>
      </c>
      <c r="JB27">
        <v>327049.698761487</v>
      </c>
      <c r="JC27">
        <v>440046.288032061</v>
      </c>
      <c r="JD27">
        <v>25.2452588438988</v>
      </c>
      <c r="JE27">
        <v>0</v>
      </c>
      <c r="JF27">
        <v>980.460913586616</v>
      </c>
      <c r="JG27">
        <v>23.388196349144</v>
      </c>
      <c r="JH27">
        <v>133.778365623951</v>
      </c>
      <c r="JI27">
        <v>14706.7242349696</v>
      </c>
      <c r="JJ27">
        <v>18818.3241954327</v>
      </c>
      <c r="JK27">
        <v>57307.9851963162</v>
      </c>
      <c r="JL27">
        <v>29399.0081148863</v>
      </c>
      <c r="JM27">
        <v>14956.0089713931</v>
      </c>
      <c r="JN27">
        <v>317678.098818263</v>
      </c>
      <c r="JO27">
        <v>334303.29193121</v>
      </c>
      <c r="JP27">
        <v>240310.229700035</v>
      </c>
      <c r="JQ27">
        <v>297627.301317651</v>
      </c>
      <c r="JR27">
        <v>424956.500695044</v>
      </c>
      <c r="JS27">
        <v>1045480.82404686</v>
      </c>
      <c r="JT27">
        <v>1097343.60492433</v>
      </c>
      <c r="JU27">
        <v>1065224.17221422</v>
      </c>
      <c r="JV27">
        <v>1204389.35115502</v>
      </c>
      <c r="JW27">
        <v>1382842.60753369</v>
      </c>
      <c r="JX27">
        <v>486501.674072645</v>
      </c>
      <c r="JY27">
        <v>474385.552898407</v>
      </c>
      <c r="JZ27">
        <v>549420.851428467</v>
      </c>
      <c r="KA27">
        <v>498698.93252414</v>
      </c>
      <c r="KB27">
        <v>485514.661007494</v>
      </c>
      <c r="KC27" t="s">
        <v>1900</v>
      </c>
      <c r="KD27" t="s">
        <v>1900</v>
      </c>
      <c r="KE27" t="s">
        <v>1900</v>
      </c>
      <c r="KF27" t="s">
        <v>1900</v>
      </c>
      <c r="KG27" t="s">
        <v>1900</v>
      </c>
      <c r="KH27" t="s">
        <v>1900</v>
      </c>
      <c r="KI27" t="s">
        <v>1900</v>
      </c>
      <c r="KJ27" t="s">
        <v>1900</v>
      </c>
      <c r="KK27" t="s">
        <v>1900</v>
      </c>
      <c r="KL27" t="s">
        <v>1900</v>
      </c>
      <c r="KM27">
        <v>25</v>
      </c>
      <c r="KN27">
        <v>23</v>
      </c>
      <c r="KO27">
        <v>22</v>
      </c>
      <c r="KP27">
        <v>22</v>
      </c>
      <c r="KQ27">
        <v>20</v>
      </c>
      <c r="KR27" t="s">
        <v>1900</v>
      </c>
      <c r="KS27" t="s">
        <v>1900</v>
      </c>
      <c r="KT27" t="s">
        <v>1900</v>
      </c>
      <c r="KU27" t="s">
        <v>1900</v>
      </c>
      <c r="KV27" t="s">
        <v>1900</v>
      </c>
      <c r="KW27" t="s">
        <v>1900</v>
      </c>
      <c r="KX27" t="s">
        <v>1900</v>
      </c>
      <c r="KY27" t="s">
        <v>1900</v>
      </c>
      <c r="KZ27" t="s">
        <v>1900</v>
      </c>
      <c r="LA27" t="s">
        <v>1900</v>
      </c>
      <c r="LB27" t="s">
        <v>1900</v>
      </c>
      <c r="LC27" t="s">
        <v>1900</v>
      </c>
      <c r="LD27" t="s">
        <v>1900</v>
      </c>
      <c r="LE27" t="s">
        <v>1900</v>
      </c>
      <c r="LF27" t="s">
        <v>1900</v>
      </c>
      <c r="LG27" t="s">
        <v>1900</v>
      </c>
      <c r="LH27" t="s">
        <v>1900</v>
      </c>
      <c r="LI27" t="s">
        <v>1900</v>
      </c>
      <c r="LJ27" t="s">
        <v>1900</v>
      </c>
      <c r="LK27" t="s">
        <v>1900</v>
      </c>
      <c r="LL27" t="s">
        <v>1900</v>
      </c>
      <c r="LM27" t="s">
        <v>1900</v>
      </c>
      <c r="LN27" t="s">
        <v>1900</v>
      </c>
      <c r="LO27" t="s">
        <v>1900</v>
      </c>
      <c r="LP27" t="s">
        <v>1900</v>
      </c>
      <c r="LQ27" t="s">
        <v>1900</v>
      </c>
      <c r="LR27" t="s">
        <v>1900</v>
      </c>
      <c r="LS27" t="s">
        <v>1900</v>
      </c>
      <c r="LT27" t="s">
        <v>1900</v>
      </c>
      <c r="LU27" t="s">
        <v>1900</v>
      </c>
      <c r="LV27" t="s">
        <v>1900</v>
      </c>
      <c r="LW27" t="s">
        <v>1900</v>
      </c>
      <c r="LX27" t="s">
        <v>1900</v>
      </c>
      <c r="LY27" t="s">
        <v>1900</v>
      </c>
      <c r="LZ27" t="s">
        <v>1900</v>
      </c>
      <c r="MA27" t="s">
        <v>1900</v>
      </c>
      <c r="MB27" t="s">
        <v>1900</v>
      </c>
      <c r="MC27" t="s">
        <v>1900</v>
      </c>
      <c r="MD27" t="s">
        <v>1900</v>
      </c>
      <c r="ME27" t="s">
        <v>1900</v>
      </c>
      <c r="MF27" t="s">
        <v>1900</v>
      </c>
      <c r="MG27" t="s">
        <v>1900</v>
      </c>
      <c r="MH27" t="s">
        <v>1900</v>
      </c>
      <c r="MI27" t="s">
        <v>1900</v>
      </c>
      <c r="MJ27" t="s">
        <v>1900</v>
      </c>
      <c r="MK27" t="s">
        <v>1900</v>
      </c>
      <c r="ML27" t="s">
        <v>1900</v>
      </c>
      <c r="MM27" t="s">
        <v>1900</v>
      </c>
      <c r="MN27" t="s">
        <v>1900</v>
      </c>
      <c r="MO27" t="s">
        <v>1900</v>
      </c>
      <c r="MP27">
        <v>494215.939501643</v>
      </c>
      <c r="MQ27">
        <v>548532.721574745</v>
      </c>
      <c r="MR27">
        <v>400909.244175954</v>
      </c>
      <c r="MS27">
        <v>590176.013795829</v>
      </c>
      <c r="MT27">
        <v>793175.218410528</v>
      </c>
      <c r="MU27" t="s">
        <v>1900</v>
      </c>
      <c r="MV27" t="s">
        <v>1900</v>
      </c>
      <c r="MW27" t="s">
        <v>1900</v>
      </c>
      <c r="MX27" t="s">
        <v>1900</v>
      </c>
      <c r="MY27" t="s">
        <v>1900</v>
      </c>
      <c r="MZ27" t="s">
        <v>1900</v>
      </c>
      <c r="NA27" t="s">
        <v>1900</v>
      </c>
      <c r="NB27" t="s">
        <v>1900</v>
      </c>
      <c r="NC27" t="s">
        <v>1900</v>
      </c>
      <c r="ND27" t="s">
        <v>1900</v>
      </c>
      <c r="NE27" t="s">
        <v>1900</v>
      </c>
      <c r="NF27" t="s">
        <v>1900</v>
      </c>
      <c r="NG27" t="s">
        <v>1900</v>
      </c>
      <c r="NH27" t="s">
        <v>1900</v>
      </c>
      <c r="NI27" t="s">
        <v>1900</v>
      </c>
      <c r="NJ27" t="s">
        <v>1900</v>
      </c>
      <c r="NK27" t="s">
        <v>1900</v>
      </c>
      <c r="NL27" t="s">
        <v>1900</v>
      </c>
      <c r="NM27" t="s">
        <v>1900</v>
      </c>
      <c r="NN27" t="s">
        <v>1900</v>
      </c>
      <c r="NO27" t="s">
        <v>1900</v>
      </c>
      <c r="NP27" t="s">
        <v>1900</v>
      </c>
      <c r="NQ27" t="s">
        <v>1900</v>
      </c>
      <c r="NR27" t="s">
        <v>1900</v>
      </c>
      <c r="NS27" t="s">
        <v>1900</v>
      </c>
      <c r="NT27">
        <v>50056.4862375998</v>
      </c>
      <c r="NU27">
        <v>55607.0062557411</v>
      </c>
      <c r="NV27">
        <v>57586.0903468847</v>
      </c>
      <c r="NW27">
        <v>86115.3955875635</v>
      </c>
      <c r="NX27">
        <v>89196.71914427281</v>
      </c>
      <c r="NY27" t="s">
        <v>1900</v>
      </c>
      <c r="NZ27" t="s">
        <v>1900</v>
      </c>
      <c r="OA27" t="s">
        <v>1900</v>
      </c>
      <c r="OB27" t="s">
        <v>1900</v>
      </c>
      <c r="OC27" t="s">
        <v>1900</v>
      </c>
      <c r="OD27" t="s">
        <v>1900</v>
      </c>
      <c r="OE27" t="s">
        <v>1900</v>
      </c>
      <c r="OF27" t="s">
        <v>1900</v>
      </c>
      <c r="OG27" t="s">
        <v>1900</v>
      </c>
      <c r="OH27" t="s">
        <v>1900</v>
      </c>
      <c r="OI27" t="s">
        <v>1900</v>
      </c>
      <c r="OJ27" t="s">
        <v>1900</v>
      </c>
      <c r="OK27" t="s">
        <v>1900</v>
      </c>
      <c r="OL27" t="s">
        <v>1900</v>
      </c>
      <c r="OM27" t="s">
        <v>1900</v>
      </c>
      <c r="ON27" t="s">
        <v>1900</v>
      </c>
      <c r="OO27" t="s">
        <v>1900</v>
      </c>
      <c r="OP27" t="s">
        <v>1900</v>
      </c>
      <c r="OQ27" t="s">
        <v>1900</v>
      </c>
      <c r="OR27" t="s">
        <v>1900</v>
      </c>
      <c r="OS27" t="s">
        <v>1900</v>
      </c>
      <c r="OT27" t="s">
        <v>1900</v>
      </c>
      <c r="OU27" t="s">
        <v>1900</v>
      </c>
      <c r="OV27" t="s">
        <v>1900</v>
      </c>
      <c r="OW27" t="s">
        <v>1900</v>
      </c>
      <c r="OX27" t="s">
        <v>1900</v>
      </c>
      <c r="OY27" t="s">
        <v>1900</v>
      </c>
      <c r="OZ27" t="s">
        <v>1900</v>
      </c>
      <c r="PA27" t="s">
        <v>1900</v>
      </c>
      <c r="PB27" t="s">
        <v>1900</v>
      </c>
      <c r="PC27" t="s">
        <v>1900</v>
      </c>
      <c r="PD27" t="s">
        <v>1900</v>
      </c>
      <c r="PE27" t="s">
        <v>1900</v>
      </c>
      <c r="PF27" t="s">
        <v>1900</v>
      </c>
      <c r="PG27" t="s">
        <v>1900</v>
      </c>
      <c r="PH27" t="s">
        <v>1900</v>
      </c>
      <c r="PI27" t="s">
        <v>1900</v>
      </c>
      <c r="PJ27" t="s">
        <v>1900</v>
      </c>
      <c r="PK27" t="s">
        <v>1900</v>
      </c>
      <c r="PL27" t="s">
        <v>1900</v>
      </c>
      <c r="PM27" t="s">
        <v>1900</v>
      </c>
      <c r="PN27" t="s">
        <v>1900</v>
      </c>
      <c r="PO27" t="s">
        <v>1900</v>
      </c>
      <c r="PP27" t="s">
        <v>1900</v>
      </c>
      <c r="PQ27" t="s">
        <v>1900</v>
      </c>
      <c r="PR27" t="s">
        <v>1900</v>
      </c>
      <c r="PS27" t="s">
        <v>1900</v>
      </c>
      <c r="PT27" t="s">
        <v>1900</v>
      </c>
      <c r="PU27" t="s">
        <v>1900</v>
      </c>
      <c r="PV27" t="s">
        <v>1900</v>
      </c>
      <c r="PW27" t="s">
        <v>1900</v>
      </c>
      <c r="PX27" t="s">
        <v>1900</v>
      </c>
      <c r="PY27" t="s">
        <v>1900</v>
      </c>
      <c r="PZ27" t="s">
        <v>1900</v>
      </c>
      <c r="QA27" t="s">
        <v>1900</v>
      </c>
      <c r="QB27" t="s">
        <v>1900</v>
      </c>
      <c r="QC27" t="s">
        <v>1900</v>
      </c>
      <c r="QD27" t="s">
        <v>1900</v>
      </c>
      <c r="QE27" t="s">
        <v>1900</v>
      </c>
      <c r="QF27" t="s">
        <v>1900</v>
      </c>
      <c r="QG27" t="s">
        <v>1900</v>
      </c>
      <c r="QH27" t="s">
        <v>1900</v>
      </c>
      <c r="QI27" t="s">
        <v>1900</v>
      </c>
      <c r="QJ27" t="s">
        <v>1900</v>
      </c>
      <c r="QK27" t="s">
        <v>1900</v>
      </c>
      <c r="QL27" t="s">
        <v>1900</v>
      </c>
      <c r="QM27" t="s">
        <v>1900</v>
      </c>
      <c r="QN27" t="s">
        <v>1900</v>
      </c>
      <c r="QO27" t="s">
        <v>1900</v>
      </c>
      <c r="QP27" t="s">
        <v>1900</v>
      </c>
      <c r="QQ27" t="s">
        <v>1900</v>
      </c>
      <c r="QR27" t="s">
        <v>1900</v>
      </c>
      <c r="QS27" t="s">
        <v>1900</v>
      </c>
      <c r="QT27" t="s">
        <v>1900</v>
      </c>
      <c r="QU27" t="s">
        <v>1900</v>
      </c>
      <c r="QV27" t="s">
        <v>1900</v>
      </c>
      <c r="QW27" t="s">
        <v>1900</v>
      </c>
      <c r="QX27" t="s">
        <v>1900</v>
      </c>
      <c r="QY27" t="s">
        <v>1900</v>
      </c>
      <c r="QZ27" t="s">
        <v>1900</v>
      </c>
      <c r="RA27" t="s">
        <v>1900</v>
      </c>
      <c r="RB27" t="s">
        <v>1900</v>
      </c>
      <c r="RC27" t="s">
        <v>1900</v>
      </c>
      <c r="RD27" t="s">
        <v>1900</v>
      </c>
      <c r="RE27" t="s">
        <v>1900</v>
      </c>
      <c r="RF27" t="s">
        <v>1900</v>
      </c>
      <c r="RG27" t="s">
        <v>1900</v>
      </c>
      <c r="RH27" t="s">
        <v>1900</v>
      </c>
      <c r="RI27" t="s">
        <v>1900</v>
      </c>
      <c r="RJ27" t="s">
        <v>1900</v>
      </c>
      <c r="RK27" t="s">
        <v>1900</v>
      </c>
      <c r="RL27" t="s">
        <v>1900</v>
      </c>
      <c r="RM27" t="s">
        <v>1900</v>
      </c>
      <c r="RN27" t="s">
        <v>1900</v>
      </c>
      <c r="RO27" t="s">
        <v>1900</v>
      </c>
      <c r="RP27" t="s">
        <v>1900</v>
      </c>
      <c r="RQ27" t="s">
        <v>1900</v>
      </c>
      <c r="RR27" t="s">
        <v>1900</v>
      </c>
      <c r="RS27" t="s">
        <v>1900</v>
      </c>
      <c r="RT27" t="s">
        <v>1900</v>
      </c>
      <c r="RU27" t="s">
        <v>1900</v>
      </c>
      <c r="RV27" t="s">
        <v>1900</v>
      </c>
      <c r="RW27" t="s">
        <v>1900</v>
      </c>
      <c r="RX27" t="s">
        <v>1900</v>
      </c>
      <c r="RY27" t="s">
        <v>1900</v>
      </c>
      <c r="RZ27" t="s">
        <v>1900</v>
      </c>
      <c r="SA27" t="s">
        <v>1900</v>
      </c>
      <c r="SB27" t="s">
        <v>1900</v>
      </c>
      <c r="SC27" t="s">
        <v>1900</v>
      </c>
      <c r="SD27" t="s">
        <v>1900</v>
      </c>
      <c r="SE27" t="s">
        <v>1900</v>
      </c>
      <c r="SF27" t="s">
        <v>1900</v>
      </c>
      <c r="SG27" t="s">
        <v>1900</v>
      </c>
      <c r="SH27" t="s">
        <v>1900</v>
      </c>
      <c r="SI27" t="s">
        <v>1900</v>
      </c>
      <c r="SJ27">
        <v>2368.6909532547</v>
      </c>
      <c r="SK27">
        <v>2519.40113067627</v>
      </c>
      <c r="SL27">
        <v>2431.84683322906</v>
      </c>
      <c r="SM27">
        <v>2582.32870101929</v>
      </c>
      <c r="SN27">
        <v>61.3549649715424</v>
      </c>
      <c r="SO27" t="s">
        <v>1900</v>
      </c>
      <c r="SP27" t="s">
        <v>1900</v>
      </c>
      <c r="SQ27" t="s">
        <v>1900</v>
      </c>
      <c r="SR27" t="s">
        <v>1900</v>
      </c>
      <c r="SS27" t="s">
        <v>1900</v>
      </c>
      <c r="ST27" t="s">
        <v>1900</v>
      </c>
      <c r="SU27" t="s">
        <v>1900</v>
      </c>
      <c r="SV27" t="s">
        <v>1900</v>
      </c>
      <c r="SW27" t="s">
        <v>1900</v>
      </c>
      <c r="SX27" t="s">
        <v>1900</v>
      </c>
      <c r="SY27" t="s">
        <v>1900</v>
      </c>
      <c r="SZ27" t="s">
        <v>1900</v>
      </c>
      <c r="TA27" t="s">
        <v>1900</v>
      </c>
      <c r="TB27" t="s">
        <v>1900</v>
      </c>
      <c r="TC27" t="s">
        <v>1900</v>
      </c>
      <c r="TD27" t="s">
        <v>1900</v>
      </c>
      <c r="TE27" t="s">
        <v>1900</v>
      </c>
      <c r="TF27" t="s">
        <v>1900</v>
      </c>
      <c r="TG27" t="s">
        <v>1900</v>
      </c>
      <c r="TH27" t="s">
        <v>1900</v>
      </c>
      <c r="TI27" t="s">
        <v>1900</v>
      </c>
      <c r="TJ27" t="s">
        <v>1900</v>
      </c>
      <c r="TK27" t="s">
        <v>1900</v>
      </c>
      <c r="TL27" t="s">
        <v>1900</v>
      </c>
      <c r="TM27" t="s">
        <v>1900</v>
      </c>
      <c r="TN27" t="s">
        <v>1900</v>
      </c>
      <c r="TO27" t="s">
        <v>1900</v>
      </c>
      <c r="TP27" t="s">
        <v>1900</v>
      </c>
      <c r="TQ27" t="s">
        <v>1900</v>
      </c>
      <c r="TR27" t="s">
        <v>1900</v>
      </c>
      <c r="TS27">
        <v>1045480.82404686</v>
      </c>
      <c r="TT27">
        <v>1097343.60492433</v>
      </c>
      <c r="TU27">
        <v>1065224.17221422</v>
      </c>
      <c r="TV27">
        <v>1204389.35115502</v>
      </c>
      <c r="TW27">
        <v>1382842.60753369</v>
      </c>
      <c r="TX27" t="s">
        <v>1900</v>
      </c>
      <c r="TY27" t="s">
        <v>1900</v>
      </c>
      <c r="TZ27" t="s">
        <v>1900</v>
      </c>
      <c r="UA27" t="s">
        <v>1900</v>
      </c>
      <c r="UB27" t="s">
        <v>1900</v>
      </c>
      <c r="UC27">
        <v>25.2452588438988</v>
      </c>
      <c r="UD27">
        <v>0</v>
      </c>
      <c r="UE27">
        <v>980.460913586616</v>
      </c>
      <c r="UF27">
        <v>23.388196349144</v>
      </c>
      <c r="UG27">
        <v>133.778365623951</v>
      </c>
      <c r="UH27" t="s">
        <v>1900</v>
      </c>
      <c r="UI27" t="s">
        <v>1900</v>
      </c>
      <c r="UJ27" t="s">
        <v>1900</v>
      </c>
      <c r="UK27" t="s">
        <v>1900</v>
      </c>
      <c r="UL27" t="s">
        <v>1900</v>
      </c>
      <c r="UM27" t="s">
        <v>1900</v>
      </c>
      <c r="UN27" t="s">
        <v>1900</v>
      </c>
      <c r="UO27" t="s">
        <v>1900</v>
      </c>
      <c r="UP27" t="s">
        <v>1900</v>
      </c>
      <c r="UQ27" t="s">
        <v>1900</v>
      </c>
      <c r="UR27" t="s">
        <v>1900</v>
      </c>
      <c r="US27" t="s">
        <v>1900</v>
      </c>
      <c r="UT27" t="s">
        <v>1900</v>
      </c>
      <c r="UU27" t="s">
        <v>1900</v>
      </c>
      <c r="UV27" t="s">
        <v>1900</v>
      </c>
      <c r="UW27" t="s">
        <v>1900</v>
      </c>
      <c r="UX27" t="s">
        <v>1900</v>
      </c>
      <c r="UY27" t="s">
        <v>1900</v>
      </c>
      <c r="UZ27" t="s">
        <v>1900</v>
      </c>
      <c r="VA27" t="s">
        <v>1900</v>
      </c>
      <c r="VB27" t="s">
        <v>1900</v>
      </c>
      <c r="VC27" t="s">
        <v>1900</v>
      </c>
      <c r="VD27" t="s">
        <v>1900</v>
      </c>
      <c r="VE27" t="s">
        <v>1900</v>
      </c>
      <c r="VF27" t="s">
        <v>1900</v>
      </c>
      <c r="VG27" t="s">
        <v>1900</v>
      </c>
      <c r="VH27" t="s">
        <v>1900</v>
      </c>
      <c r="VI27" t="s">
        <v>1900</v>
      </c>
      <c r="VJ27" t="s">
        <v>1900</v>
      </c>
      <c r="VK27" t="s">
        <v>1900</v>
      </c>
      <c r="VL27" t="s">
        <v>1900</v>
      </c>
      <c r="VM27" t="s">
        <v>1900</v>
      </c>
      <c r="VN27" t="s">
        <v>1900</v>
      </c>
      <c r="VO27" t="s">
        <v>1900</v>
      </c>
      <c r="VP27" t="s">
        <v>1900</v>
      </c>
      <c r="VQ27" t="s">
        <v>1900</v>
      </c>
      <c r="VR27" t="s">
        <v>1900</v>
      </c>
      <c r="VS27" t="s">
        <v>1900</v>
      </c>
      <c r="VT27" t="s">
        <v>1900</v>
      </c>
      <c r="VU27" t="s">
        <v>1900</v>
      </c>
      <c r="VV27" t="s">
        <v>1900</v>
      </c>
      <c r="VW27" t="s">
        <v>1900</v>
      </c>
      <c r="VX27" t="s">
        <v>1900</v>
      </c>
      <c r="VY27" t="s">
        <v>1900</v>
      </c>
      <c r="VZ27" t="s">
        <v>1900</v>
      </c>
      <c r="WA27">
        <v>317678.098818263</v>
      </c>
      <c r="WB27">
        <v>334303.29193121</v>
      </c>
      <c r="WC27">
        <v>240310.229700035</v>
      </c>
      <c r="WD27">
        <v>297627.301317651</v>
      </c>
      <c r="WE27">
        <v>424956.500695044</v>
      </c>
      <c r="WF27" t="s">
        <v>1900</v>
      </c>
      <c r="WG27" t="s">
        <v>1900</v>
      </c>
      <c r="WH27" t="s">
        <v>1900</v>
      </c>
      <c r="WI27" t="s">
        <v>1900</v>
      </c>
      <c r="WJ27" t="s">
        <v>1900</v>
      </c>
      <c r="WK27" t="s">
        <v>1900</v>
      </c>
      <c r="WL27" t="s">
        <v>1900</v>
      </c>
      <c r="WM27" t="s">
        <v>1900</v>
      </c>
      <c r="WN27" t="s">
        <v>1900</v>
      </c>
      <c r="WO27" t="s">
        <v>1900</v>
      </c>
      <c r="WP27" t="s">
        <v>1900</v>
      </c>
      <c r="WQ27" t="s">
        <v>1900</v>
      </c>
      <c r="WR27" t="s">
        <v>1900</v>
      </c>
      <c r="WS27" t="s">
        <v>1900</v>
      </c>
      <c r="WT27" t="s">
        <v>1900</v>
      </c>
      <c r="WU27" t="s">
        <v>1900</v>
      </c>
      <c r="WV27" t="s">
        <v>1900</v>
      </c>
      <c r="WW27" t="s">
        <v>1900</v>
      </c>
      <c r="WX27" t="s">
        <v>1900</v>
      </c>
      <c r="WY27" t="s">
        <v>1900</v>
      </c>
      <c r="WZ27" t="s">
        <v>1900</v>
      </c>
      <c r="XA27" t="s">
        <v>1900</v>
      </c>
      <c r="XB27" t="s">
        <v>1900</v>
      </c>
      <c r="XC27" t="s">
        <v>1900</v>
      </c>
      <c r="XD27" t="s">
        <v>1900</v>
      </c>
      <c r="XE27" t="s">
        <v>1900</v>
      </c>
      <c r="XF27" t="s">
        <v>1900</v>
      </c>
      <c r="XG27" t="s">
        <v>1900</v>
      </c>
      <c r="XH27" t="s">
        <v>1900</v>
      </c>
      <c r="XI27" t="s">
        <v>1900</v>
      </c>
      <c r="XJ27" t="s">
        <v>1900</v>
      </c>
      <c r="XK27">
        <v>0</v>
      </c>
      <c r="XL27">
        <v>0</v>
      </c>
      <c r="XM27">
        <v>0</v>
      </c>
      <c r="XN27">
        <v>0</v>
      </c>
      <c r="XO27" t="s">
        <v>1900</v>
      </c>
      <c r="XP27" t="s">
        <v>1900</v>
      </c>
      <c r="XQ27" t="s">
        <v>1900</v>
      </c>
      <c r="XR27" t="s">
        <v>1900</v>
      </c>
      <c r="XS27" t="s">
        <v>1900</v>
      </c>
      <c r="XT27" t="s">
        <v>1900</v>
      </c>
      <c r="XU27" t="s">
        <v>1900</v>
      </c>
      <c r="XV27" t="s">
        <v>1900</v>
      </c>
      <c r="XW27" t="s">
        <v>1900</v>
      </c>
      <c r="XX27" t="s">
        <v>1900</v>
      </c>
      <c r="XY27" t="s">
        <v>1900</v>
      </c>
      <c r="XZ27">
        <v>0</v>
      </c>
      <c r="YA27">
        <v>0</v>
      </c>
      <c r="YB27">
        <v>0</v>
      </c>
      <c r="YC27">
        <v>0</v>
      </c>
      <c r="YD27" t="s">
        <v>1900</v>
      </c>
      <c r="YE27" t="s">
        <v>1900</v>
      </c>
      <c r="YF27" t="s">
        <v>1900</v>
      </c>
      <c r="YG27" t="s">
        <v>1900</v>
      </c>
      <c r="YH27" t="s">
        <v>1900</v>
      </c>
      <c r="YI27" t="s">
        <v>1900</v>
      </c>
      <c r="YJ27" t="s">
        <v>1900</v>
      </c>
      <c r="YK27" t="s">
        <v>1900</v>
      </c>
      <c r="YL27" t="s">
        <v>1900</v>
      </c>
      <c r="YM27" t="s">
        <v>1900</v>
      </c>
      <c r="YN27" t="s">
        <v>1900</v>
      </c>
      <c r="YO27" t="s">
        <v>1900</v>
      </c>
      <c r="YP27" t="s">
        <v>1900</v>
      </c>
      <c r="YQ27" t="s">
        <v>1900</v>
      </c>
      <c r="YR27" t="s">
        <v>1900</v>
      </c>
      <c r="YS27" t="s">
        <v>1900</v>
      </c>
      <c r="YT27" t="s">
        <v>1900</v>
      </c>
      <c r="YU27" t="s">
        <v>1900</v>
      </c>
      <c r="YV27" t="s">
        <v>1900</v>
      </c>
      <c r="YW27" t="s">
        <v>1900</v>
      </c>
      <c r="YX27" t="s">
        <v>1900</v>
      </c>
      <c r="YY27" t="s">
        <v>1900</v>
      </c>
      <c r="YZ27" t="s">
        <v>1900</v>
      </c>
      <c r="ZA27" t="s">
        <v>1900</v>
      </c>
      <c r="ZB27" t="s">
        <v>1900</v>
      </c>
      <c r="ZC27" t="s">
        <v>1900</v>
      </c>
      <c r="ZD27" t="s">
        <v>1900</v>
      </c>
      <c r="ZE27" t="s">
        <v>1900</v>
      </c>
      <c r="ZF27" t="s">
        <v>1900</v>
      </c>
      <c r="ZG27" t="s">
        <v>1900</v>
      </c>
      <c r="ZH27" t="s">
        <v>1900</v>
      </c>
      <c r="ZI27" t="s">
        <v>1900</v>
      </c>
      <c r="ZJ27" t="s">
        <v>1900</v>
      </c>
      <c r="ZK27" t="s">
        <v>1900</v>
      </c>
      <c r="ZL27" t="s">
        <v>1900</v>
      </c>
      <c r="ZM27" t="s">
        <v>1900</v>
      </c>
      <c r="ZN27" t="s">
        <v>1900</v>
      </c>
      <c r="ZO27" t="s">
        <v>1900</v>
      </c>
      <c r="ZP27" t="s">
        <v>1900</v>
      </c>
      <c r="ZQ27" t="s">
        <v>1900</v>
      </c>
      <c r="ZR27" t="s">
        <v>1900</v>
      </c>
      <c r="ZS27" t="s">
        <v>1900</v>
      </c>
      <c r="ZT27" t="s">
        <v>1900</v>
      </c>
      <c r="ZU27" t="s">
        <v>1900</v>
      </c>
      <c r="ZV27" t="s">
        <v>1900</v>
      </c>
      <c r="ZW27" t="s">
        <v>1900</v>
      </c>
      <c r="ZX27" t="s">
        <v>1900</v>
      </c>
      <c r="ZY27" t="s">
        <v>1900</v>
      </c>
      <c r="ZZ27" t="s">
        <v>1900</v>
      </c>
      <c r="AAA27" t="s">
        <v>1900</v>
      </c>
      <c r="AAB27" t="s">
        <v>1900</v>
      </c>
      <c r="AAC27" t="s">
        <v>1900</v>
      </c>
      <c r="AAD27" t="s">
        <v>1900</v>
      </c>
      <c r="AAE27" t="s">
        <v>1900</v>
      </c>
      <c r="AAF27" t="s">
        <v>1900</v>
      </c>
      <c r="AAG27" t="s">
        <v>1900</v>
      </c>
      <c r="AAH27" t="s">
        <v>1900</v>
      </c>
      <c r="AAI27" t="s">
        <v>1900</v>
      </c>
      <c r="AAJ27" t="s">
        <v>1900</v>
      </c>
      <c r="AAK27" t="s">
        <v>1900</v>
      </c>
      <c r="AAL27" t="s">
        <v>1900</v>
      </c>
      <c r="AAM27" t="s">
        <v>1900</v>
      </c>
      <c r="AAN27" t="s">
        <v>1900</v>
      </c>
      <c r="AAO27" t="s">
        <v>1900</v>
      </c>
      <c r="AAP27" t="s">
        <v>1900</v>
      </c>
      <c r="AAQ27" t="s">
        <v>1900</v>
      </c>
      <c r="AAR27" t="s">
        <v>1900</v>
      </c>
      <c r="AAS27" t="s">
        <v>1900</v>
      </c>
      <c r="AAT27" t="s">
        <v>1900</v>
      </c>
      <c r="AAU27" t="s">
        <v>1900</v>
      </c>
      <c r="AAV27" t="s">
        <v>1900</v>
      </c>
      <c r="AAW27" t="s">
        <v>1900</v>
      </c>
      <c r="AAX27" t="s">
        <v>1900</v>
      </c>
      <c r="AAY27" t="s">
        <v>1900</v>
      </c>
      <c r="AAZ27" t="s">
        <v>1900</v>
      </c>
      <c r="ABA27" t="s">
        <v>1900</v>
      </c>
      <c r="ABB27" t="s">
        <v>1900</v>
      </c>
      <c r="ABC27" t="s">
        <v>1900</v>
      </c>
      <c r="ABD27" t="s">
        <v>1900</v>
      </c>
      <c r="ABE27" t="s">
        <v>1900</v>
      </c>
      <c r="ABF27" t="s">
        <v>1900</v>
      </c>
      <c r="ABG27" t="s">
        <v>1900</v>
      </c>
      <c r="ABH27" t="s">
        <v>1900</v>
      </c>
      <c r="ABI27" t="s">
        <v>1900</v>
      </c>
      <c r="ABJ27" t="s">
        <v>1900</v>
      </c>
      <c r="ABK27" t="s">
        <v>1900</v>
      </c>
      <c r="ABL27" t="s">
        <v>1900</v>
      </c>
      <c r="ABM27" t="s">
        <v>1900</v>
      </c>
      <c r="ABN27" t="s">
        <v>1900</v>
      </c>
      <c r="ABO27" t="s">
        <v>1900</v>
      </c>
      <c r="ABP27" t="s">
        <v>1900</v>
      </c>
      <c r="ABQ27" t="s">
        <v>1900</v>
      </c>
      <c r="ABR27" t="s">
        <v>1900</v>
      </c>
      <c r="ABS27" t="s">
        <v>1900</v>
      </c>
      <c r="ABT27" t="s">
        <v>1900</v>
      </c>
      <c r="ABU27" t="s">
        <v>1900</v>
      </c>
      <c r="ABV27" t="s">
        <v>1900</v>
      </c>
      <c r="ABW27" t="s">
        <v>1900</v>
      </c>
      <c r="ABX27" t="s">
        <v>1900</v>
      </c>
      <c r="ABY27" t="s">
        <v>1900</v>
      </c>
      <c r="ABZ27" t="s">
        <v>1900</v>
      </c>
      <c r="ACA27" t="s">
        <v>1900</v>
      </c>
      <c r="ACB27" t="s">
        <v>1900</v>
      </c>
      <c r="ACC27" t="s">
        <v>1900</v>
      </c>
      <c r="ACD27" t="s">
        <v>1900</v>
      </c>
      <c r="ACE27">
        <v>16.975</v>
      </c>
      <c r="ACF27">
        <v>11.206</v>
      </c>
      <c r="ACG27">
        <v>13.614</v>
      </c>
      <c r="ACH27">
        <v>18.681</v>
      </c>
      <c r="ACI27">
        <v>23.882</v>
      </c>
      <c r="ACJ27">
        <v>16.986</v>
      </c>
      <c r="ACK27">
        <v>11.049</v>
      </c>
      <c r="ACL27">
        <v>12.418</v>
      </c>
      <c r="ACM27">
        <v>15.666</v>
      </c>
      <c r="ACN27">
        <v>18.559</v>
      </c>
      <c r="ACO27">
        <v>11.578</v>
      </c>
      <c r="ACP27">
        <v>7.369</v>
      </c>
      <c r="ACQ27">
        <v>8.691000000000001</v>
      </c>
      <c r="ACR27">
        <v>11.135</v>
      </c>
      <c r="ACS27">
        <v>12.468</v>
      </c>
      <c r="ACT27">
        <v>14.853</v>
      </c>
      <c r="ACU27">
        <v>9.805</v>
      </c>
      <c r="ACV27">
        <v>11.912</v>
      </c>
      <c r="ACW27">
        <v>15.178</v>
      </c>
      <c r="ACX27">
        <v>19.404</v>
      </c>
      <c r="ACY27">
        <v>14.864</v>
      </c>
      <c r="ACZ27">
        <v>9.691000000000001</v>
      </c>
      <c r="ADA27">
        <v>10.908</v>
      </c>
      <c r="ADB27">
        <v>12.8</v>
      </c>
      <c r="ADC27">
        <v>15.13</v>
      </c>
      <c r="ADD27">
        <v>10.131</v>
      </c>
      <c r="ADE27">
        <v>6.448</v>
      </c>
      <c r="ADF27">
        <v>7.605</v>
      </c>
      <c r="ADG27">
        <v>9.047000000000001</v>
      </c>
      <c r="ADH27">
        <v>10.13</v>
      </c>
      <c r="ADI27">
        <v>7.66</v>
      </c>
      <c r="ADJ27">
        <v>5.006</v>
      </c>
      <c r="ADK27">
        <v>6.526</v>
      </c>
      <c r="ADL27">
        <v>8.802</v>
      </c>
      <c r="ADM27">
        <v>10.259</v>
      </c>
      <c r="ADN27">
        <v>95.047</v>
      </c>
      <c r="ADO27">
        <v>94.319</v>
      </c>
      <c r="ADP27">
        <v>90.20099999999999</v>
      </c>
      <c r="ADQ27">
        <v>92.94799999999999</v>
      </c>
      <c r="ADR27">
        <v>94.089</v>
      </c>
      <c r="ADS27">
        <v>7.665322119</v>
      </c>
      <c r="ADT27">
        <v>5.090809982</v>
      </c>
      <c r="ADU27">
        <v>6.710170014</v>
      </c>
      <c r="ADV27">
        <v>8.421181577</v>
      </c>
      <c r="ADW27">
        <v>10.411711723</v>
      </c>
      <c r="ADX27">
        <v>9.417999999999999</v>
      </c>
      <c r="ADY27">
        <v>7.353</v>
      </c>
      <c r="ADZ27">
        <v>9.172000000000001</v>
      </c>
      <c r="AEA27">
        <v>11.015</v>
      </c>
      <c r="AEB27">
        <v>12.818</v>
      </c>
      <c r="AEC27">
        <v>7.665</v>
      </c>
      <c r="AED27">
        <v>5.091</v>
      </c>
      <c r="AEE27">
        <v>6.71</v>
      </c>
      <c r="AEF27">
        <v>8.420999999999999</v>
      </c>
      <c r="AEG27">
        <v>10.412</v>
      </c>
      <c r="AEH27">
        <v>8.455</v>
      </c>
      <c r="AEI27">
        <v>6.643</v>
      </c>
      <c r="AEJ27">
        <v>8.172000000000001</v>
      </c>
      <c r="AEK27">
        <v>9.746</v>
      </c>
      <c r="AEL27">
        <v>10.742</v>
      </c>
      <c r="AEM27">
        <v>8.30167202</v>
      </c>
      <c r="AEN27">
        <v>5.363874648</v>
      </c>
      <c r="AEO27">
        <v>7.192820498</v>
      </c>
      <c r="AEP27">
        <v>9.195556049</v>
      </c>
      <c r="AEQ27">
        <v>11.621733067</v>
      </c>
      <c r="AER27">
        <v>1.087722513</v>
      </c>
      <c r="AES27">
        <v>1.057053648</v>
      </c>
      <c r="AET27">
        <v>1.080369875</v>
      </c>
      <c r="AEU27">
        <v>1.09962742</v>
      </c>
      <c r="AEV27">
        <v>1.124427578</v>
      </c>
      <c r="AEW27" t="s">
        <v>1900</v>
      </c>
      <c r="AEX27" t="s">
        <v>1900</v>
      </c>
      <c r="AEY27" t="s">
        <v>1900</v>
      </c>
      <c r="AEZ27" t="s">
        <v>1900</v>
      </c>
      <c r="AFA27" t="s">
        <v>1900</v>
      </c>
      <c r="AFB27" t="s">
        <v>1900</v>
      </c>
      <c r="AFC27" t="s">
        <v>1900</v>
      </c>
      <c r="AFD27" t="s">
        <v>1900</v>
      </c>
      <c r="AFE27" t="s">
        <v>1900</v>
      </c>
      <c r="AFF27" t="s">
        <v>1900</v>
      </c>
      <c r="AFG27">
        <v>2.216</v>
      </c>
      <c r="AFH27">
        <v>2.17</v>
      </c>
      <c r="AFI27">
        <v>1.851</v>
      </c>
      <c r="AFJ27">
        <v>1.737</v>
      </c>
      <c r="AFK27">
        <v>1.783</v>
      </c>
      <c r="AFL27" t="s">
        <v>1901</v>
      </c>
      <c r="AFM27">
        <v>60.16</v>
      </c>
      <c r="AFN27">
        <v>36.395</v>
      </c>
      <c r="AFO27">
        <v>38.394</v>
      </c>
      <c r="AFP27">
        <v>68.101</v>
      </c>
      <c r="AFQ27" t="s">
        <v>1901</v>
      </c>
      <c r="AFR27">
        <v>215.126</v>
      </c>
      <c r="AFS27">
        <v>59.183</v>
      </c>
      <c r="AFT27">
        <v>442.313</v>
      </c>
      <c r="AFU27">
        <v>522.626</v>
      </c>
      <c r="AFV27">
        <v>113.986</v>
      </c>
      <c r="AFW27">
        <v>108.248</v>
      </c>
      <c r="AFX27">
        <v>147.873</v>
      </c>
      <c r="AFY27">
        <v>123.973</v>
      </c>
      <c r="AFZ27">
        <v>106.519</v>
      </c>
      <c r="AGA27">
        <v>3.351</v>
      </c>
      <c r="AGB27">
        <v>4.194</v>
      </c>
      <c r="AGC27">
        <v>14.542</v>
      </c>
      <c r="AGD27">
        <v>6.947</v>
      </c>
      <c r="AGE27">
        <v>3.204</v>
      </c>
      <c r="AGF27" t="s">
        <v>1900</v>
      </c>
      <c r="AGG27" t="s">
        <v>1900</v>
      </c>
      <c r="AGH27" t="s">
        <v>1900</v>
      </c>
      <c r="AGI27" t="s">
        <v>1900</v>
      </c>
      <c r="AGJ27" t="s">
        <v>1900</v>
      </c>
      <c r="AGK27" t="s">
        <v>1900</v>
      </c>
      <c r="AGL27" t="s">
        <v>1900</v>
      </c>
      <c r="AGM27" t="s">
        <v>1900</v>
      </c>
      <c r="AGN27" t="s">
        <v>1900</v>
      </c>
      <c r="AGO27" t="s">
        <v>1900</v>
      </c>
      <c r="AGP27" t="s">
        <v>1900</v>
      </c>
      <c r="AGQ27" t="s">
        <v>1900</v>
      </c>
      <c r="AGR27" t="s">
        <v>1900</v>
      </c>
      <c r="AGS27" t="s">
        <v>1900</v>
      </c>
      <c r="AGT27" t="s">
        <v>1900</v>
      </c>
      <c r="AGU27">
        <v>0</v>
      </c>
      <c r="AGV27">
        <v>0</v>
      </c>
      <c r="AGW27">
        <v>0</v>
      </c>
      <c r="AGX27">
        <v>0</v>
      </c>
      <c r="AGY27">
        <v>0</v>
      </c>
      <c r="AGZ27">
        <v>2.995</v>
      </c>
      <c r="AHA27">
        <v>2.95</v>
      </c>
      <c r="AHB27">
        <v>3.375</v>
      </c>
      <c r="AHC27">
        <v>3.419</v>
      </c>
      <c r="AHD27">
        <v>2.94</v>
      </c>
      <c r="AHE27">
        <v>2.992</v>
      </c>
      <c r="AHF27">
        <v>2.929</v>
      </c>
      <c r="AHG27">
        <v>3.294</v>
      </c>
      <c r="AHH27">
        <v>3.409</v>
      </c>
      <c r="AHI27">
        <v>2.932</v>
      </c>
      <c r="AHJ27" t="s">
        <v>1901</v>
      </c>
      <c r="AHK27">
        <v>31.903</v>
      </c>
      <c r="AHL27">
        <v>7.855</v>
      </c>
      <c r="AHM27">
        <v>4.501</v>
      </c>
      <c r="AHN27">
        <v>3.268</v>
      </c>
      <c r="AHO27">
        <v>68.205</v>
      </c>
      <c r="AHP27">
        <v>65.759</v>
      </c>
      <c r="AHQ27">
        <v>63.841</v>
      </c>
      <c r="AHR27">
        <v>59.603</v>
      </c>
      <c r="AHS27">
        <v>52.205</v>
      </c>
      <c r="AHT27" t="s">
        <v>1901</v>
      </c>
      <c r="AHU27" t="s">
        <v>1901</v>
      </c>
      <c r="AHV27" t="s">
        <v>1901</v>
      </c>
      <c r="AHW27" t="s">
        <v>1901</v>
      </c>
      <c r="AHX27" t="s">
        <v>1901</v>
      </c>
      <c r="AHY27">
        <v>0.004</v>
      </c>
      <c r="AHZ27">
        <v>3.135</v>
      </c>
      <c r="AIA27">
        <v>12.874</v>
      </c>
      <c r="AIB27">
        <v>22.22</v>
      </c>
      <c r="AIC27">
        <v>30.614</v>
      </c>
      <c r="AID27">
        <v>0.226564744</v>
      </c>
      <c r="AIE27">
        <v>0.229590907</v>
      </c>
      <c r="AIF27">
        <v>0.228294372</v>
      </c>
      <c r="AIG27">
        <v>0.214409792</v>
      </c>
      <c r="AIH27">
        <v>0.004436873</v>
      </c>
      <c r="AII27">
        <v>47.271640774</v>
      </c>
      <c r="AIJ27">
        <v>49.987325676</v>
      </c>
      <c r="AIK27">
        <v>37.636138442</v>
      </c>
      <c r="AIL27">
        <v>49.002094981</v>
      </c>
      <c r="AIM27">
        <v>57.358314973</v>
      </c>
      <c r="AIN27">
        <v>30.385836977</v>
      </c>
      <c r="AIO27">
        <v>30.46477789</v>
      </c>
      <c r="AIP27">
        <v>22.559592241</v>
      </c>
      <c r="AIQ27">
        <v>24.711884162</v>
      </c>
      <c r="AIR27">
        <v>30.730648476</v>
      </c>
      <c r="AIS27">
        <v>1.134889065</v>
      </c>
      <c r="AIT27">
        <v>8.182825147000001</v>
      </c>
      <c r="AIU27">
        <v>17.243743207</v>
      </c>
      <c r="AIV27">
        <v>3.205925391</v>
      </c>
      <c r="AIW27">
        <v>3.23681758</v>
      </c>
      <c r="AIX27">
        <v>4.84185676104105</v>
      </c>
      <c r="AIY27">
        <v>3.5158065978508</v>
      </c>
      <c r="AIZ27">
        <v>4.20834400948703</v>
      </c>
      <c r="AJA27">
        <v>6.09562653976679</v>
      </c>
      <c r="AJB27">
        <v>8.62030140674233</v>
      </c>
      <c r="AJC27">
        <v>63.2062034194245</v>
      </c>
      <c r="AJD27">
        <v>70.2292048830042</v>
      </c>
      <c r="AJE27">
        <v>64.48778791893299</v>
      </c>
      <c r="AJF27">
        <v>69.2507538871551</v>
      </c>
      <c r="AJG27">
        <v>84.0281572614813</v>
      </c>
      <c r="AJH27">
        <v>74.095</v>
      </c>
      <c r="AJI27">
        <v>75.67700000000001</v>
      </c>
      <c r="AJJ27">
        <v>70.658</v>
      </c>
      <c r="AJK27">
        <v>71.04300000000001</v>
      </c>
      <c r="AJL27">
        <v>70.65000000000001</v>
      </c>
      <c r="AJM27">
        <v>46.832820440366</v>
      </c>
      <c r="AJN27">
        <v>53.1475016769457</v>
      </c>
      <c r="AJO27">
        <v>45.5659802181893</v>
      </c>
      <c r="AJP27">
        <v>49.1978253322291</v>
      </c>
      <c r="AJQ27">
        <v>59.3658676846474</v>
      </c>
      <c r="AJR27">
        <v>28.5228300216113</v>
      </c>
      <c r="AJS27">
        <v>31.3740503452883</v>
      </c>
      <c r="AJT27">
        <v>30.9114952122354</v>
      </c>
      <c r="AJU27">
        <v>32.6298105197453</v>
      </c>
      <c r="AJV27">
        <v>36.0959222802037</v>
      </c>
      <c r="AJW27">
        <v>19.4600667551259</v>
      </c>
      <c r="AJX27">
        <v>20.6254585814524</v>
      </c>
      <c r="AJY27">
        <v>24.9736750649303</v>
      </c>
      <c r="AJZ27">
        <v>22.66813324507</v>
      </c>
      <c r="AKA27">
        <v>24.2757336639243</v>
      </c>
      <c r="AKB27">
        <v>41.8192325463145</v>
      </c>
      <c r="AKC27">
        <v>47.7105920469275</v>
      </c>
      <c r="AKD27">
        <v>48.4192810400099</v>
      </c>
      <c r="AKE27">
        <v>54.744970918901</v>
      </c>
      <c r="AKF27">
        <v>69.1421297631347</v>
      </c>
      <c r="AKG27">
        <v>1.134889065</v>
      </c>
      <c r="AKH27">
        <v>8.182825147000001</v>
      </c>
      <c r="AKI27">
        <v>17.243743207</v>
      </c>
      <c r="AKJ27">
        <v>3.205925391</v>
      </c>
      <c r="AKK27">
        <v>3.23681758</v>
      </c>
      <c r="AKL27">
        <v>0.056213413</v>
      </c>
      <c r="AKM27">
        <v>0.464843058</v>
      </c>
      <c r="AKN27">
        <v>1.689666187</v>
      </c>
      <c r="AKO27">
        <v>0.226084188</v>
      </c>
      <c r="AKP27">
        <v>0.19134144</v>
      </c>
      <c r="AKQ27">
        <v>0.084961779</v>
      </c>
      <c r="AKR27">
        <v>0.68424132</v>
      </c>
      <c r="AKS27">
        <v>2.250401758</v>
      </c>
      <c r="AKT27">
        <v>0.285989749</v>
      </c>
      <c r="AKU27">
        <v>0.232536494</v>
      </c>
      <c r="AKV27">
        <v>1.574080754</v>
      </c>
      <c r="AKW27">
        <v>0.929582133</v>
      </c>
      <c r="AKX27">
        <v>1.172864399</v>
      </c>
      <c r="AKY27">
        <v>1.551363041</v>
      </c>
      <c r="AKZ27">
        <v>1.608570718</v>
      </c>
      <c r="ALA27">
        <v>2.379088805</v>
      </c>
      <c r="ALB27">
        <v>1.36832958</v>
      </c>
      <c r="ALC27">
        <v>1.562093225</v>
      </c>
      <c r="ALD27">
        <v>1.962427938</v>
      </c>
      <c r="ALE27">
        <v>1.954889624</v>
      </c>
      <c r="ALF27">
        <v>1.443837893</v>
      </c>
      <c r="ALG27">
        <v>2.357023152</v>
      </c>
      <c r="ALH27">
        <v>2.714710544</v>
      </c>
      <c r="ALI27">
        <v>3.931548541</v>
      </c>
      <c r="ALJ27">
        <v>3.695327825</v>
      </c>
      <c r="ALK27">
        <v>2.182237829</v>
      </c>
      <c r="ALL27">
        <v>3.469499236</v>
      </c>
      <c r="ALM27">
        <v>3.615619124</v>
      </c>
      <c r="ALN27">
        <v>4.973291546</v>
      </c>
      <c r="ALO27">
        <v>4.490917274</v>
      </c>
      <c r="ALP27">
        <v>31.66272352</v>
      </c>
      <c r="ALQ27">
        <v>30.068959793</v>
      </c>
      <c r="ALR27">
        <v>41.075924848</v>
      </c>
      <c r="ALS27">
        <v>34.43700708</v>
      </c>
      <c r="ALT27">
        <v>29.588596994</v>
      </c>
      <c r="ALU27">
        <v>2.939462772</v>
      </c>
      <c r="ALV27">
        <v>3.874511524</v>
      </c>
      <c r="ALW27">
        <v>9.833941747000001</v>
      </c>
      <c r="ALX27">
        <v>5.603509261</v>
      </c>
      <c r="ALY27">
        <v>3.007713805</v>
      </c>
      <c r="ALZ27">
        <v>95.0467922749569</v>
      </c>
      <c r="AMA27">
        <v>94.31928399748389</v>
      </c>
      <c r="AMB27">
        <v>90.2012795016938</v>
      </c>
      <c r="AMC27">
        <v>92.9479274278865</v>
      </c>
      <c r="AMD27">
        <v>94.08859366400409</v>
      </c>
      <c r="AME27">
        <v>98.2338835328665</v>
      </c>
      <c r="AMF27">
        <v>96.712963837511</v>
      </c>
      <c r="AMG27">
        <v>90.3627599258933</v>
      </c>
      <c r="AMH27">
        <v>97.022638485925</v>
      </c>
      <c r="AMI27">
        <v>99.0383881682302</v>
      </c>
      <c r="AMJ27">
        <v>1918.89372606778</v>
      </c>
      <c r="AMK27">
        <v>1660.3414773016</v>
      </c>
      <c r="AML27">
        <v>920.54141364015</v>
      </c>
      <c r="AMM27">
        <v>1318.02282942468</v>
      </c>
      <c r="AMN27">
        <v>1591.644835698</v>
      </c>
      <c r="AMO27">
        <v>1.08772251343825</v>
      </c>
      <c r="AMP27">
        <v>1.05705364837574</v>
      </c>
      <c r="AMQ27">
        <v>1.0803698737973</v>
      </c>
      <c r="AMR27">
        <v>1.09962741960504</v>
      </c>
      <c r="AMS27">
        <v>1.12442757860354</v>
      </c>
      <c r="AMT27">
        <v>1.08772251268584</v>
      </c>
      <c r="AMU27">
        <v>1.05705364837574</v>
      </c>
      <c r="AMV27">
        <v>1.08036987469775</v>
      </c>
      <c r="AMW27">
        <v>1.09962741960504</v>
      </c>
      <c r="AMX27">
        <v>1.12442757773093</v>
      </c>
      <c r="AMY27">
        <v>1.08739373307773</v>
      </c>
      <c r="AMZ27">
        <v>1.05640498087783</v>
      </c>
      <c r="ANA27">
        <v>1.08184380444804</v>
      </c>
      <c r="ANB27">
        <v>1.09962741969266</v>
      </c>
      <c r="ANC27">
        <v>1.12442757762236</v>
      </c>
      <c r="AND27">
        <v>7.66532211853612</v>
      </c>
      <c r="ANE27">
        <v>5.09080998160542</v>
      </c>
      <c r="ANF27">
        <v>6.71017001394864</v>
      </c>
      <c r="ANG27">
        <v>8.421181576759009</v>
      </c>
      <c r="ANH27">
        <v>10.4117117229208</v>
      </c>
      <c r="ANI27">
        <v>7.92235426584284</v>
      </c>
      <c r="ANJ27">
        <v>5.22000698889719</v>
      </c>
      <c r="ANK27">
        <v>6.72218271605541</v>
      </c>
      <c r="ANL27">
        <v>8.790354754065129</v>
      </c>
      <c r="ANM27">
        <v>10.9594490357957</v>
      </c>
      <c r="ANN27">
        <v>8.30167202010127</v>
      </c>
      <c r="ANO27">
        <v>5.36387464756443</v>
      </c>
      <c r="ANP27">
        <v>7.19282049817428</v>
      </c>
      <c r="ANQ27">
        <v>9.19555604860466</v>
      </c>
      <c r="ANR27">
        <v>11.6217330670717</v>
      </c>
      <c r="ANS27">
        <v>16.9862495547781</v>
      </c>
      <c r="ANT27">
        <v>11.0491781070383</v>
      </c>
      <c r="ANU27">
        <v>12.417964761287</v>
      </c>
      <c r="ANV27">
        <v>14.6235379879153</v>
      </c>
      <c r="ANW27">
        <v>18.5591931558933</v>
      </c>
      <c r="ANX27">
        <v>95.3755256833462</v>
      </c>
      <c r="ANY27">
        <v>95.34542761248071</v>
      </c>
      <c r="ANZ27">
        <v>88.6976834146555</v>
      </c>
      <c r="AOA27">
        <v>92.9479273535453</v>
      </c>
      <c r="AOB27">
        <v>94.08859366400409</v>
      </c>
      <c r="AOC27">
        <v>102.937265235251</v>
      </c>
      <c r="AOD27">
        <v>99.3784521595892</v>
      </c>
      <c r="AOE27">
        <v>96.6892956233071</v>
      </c>
      <c r="AOF27">
        <v>101.495006190534</v>
      </c>
      <c r="AOG27">
        <v>105.023318866196</v>
      </c>
      <c r="AOH27" t="s">
        <v>1901</v>
      </c>
      <c r="AOI27" t="s">
        <v>1901</v>
      </c>
      <c r="AOJ27" t="s">
        <v>1901</v>
      </c>
      <c r="AOK27" t="s">
        <v>1901</v>
      </c>
      <c r="AOL27" t="s">
        <v>1901</v>
      </c>
      <c r="AOM27">
        <v>154.754707334012</v>
      </c>
      <c r="AON27">
        <v>89.6156396368102</v>
      </c>
      <c r="AOO27">
        <v>68.48006396949199</v>
      </c>
      <c r="AOP27">
        <v>119.414277176974</v>
      </c>
      <c r="AOQ27">
        <v>176.129183668554</v>
      </c>
      <c r="AOR27">
        <v>8.77225126858356</v>
      </c>
      <c r="AOS27">
        <v>5.70536483757359</v>
      </c>
      <c r="AOT27">
        <v>8.036987469775291</v>
      </c>
      <c r="AOU27">
        <v>9.9627419605042</v>
      </c>
      <c r="AOV27">
        <v>12.4427577730932</v>
      </c>
      <c r="AOW27">
        <v>11.5854806023514</v>
      </c>
      <c r="AOX27">
        <v>7.49358839701532</v>
      </c>
      <c r="AOY27">
        <v>8.9370187494563</v>
      </c>
      <c r="AOZ27">
        <v>10.6525433181365</v>
      </c>
      <c r="APA27">
        <v>12.6533120291275</v>
      </c>
      <c r="APB27">
        <v>6.70286236265526</v>
      </c>
      <c r="APC27">
        <v>4.38041554561332</v>
      </c>
      <c r="APD27">
        <v>5.71007558059167</v>
      </c>
      <c r="APE27">
        <v>7.15183108524977</v>
      </c>
      <c r="APF27">
        <v>8.33529530413278</v>
      </c>
      <c r="APG27">
        <v>6.92762148947767</v>
      </c>
      <c r="APH27">
        <v>4.49158382359511</v>
      </c>
      <c r="API27">
        <v>5.72029789043094</v>
      </c>
      <c r="APJ27">
        <v>7.46535765883475</v>
      </c>
      <c r="APK27">
        <v>8.773796904388741</v>
      </c>
      <c r="APL27">
        <v>135.323667706606</v>
      </c>
      <c r="APM27">
        <v>77.1102717275985</v>
      </c>
      <c r="APN27">
        <v>58.2736860939013</v>
      </c>
      <c r="APO27">
        <v>101.41459743534</v>
      </c>
      <c r="APP27">
        <v>141.00359255254</v>
      </c>
      <c r="APQ27">
        <v>7.6708052127068</v>
      </c>
      <c r="APR27">
        <v>4.9092126632512</v>
      </c>
      <c r="APS27">
        <v>6.839142048158</v>
      </c>
      <c r="APT27">
        <v>8.46102735085285</v>
      </c>
      <c r="APU27">
        <v>9.961288133650941</v>
      </c>
      <c r="APV27">
        <v>7.25931201196172</v>
      </c>
      <c r="APW27">
        <v>4.61537554452244</v>
      </c>
      <c r="APX27">
        <v>6.12079106741371</v>
      </c>
      <c r="APY27">
        <v>7.80948172119544</v>
      </c>
      <c r="APZ27">
        <v>9.304001074731261</v>
      </c>
      <c r="AQA27">
        <v>10.1308047700941</v>
      </c>
      <c r="AQB27">
        <v>6.44789949444586</v>
      </c>
      <c r="AQC27">
        <v>7.60503123147111</v>
      </c>
      <c r="AQD27">
        <v>9.046852837121619</v>
      </c>
      <c r="AQE27">
        <v>10.1298513774568</v>
      </c>
      <c r="AQF27">
        <v>0.0873937330777272</v>
      </c>
      <c r="AQG27">
        <v>0.0564049808778304</v>
      </c>
      <c r="AQH27">
        <v>0.0818438044480415</v>
      </c>
      <c r="AQI27">
        <v>0.0996274196926642</v>
      </c>
      <c r="AQJ27">
        <v>0.124427577622356</v>
      </c>
      <c r="AQK27">
        <v>6</v>
      </c>
      <c r="AQO27" t="s">
        <v>1902</v>
      </c>
      <c r="AQP27">
        <v>14</v>
      </c>
      <c r="AQQ27">
        <v>0</v>
      </c>
      <c r="AQS27" t="s">
        <v>1905</v>
      </c>
      <c r="AQU27" t="s">
        <v>1906</v>
      </c>
      <c r="AQV27">
        <v>1580155.09587461</v>
      </c>
      <c r="AQW27">
        <v>1615271.70236409</v>
      </c>
      <c r="AQX27">
        <v>1418731.32568373</v>
      </c>
      <c r="AQY27">
        <v>121123.978071252</v>
      </c>
      <c r="AQZ27">
        <v>82230.413053999</v>
      </c>
      <c r="ARA27">
        <v>95199.2839945257</v>
      </c>
      <c r="ARB27">
        <v>4614158.12392243</v>
      </c>
      <c r="ARC27">
        <v>298553.6751197767</v>
      </c>
      <c r="ARD27">
        <v>0.06918003692451684</v>
      </c>
      <c r="ARE27">
        <v>0.06918003692451684</v>
      </c>
      <c r="ARF27">
        <v>0.06918003692451684</v>
      </c>
      <c r="ARG27">
        <v>0.06918003692451684</v>
      </c>
      <c r="ARH27">
        <v>0.06918003692451684</v>
      </c>
      <c r="ARI27">
        <v>0.06918003692451684</v>
      </c>
      <c r="ARJ27" t="s">
        <v>1188</v>
      </c>
      <c r="ARK27" t="s">
        <v>1526</v>
      </c>
      <c r="ARL27" t="s">
        <v>1908</v>
      </c>
      <c r="ARM27" t="s">
        <v>1908</v>
      </c>
      <c r="ARN27" t="s">
        <v>1909</v>
      </c>
      <c r="ARO27" t="s">
        <v>1908</v>
      </c>
      <c r="ARP27" t="s">
        <v>1907</v>
      </c>
      <c r="ARQ27" t="s">
        <v>1931</v>
      </c>
      <c r="ARR27">
        <f>HYPERLINK("C:\Users\Usuario\Documents\Proyectos\llmthon\evidence\codigo10_es_233806.png", "Ver Evidencia")</f>
        <v>0</v>
      </c>
      <c r="ARS27">
        <v>95</v>
      </c>
    </row>
    <row r="28" spans="1:1163">
      <c r="A28">
        <v>491</v>
      </c>
      <c r="B28" t="s">
        <v>1189</v>
      </c>
      <c r="C28" t="s">
        <v>1312</v>
      </c>
      <c r="D28" t="s">
        <v>1413</v>
      </c>
      <c r="E28" s="2">
        <v>42440</v>
      </c>
      <c r="F28" t="s">
        <v>1431</v>
      </c>
      <c r="G28" t="s">
        <v>1433</v>
      </c>
      <c r="H28" t="s">
        <v>1434</v>
      </c>
      <c r="I28" t="s">
        <v>1435</v>
      </c>
      <c r="J28" t="s">
        <v>1451</v>
      </c>
      <c r="L28" t="s">
        <v>1527</v>
      </c>
      <c r="N28" t="s">
        <v>1624</v>
      </c>
      <c r="O28" t="s">
        <v>1648</v>
      </c>
      <c r="P28">
        <v>6209</v>
      </c>
      <c r="Q28">
        <v>6209</v>
      </c>
      <c r="R28" t="s">
        <v>1698</v>
      </c>
      <c r="S28" t="s">
        <v>1803</v>
      </c>
      <c r="Z28" t="s">
        <v>1899</v>
      </c>
      <c r="AA28" s="2">
        <v>45291</v>
      </c>
      <c r="AB28">
        <v>2023</v>
      </c>
      <c r="AC28" t="s">
        <v>1900</v>
      </c>
      <c r="AD28">
        <v>1395318.42540176</v>
      </c>
      <c r="AE28">
        <v>871433.113896847</v>
      </c>
      <c r="AF28">
        <v>73492.66709489821</v>
      </c>
      <c r="AG28">
        <v>287.656617772579</v>
      </c>
      <c r="AH28" t="s">
        <v>1900</v>
      </c>
      <c r="AI28">
        <v>1395154.53172821</v>
      </c>
      <c r="AJ28">
        <v>871433.113896847</v>
      </c>
      <c r="AK28">
        <v>73492.66709489821</v>
      </c>
      <c r="AL28">
        <v>287.656617772579</v>
      </c>
      <c r="AM28" t="s">
        <v>1900</v>
      </c>
      <c r="AN28">
        <v>296747.850026789</v>
      </c>
      <c r="AO28">
        <v>558176.811945462</v>
      </c>
      <c r="AP28">
        <v>22155.3609144688</v>
      </c>
      <c r="AQ28">
        <v>741.90423643589</v>
      </c>
      <c r="AR28" t="s">
        <v>1900</v>
      </c>
      <c r="AS28">
        <v>1098570.57537498</v>
      </c>
      <c r="AT28">
        <v>313256.301951385</v>
      </c>
      <c r="AU28">
        <v>51337.3061804295</v>
      </c>
      <c r="AV28">
        <v>-454.247618663311</v>
      </c>
      <c r="AW28" t="s">
        <v>1900</v>
      </c>
      <c r="AX28">
        <v>2593798.62616495</v>
      </c>
      <c r="AY28">
        <v>2320931.55775288</v>
      </c>
      <c r="AZ28">
        <v>1519696.71429484</v>
      </c>
      <c r="BA28">
        <v>936297.2334820509</v>
      </c>
      <c r="BB28" t="s">
        <v>1900</v>
      </c>
      <c r="BC28">
        <v>-1495228.05078998</v>
      </c>
      <c r="BD28">
        <v>-2007675.2558015</v>
      </c>
      <c r="BE28">
        <v>-1468359.40811441</v>
      </c>
      <c r="BF28">
        <v>-936751.481100714</v>
      </c>
      <c r="BG28" t="s">
        <v>1900</v>
      </c>
      <c r="BH28">
        <v>-21707.2264419365</v>
      </c>
      <c r="BI28">
        <v>-4846.6910040158</v>
      </c>
      <c r="BJ28">
        <v>-27638.8453030586</v>
      </c>
      <c r="BK28">
        <v>-9910.690806739931</v>
      </c>
      <c r="BL28" t="s">
        <v>1900</v>
      </c>
      <c r="BM28">
        <v>1475.0430619812</v>
      </c>
      <c r="BN28">
        <v>4671.54576864839</v>
      </c>
      <c r="BO28">
        <v>288.835730409622</v>
      </c>
      <c r="BP28">
        <v>437.816759043932</v>
      </c>
      <c r="BQ28" t="s">
        <v>1900</v>
      </c>
      <c r="BR28">
        <v>23182.2695039177</v>
      </c>
      <c r="BS28">
        <v>9518.23783926368</v>
      </c>
      <c r="BT28">
        <v>27927.6810334682</v>
      </c>
      <c r="BU28">
        <v>10348.5087928832</v>
      </c>
      <c r="BV28" t="s">
        <v>1900</v>
      </c>
      <c r="BW28">
        <v>-1516935.27723191</v>
      </c>
      <c r="BX28">
        <v>-2012521.94787211</v>
      </c>
      <c r="BY28">
        <v>-1495998.25341747</v>
      </c>
      <c r="BZ28">
        <v>-946662.173134553</v>
      </c>
      <c r="CA28" t="s">
        <v>1900</v>
      </c>
      <c r="CB28">
        <v>-335433.298588343</v>
      </c>
      <c r="CC28">
        <v>-1231574.58017929</v>
      </c>
      <c r="CD28" t="s">
        <v>1900</v>
      </c>
      <c r="CE28" t="s">
        <v>1900</v>
      </c>
      <c r="CF28" t="s">
        <v>1900</v>
      </c>
      <c r="CG28">
        <v>-1181501.97864357</v>
      </c>
      <c r="CH28">
        <v>-780947.367692822</v>
      </c>
      <c r="CI28">
        <v>-1495998.25341747</v>
      </c>
      <c r="CJ28">
        <v>-946662.173134553</v>
      </c>
      <c r="CK28" t="s">
        <v>1900</v>
      </c>
      <c r="CL28" t="s">
        <v>1900</v>
      </c>
      <c r="CM28" t="s">
        <v>1900</v>
      </c>
      <c r="CN28" t="s">
        <v>1900</v>
      </c>
      <c r="CO28" t="s">
        <v>1900</v>
      </c>
      <c r="CP28" t="s">
        <v>1900</v>
      </c>
      <c r="CQ28" t="s">
        <v>1900</v>
      </c>
      <c r="CR28" t="s">
        <v>1900</v>
      </c>
      <c r="CS28" t="s">
        <v>1900</v>
      </c>
      <c r="CT28" t="s">
        <v>1900</v>
      </c>
      <c r="CU28" t="s">
        <v>1900</v>
      </c>
      <c r="CV28" t="s">
        <v>1900</v>
      </c>
      <c r="CW28" t="s">
        <v>1900</v>
      </c>
      <c r="CX28" t="s">
        <v>1900</v>
      </c>
      <c r="CY28" t="s">
        <v>1900</v>
      </c>
      <c r="CZ28" t="s">
        <v>1900</v>
      </c>
      <c r="DA28">
        <v>-1181501.97864357</v>
      </c>
      <c r="DB28">
        <v>-780947.367692822</v>
      </c>
      <c r="DC28">
        <v>-1495998.25341747</v>
      </c>
      <c r="DD28">
        <v>-946662.173134553</v>
      </c>
      <c r="DE28" t="s">
        <v>1900</v>
      </c>
      <c r="DF28" t="s">
        <v>1900</v>
      </c>
      <c r="DG28" t="s">
        <v>1900</v>
      </c>
      <c r="DH28" t="s">
        <v>1900</v>
      </c>
      <c r="DI28" t="s">
        <v>1900</v>
      </c>
      <c r="DJ28" t="s">
        <v>1900</v>
      </c>
      <c r="DK28">
        <v>296747.850026789</v>
      </c>
      <c r="DL28">
        <v>558176.811945462</v>
      </c>
      <c r="DM28">
        <v>22155.3609144688</v>
      </c>
      <c r="DN28">
        <v>741.90423643589</v>
      </c>
      <c r="DO28" t="s">
        <v>1900</v>
      </c>
      <c r="DP28">
        <v>1482194.74674079</v>
      </c>
      <c r="DQ28">
        <v>1357947.75139296</v>
      </c>
      <c r="DR28">
        <v>1034690.25012116</v>
      </c>
      <c r="DS28">
        <v>798716.81111775</v>
      </c>
      <c r="DT28" t="s">
        <v>1900</v>
      </c>
      <c r="DU28">
        <v>450861.959791307</v>
      </c>
      <c r="DV28">
        <v>383021.955850661</v>
      </c>
      <c r="DW28">
        <v>283666.85973444</v>
      </c>
      <c r="DX28">
        <v>189951.032563144</v>
      </c>
      <c r="DY28" t="s">
        <v>1900</v>
      </c>
      <c r="DZ28">
        <v>660741.9196328541</v>
      </c>
      <c r="EA28">
        <v>579961.8505092619</v>
      </c>
      <c r="EB28">
        <v>201339.603306634</v>
      </c>
      <c r="EC28">
        <v>-52370.6101988435</v>
      </c>
      <c r="ED28" t="s">
        <v>1900</v>
      </c>
      <c r="EE28">
        <v>14297.1704663944</v>
      </c>
      <c r="EF28">
        <v>9518.23783926368</v>
      </c>
      <c r="EG28">
        <v>27927.6810334682</v>
      </c>
      <c r="EH28">
        <v>10348.5087928832</v>
      </c>
      <c r="EI28" t="s">
        <v>1900</v>
      </c>
      <c r="EJ28" t="s">
        <v>1900</v>
      </c>
      <c r="EK28" t="s">
        <v>1900</v>
      </c>
      <c r="EL28" t="s">
        <v>1900</v>
      </c>
      <c r="EM28" t="s">
        <v>1900</v>
      </c>
      <c r="EN28" t="s">
        <v>1900</v>
      </c>
      <c r="EO28">
        <v>-730640.018852263</v>
      </c>
      <c r="EP28">
        <v>-397925.411842161</v>
      </c>
      <c r="EQ28">
        <v>-1212331.39368303</v>
      </c>
      <c r="ER28">
        <v>-756711.140571409</v>
      </c>
      <c r="ES28" t="s">
        <v>1900</v>
      </c>
      <c r="ET28">
        <v>430418.599766579</v>
      </c>
      <c r="EU28">
        <v>-262034.00172263</v>
      </c>
      <c r="EV28">
        <v>-149713.462528396</v>
      </c>
      <c r="EW28">
        <v>52354.1793392241</v>
      </c>
      <c r="EX28" t="s">
        <v>1900</v>
      </c>
      <c r="EY28">
        <v>-1044366.09099867</v>
      </c>
      <c r="EZ28">
        <v>-1624653.29995084</v>
      </c>
      <c r="FA28">
        <v>-1184692.54837997</v>
      </c>
      <c r="FB28">
        <v>-746800.44853757</v>
      </c>
      <c r="FC28" t="s">
        <v>1900</v>
      </c>
      <c r="FD28">
        <v>3266976.56392894</v>
      </c>
      <c r="FE28">
        <v>2537111.04063056</v>
      </c>
      <c r="FF28">
        <v>1298913.02418716</v>
      </c>
      <c r="FG28">
        <v>1139457.85502265</v>
      </c>
      <c r="FH28" t="s">
        <v>1900</v>
      </c>
      <c r="FI28">
        <v>1440844.73313341</v>
      </c>
      <c r="FJ28">
        <v>1103960.62311494</v>
      </c>
      <c r="FK28">
        <v>1091377.98280606</v>
      </c>
      <c r="FL28">
        <v>912355.703993624</v>
      </c>
      <c r="FM28" t="s">
        <v>1900</v>
      </c>
      <c r="FN28">
        <v>28536.7262069321</v>
      </c>
      <c r="FO28">
        <v>33563.0914048314</v>
      </c>
      <c r="FP28">
        <v>29434.0734204054</v>
      </c>
      <c r="FQ28">
        <v>32155.8058247745</v>
      </c>
      <c r="FR28" t="s">
        <v>1900</v>
      </c>
      <c r="FS28">
        <v>1797595.10458859</v>
      </c>
      <c r="FT28">
        <v>1399587.32611079</v>
      </c>
      <c r="FU28">
        <v>178100.967960691</v>
      </c>
      <c r="FV28">
        <v>194946.345204246</v>
      </c>
      <c r="FW28" t="s">
        <v>1900</v>
      </c>
      <c r="FX28">
        <v>1440844.73313341</v>
      </c>
      <c r="FY28">
        <v>1103960.62311494</v>
      </c>
      <c r="FZ28">
        <v>1091377.98280606</v>
      </c>
      <c r="GA28">
        <v>912355.703993624</v>
      </c>
      <c r="GB28" t="s">
        <v>1900</v>
      </c>
      <c r="GC28">
        <v>28536.7262069321</v>
      </c>
      <c r="GD28">
        <v>33563.0914048314</v>
      </c>
      <c r="GE28">
        <v>29434.0734204054</v>
      </c>
      <c r="GF28">
        <v>32155.8058247745</v>
      </c>
      <c r="GG28" t="s">
        <v>1900</v>
      </c>
      <c r="GH28">
        <v>1797595.10458859</v>
      </c>
      <c r="GI28">
        <v>1399587.32611079</v>
      </c>
      <c r="GJ28">
        <v>178100.967960691</v>
      </c>
      <c r="GK28">
        <v>194946.345204246</v>
      </c>
      <c r="GL28" t="s">
        <v>1900</v>
      </c>
      <c r="GM28">
        <v>1426225.0903723</v>
      </c>
      <c r="GN28">
        <v>2242745.05822983</v>
      </c>
      <c r="GO28">
        <v>2785908.15847857</v>
      </c>
      <c r="GP28">
        <v>398570.417608249</v>
      </c>
      <c r="GQ28" t="s">
        <v>1900</v>
      </c>
      <c r="GR28">
        <v>10759.378778677</v>
      </c>
      <c r="GS28">
        <v>0</v>
      </c>
      <c r="GT28">
        <v>0</v>
      </c>
      <c r="GU28">
        <v>0</v>
      </c>
      <c r="GV28" t="s">
        <v>1900</v>
      </c>
      <c r="GW28">
        <v>845784.27502759</v>
      </c>
      <c r="GX28">
        <v>266580.799081731</v>
      </c>
      <c r="GY28">
        <v>79723.1580162763</v>
      </c>
      <c r="GZ28">
        <v>35136.430023092</v>
      </c>
      <c r="HA28" t="s">
        <v>1900</v>
      </c>
      <c r="HB28">
        <v>569681.436566029</v>
      </c>
      <c r="HC28">
        <v>1976164.2591481</v>
      </c>
      <c r="HD28">
        <v>2706185.00046229</v>
      </c>
      <c r="HE28">
        <v>363433.987585157</v>
      </c>
      <c r="HF28" t="s">
        <v>1900</v>
      </c>
      <c r="HG28">
        <v>569681.436566029</v>
      </c>
      <c r="HH28">
        <v>1976164.2591481</v>
      </c>
      <c r="HI28">
        <v>2706185.00046229</v>
      </c>
      <c r="HJ28">
        <v>361922.777984929</v>
      </c>
      <c r="HK28" t="s">
        <v>1900</v>
      </c>
      <c r="HL28">
        <v>4693201.65430123</v>
      </c>
      <c r="HM28">
        <v>4779856.09886039</v>
      </c>
      <c r="HN28">
        <v>4084821.18266573</v>
      </c>
      <c r="HO28">
        <v>1538028.27263089</v>
      </c>
      <c r="HP28" t="s">
        <v>1900</v>
      </c>
      <c r="HQ28">
        <v>658159.86497406</v>
      </c>
      <c r="HR28">
        <v>1778062.93364074</v>
      </c>
      <c r="HS28">
        <v>2738385.05372357</v>
      </c>
      <c r="HT28">
        <v>136990.015807372</v>
      </c>
      <c r="HU28" t="s">
        <v>1900</v>
      </c>
      <c r="HV28">
        <v>10172.9218654823</v>
      </c>
      <c r="HW28">
        <v>9819.39220477343</v>
      </c>
      <c r="HX28">
        <v>10427.012906599</v>
      </c>
      <c r="HY28">
        <v>8760.26189863682</v>
      </c>
      <c r="HZ28" t="s">
        <v>1900</v>
      </c>
      <c r="IA28">
        <v>647986.943108578</v>
      </c>
      <c r="IB28">
        <v>1768243.54143596</v>
      </c>
      <c r="IC28">
        <v>2727958.04081697</v>
      </c>
      <c r="ID28">
        <v>128229.752681636</v>
      </c>
      <c r="IE28" t="s">
        <v>1900</v>
      </c>
      <c r="IF28">
        <v>3806726.70841217</v>
      </c>
      <c r="IG28">
        <v>2677164.71552849</v>
      </c>
      <c r="IH28">
        <v>1234534.33513641</v>
      </c>
      <c r="II28">
        <v>1327721.44198418</v>
      </c>
      <c r="IJ28" t="s">
        <v>1900</v>
      </c>
      <c r="IK28">
        <v>3806726.70841217</v>
      </c>
      <c r="IL28">
        <v>2677164.71552849</v>
      </c>
      <c r="IM28">
        <v>1234534.33513641</v>
      </c>
      <c r="IN28">
        <v>0</v>
      </c>
      <c r="IO28" t="s">
        <v>1900</v>
      </c>
      <c r="IP28">
        <v>0</v>
      </c>
      <c r="IQ28">
        <v>0</v>
      </c>
      <c r="IR28">
        <v>0</v>
      </c>
      <c r="IS28">
        <v>1327721.44198418</v>
      </c>
      <c r="IT28" t="s">
        <v>1900</v>
      </c>
      <c r="IU28">
        <v>0</v>
      </c>
      <c r="IV28">
        <v>0</v>
      </c>
      <c r="IW28">
        <v>0</v>
      </c>
      <c r="IX28" t="s">
        <v>1900</v>
      </c>
      <c r="IY28" t="s">
        <v>1900</v>
      </c>
      <c r="IZ28">
        <v>228315.080915003</v>
      </c>
      <c r="JA28">
        <v>324628.449691164</v>
      </c>
      <c r="JB28">
        <v>111901.793805742</v>
      </c>
      <c r="JC28">
        <v>73316.8148393452</v>
      </c>
      <c r="JD28" t="s">
        <v>1900</v>
      </c>
      <c r="JE28">
        <v>7922.16845537186</v>
      </c>
      <c r="JF28">
        <v>0</v>
      </c>
      <c r="JG28">
        <v>0</v>
      </c>
      <c r="JH28">
        <v>0</v>
      </c>
      <c r="JI28" t="s">
        <v>1900</v>
      </c>
      <c r="JJ28">
        <v>18790.8870331192</v>
      </c>
      <c r="JK28">
        <v>100640.818599743</v>
      </c>
      <c r="JL28">
        <v>2859.24947619438</v>
      </c>
      <c r="JM28">
        <v>8976.29273030162</v>
      </c>
      <c r="JN28" t="s">
        <v>1900</v>
      </c>
      <c r="JO28">
        <v>201602.025426512</v>
      </c>
      <c r="JP28">
        <v>223987.631091422</v>
      </c>
      <c r="JQ28">
        <v>109042.544329548</v>
      </c>
      <c r="JR28">
        <v>64340.5221090436</v>
      </c>
      <c r="JS28" t="s">
        <v>1900</v>
      </c>
      <c r="JT28">
        <v>4693201.65430123</v>
      </c>
      <c r="JU28">
        <v>4779856.09886039</v>
      </c>
      <c r="JV28">
        <v>4084821.18266573</v>
      </c>
      <c r="JW28">
        <v>1538028.27263089</v>
      </c>
      <c r="JX28" t="s">
        <v>1900</v>
      </c>
      <c r="JY28">
        <v>837752.766773148</v>
      </c>
      <c r="JZ28">
        <v>165939.979415389</v>
      </c>
      <c r="KA28">
        <v>76863.908540082</v>
      </c>
      <c r="KB28">
        <v>26160.1372927904</v>
      </c>
      <c r="KC28" t="s">
        <v>1900</v>
      </c>
      <c r="KD28" t="s">
        <v>1900</v>
      </c>
      <c r="KE28" t="s">
        <v>1900</v>
      </c>
      <c r="KF28" t="s">
        <v>1900</v>
      </c>
      <c r="KG28" t="s">
        <v>1900</v>
      </c>
      <c r="KH28" t="s">
        <v>1900</v>
      </c>
      <c r="KI28" t="s">
        <v>1900</v>
      </c>
      <c r="KJ28" t="s">
        <v>1900</v>
      </c>
      <c r="KK28" t="s">
        <v>1900</v>
      </c>
      <c r="KL28" t="s">
        <v>1900</v>
      </c>
      <c r="KM28" t="s">
        <v>1900</v>
      </c>
      <c r="KN28">
        <v>18</v>
      </c>
      <c r="KO28">
        <v>20</v>
      </c>
      <c r="KP28">
        <v>18</v>
      </c>
      <c r="KQ28">
        <v>14</v>
      </c>
      <c r="KR28" t="s">
        <v>1900</v>
      </c>
      <c r="KS28" t="s">
        <v>1900</v>
      </c>
      <c r="KT28" t="s">
        <v>1900</v>
      </c>
      <c r="KU28" t="s">
        <v>1900</v>
      </c>
      <c r="KV28" t="s">
        <v>1900</v>
      </c>
      <c r="KW28" t="s">
        <v>1900</v>
      </c>
      <c r="KX28" t="s">
        <v>1900</v>
      </c>
      <c r="KY28" t="s">
        <v>1900</v>
      </c>
      <c r="KZ28" t="s">
        <v>1900</v>
      </c>
      <c r="LA28" t="s">
        <v>1900</v>
      </c>
      <c r="LB28" t="s">
        <v>1900</v>
      </c>
      <c r="LC28" t="s">
        <v>1900</v>
      </c>
      <c r="LD28" t="s">
        <v>1900</v>
      </c>
      <c r="LE28" t="s">
        <v>1900</v>
      </c>
      <c r="LF28" t="s">
        <v>1900</v>
      </c>
      <c r="LG28" t="s">
        <v>1900</v>
      </c>
      <c r="LH28" t="s">
        <v>1900</v>
      </c>
      <c r="LI28" t="s">
        <v>1900</v>
      </c>
      <c r="LJ28" t="s">
        <v>1900</v>
      </c>
      <c r="LK28" t="s">
        <v>1900</v>
      </c>
      <c r="LL28" t="s">
        <v>1900</v>
      </c>
      <c r="LM28" t="s">
        <v>1900</v>
      </c>
      <c r="LN28" t="s">
        <v>1900</v>
      </c>
      <c r="LO28" t="s">
        <v>1900</v>
      </c>
      <c r="LP28" t="s">
        <v>1900</v>
      </c>
      <c r="LQ28" t="s">
        <v>1900</v>
      </c>
      <c r="LR28" t="s">
        <v>1900</v>
      </c>
      <c r="LS28" t="s">
        <v>1900</v>
      </c>
      <c r="LT28" t="s">
        <v>1900</v>
      </c>
      <c r="LU28" t="s">
        <v>1900</v>
      </c>
      <c r="LV28" t="s">
        <v>1900</v>
      </c>
      <c r="LW28" t="s">
        <v>1900</v>
      </c>
      <c r="LX28" t="s">
        <v>1900</v>
      </c>
      <c r="LY28" t="s">
        <v>1900</v>
      </c>
      <c r="LZ28" t="s">
        <v>1900</v>
      </c>
      <c r="MA28" t="s">
        <v>1900</v>
      </c>
      <c r="MB28" t="s">
        <v>1900</v>
      </c>
      <c r="MC28" t="s">
        <v>1900</v>
      </c>
      <c r="MD28" t="s">
        <v>1900</v>
      </c>
      <c r="ME28" t="s">
        <v>1900</v>
      </c>
      <c r="MF28" t="s">
        <v>1900</v>
      </c>
      <c r="MG28" t="s">
        <v>1900</v>
      </c>
      <c r="MH28" t="s">
        <v>1900</v>
      </c>
      <c r="MI28" t="s">
        <v>1900</v>
      </c>
      <c r="MJ28" t="s">
        <v>1900</v>
      </c>
      <c r="MK28" t="s">
        <v>1900</v>
      </c>
      <c r="ML28" t="s">
        <v>1900</v>
      </c>
      <c r="MM28" t="s">
        <v>1900</v>
      </c>
      <c r="MN28" t="s">
        <v>1900</v>
      </c>
      <c r="MO28" t="s">
        <v>1900</v>
      </c>
      <c r="MP28" t="s">
        <v>1900</v>
      </c>
      <c r="MQ28">
        <v>569681.436566029</v>
      </c>
      <c r="MR28">
        <v>1976164.2591481</v>
      </c>
      <c r="MS28">
        <v>2706185.00046229</v>
      </c>
      <c r="MT28">
        <v>363433.987585157</v>
      </c>
      <c r="MU28" t="s">
        <v>1900</v>
      </c>
      <c r="MV28" t="s">
        <v>1900</v>
      </c>
      <c r="MW28" t="s">
        <v>1900</v>
      </c>
      <c r="MX28" t="s">
        <v>1900</v>
      </c>
      <c r="MY28" t="s">
        <v>1900</v>
      </c>
      <c r="MZ28" t="s">
        <v>1900</v>
      </c>
      <c r="NA28" t="s">
        <v>1900</v>
      </c>
      <c r="NB28" t="s">
        <v>1900</v>
      </c>
      <c r="NC28" t="s">
        <v>1900</v>
      </c>
      <c r="ND28" t="s">
        <v>1900</v>
      </c>
      <c r="NE28" t="s">
        <v>1900</v>
      </c>
      <c r="NF28" t="s">
        <v>1900</v>
      </c>
      <c r="NG28" t="s">
        <v>1900</v>
      </c>
      <c r="NH28" t="s">
        <v>1900</v>
      </c>
      <c r="NI28" t="s">
        <v>1900</v>
      </c>
      <c r="NJ28" t="s">
        <v>1900</v>
      </c>
      <c r="NK28" t="s">
        <v>1900</v>
      </c>
      <c r="NL28" t="s">
        <v>1900</v>
      </c>
      <c r="NM28" t="s">
        <v>1900</v>
      </c>
      <c r="NN28" t="s">
        <v>1900</v>
      </c>
      <c r="NO28" t="s">
        <v>1900</v>
      </c>
      <c r="NP28" t="s">
        <v>1900</v>
      </c>
      <c r="NQ28" t="s">
        <v>1900</v>
      </c>
      <c r="NR28" t="s">
        <v>1900</v>
      </c>
      <c r="NS28" t="s">
        <v>1900</v>
      </c>
      <c r="NT28" t="s">
        <v>1900</v>
      </c>
      <c r="NU28">
        <v>3266976.56392894</v>
      </c>
      <c r="NV28">
        <v>2537111.04063056</v>
      </c>
      <c r="NW28">
        <v>1298913.02418716</v>
      </c>
      <c r="NX28">
        <v>1139457.85502265</v>
      </c>
      <c r="NY28" t="s">
        <v>1900</v>
      </c>
      <c r="NZ28" t="s">
        <v>1900</v>
      </c>
      <c r="OA28" t="s">
        <v>1900</v>
      </c>
      <c r="OB28" t="s">
        <v>1900</v>
      </c>
      <c r="OC28" t="s">
        <v>1900</v>
      </c>
      <c r="OD28" t="s">
        <v>1900</v>
      </c>
      <c r="OE28" t="s">
        <v>1900</v>
      </c>
      <c r="OF28" t="s">
        <v>1900</v>
      </c>
      <c r="OG28" t="s">
        <v>1900</v>
      </c>
      <c r="OH28" t="s">
        <v>1900</v>
      </c>
      <c r="OI28" t="s">
        <v>1900</v>
      </c>
      <c r="OJ28" t="s">
        <v>1900</v>
      </c>
      <c r="OK28" t="s">
        <v>1900</v>
      </c>
      <c r="OL28" t="s">
        <v>1900</v>
      </c>
      <c r="OM28" t="s">
        <v>1900</v>
      </c>
      <c r="ON28" t="s">
        <v>1900</v>
      </c>
      <c r="OO28" t="s">
        <v>1900</v>
      </c>
      <c r="OP28" t="s">
        <v>1900</v>
      </c>
      <c r="OQ28" t="s">
        <v>1900</v>
      </c>
      <c r="OR28" t="s">
        <v>1900</v>
      </c>
      <c r="OS28" t="s">
        <v>1900</v>
      </c>
      <c r="OT28" t="s">
        <v>1900</v>
      </c>
      <c r="OU28" t="s">
        <v>1900</v>
      </c>
      <c r="OV28" t="s">
        <v>1900</v>
      </c>
      <c r="OW28" t="s">
        <v>1900</v>
      </c>
      <c r="OX28" t="s">
        <v>1900</v>
      </c>
      <c r="OY28" t="s">
        <v>1900</v>
      </c>
      <c r="OZ28" t="s">
        <v>1900</v>
      </c>
      <c r="PA28" t="s">
        <v>1900</v>
      </c>
      <c r="PB28" t="s">
        <v>1900</v>
      </c>
      <c r="PC28" t="s">
        <v>1900</v>
      </c>
      <c r="PD28" t="s">
        <v>1900</v>
      </c>
      <c r="PE28" t="s">
        <v>1900</v>
      </c>
      <c r="PF28" t="s">
        <v>1900</v>
      </c>
      <c r="PG28" t="s">
        <v>1900</v>
      </c>
      <c r="PH28" t="s">
        <v>1900</v>
      </c>
      <c r="PI28" t="s">
        <v>1900</v>
      </c>
      <c r="PJ28" t="s">
        <v>1900</v>
      </c>
      <c r="PK28" t="s">
        <v>1900</v>
      </c>
      <c r="PL28" t="s">
        <v>1900</v>
      </c>
      <c r="PM28" t="s">
        <v>1900</v>
      </c>
      <c r="PN28" t="s">
        <v>1900</v>
      </c>
      <c r="PO28" t="s">
        <v>1900</v>
      </c>
      <c r="PP28" t="s">
        <v>1900</v>
      </c>
      <c r="PQ28" t="s">
        <v>1900</v>
      </c>
      <c r="PR28" t="s">
        <v>1900</v>
      </c>
      <c r="PS28" t="s">
        <v>1900</v>
      </c>
      <c r="PT28" t="s">
        <v>1900</v>
      </c>
      <c r="PU28" t="s">
        <v>1900</v>
      </c>
      <c r="PV28" t="s">
        <v>1900</v>
      </c>
      <c r="PW28" t="s">
        <v>1900</v>
      </c>
      <c r="PX28" t="s">
        <v>1900</v>
      </c>
      <c r="PY28" t="s">
        <v>1900</v>
      </c>
      <c r="PZ28" t="s">
        <v>1900</v>
      </c>
      <c r="QA28" t="s">
        <v>1900</v>
      </c>
      <c r="QB28" t="s">
        <v>1900</v>
      </c>
      <c r="QC28" t="s">
        <v>1900</v>
      </c>
      <c r="QD28" t="s">
        <v>1900</v>
      </c>
      <c r="QE28" t="s">
        <v>1900</v>
      </c>
      <c r="QF28" t="s">
        <v>1900</v>
      </c>
      <c r="QG28" t="s">
        <v>1900</v>
      </c>
      <c r="QH28" t="s">
        <v>1900</v>
      </c>
      <c r="QI28" t="s">
        <v>1900</v>
      </c>
      <c r="QJ28" t="s">
        <v>1900</v>
      </c>
      <c r="QK28" t="s">
        <v>1900</v>
      </c>
      <c r="QL28" t="s">
        <v>1900</v>
      </c>
      <c r="QM28" t="s">
        <v>1900</v>
      </c>
      <c r="QN28" t="s">
        <v>1900</v>
      </c>
      <c r="QO28" t="s">
        <v>1900</v>
      </c>
      <c r="QP28" t="s">
        <v>1900</v>
      </c>
      <c r="QQ28" t="s">
        <v>1900</v>
      </c>
      <c r="QR28" t="s">
        <v>1900</v>
      </c>
      <c r="QS28" t="s">
        <v>1900</v>
      </c>
      <c r="QT28" t="s">
        <v>1900</v>
      </c>
      <c r="QU28" t="s">
        <v>1900</v>
      </c>
      <c r="QV28" t="s">
        <v>1900</v>
      </c>
      <c r="QW28" t="s">
        <v>1900</v>
      </c>
      <c r="QX28" t="s">
        <v>1900</v>
      </c>
      <c r="QY28" t="s">
        <v>1900</v>
      </c>
      <c r="QZ28" t="s">
        <v>1900</v>
      </c>
      <c r="RA28" t="s">
        <v>1900</v>
      </c>
      <c r="RB28" t="s">
        <v>1900</v>
      </c>
      <c r="RC28" t="s">
        <v>1900</v>
      </c>
      <c r="RD28" t="s">
        <v>1900</v>
      </c>
      <c r="RE28" t="s">
        <v>1900</v>
      </c>
      <c r="RF28" t="s">
        <v>1900</v>
      </c>
      <c r="RG28" t="s">
        <v>1900</v>
      </c>
      <c r="RH28" t="s">
        <v>1900</v>
      </c>
      <c r="RI28" t="s">
        <v>1900</v>
      </c>
      <c r="RJ28" t="s">
        <v>1900</v>
      </c>
      <c r="RK28" t="s">
        <v>1900</v>
      </c>
      <c r="RL28" t="s">
        <v>1900</v>
      </c>
      <c r="RM28" t="s">
        <v>1900</v>
      </c>
      <c r="RN28" t="s">
        <v>1900</v>
      </c>
      <c r="RO28" t="s">
        <v>1900</v>
      </c>
      <c r="RP28" t="s">
        <v>1900</v>
      </c>
      <c r="RQ28" t="s">
        <v>1900</v>
      </c>
      <c r="RR28" t="s">
        <v>1900</v>
      </c>
      <c r="RS28" t="s">
        <v>1900</v>
      </c>
      <c r="RT28" t="s">
        <v>1900</v>
      </c>
      <c r="RU28" t="s">
        <v>1900</v>
      </c>
      <c r="RV28" t="s">
        <v>1900</v>
      </c>
      <c r="RW28" t="s">
        <v>1900</v>
      </c>
      <c r="RX28" t="s">
        <v>1900</v>
      </c>
      <c r="RY28" t="s">
        <v>1900</v>
      </c>
      <c r="RZ28" t="s">
        <v>1900</v>
      </c>
      <c r="SA28" t="s">
        <v>1900</v>
      </c>
      <c r="SB28" t="s">
        <v>1900</v>
      </c>
      <c r="SC28" t="s">
        <v>1900</v>
      </c>
      <c r="SD28" t="s">
        <v>1900</v>
      </c>
      <c r="SE28" t="s">
        <v>1900</v>
      </c>
      <c r="SF28" t="s">
        <v>1900</v>
      </c>
      <c r="SG28" t="s">
        <v>1900</v>
      </c>
      <c r="SH28" t="s">
        <v>1900</v>
      </c>
      <c r="SI28" t="s">
        <v>1900</v>
      </c>
      <c r="SJ28" t="s">
        <v>1900</v>
      </c>
      <c r="SK28">
        <v>1797595.10458859</v>
      </c>
      <c r="SL28">
        <v>1399587.32611079</v>
      </c>
      <c r="SM28">
        <v>178100.967960691</v>
      </c>
      <c r="SN28">
        <v>194946.345204246</v>
      </c>
      <c r="SO28" t="s">
        <v>1900</v>
      </c>
      <c r="SP28" t="s">
        <v>1900</v>
      </c>
      <c r="SQ28" t="s">
        <v>1900</v>
      </c>
      <c r="SR28" t="s">
        <v>1900</v>
      </c>
      <c r="SS28" t="s">
        <v>1900</v>
      </c>
      <c r="ST28" t="s">
        <v>1900</v>
      </c>
      <c r="SU28" t="s">
        <v>1900</v>
      </c>
      <c r="SV28" t="s">
        <v>1900</v>
      </c>
      <c r="SW28" t="s">
        <v>1900</v>
      </c>
      <c r="SX28" t="s">
        <v>1900</v>
      </c>
      <c r="SY28" t="s">
        <v>1900</v>
      </c>
      <c r="SZ28" t="s">
        <v>1900</v>
      </c>
      <c r="TA28" t="s">
        <v>1900</v>
      </c>
      <c r="TB28" t="s">
        <v>1900</v>
      </c>
      <c r="TC28" t="s">
        <v>1900</v>
      </c>
      <c r="TD28" t="s">
        <v>1900</v>
      </c>
      <c r="TE28" t="s">
        <v>1900</v>
      </c>
      <c r="TF28" t="s">
        <v>1900</v>
      </c>
      <c r="TG28" t="s">
        <v>1900</v>
      </c>
      <c r="TH28" t="s">
        <v>1900</v>
      </c>
      <c r="TI28" t="s">
        <v>1900</v>
      </c>
      <c r="TJ28" t="s">
        <v>1900</v>
      </c>
      <c r="TK28" t="s">
        <v>1900</v>
      </c>
      <c r="TL28" t="s">
        <v>1900</v>
      </c>
      <c r="TM28" t="s">
        <v>1900</v>
      </c>
      <c r="TN28" t="s">
        <v>1900</v>
      </c>
      <c r="TO28" t="s">
        <v>1900</v>
      </c>
      <c r="TP28" t="s">
        <v>1900</v>
      </c>
      <c r="TQ28" t="s">
        <v>1900</v>
      </c>
      <c r="TR28" t="s">
        <v>1900</v>
      </c>
      <c r="TS28" t="s">
        <v>1900</v>
      </c>
      <c r="TT28">
        <v>4693201.65430123</v>
      </c>
      <c r="TU28">
        <v>4779856.09886039</v>
      </c>
      <c r="TV28">
        <v>4084821.18266573</v>
      </c>
      <c r="TW28">
        <v>1538028.27263089</v>
      </c>
      <c r="TX28" t="s">
        <v>1900</v>
      </c>
      <c r="TY28" t="s">
        <v>1900</v>
      </c>
      <c r="TZ28" t="s">
        <v>1900</v>
      </c>
      <c r="UA28" t="s">
        <v>1900</v>
      </c>
      <c r="UB28" t="s">
        <v>1900</v>
      </c>
      <c r="UC28" t="s">
        <v>1900</v>
      </c>
      <c r="UD28">
        <v>7922.16845537186</v>
      </c>
      <c r="UE28">
        <v>0</v>
      </c>
      <c r="UF28">
        <v>0</v>
      </c>
      <c r="UG28">
        <v>0</v>
      </c>
      <c r="UH28" t="s">
        <v>1900</v>
      </c>
      <c r="UI28" t="s">
        <v>1900</v>
      </c>
      <c r="UJ28" t="s">
        <v>1900</v>
      </c>
      <c r="UK28" t="s">
        <v>1900</v>
      </c>
      <c r="UL28" t="s">
        <v>1900</v>
      </c>
      <c r="UM28" t="s">
        <v>1900</v>
      </c>
      <c r="UN28" t="s">
        <v>1900</v>
      </c>
      <c r="UO28" t="s">
        <v>1900</v>
      </c>
      <c r="UP28" t="s">
        <v>1900</v>
      </c>
      <c r="UQ28" t="s">
        <v>1900</v>
      </c>
      <c r="UR28" t="s">
        <v>1900</v>
      </c>
      <c r="US28" t="s">
        <v>1900</v>
      </c>
      <c r="UT28" t="s">
        <v>1900</v>
      </c>
      <c r="UU28" t="s">
        <v>1900</v>
      </c>
      <c r="UV28" t="s">
        <v>1900</v>
      </c>
      <c r="UW28" t="s">
        <v>1900</v>
      </c>
      <c r="UX28" t="s">
        <v>1900</v>
      </c>
      <c r="UY28" t="s">
        <v>1900</v>
      </c>
      <c r="UZ28" t="s">
        <v>1900</v>
      </c>
      <c r="VA28" t="s">
        <v>1900</v>
      </c>
      <c r="VB28" t="s">
        <v>1900</v>
      </c>
      <c r="VC28" t="s">
        <v>1900</v>
      </c>
      <c r="VD28" t="s">
        <v>1900</v>
      </c>
      <c r="VE28" t="s">
        <v>1900</v>
      </c>
      <c r="VF28" t="s">
        <v>1900</v>
      </c>
      <c r="VG28" t="s">
        <v>1900</v>
      </c>
      <c r="VH28" t="s">
        <v>1900</v>
      </c>
      <c r="VI28" t="s">
        <v>1900</v>
      </c>
      <c r="VJ28" t="s">
        <v>1900</v>
      </c>
      <c r="VK28" t="s">
        <v>1900</v>
      </c>
      <c r="VL28" t="s">
        <v>1900</v>
      </c>
      <c r="VM28" t="s">
        <v>1900</v>
      </c>
      <c r="VN28" t="s">
        <v>1900</v>
      </c>
      <c r="VO28" t="s">
        <v>1900</v>
      </c>
      <c r="VP28" t="s">
        <v>1900</v>
      </c>
      <c r="VQ28" t="s">
        <v>1900</v>
      </c>
      <c r="VR28" t="s">
        <v>1900</v>
      </c>
      <c r="VS28" t="s">
        <v>1900</v>
      </c>
      <c r="VT28" t="s">
        <v>1900</v>
      </c>
      <c r="VU28" t="s">
        <v>1900</v>
      </c>
      <c r="VV28" t="s">
        <v>1900</v>
      </c>
      <c r="VW28" t="s">
        <v>1900</v>
      </c>
      <c r="VX28" t="s">
        <v>1900</v>
      </c>
      <c r="VY28" t="s">
        <v>1900</v>
      </c>
      <c r="VZ28" t="s">
        <v>1900</v>
      </c>
      <c r="WA28" t="s">
        <v>1900</v>
      </c>
      <c r="WB28">
        <v>201602.025426512</v>
      </c>
      <c r="WC28">
        <v>223987.631091422</v>
      </c>
      <c r="WD28">
        <v>109042.544329548</v>
      </c>
      <c r="WE28">
        <v>64340.5221090436</v>
      </c>
      <c r="WF28" t="s">
        <v>1900</v>
      </c>
      <c r="WG28" t="s">
        <v>1900</v>
      </c>
      <c r="WH28" t="s">
        <v>1900</v>
      </c>
      <c r="WI28" t="s">
        <v>1900</v>
      </c>
      <c r="WJ28" t="s">
        <v>1900</v>
      </c>
      <c r="WK28" t="s">
        <v>1900</v>
      </c>
      <c r="WL28" t="s">
        <v>1900</v>
      </c>
      <c r="WM28" t="s">
        <v>1900</v>
      </c>
      <c r="WN28" t="s">
        <v>1900</v>
      </c>
      <c r="WO28" t="s">
        <v>1900</v>
      </c>
      <c r="WP28" t="s">
        <v>1900</v>
      </c>
      <c r="WQ28" t="s">
        <v>1900</v>
      </c>
      <c r="WR28" t="s">
        <v>1900</v>
      </c>
      <c r="WS28" t="s">
        <v>1900</v>
      </c>
      <c r="WT28" t="s">
        <v>1900</v>
      </c>
      <c r="WU28" t="s">
        <v>1900</v>
      </c>
      <c r="WV28" t="s">
        <v>1900</v>
      </c>
      <c r="WW28" t="s">
        <v>1900</v>
      </c>
      <c r="WX28" t="s">
        <v>1900</v>
      </c>
      <c r="WY28" t="s">
        <v>1900</v>
      </c>
      <c r="WZ28" t="s">
        <v>1900</v>
      </c>
      <c r="XA28" t="s">
        <v>1900</v>
      </c>
      <c r="XB28" t="s">
        <v>1900</v>
      </c>
      <c r="XC28" t="s">
        <v>1900</v>
      </c>
      <c r="XD28" t="s">
        <v>1900</v>
      </c>
      <c r="XE28" t="s">
        <v>1900</v>
      </c>
      <c r="XF28" t="s">
        <v>1900</v>
      </c>
      <c r="XG28" t="s">
        <v>1900</v>
      </c>
      <c r="XH28" t="s">
        <v>1900</v>
      </c>
      <c r="XI28" t="s">
        <v>1900</v>
      </c>
      <c r="XJ28" t="s">
        <v>1900</v>
      </c>
      <c r="XK28">
        <v>0</v>
      </c>
      <c r="XL28">
        <v>0</v>
      </c>
      <c r="XM28">
        <v>0</v>
      </c>
      <c r="XN28">
        <v>1327721.44198418</v>
      </c>
      <c r="XO28" t="s">
        <v>1900</v>
      </c>
      <c r="XP28" t="s">
        <v>1900</v>
      </c>
      <c r="XQ28" t="s">
        <v>1900</v>
      </c>
      <c r="XR28" t="s">
        <v>1900</v>
      </c>
      <c r="XS28" t="s">
        <v>1900</v>
      </c>
      <c r="XT28" t="s">
        <v>1900</v>
      </c>
      <c r="XU28" t="s">
        <v>1900</v>
      </c>
      <c r="XV28" t="s">
        <v>1900</v>
      </c>
      <c r="XW28" t="s">
        <v>1900</v>
      </c>
      <c r="XX28" t="s">
        <v>1900</v>
      </c>
      <c r="XY28" t="s">
        <v>1900</v>
      </c>
      <c r="XZ28">
        <v>0</v>
      </c>
      <c r="YA28">
        <v>0</v>
      </c>
      <c r="YB28">
        <v>0</v>
      </c>
      <c r="YC28" t="s">
        <v>1900</v>
      </c>
      <c r="YD28" t="s">
        <v>1900</v>
      </c>
      <c r="YE28" t="s">
        <v>1900</v>
      </c>
      <c r="YF28" t="s">
        <v>1900</v>
      </c>
      <c r="YG28" t="s">
        <v>1900</v>
      </c>
      <c r="YH28" t="s">
        <v>1900</v>
      </c>
      <c r="YI28" t="s">
        <v>1900</v>
      </c>
      <c r="YJ28" t="s">
        <v>1900</v>
      </c>
      <c r="YK28" t="s">
        <v>1900</v>
      </c>
      <c r="YL28" t="s">
        <v>1900</v>
      </c>
      <c r="YM28" t="s">
        <v>1900</v>
      </c>
      <c r="YN28" t="s">
        <v>1900</v>
      </c>
      <c r="YO28" t="s">
        <v>1900</v>
      </c>
      <c r="YP28" t="s">
        <v>1900</v>
      </c>
      <c r="YQ28" t="s">
        <v>1900</v>
      </c>
      <c r="YR28" t="s">
        <v>1900</v>
      </c>
      <c r="YS28" t="s">
        <v>1900</v>
      </c>
      <c r="YT28" t="s">
        <v>1900</v>
      </c>
      <c r="YU28" t="s">
        <v>1900</v>
      </c>
      <c r="YV28" t="s">
        <v>1900</v>
      </c>
      <c r="YW28" t="s">
        <v>1900</v>
      </c>
      <c r="YX28" t="s">
        <v>1900</v>
      </c>
      <c r="YY28" t="s">
        <v>1900</v>
      </c>
      <c r="YZ28" t="s">
        <v>1900</v>
      </c>
      <c r="ZA28" t="s">
        <v>1900</v>
      </c>
      <c r="ZB28" t="s">
        <v>1900</v>
      </c>
      <c r="ZC28" t="s">
        <v>1900</v>
      </c>
      <c r="ZD28" t="s">
        <v>1900</v>
      </c>
      <c r="ZE28" t="s">
        <v>1900</v>
      </c>
      <c r="ZF28" t="s">
        <v>1900</v>
      </c>
      <c r="ZG28" t="s">
        <v>1900</v>
      </c>
      <c r="ZH28" t="s">
        <v>1900</v>
      </c>
      <c r="ZI28" t="s">
        <v>1900</v>
      </c>
      <c r="ZJ28" t="s">
        <v>1900</v>
      </c>
      <c r="ZK28" t="s">
        <v>1900</v>
      </c>
      <c r="ZL28" t="s">
        <v>1900</v>
      </c>
      <c r="ZM28" t="s">
        <v>1900</v>
      </c>
      <c r="ZN28" t="s">
        <v>1900</v>
      </c>
      <c r="ZO28" t="s">
        <v>1900</v>
      </c>
      <c r="ZP28" t="s">
        <v>1900</v>
      </c>
      <c r="ZQ28" t="s">
        <v>1900</v>
      </c>
      <c r="ZR28" t="s">
        <v>1900</v>
      </c>
      <c r="ZS28" t="s">
        <v>1900</v>
      </c>
      <c r="ZT28" t="s">
        <v>1900</v>
      </c>
      <c r="ZU28" t="s">
        <v>1900</v>
      </c>
      <c r="ZV28" t="s">
        <v>1900</v>
      </c>
      <c r="ZW28" t="s">
        <v>1900</v>
      </c>
      <c r="ZX28" t="s">
        <v>1900</v>
      </c>
      <c r="ZY28" t="s">
        <v>1900</v>
      </c>
      <c r="ZZ28" t="s">
        <v>1900</v>
      </c>
      <c r="AAA28" t="s">
        <v>1900</v>
      </c>
      <c r="AAB28" t="s">
        <v>1900</v>
      </c>
      <c r="AAC28" t="s">
        <v>1900</v>
      </c>
      <c r="AAD28" t="s">
        <v>1900</v>
      </c>
      <c r="AAE28" t="s">
        <v>1900</v>
      </c>
      <c r="AAF28" t="s">
        <v>1900</v>
      </c>
      <c r="AAG28" t="s">
        <v>1900</v>
      </c>
      <c r="AAH28" t="s">
        <v>1900</v>
      </c>
      <c r="AAI28" t="s">
        <v>1900</v>
      </c>
      <c r="AAJ28" t="s">
        <v>1900</v>
      </c>
      <c r="AAK28" t="s">
        <v>1900</v>
      </c>
      <c r="AAL28" t="s">
        <v>1900</v>
      </c>
      <c r="AAM28" t="s">
        <v>1900</v>
      </c>
      <c r="AAN28" t="s">
        <v>1900</v>
      </c>
      <c r="AAO28" t="s">
        <v>1900</v>
      </c>
      <c r="AAP28" t="s">
        <v>1900</v>
      </c>
      <c r="AAQ28" t="s">
        <v>1900</v>
      </c>
      <c r="AAR28" t="s">
        <v>1900</v>
      </c>
      <c r="AAS28" t="s">
        <v>1900</v>
      </c>
      <c r="AAT28" t="s">
        <v>1900</v>
      </c>
      <c r="AAU28" t="s">
        <v>1900</v>
      </c>
      <c r="AAV28" t="s">
        <v>1900</v>
      </c>
      <c r="AAW28" t="s">
        <v>1900</v>
      </c>
      <c r="AAX28" t="s">
        <v>1900</v>
      </c>
      <c r="AAY28" t="s">
        <v>1900</v>
      </c>
      <c r="AAZ28" t="s">
        <v>1900</v>
      </c>
      <c r="ABA28" t="s">
        <v>1900</v>
      </c>
      <c r="ABB28" t="s">
        <v>1900</v>
      </c>
      <c r="ABC28" t="s">
        <v>1900</v>
      </c>
      <c r="ABD28" t="s">
        <v>1900</v>
      </c>
      <c r="ABE28" t="s">
        <v>1900</v>
      </c>
      <c r="ABF28" t="s">
        <v>1900</v>
      </c>
      <c r="ABG28" t="s">
        <v>1900</v>
      </c>
      <c r="ABH28" t="s">
        <v>1900</v>
      </c>
      <c r="ABI28" t="s">
        <v>1900</v>
      </c>
      <c r="ABJ28" t="s">
        <v>1900</v>
      </c>
      <c r="ABK28" t="s">
        <v>1900</v>
      </c>
      <c r="ABL28" t="s">
        <v>1900</v>
      </c>
      <c r="ABM28" t="s">
        <v>1900</v>
      </c>
      <c r="ABN28" t="s">
        <v>1900</v>
      </c>
      <c r="ABO28" t="s">
        <v>1900</v>
      </c>
      <c r="ABP28" t="s">
        <v>1900</v>
      </c>
      <c r="ABQ28" t="s">
        <v>1900</v>
      </c>
      <c r="ABR28" t="s">
        <v>1900</v>
      </c>
      <c r="ABS28" t="s">
        <v>1900</v>
      </c>
      <c r="ABT28" t="s">
        <v>1900</v>
      </c>
      <c r="ABU28" t="s">
        <v>1900</v>
      </c>
      <c r="ABV28" t="s">
        <v>1900</v>
      </c>
      <c r="ABW28" t="s">
        <v>1900</v>
      </c>
      <c r="ABX28" t="s">
        <v>1900</v>
      </c>
      <c r="ABY28" t="s">
        <v>1900</v>
      </c>
      <c r="ABZ28" t="s">
        <v>1900</v>
      </c>
      <c r="ACA28" t="s">
        <v>1900</v>
      </c>
      <c r="ACB28" t="s">
        <v>1900</v>
      </c>
      <c r="ACC28" t="s">
        <v>1900</v>
      </c>
      <c r="ACD28" t="s">
        <v>1900</v>
      </c>
      <c r="ACE28" t="s">
        <v>1900</v>
      </c>
      <c r="ACF28">
        <v>-230.481</v>
      </c>
      <c r="ACG28">
        <v>-113.186</v>
      </c>
      <c r="ACH28">
        <v>-54.631</v>
      </c>
      <c r="ACI28">
        <v>-691.045</v>
      </c>
      <c r="ACJ28" t="s">
        <v>1900</v>
      </c>
      <c r="ACK28">
        <v>-33.655</v>
      </c>
      <c r="ACL28">
        <v>-44.959</v>
      </c>
      <c r="ACM28">
        <v>-36.952</v>
      </c>
      <c r="ACN28">
        <v>-63.925</v>
      </c>
      <c r="ACO28" t="s">
        <v>1900</v>
      </c>
      <c r="ACP28">
        <v>-32.322</v>
      </c>
      <c r="ACQ28">
        <v>-42.104</v>
      </c>
      <c r="ACR28">
        <v>-36.623</v>
      </c>
      <c r="ACS28">
        <v>-61.55</v>
      </c>
      <c r="ACT28" t="s">
        <v>1900</v>
      </c>
      <c r="ACU28">
        <v>-179.516</v>
      </c>
      <c r="ACV28">
        <v>-43.921</v>
      </c>
      <c r="ACW28">
        <v>-54.631</v>
      </c>
      <c r="ACX28">
        <v>-691.045</v>
      </c>
      <c r="ACY28" t="s">
        <v>1900</v>
      </c>
      <c r="ACZ28">
        <v>-26.142</v>
      </c>
      <c r="ADA28">
        <v>-17.315</v>
      </c>
      <c r="ADB28">
        <v>-36.952</v>
      </c>
      <c r="ADC28">
        <v>-63.925</v>
      </c>
      <c r="ADD28" t="s">
        <v>1900</v>
      </c>
      <c r="ADE28">
        <v>-25.175</v>
      </c>
      <c r="ADF28">
        <v>-16.338</v>
      </c>
      <c r="ADG28">
        <v>-36.623</v>
      </c>
      <c r="ADH28">
        <v>-61.55</v>
      </c>
      <c r="ADI28" t="s">
        <v>1900</v>
      </c>
      <c r="ADJ28" t="s">
        <v>1901</v>
      </c>
      <c r="ADK28" t="s">
        <v>1901</v>
      </c>
      <c r="ADL28" t="s">
        <v>1901</v>
      </c>
      <c r="ADM28" t="s">
        <v>1901</v>
      </c>
      <c r="ADN28" t="s">
        <v>1900</v>
      </c>
      <c r="ADO28">
        <v>78.733</v>
      </c>
      <c r="ADP28">
        <v>35.947</v>
      </c>
      <c r="ADQ28">
        <v>69.854</v>
      </c>
      <c r="ADR28" t="s">
        <v>1901</v>
      </c>
      <c r="ADS28" t="s">
        <v>1900</v>
      </c>
      <c r="ADT28">
        <v>-107.16034588</v>
      </c>
      <c r="ADU28">
        <v>-230.387762845</v>
      </c>
      <c r="ADV28" t="s">
        <v>1901</v>
      </c>
      <c r="ADW28" t="s">
        <v>1901</v>
      </c>
      <c r="ADX28" t="s">
        <v>1900</v>
      </c>
      <c r="ADY28">
        <v>-74.848</v>
      </c>
      <c r="ADZ28" t="s">
        <v>1901</v>
      </c>
      <c r="AEA28" t="s">
        <v>1901</v>
      </c>
      <c r="AEB28" t="s">
        <v>1901</v>
      </c>
      <c r="AEC28" t="s">
        <v>1900</v>
      </c>
      <c r="AED28" t="s">
        <v>1901</v>
      </c>
      <c r="AEE28" t="s">
        <v>1901</v>
      </c>
      <c r="AEF28" t="s">
        <v>1901</v>
      </c>
      <c r="AEG28" t="s">
        <v>1901</v>
      </c>
      <c r="AEH28" t="s">
        <v>1900</v>
      </c>
      <c r="AEI28">
        <v>-52.364</v>
      </c>
      <c r="AEJ28">
        <v>-45.663</v>
      </c>
      <c r="AEK28" t="s">
        <v>1901</v>
      </c>
      <c r="AEL28" t="s">
        <v>1901</v>
      </c>
      <c r="AEM28" t="s">
        <v>1900</v>
      </c>
      <c r="AEN28">
        <v>-51.72821344</v>
      </c>
      <c r="AEO28">
        <v>-69.732535146</v>
      </c>
      <c r="AEP28">
        <v>-95.233481326</v>
      </c>
      <c r="AEQ28">
        <v>-99.969301536</v>
      </c>
      <c r="AER28" t="s">
        <v>1900</v>
      </c>
      <c r="AES28">
        <v>0.423537342</v>
      </c>
      <c r="AET28">
        <v>0.134970073</v>
      </c>
      <c r="AEU28">
        <v>0.033781284</v>
      </c>
      <c r="AEV28">
        <v>-0.000485153</v>
      </c>
      <c r="AEW28" t="s">
        <v>1900</v>
      </c>
      <c r="AEX28" t="s">
        <v>1900</v>
      </c>
      <c r="AEY28" t="s">
        <v>1900</v>
      </c>
      <c r="AEZ28" t="s">
        <v>1900</v>
      </c>
      <c r="AFA28" t="s">
        <v>1900</v>
      </c>
      <c r="AFB28" t="s">
        <v>1900</v>
      </c>
      <c r="AFC28" t="s">
        <v>1900</v>
      </c>
      <c r="AFD28" t="s">
        <v>1900</v>
      </c>
      <c r="AFE28" t="s">
        <v>1900</v>
      </c>
      <c r="AFF28" t="s">
        <v>1900</v>
      </c>
      <c r="AFG28" t="s">
        <v>1900</v>
      </c>
      <c r="AFH28">
        <v>0.313</v>
      </c>
      <c r="AFI28">
        <v>0.196</v>
      </c>
      <c r="AFJ28">
        <v>0.018</v>
      </c>
      <c r="AFK28">
        <v>0</v>
      </c>
      <c r="AFL28" t="s">
        <v>1900</v>
      </c>
      <c r="AFM28" t="s">
        <v>1901</v>
      </c>
      <c r="AFN28" t="s">
        <v>1901</v>
      </c>
      <c r="AFO28">
        <v>-52.577</v>
      </c>
      <c r="AFP28">
        <v>-90.52</v>
      </c>
      <c r="AFQ28" t="s">
        <v>1900</v>
      </c>
      <c r="AFR28">
        <v>129.684</v>
      </c>
      <c r="AFS28" t="s">
        <v>1901</v>
      </c>
      <c r="AFT28" t="s">
        <v>1901</v>
      </c>
      <c r="AFU28" t="s">
        <v>1901</v>
      </c>
      <c r="AFV28" t="s">
        <v>1900</v>
      </c>
      <c r="AFW28">
        <v>218.217</v>
      </c>
      <c r="AFX28">
        <v>110.128</v>
      </c>
      <c r="AFY28">
        <v>390.52</v>
      </c>
      <c r="AFZ28" t="s">
        <v>1901</v>
      </c>
      <c r="AGA28" t="s">
        <v>1900</v>
      </c>
      <c r="AGB28">
        <v>4.848</v>
      </c>
      <c r="AGC28">
        <v>41.576</v>
      </c>
      <c r="AGD28">
        <v>14.006</v>
      </c>
      <c r="AGE28" t="s">
        <v>1901</v>
      </c>
      <c r="AGF28" t="s">
        <v>1900</v>
      </c>
      <c r="AGG28" t="s">
        <v>1900</v>
      </c>
      <c r="AGH28" t="s">
        <v>1900</v>
      </c>
      <c r="AGI28" t="s">
        <v>1900</v>
      </c>
      <c r="AGJ28" t="s">
        <v>1900</v>
      </c>
      <c r="AGK28" t="s">
        <v>1900</v>
      </c>
      <c r="AGL28" t="s">
        <v>1900</v>
      </c>
      <c r="AGM28" t="s">
        <v>1900</v>
      </c>
      <c r="AGN28" t="s">
        <v>1900</v>
      </c>
      <c r="AGO28" t="s">
        <v>1900</v>
      </c>
      <c r="AGP28" t="s">
        <v>1900</v>
      </c>
      <c r="AGQ28" t="s">
        <v>1900</v>
      </c>
      <c r="AGR28" t="s">
        <v>1900</v>
      </c>
      <c r="AGS28" t="s">
        <v>1900</v>
      </c>
      <c r="AGT28" t="s">
        <v>1900</v>
      </c>
      <c r="AGU28">
        <v>0</v>
      </c>
      <c r="AGV28">
        <v>0</v>
      </c>
      <c r="AGW28">
        <v>0</v>
      </c>
      <c r="AGX28">
        <v>0</v>
      </c>
      <c r="AGY28">
        <v>0</v>
      </c>
      <c r="AGZ28" t="s">
        <v>1900</v>
      </c>
      <c r="AHA28">
        <v>6.247</v>
      </c>
      <c r="AHB28">
        <v>6.909</v>
      </c>
      <c r="AHC28">
        <v>24.896</v>
      </c>
      <c r="AHD28">
        <v>5.436</v>
      </c>
      <c r="AHE28" t="s">
        <v>1900</v>
      </c>
      <c r="AHF28">
        <v>6.2</v>
      </c>
      <c r="AHG28">
        <v>6.909</v>
      </c>
      <c r="AHH28">
        <v>24.896</v>
      </c>
      <c r="AHI28">
        <v>5.436</v>
      </c>
      <c r="AHJ28" t="s">
        <v>1900</v>
      </c>
      <c r="AHK28">
        <v>0.173</v>
      </c>
      <c r="AHL28">
        <v>0.664</v>
      </c>
      <c r="AHM28">
        <v>2.218</v>
      </c>
      <c r="AHN28">
        <v>0.103</v>
      </c>
      <c r="AHO28" t="s">
        <v>1900</v>
      </c>
      <c r="AHP28">
        <v>14.024</v>
      </c>
      <c r="AHQ28">
        <v>37.199</v>
      </c>
      <c r="AHR28">
        <v>67.038</v>
      </c>
      <c r="AHS28">
        <v>8.907</v>
      </c>
      <c r="AHT28" t="s">
        <v>1900</v>
      </c>
      <c r="AHU28">
        <v>16.311</v>
      </c>
      <c r="AHV28">
        <v>59.233</v>
      </c>
      <c r="AHW28" t="s">
        <v>1901</v>
      </c>
      <c r="AHX28">
        <v>9.778</v>
      </c>
      <c r="AHY28" t="s">
        <v>1900</v>
      </c>
      <c r="AHZ28">
        <v>579.593</v>
      </c>
      <c r="AIA28">
        <v>150.566</v>
      </c>
      <c r="AIB28">
        <v>45.083</v>
      </c>
      <c r="AIC28">
        <v>969.21</v>
      </c>
      <c r="AID28" t="s">
        <v>1900</v>
      </c>
      <c r="AIE28">
        <v>38.302106685</v>
      </c>
      <c r="AIF28">
        <v>29.280951082</v>
      </c>
      <c r="AIG28">
        <v>4.360067675</v>
      </c>
      <c r="AIH28">
        <v>12.67508203</v>
      </c>
      <c r="AII28" t="s">
        <v>1900</v>
      </c>
      <c r="AIJ28">
        <v>12.138439354</v>
      </c>
      <c r="AIK28">
        <v>41.34359316</v>
      </c>
      <c r="AIL28">
        <v>66.249778863</v>
      </c>
      <c r="AIM28">
        <v>23.629863901</v>
      </c>
      <c r="AIN28" t="s">
        <v>1900</v>
      </c>
      <c r="AIO28">
        <v>4.295618221</v>
      </c>
      <c r="AIP28">
        <v>4.686074778</v>
      </c>
      <c r="AIQ28">
        <v>2.669456984</v>
      </c>
      <c r="AIR28">
        <v>4.183312053</v>
      </c>
      <c r="AIS28" t="s">
        <v>1900</v>
      </c>
      <c r="AIT28">
        <v>3.625764695</v>
      </c>
      <c r="AIU28">
        <v>0</v>
      </c>
      <c r="AIV28">
        <v>0</v>
      </c>
      <c r="AIW28">
        <v>0</v>
      </c>
      <c r="AIX28" t="s">
        <v>1900</v>
      </c>
      <c r="AIY28">
        <v>-84.27418219121741</v>
      </c>
      <c r="AIZ28" t="s">
        <v>1901</v>
      </c>
      <c r="AJA28">
        <v>-83.11101357537029</v>
      </c>
      <c r="AJB28">
        <v>-67.6187264771682</v>
      </c>
      <c r="AJC28" t="s">
        <v>1900</v>
      </c>
      <c r="AJD28">
        <v>77.5176898089867</v>
      </c>
      <c r="AJE28">
        <v>43.5716556948423</v>
      </c>
      <c r="AJF28">
        <v>4.08292557218313</v>
      </c>
      <c r="AJG28">
        <v>0.0205465506696701</v>
      </c>
      <c r="AJH28" t="s">
        <v>1900</v>
      </c>
      <c r="AJI28" t="s">
        <v>1901</v>
      </c>
      <c r="AJJ28" t="s">
        <v>1901</v>
      </c>
      <c r="AJK28" t="s">
        <v>1901</v>
      </c>
      <c r="AJL28" t="s">
        <v>1901</v>
      </c>
      <c r="AJM28" t="s">
        <v>1900</v>
      </c>
      <c r="AJN28">
        <v>82.344152965044</v>
      </c>
      <c r="AJO28">
        <v>67.897387569648</v>
      </c>
      <c r="AJP28">
        <v>57.4827920509315</v>
      </c>
      <c r="AJQ28">
        <v>57.0512013200247</v>
      </c>
      <c r="AJR28" t="s">
        <v>1900</v>
      </c>
      <c r="AJS28">
        <v>36.5644365746698</v>
      </c>
      <c r="AJT28">
        <v>88.9031472153366</v>
      </c>
      <c r="AJU28">
        <v>152.132503110487</v>
      </c>
      <c r="AJV28">
        <v>9.78500147969782</v>
      </c>
      <c r="AJW28" t="s">
        <v>1900</v>
      </c>
      <c r="AJX28">
        <v>46.5418208673973</v>
      </c>
      <c r="AJY28">
        <v>8.29699849079967</v>
      </c>
      <c r="AJZ28">
        <v>4.27021688942671</v>
      </c>
      <c r="AKA28">
        <v>1.86858141049922</v>
      </c>
      <c r="AKB28" t="s">
        <v>1900</v>
      </c>
      <c r="AKC28">
        <v>260.733425238957</v>
      </c>
      <c r="AKD28">
        <v>238.992805476319</v>
      </c>
      <c r="AKE28">
        <v>226.93451052563</v>
      </c>
      <c r="AKF28">
        <v>109.859161980178</v>
      </c>
      <c r="AKG28" t="s">
        <v>1900</v>
      </c>
      <c r="AKH28">
        <v>3.625764695</v>
      </c>
      <c r="AKI28">
        <v>0</v>
      </c>
      <c r="AKJ28">
        <v>0</v>
      </c>
      <c r="AKK28">
        <v>0</v>
      </c>
      <c r="AKL28" t="s">
        <v>1900</v>
      </c>
      <c r="AKM28">
        <v>0.771105619</v>
      </c>
      <c r="AKN28">
        <v>0</v>
      </c>
      <c r="AKO28">
        <v>0</v>
      </c>
      <c r="AKP28">
        <v>0</v>
      </c>
      <c r="AKQ28" t="s">
        <v>1900</v>
      </c>
      <c r="AKR28">
        <v>0.229254559</v>
      </c>
      <c r="AKS28">
        <v>0</v>
      </c>
      <c r="AKT28">
        <v>0</v>
      </c>
      <c r="AKU28">
        <v>0</v>
      </c>
      <c r="AKV28" t="s">
        <v>1900</v>
      </c>
      <c r="AKW28">
        <v>103.262789834</v>
      </c>
      <c r="AKX28">
        <v>126.683345573</v>
      </c>
      <c r="AKY28" t="s">
        <v>1901</v>
      </c>
      <c r="AKZ28" t="s">
        <v>1901</v>
      </c>
      <c r="ALA28" t="s">
        <v>1900</v>
      </c>
      <c r="ALB28">
        <v>30.700678114</v>
      </c>
      <c r="ALC28">
        <v>23.09610583</v>
      </c>
      <c r="ALD28">
        <v>26.717888838</v>
      </c>
      <c r="ALE28">
        <v>59.319826575</v>
      </c>
      <c r="ALF28" t="s">
        <v>1900</v>
      </c>
      <c r="ALG28">
        <v>2.04517662</v>
      </c>
      <c r="ALH28">
        <v>3.851482216</v>
      </c>
      <c r="ALI28">
        <v>40.050354115</v>
      </c>
      <c r="ALJ28" t="s">
        <v>1901</v>
      </c>
      <c r="ALK28" t="s">
        <v>1900</v>
      </c>
      <c r="ALL28">
        <v>0.608043896</v>
      </c>
      <c r="ALM28">
        <v>0.702177863</v>
      </c>
      <c r="ALN28">
        <v>0.720571895</v>
      </c>
      <c r="ALO28">
        <v>2.090716172</v>
      </c>
      <c r="ALP28" t="s">
        <v>1900</v>
      </c>
      <c r="ALQ28">
        <v>60.615860841</v>
      </c>
      <c r="ALR28">
        <v>30.591079778</v>
      </c>
      <c r="ALS28">
        <v>108.477704195</v>
      </c>
      <c r="ALT28" t="s">
        <v>1901</v>
      </c>
      <c r="ALU28" t="s">
        <v>1900</v>
      </c>
      <c r="ALV28">
        <v>2.221711563</v>
      </c>
      <c r="ALW28">
        <v>37.752463398</v>
      </c>
      <c r="ALX28">
        <v>3.586472924</v>
      </c>
      <c r="ALY28">
        <v>25.546968558</v>
      </c>
      <c r="ALZ28" t="s">
        <v>1900</v>
      </c>
      <c r="AMA28">
        <v>78.73260722251671</v>
      </c>
      <c r="AMB28">
        <v>35.9472571050892</v>
      </c>
      <c r="AMC28">
        <v>69.8536441930181</v>
      </c>
      <c r="AMD28" t="s">
        <v>1901</v>
      </c>
      <c r="AME28" t="s">
        <v>1900</v>
      </c>
      <c r="AMF28">
        <v>78.74185621675549</v>
      </c>
      <c r="AMG28">
        <v>35.9472571050892</v>
      </c>
      <c r="AMH28">
        <v>69.8536441930181</v>
      </c>
      <c r="AMI28" t="s">
        <v>1901</v>
      </c>
      <c r="AMJ28" t="s">
        <v>1900</v>
      </c>
      <c r="AMK28">
        <v>370.203381515924</v>
      </c>
      <c r="AML28">
        <v>56.1213391970844</v>
      </c>
      <c r="AMM28">
        <v>231.715052526647</v>
      </c>
      <c r="AMN28">
        <v>-61.2272576910354</v>
      </c>
      <c r="AMO28" t="s">
        <v>1900</v>
      </c>
      <c r="AMP28">
        <v>0.423537341832608</v>
      </c>
      <c r="AMQ28">
        <v>0.134970073074743</v>
      </c>
      <c r="AMR28">
        <v>0.0337812839216743</v>
      </c>
      <c r="AMS28">
        <v>-0.000485153221027881</v>
      </c>
      <c r="AMT28" t="s">
        <v>1900</v>
      </c>
      <c r="AMU28">
        <v>0.423537341832608</v>
      </c>
      <c r="AMV28">
        <v>0.134970073074743</v>
      </c>
      <c r="AMW28">
        <v>0.0337812839216742</v>
      </c>
      <c r="AMX28">
        <v>-0.000485153221028156</v>
      </c>
      <c r="AMY28" t="s">
        <v>1900</v>
      </c>
      <c r="AMZ28">
        <v>0.423537341832608</v>
      </c>
      <c r="ANA28">
        <v>0.134970073074743</v>
      </c>
      <c r="ANB28">
        <v>0.0337812839216743</v>
      </c>
      <c r="ANC28">
        <v>-0.000485153221027881</v>
      </c>
      <c r="AND28" t="s">
        <v>1900</v>
      </c>
      <c r="ANE28" t="s">
        <v>1901</v>
      </c>
      <c r="ANF28" t="s">
        <v>1901</v>
      </c>
      <c r="ANG28" t="s">
        <v>1901</v>
      </c>
      <c r="ANH28" t="s">
        <v>1901</v>
      </c>
      <c r="ANI28" t="s">
        <v>1900</v>
      </c>
      <c r="ANJ28" t="s">
        <v>1901</v>
      </c>
      <c r="ANK28" t="s">
        <v>1901</v>
      </c>
      <c r="ANL28" t="s">
        <v>1901</v>
      </c>
      <c r="ANM28" t="s">
        <v>1901</v>
      </c>
      <c r="ANN28" t="s">
        <v>1900</v>
      </c>
      <c r="ANO28">
        <v>-51.7282134401077</v>
      </c>
      <c r="ANP28">
        <v>-69.7325351463533</v>
      </c>
      <c r="ANQ28">
        <v>-95.2334813257023</v>
      </c>
      <c r="ANR28">
        <v>-99.9693015364894</v>
      </c>
      <c r="ANS28" t="s">
        <v>1900</v>
      </c>
      <c r="ANT28">
        <v>-33.488601025221</v>
      </c>
      <c r="ANU28">
        <v>-45.0633595833397</v>
      </c>
      <c r="ANV28">
        <v>-36.9592046652562</v>
      </c>
      <c r="ANW28">
        <v>-63.9546769513992</v>
      </c>
      <c r="ANX28" t="s">
        <v>1900</v>
      </c>
      <c r="ANY28">
        <v>78.73260722251671</v>
      </c>
      <c r="ANZ28">
        <v>35.9472571050892</v>
      </c>
      <c r="AOA28">
        <v>69.8536441930181</v>
      </c>
      <c r="AOB28">
        <v>-157.913147342377</v>
      </c>
      <c r="AOC28" t="s">
        <v>1900</v>
      </c>
      <c r="AOD28">
        <v>38.0056361114916</v>
      </c>
      <c r="AOE28">
        <v>10.8803234101329</v>
      </c>
      <c r="AOF28">
        <v>3.32958699513767</v>
      </c>
      <c r="AOG28">
        <v>-0.0484769099153444</v>
      </c>
      <c r="AOH28" t="s">
        <v>1900</v>
      </c>
      <c r="AOI28">
        <v>23.4077002501726</v>
      </c>
      <c r="AOJ28">
        <v>6.55367641770787</v>
      </c>
      <c r="AOK28">
        <v>1.25678221603147</v>
      </c>
      <c r="AOL28">
        <v>-0.02953441277684</v>
      </c>
      <c r="AOM28" t="s">
        <v>1900</v>
      </c>
      <c r="AON28">
        <v>-503.87156997262</v>
      </c>
      <c r="AOO28">
        <v>-359.684460700539</v>
      </c>
      <c r="AOP28">
        <v>-6627.55806047594</v>
      </c>
      <c r="AOQ28">
        <v>-126263.126033741</v>
      </c>
      <c r="AOR28" t="s">
        <v>1900</v>
      </c>
      <c r="AOS28">
        <v>-57.6462658167392</v>
      </c>
      <c r="AOT28">
        <v>-86.50299269252569</v>
      </c>
      <c r="AOU28">
        <v>-96.6218716078326</v>
      </c>
      <c r="AOV28">
        <v>-100.048515322103</v>
      </c>
      <c r="AOW28" t="s">
        <v>1900</v>
      </c>
      <c r="AOX28">
        <v>-31.8594460866523</v>
      </c>
      <c r="AOY28">
        <v>-42.0028388779354</v>
      </c>
      <c r="AOZ28">
        <v>-35.9467242861331</v>
      </c>
      <c r="APA28">
        <v>-60.9059987888481</v>
      </c>
      <c r="APB28" t="s">
        <v>1900</v>
      </c>
      <c r="APC28">
        <v>-84.6761539971331</v>
      </c>
      <c r="APD28">
        <v>-89.6164439059019</v>
      </c>
      <c r="APE28">
        <v>-2035.57485740141</v>
      </c>
      <c r="APF28">
        <v>-329094.522651651</v>
      </c>
      <c r="APG28" t="s">
        <v>1900</v>
      </c>
      <c r="APH28">
        <v>-84.6861012005614</v>
      </c>
      <c r="API28">
        <v>-89.6164439059019</v>
      </c>
      <c r="APJ28">
        <v>-2035.57485740141</v>
      </c>
      <c r="APK28">
        <v>-329094.522651651</v>
      </c>
      <c r="APL28" t="s">
        <v>1900</v>
      </c>
      <c r="APM28">
        <v>-398.150139432151</v>
      </c>
      <c r="APN28">
        <v>-139.910392366698</v>
      </c>
      <c r="APO28">
        <v>-6752.3082074483</v>
      </c>
      <c r="APP28">
        <v>-127598.971220642</v>
      </c>
      <c r="APQ28" t="s">
        <v>1900</v>
      </c>
      <c r="APR28">
        <v>-45.5510295489081</v>
      </c>
      <c r="APS28">
        <v>-33.6480136643466</v>
      </c>
      <c r="APT28">
        <v>-98.44057958048769</v>
      </c>
      <c r="APU28">
        <v>-101.107013807352</v>
      </c>
      <c r="APV28" t="s">
        <v>1900</v>
      </c>
      <c r="APW28">
        <v>-40.8746923246218</v>
      </c>
      <c r="APX28">
        <v>-27.1246256623069</v>
      </c>
      <c r="APY28">
        <v>-97.026055707347</v>
      </c>
      <c r="APZ28">
        <v>-101.02696195161</v>
      </c>
      <c r="AQA28" t="s">
        <v>1900</v>
      </c>
      <c r="AQB28">
        <v>-25.1747541587254</v>
      </c>
      <c r="AQC28">
        <v>-16.3383029016086</v>
      </c>
      <c r="AQD28">
        <v>-36.6233474249952</v>
      </c>
      <c r="AQE28">
        <v>-61.5503752421422</v>
      </c>
      <c r="AQF28" t="s">
        <v>1900</v>
      </c>
      <c r="AQG28">
        <v>-0.576462658167392</v>
      </c>
      <c r="AQH28">
        <v>-0.865029926925257</v>
      </c>
      <c r="AQI28">
        <v>-0.966218716078326</v>
      </c>
      <c r="AQJ28">
        <v>-1.00048515322103</v>
      </c>
      <c r="AQK28">
        <v>8</v>
      </c>
      <c r="AQO28" t="s">
        <v>1902</v>
      </c>
      <c r="AQP28">
        <v>6</v>
      </c>
      <c r="AQQ28">
        <v>0</v>
      </c>
      <c r="AQS28" t="s">
        <v>1905</v>
      </c>
      <c r="AQU28" t="s">
        <v>1906</v>
      </c>
      <c r="AQV28" t="s">
        <v>1900</v>
      </c>
      <c r="AQW28">
        <v>1395318.42540176</v>
      </c>
      <c r="AQX28">
        <v>871433.113896847</v>
      </c>
      <c r="AQY28" t="s">
        <v>1900</v>
      </c>
      <c r="AQZ28">
        <v>-1495228.05078998</v>
      </c>
      <c r="ARA28">
        <v>-2007675.2558015</v>
      </c>
      <c r="ARB28">
        <v>2266751.539298607</v>
      </c>
      <c r="ARC28">
        <v>-3502903.30659148</v>
      </c>
      <c r="ARD28">
        <v>-0.6071252787481234</v>
      </c>
      <c r="ARE28">
        <v>-0.6071252787481234</v>
      </c>
      <c r="ARF28">
        <v>-0.6071252787481234</v>
      </c>
      <c r="ARG28" t="s">
        <v>1907</v>
      </c>
      <c r="ARH28" t="s">
        <v>1907</v>
      </c>
      <c r="ARI28" t="s">
        <v>1907</v>
      </c>
      <c r="ARJ28" t="s">
        <v>1189</v>
      </c>
      <c r="ARK28" t="s">
        <v>1527</v>
      </c>
      <c r="ARL28" t="s">
        <v>1908</v>
      </c>
      <c r="ARM28" t="s">
        <v>1908</v>
      </c>
      <c r="ARN28" t="s">
        <v>1909</v>
      </c>
      <c r="ARO28" t="s">
        <v>1908</v>
      </c>
      <c r="ARP28" t="s">
        <v>1907</v>
      </c>
      <c r="ARQ28" t="s">
        <v>1932</v>
      </c>
      <c r="ARR28">
        <f>HYPERLINK("C:\Users\Usuario\Documents\Proyectos\llmthon\evidence\consentio_co_233823.png", "Ver Evidencia")</f>
        <v>0</v>
      </c>
      <c r="ARS28">
        <v>100</v>
      </c>
    </row>
    <row r="29" spans="1:1163">
      <c r="A29">
        <v>567</v>
      </c>
      <c r="B29" t="s">
        <v>1190</v>
      </c>
      <c r="C29" t="s">
        <v>1313</v>
      </c>
      <c r="E29" s="2">
        <v>38245</v>
      </c>
      <c r="F29" t="s">
        <v>1431</v>
      </c>
      <c r="G29" t="s">
        <v>1433</v>
      </c>
      <c r="H29" t="s">
        <v>1434</v>
      </c>
      <c r="I29" t="s">
        <v>1437</v>
      </c>
      <c r="J29" t="s">
        <v>1453</v>
      </c>
      <c r="L29" t="s">
        <v>1528</v>
      </c>
      <c r="N29" t="s">
        <v>1628</v>
      </c>
      <c r="O29" t="s">
        <v>1652</v>
      </c>
      <c r="P29">
        <v>7490</v>
      </c>
      <c r="Q29">
        <v>7490</v>
      </c>
      <c r="R29" t="s">
        <v>1699</v>
      </c>
      <c r="Z29" t="s">
        <v>1899</v>
      </c>
      <c r="AA29" s="2">
        <v>45657</v>
      </c>
      <c r="AB29">
        <v>2024</v>
      </c>
      <c r="AC29">
        <v>1180153.17414297</v>
      </c>
      <c r="AD29">
        <v>1151672.42395643</v>
      </c>
      <c r="AE29">
        <v>1044654.59842926</v>
      </c>
      <c r="AF29">
        <v>1065510.20725579</v>
      </c>
      <c r="AG29">
        <v>1116718.36746595</v>
      </c>
      <c r="AH29">
        <v>1178432.75650323</v>
      </c>
      <c r="AI29">
        <v>1149970.72319273</v>
      </c>
      <c r="AJ29">
        <v>1043326.68206638</v>
      </c>
      <c r="AK29">
        <v>1064100.119873</v>
      </c>
      <c r="AL29">
        <v>1115190.62883816</v>
      </c>
      <c r="AM29">
        <v>571886.001532562</v>
      </c>
      <c r="AN29">
        <v>573273.53902812</v>
      </c>
      <c r="AO29">
        <v>553161.095853943</v>
      </c>
      <c r="AP29">
        <v>565460.341930318</v>
      </c>
      <c r="AQ29">
        <v>598971.660954213</v>
      </c>
      <c r="AR29">
        <v>608267.171571504</v>
      </c>
      <c r="AS29">
        <v>578398.884928312</v>
      </c>
      <c r="AT29">
        <v>491493.502575314</v>
      </c>
      <c r="AU29">
        <v>500049.865325475</v>
      </c>
      <c r="AV29">
        <v>517746.706511742</v>
      </c>
      <c r="AW29">
        <v>408325.948468183</v>
      </c>
      <c r="AX29">
        <v>460447.20924305</v>
      </c>
      <c r="AY29">
        <v>437706.916921473</v>
      </c>
      <c r="AZ29">
        <v>472154.13494668</v>
      </c>
      <c r="BA29">
        <v>460212.350794857</v>
      </c>
      <c r="BB29">
        <v>199941.22414222</v>
      </c>
      <c r="BC29">
        <v>117951.675685263</v>
      </c>
      <c r="BD29">
        <v>53786.5856538415</v>
      </c>
      <c r="BE29">
        <v>27895.7303787947</v>
      </c>
      <c r="BF29">
        <v>57534.3544897854</v>
      </c>
      <c r="BG29">
        <v>-763.632718544006</v>
      </c>
      <c r="BH29">
        <v>0.0331500148773193</v>
      </c>
      <c r="BI29">
        <v>-15.2950366616249</v>
      </c>
      <c r="BJ29">
        <v>-155.834476304054</v>
      </c>
      <c r="BK29">
        <v>-485.391398882866</v>
      </c>
      <c r="BL29" t="s">
        <v>1900</v>
      </c>
      <c r="BM29">
        <v>0.0331500148773193</v>
      </c>
      <c r="BN29" t="s">
        <v>1900</v>
      </c>
      <c r="BO29">
        <v>0.011326003074646</v>
      </c>
      <c r="BP29">
        <v>7.97614544630051</v>
      </c>
      <c r="BQ29">
        <v>763.632718544006</v>
      </c>
      <c r="BR29" t="s">
        <v>1900</v>
      </c>
      <c r="BS29">
        <v>15.2950366616249</v>
      </c>
      <c r="BT29">
        <v>155.845802307129</v>
      </c>
      <c r="BU29">
        <v>493.367544329166</v>
      </c>
      <c r="BV29">
        <v>199177.591423676</v>
      </c>
      <c r="BW29">
        <v>117951.708835278</v>
      </c>
      <c r="BX29">
        <v>53771.2906171799</v>
      </c>
      <c r="BY29">
        <v>27739.8959024906</v>
      </c>
      <c r="BZ29">
        <v>57048.9630909026</v>
      </c>
      <c r="CA29">
        <v>50922.3258929777</v>
      </c>
      <c r="CB29">
        <v>30135.6287744999</v>
      </c>
      <c r="CC29">
        <v>13513.3355464637</v>
      </c>
      <c r="CD29">
        <v>7355.43485076427</v>
      </c>
      <c r="CE29">
        <v>14715.1293789148</v>
      </c>
      <c r="CF29">
        <v>148255.265530698</v>
      </c>
      <c r="CG29">
        <v>87816.08006077771</v>
      </c>
      <c r="CH29">
        <v>40257.9550707161</v>
      </c>
      <c r="CI29">
        <v>20384.4610517263</v>
      </c>
      <c r="CJ29">
        <v>42333.8337119877</v>
      </c>
      <c r="CK29" t="s">
        <v>1900</v>
      </c>
      <c r="CL29" t="s">
        <v>1900</v>
      </c>
      <c r="CM29" t="s">
        <v>1900</v>
      </c>
      <c r="CN29" t="s">
        <v>1900</v>
      </c>
      <c r="CO29" t="s">
        <v>1900</v>
      </c>
      <c r="CP29" t="s">
        <v>1900</v>
      </c>
      <c r="CQ29" t="s">
        <v>1900</v>
      </c>
      <c r="CR29" t="s">
        <v>1900</v>
      </c>
      <c r="CS29" t="s">
        <v>1900</v>
      </c>
      <c r="CT29" t="s">
        <v>1900</v>
      </c>
      <c r="CU29" t="s">
        <v>1900</v>
      </c>
      <c r="CV29" t="s">
        <v>1900</v>
      </c>
      <c r="CW29" t="s">
        <v>1900</v>
      </c>
      <c r="CX29" t="s">
        <v>1900</v>
      </c>
      <c r="CY29" t="s">
        <v>1900</v>
      </c>
      <c r="CZ29">
        <v>148255.265530698</v>
      </c>
      <c r="DA29">
        <v>87816.08006077771</v>
      </c>
      <c r="DB29">
        <v>40257.9550707161</v>
      </c>
      <c r="DC29">
        <v>20384.4610517263</v>
      </c>
      <c r="DD29">
        <v>42333.8337119877</v>
      </c>
      <c r="DE29" t="s">
        <v>1900</v>
      </c>
      <c r="DF29" t="s">
        <v>1900</v>
      </c>
      <c r="DG29" t="s">
        <v>1900</v>
      </c>
      <c r="DH29" t="s">
        <v>1900</v>
      </c>
      <c r="DI29" t="s">
        <v>1900</v>
      </c>
      <c r="DJ29">
        <v>571886.001532562</v>
      </c>
      <c r="DK29">
        <v>573273.53902812</v>
      </c>
      <c r="DL29">
        <v>553161.095853943</v>
      </c>
      <c r="DM29">
        <v>565460.341930318</v>
      </c>
      <c r="DN29">
        <v>598971.660954213</v>
      </c>
      <c r="DO29">
        <v>295589.536229392</v>
      </c>
      <c r="DP29">
        <v>344053.396406937</v>
      </c>
      <c r="DQ29">
        <v>325068.48597604</v>
      </c>
      <c r="DR29">
        <v>346933.607107329</v>
      </c>
      <c r="DS29">
        <v>357134.943293375</v>
      </c>
      <c r="DT29" t="s">
        <v>1900</v>
      </c>
      <c r="DU29" t="s">
        <v>1900</v>
      </c>
      <c r="DV29" t="s">
        <v>1900</v>
      </c>
      <c r="DW29" t="s">
        <v>1900</v>
      </c>
      <c r="DX29" t="s">
        <v>1900</v>
      </c>
      <c r="DY29">
        <v>112736.412238791</v>
      </c>
      <c r="DZ29">
        <v>116393.812836113</v>
      </c>
      <c r="EA29">
        <v>112638.430945432</v>
      </c>
      <c r="EB29">
        <v>125220.527839351</v>
      </c>
      <c r="EC29">
        <v>103077.408728582</v>
      </c>
      <c r="ED29">
        <v>763.632718544006</v>
      </c>
      <c r="EE29" t="s">
        <v>1900</v>
      </c>
      <c r="EF29">
        <v>15.2950366616249</v>
      </c>
      <c r="EG29">
        <v>155.845802307129</v>
      </c>
      <c r="EH29">
        <v>493.367544329166</v>
      </c>
      <c r="EI29" t="s">
        <v>1900</v>
      </c>
      <c r="EJ29" t="s">
        <v>1900</v>
      </c>
      <c r="EK29" t="s">
        <v>1900</v>
      </c>
      <c r="EL29" t="s">
        <v>1900</v>
      </c>
      <c r="EM29" t="s">
        <v>1900</v>
      </c>
      <c r="EN29" t="s">
        <v>1900</v>
      </c>
      <c r="EO29" t="s">
        <v>1900</v>
      </c>
      <c r="EP29" t="s">
        <v>1900</v>
      </c>
      <c r="EQ29" t="s">
        <v>1900</v>
      </c>
      <c r="ER29" t="s">
        <v>1900</v>
      </c>
      <c r="ES29">
        <v>495530.760371612</v>
      </c>
      <c r="ET29">
        <v>462005.105242214</v>
      </c>
      <c r="EU29">
        <v>378855.071629882</v>
      </c>
      <c r="EV29">
        <v>374829.347679527</v>
      </c>
      <c r="EW29">
        <v>414677.273928607</v>
      </c>
      <c r="EX29">
        <v>199941.22414222</v>
      </c>
      <c r="EY29">
        <v>117951.675685263</v>
      </c>
      <c r="EZ29">
        <v>53786.5856538415</v>
      </c>
      <c r="FA29">
        <v>27895.7303787947</v>
      </c>
      <c r="FB29">
        <v>57534.3544897854</v>
      </c>
      <c r="FC29">
        <v>154409.301240176</v>
      </c>
      <c r="FD29">
        <v>129757.721983671</v>
      </c>
      <c r="FE29">
        <v>125248.378057331</v>
      </c>
      <c r="FF29">
        <v>152325.068947363</v>
      </c>
      <c r="FG29">
        <v>161711.354629594</v>
      </c>
      <c r="FH29">
        <v>1079.88412778974</v>
      </c>
      <c r="FI29">
        <v>1148.59276547432</v>
      </c>
      <c r="FJ29">
        <v>1108.67683807015</v>
      </c>
      <c r="FK29">
        <v>1177.28138959408</v>
      </c>
      <c r="FL29">
        <v>0</v>
      </c>
      <c r="FM29">
        <v>137693.977982924</v>
      </c>
      <c r="FN29">
        <v>111978.871754742</v>
      </c>
      <c r="FO29">
        <v>108087.378920972</v>
      </c>
      <c r="FP29">
        <v>134102.152930427</v>
      </c>
      <c r="FQ29">
        <v>143243.51017316</v>
      </c>
      <c r="FR29">
        <v>15635.4380905628</v>
      </c>
      <c r="FS29">
        <v>16630.2574634552</v>
      </c>
      <c r="FT29">
        <v>16052.3222982883</v>
      </c>
      <c r="FU29">
        <v>17045.6346273422</v>
      </c>
      <c r="FV29">
        <v>18467.8444564342</v>
      </c>
      <c r="FW29">
        <v>1079.88412778974</v>
      </c>
      <c r="FX29">
        <v>1148.59276547432</v>
      </c>
      <c r="FY29">
        <v>1108.67683807015</v>
      </c>
      <c r="FZ29">
        <v>1177.28138959408</v>
      </c>
      <c r="GA29">
        <v>0</v>
      </c>
      <c r="GB29">
        <v>137693.977982924</v>
      </c>
      <c r="GC29">
        <v>111978.871754742</v>
      </c>
      <c r="GD29">
        <v>108087.378920972</v>
      </c>
      <c r="GE29">
        <v>134102.152930427</v>
      </c>
      <c r="GF29">
        <v>143243.51017316</v>
      </c>
      <c r="GG29">
        <v>15635.4380905628</v>
      </c>
      <c r="GH29">
        <v>16630.2574634552</v>
      </c>
      <c r="GI29">
        <v>16052.3222982883</v>
      </c>
      <c r="GJ29">
        <v>17045.6346273422</v>
      </c>
      <c r="GK29">
        <v>18467.8444564342</v>
      </c>
      <c r="GL29">
        <v>470980.504542586</v>
      </c>
      <c r="GM29">
        <v>343967.957768593</v>
      </c>
      <c r="GN29">
        <v>236130.130311596</v>
      </c>
      <c r="GO29">
        <v>169436.688868618</v>
      </c>
      <c r="GP29">
        <v>190235.449638766</v>
      </c>
      <c r="GQ29">
        <v>412.775565590858</v>
      </c>
      <c r="GR29">
        <v>439.038797035217</v>
      </c>
      <c r="GS29">
        <v>0</v>
      </c>
      <c r="GT29">
        <v>0</v>
      </c>
      <c r="GU29">
        <v>0</v>
      </c>
      <c r="GV29">
        <v>37681.7382461095</v>
      </c>
      <c r="GW29">
        <v>34694.8497706223</v>
      </c>
      <c r="GX29">
        <v>50960.896959573</v>
      </c>
      <c r="GY29">
        <v>32049.2475303411</v>
      </c>
      <c r="GZ29">
        <v>36409.0792485178</v>
      </c>
      <c r="HA29">
        <v>432885.990730885</v>
      </c>
      <c r="HB29">
        <v>308834.069200935</v>
      </c>
      <c r="HC29">
        <v>185169.233352023</v>
      </c>
      <c r="HD29">
        <v>137387.441338277</v>
      </c>
      <c r="HE29">
        <v>153826.370390248</v>
      </c>
      <c r="HF29">
        <v>381522.298756951</v>
      </c>
      <c r="HG29">
        <v>285592.350670338</v>
      </c>
      <c r="HH29">
        <v>184998.577433902</v>
      </c>
      <c r="HI29">
        <v>137387.441338277</v>
      </c>
      <c r="HJ29">
        <v>153826.370390248</v>
      </c>
      <c r="HK29">
        <v>625389.805782762</v>
      </c>
      <c r="HL29">
        <v>473725.679752264</v>
      </c>
      <c r="HM29">
        <v>361378.508368927</v>
      </c>
      <c r="HN29">
        <v>321761.757815981</v>
      </c>
      <c r="HO29">
        <v>351946.80426836</v>
      </c>
      <c r="HP29">
        <v>471785.038736055</v>
      </c>
      <c r="HQ29">
        <v>344114.65763443</v>
      </c>
      <c r="HR29">
        <v>247391.682350439</v>
      </c>
      <c r="HS29">
        <v>219951.092969656</v>
      </c>
      <c r="HT29">
        <v>216217.559365195</v>
      </c>
      <c r="HU29">
        <v>3127.08761811256</v>
      </c>
      <c r="HV29">
        <v>3326.05149269104</v>
      </c>
      <c r="HW29">
        <v>3210.46445965767</v>
      </c>
      <c r="HX29">
        <v>3409.12692546844</v>
      </c>
      <c r="HY29">
        <v>3693.56889128685</v>
      </c>
      <c r="HZ29">
        <v>468657.951117942</v>
      </c>
      <c r="IA29">
        <v>340788.605036738</v>
      </c>
      <c r="IB29">
        <v>244181.217890781</v>
      </c>
      <c r="IC29">
        <v>216541.966044188</v>
      </c>
      <c r="ID29">
        <v>212523.989246809</v>
      </c>
      <c r="IE29">
        <v>17417.4105280936</v>
      </c>
      <c r="IF29">
        <v>0</v>
      </c>
      <c r="IG29">
        <v>0</v>
      </c>
      <c r="IH29">
        <v>0</v>
      </c>
      <c r="II29">
        <v>0</v>
      </c>
      <c r="IJ29">
        <v>17417.4105280936</v>
      </c>
      <c r="IK29" t="s">
        <v>1900</v>
      </c>
      <c r="IL29" t="s">
        <v>1900</v>
      </c>
      <c r="IM29" t="s">
        <v>1900</v>
      </c>
      <c r="IN29" t="s">
        <v>1900</v>
      </c>
      <c r="IO29">
        <v>0</v>
      </c>
      <c r="IP29" t="s">
        <v>1900</v>
      </c>
      <c r="IQ29" t="s">
        <v>1900</v>
      </c>
      <c r="IR29" t="s">
        <v>1900</v>
      </c>
      <c r="IS29" t="s">
        <v>1900</v>
      </c>
      <c r="IT29">
        <v>0</v>
      </c>
      <c r="IU29" t="s">
        <v>1900</v>
      </c>
      <c r="IV29" t="s">
        <v>1900</v>
      </c>
      <c r="IW29" t="s">
        <v>1900</v>
      </c>
      <c r="IX29" t="s">
        <v>1900</v>
      </c>
      <c r="IY29">
        <v>136187.356518613</v>
      </c>
      <c r="IZ29">
        <v>129611.022117834</v>
      </c>
      <c r="JA29">
        <v>113986.826018488</v>
      </c>
      <c r="JB29">
        <v>101810.664846325</v>
      </c>
      <c r="JC29">
        <v>135729.244903165</v>
      </c>
      <c r="JD29">
        <v>1288.30815368533</v>
      </c>
      <c r="JE29">
        <v>0</v>
      </c>
      <c r="JF29">
        <v>0</v>
      </c>
      <c r="JG29">
        <v>1865.33607637882</v>
      </c>
      <c r="JH29">
        <v>14254.2676950276</v>
      </c>
      <c r="JI29">
        <v>51141.5752520895</v>
      </c>
      <c r="JJ29">
        <v>54178.2627145386</v>
      </c>
      <c r="JK29">
        <v>50878.0648433149</v>
      </c>
      <c r="JL29">
        <v>50310.4114596605</v>
      </c>
      <c r="JM29">
        <v>50417.7675607503</v>
      </c>
      <c r="JN29">
        <v>83757.4731128383</v>
      </c>
      <c r="JO29">
        <v>75432.75940329549</v>
      </c>
      <c r="JP29">
        <v>63108.7611751735</v>
      </c>
      <c r="JQ29">
        <v>49634.9173102856</v>
      </c>
      <c r="JR29">
        <v>71057.2096473873</v>
      </c>
      <c r="JS29">
        <v>625389.805782762</v>
      </c>
      <c r="JT29">
        <v>473725.679752264</v>
      </c>
      <c r="JU29">
        <v>361378.508368927</v>
      </c>
      <c r="JV29">
        <v>321761.757815981</v>
      </c>
      <c r="JW29">
        <v>351946.80426836</v>
      </c>
      <c r="JX29">
        <v>-13047.0614403892</v>
      </c>
      <c r="JY29">
        <v>-19044.3741468811</v>
      </c>
      <c r="JZ29">
        <v>82.8310496586561</v>
      </c>
      <c r="KA29">
        <v>-18261.1627967191</v>
      </c>
      <c r="KB29">
        <v>-14008.6870851332</v>
      </c>
      <c r="KC29" t="s">
        <v>1900</v>
      </c>
      <c r="KD29" t="s">
        <v>1900</v>
      </c>
      <c r="KE29" t="s">
        <v>1900</v>
      </c>
      <c r="KF29" t="s">
        <v>1900</v>
      </c>
      <c r="KG29" t="s">
        <v>1900</v>
      </c>
      <c r="KH29" t="s">
        <v>1900</v>
      </c>
      <c r="KI29" t="s">
        <v>1900</v>
      </c>
      <c r="KJ29" t="s">
        <v>1900</v>
      </c>
      <c r="KK29" t="s">
        <v>1900</v>
      </c>
      <c r="KL29" t="s">
        <v>1900</v>
      </c>
      <c r="KM29">
        <v>6</v>
      </c>
      <c r="KN29">
        <v>6</v>
      </c>
      <c r="KO29">
        <v>6</v>
      </c>
      <c r="KP29">
        <v>6</v>
      </c>
      <c r="KQ29">
        <v>6</v>
      </c>
      <c r="KR29" t="s">
        <v>1900</v>
      </c>
      <c r="KS29" t="s">
        <v>1900</v>
      </c>
      <c r="KT29" t="s">
        <v>1900</v>
      </c>
      <c r="KU29" t="s">
        <v>1900</v>
      </c>
      <c r="KV29" t="s">
        <v>1900</v>
      </c>
      <c r="KW29" t="s">
        <v>1900</v>
      </c>
      <c r="KX29" t="s">
        <v>1900</v>
      </c>
      <c r="KY29" t="s">
        <v>1900</v>
      </c>
      <c r="KZ29" t="s">
        <v>1900</v>
      </c>
      <c r="LA29" t="s">
        <v>1900</v>
      </c>
      <c r="LB29" t="s">
        <v>1900</v>
      </c>
      <c r="LC29" t="s">
        <v>1900</v>
      </c>
      <c r="LD29" t="s">
        <v>1900</v>
      </c>
      <c r="LE29" t="s">
        <v>1900</v>
      </c>
      <c r="LF29" t="s">
        <v>1900</v>
      </c>
      <c r="LG29" t="s">
        <v>1900</v>
      </c>
      <c r="LH29" t="s">
        <v>1900</v>
      </c>
      <c r="LI29" t="s">
        <v>1900</v>
      </c>
      <c r="LJ29" t="s">
        <v>1900</v>
      </c>
      <c r="LK29" t="s">
        <v>1900</v>
      </c>
      <c r="LL29" t="s">
        <v>1900</v>
      </c>
      <c r="LM29" t="s">
        <v>1900</v>
      </c>
      <c r="LN29" t="s">
        <v>1900</v>
      </c>
      <c r="LO29" t="s">
        <v>1900</v>
      </c>
      <c r="LP29" t="s">
        <v>1900</v>
      </c>
      <c r="LQ29" t="s">
        <v>1900</v>
      </c>
      <c r="LR29" t="s">
        <v>1900</v>
      </c>
      <c r="LS29" t="s">
        <v>1900</v>
      </c>
      <c r="LT29" t="s">
        <v>1900</v>
      </c>
      <c r="LU29" t="s">
        <v>1900</v>
      </c>
      <c r="LV29" t="s">
        <v>1900</v>
      </c>
      <c r="LW29" t="s">
        <v>1900</v>
      </c>
      <c r="LX29" t="s">
        <v>1900</v>
      </c>
      <c r="LY29" t="s">
        <v>1900</v>
      </c>
      <c r="LZ29" t="s">
        <v>1900</v>
      </c>
      <c r="MA29" t="s">
        <v>1900</v>
      </c>
      <c r="MB29" t="s">
        <v>1900</v>
      </c>
      <c r="MC29" t="s">
        <v>1900</v>
      </c>
      <c r="MD29" t="s">
        <v>1900</v>
      </c>
      <c r="ME29" t="s">
        <v>1900</v>
      </c>
      <c r="MF29" t="s">
        <v>1900</v>
      </c>
      <c r="MG29" t="s">
        <v>1900</v>
      </c>
      <c r="MH29" t="s">
        <v>1900</v>
      </c>
      <c r="MI29" t="s">
        <v>1900</v>
      </c>
      <c r="MJ29" t="s">
        <v>1900</v>
      </c>
      <c r="MK29" t="s">
        <v>1900</v>
      </c>
      <c r="ML29" t="s">
        <v>1900</v>
      </c>
      <c r="MM29" t="s">
        <v>1900</v>
      </c>
      <c r="MN29" t="s">
        <v>1900</v>
      </c>
      <c r="MO29" t="s">
        <v>1900</v>
      </c>
      <c r="MP29">
        <v>432885.990730885</v>
      </c>
      <c r="MQ29">
        <v>308834.069200935</v>
      </c>
      <c r="MR29">
        <v>185169.233352023</v>
      </c>
      <c r="MS29">
        <v>137387.441338277</v>
      </c>
      <c r="MT29">
        <v>153826.370390248</v>
      </c>
      <c r="MU29" t="s">
        <v>1900</v>
      </c>
      <c r="MV29" t="s">
        <v>1900</v>
      </c>
      <c r="MW29" t="s">
        <v>1900</v>
      </c>
      <c r="MX29" t="s">
        <v>1900</v>
      </c>
      <c r="MY29" t="s">
        <v>1900</v>
      </c>
      <c r="MZ29" t="s">
        <v>1900</v>
      </c>
      <c r="NA29" t="s">
        <v>1900</v>
      </c>
      <c r="NB29" t="s">
        <v>1900</v>
      </c>
      <c r="NC29" t="s">
        <v>1900</v>
      </c>
      <c r="ND29" t="s">
        <v>1900</v>
      </c>
      <c r="NE29" t="s">
        <v>1900</v>
      </c>
      <c r="NF29" t="s">
        <v>1900</v>
      </c>
      <c r="NG29" t="s">
        <v>1900</v>
      </c>
      <c r="NH29" t="s">
        <v>1900</v>
      </c>
      <c r="NI29" t="s">
        <v>1900</v>
      </c>
      <c r="NJ29" t="s">
        <v>1900</v>
      </c>
      <c r="NK29" t="s">
        <v>1900</v>
      </c>
      <c r="NL29" t="s">
        <v>1900</v>
      </c>
      <c r="NM29" t="s">
        <v>1900</v>
      </c>
      <c r="NN29" t="s">
        <v>1900</v>
      </c>
      <c r="NO29" t="s">
        <v>1900</v>
      </c>
      <c r="NP29" t="s">
        <v>1900</v>
      </c>
      <c r="NQ29" t="s">
        <v>1900</v>
      </c>
      <c r="NR29" t="s">
        <v>1900</v>
      </c>
      <c r="NS29" t="s">
        <v>1900</v>
      </c>
      <c r="NT29">
        <v>154409.301240176</v>
      </c>
      <c r="NU29">
        <v>129757.721983671</v>
      </c>
      <c r="NV29">
        <v>125248.378057331</v>
      </c>
      <c r="NW29">
        <v>152325.068947363</v>
      </c>
      <c r="NX29">
        <v>161711.354629594</v>
      </c>
      <c r="NY29" t="s">
        <v>1900</v>
      </c>
      <c r="NZ29" t="s">
        <v>1900</v>
      </c>
      <c r="OA29" t="s">
        <v>1900</v>
      </c>
      <c r="OB29" t="s">
        <v>1900</v>
      </c>
      <c r="OC29" t="s">
        <v>1900</v>
      </c>
      <c r="OD29" t="s">
        <v>1900</v>
      </c>
      <c r="OE29" t="s">
        <v>1900</v>
      </c>
      <c r="OF29" t="s">
        <v>1900</v>
      </c>
      <c r="OG29" t="s">
        <v>1900</v>
      </c>
      <c r="OH29" t="s">
        <v>1900</v>
      </c>
      <c r="OI29" t="s">
        <v>1900</v>
      </c>
      <c r="OJ29" t="s">
        <v>1900</v>
      </c>
      <c r="OK29" t="s">
        <v>1900</v>
      </c>
      <c r="OL29" t="s">
        <v>1900</v>
      </c>
      <c r="OM29" t="s">
        <v>1900</v>
      </c>
      <c r="ON29" t="s">
        <v>1900</v>
      </c>
      <c r="OO29" t="s">
        <v>1900</v>
      </c>
      <c r="OP29" t="s">
        <v>1900</v>
      </c>
      <c r="OQ29" t="s">
        <v>1900</v>
      </c>
      <c r="OR29" t="s">
        <v>1900</v>
      </c>
      <c r="OS29" t="s">
        <v>1900</v>
      </c>
      <c r="OT29" t="s">
        <v>1900</v>
      </c>
      <c r="OU29" t="s">
        <v>1900</v>
      </c>
      <c r="OV29" t="s">
        <v>1900</v>
      </c>
      <c r="OW29" t="s">
        <v>1900</v>
      </c>
      <c r="OX29" t="s">
        <v>1900</v>
      </c>
      <c r="OY29" t="s">
        <v>1900</v>
      </c>
      <c r="OZ29" t="s">
        <v>1900</v>
      </c>
      <c r="PA29" t="s">
        <v>1900</v>
      </c>
      <c r="PB29" t="s">
        <v>1900</v>
      </c>
      <c r="PC29" t="s">
        <v>1900</v>
      </c>
      <c r="PD29" t="s">
        <v>1900</v>
      </c>
      <c r="PE29" t="s">
        <v>1900</v>
      </c>
      <c r="PF29" t="s">
        <v>1900</v>
      </c>
      <c r="PG29" t="s">
        <v>1900</v>
      </c>
      <c r="PH29" t="s">
        <v>1900</v>
      </c>
      <c r="PI29" t="s">
        <v>1900</v>
      </c>
      <c r="PJ29" t="s">
        <v>1900</v>
      </c>
      <c r="PK29" t="s">
        <v>1900</v>
      </c>
      <c r="PL29" t="s">
        <v>1900</v>
      </c>
      <c r="PM29" t="s">
        <v>1900</v>
      </c>
      <c r="PN29" t="s">
        <v>1900</v>
      </c>
      <c r="PO29" t="s">
        <v>1900</v>
      </c>
      <c r="PP29" t="s">
        <v>1900</v>
      </c>
      <c r="PQ29" t="s">
        <v>1900</v>
      </c>
      <c r="PR29" t="s">
        <v>1900</v>
      </c>
      <c r="PS29" t="s">
        <v>1900</v>
      </c>
      <c r="PT29" t="s">
        <v>1900</v>
      </c>
      <c r="PU29" t="s">
        <v>1900</v>
      </c>
      <c r="PV29" t="s">
        <v>1900</v>
      </c>
      <c r="PW29" t="s">
        <v>1900</v>
      </c>
      <c r="PX29" t="s">
        <v>1900</v>
      </c>
      <c r="PY29" t="s">
        <v>1900</v>
      </c>
      <c r="PZ29" t="s">
        <v>1900</v>
      </c>
      <c r="QA29" t="s">
        <v>1900</v>
      </c>
      <c r="QB29" t="s">
        <v>1900</v>
      </c>
      <c r="QC29" t="s">
        <v>1900</v>
      </c>
      <c r="QD29" t="s">
        <v>1900</v>
      </c>
      <c r="QE29" t="s">
        <v>1900</v>
      </c>
      <c r="QF29" t="s">
        <v>1900</v>
      </c>
      <c r="QG29" t="s">
        <v>1900</v>
      </c>
      <c r="QH29" t="s">
        <v>1900</v>
      </c>
      <c r="QI29" t="s">
        <v>1900</v>
      </c>
      <c r="QJ29" t="s">
        <v>1900</v>
      </c>
      <c r="QK29" t="s">
        <v>1900</v>
      </c>
      <c r="QL29" t="s">
        <v>1900</v>
      </c>
      <c r="QM29" t="s">
        <v>1900</v>
      </c>
      <c r="QN29" t="s">
        <v>1900</v>
      </c>
      <c r="QO29" t="s">
        <v>1900</v>
      </c>
      <c r="QP29" t="s">
        <v>1900</v>
      </c>
      <c r="QQ29" t="s">
        <v>1900</v>
      </c>
      <c r="QR29" t="s">
        <v>1900</v>
      </c>
      <c r="QS29" t="s">
        <v>1900</v>
      </c>
      <c r="QT29" t="s">
        <v>1900</v>
      </c>
      <c r="QU29" t="s">
        <v>1900</v>
      </c>
      <c r="QV29" t="s">
        <v>1900</v>
      </c>
      <c r="QW29" t="s">
        <v>1900</v>
      </c>
      <c r="QX29" t="s">
        <v>1900</v>
      </c>
      <c r="QY29" t="s">
        <v>1900</v>
      </c>
      <c r="QZ29" t="s">
        <v>1900</v>
      </c>
      <c r="RA29" t="s">
        <v>1900</v>
      </c>
      <c r="RB29" t="s">
        <v>1900</v>
      </c>
      <c r="RC29" t="s">
        <v>1900</v>
      </c>
      <c r="RD29" t="s">
        <v>1900</v>
      </c>
      <c r="RE29" t="s">
        <v>1900</v>
      </c>
      <c r="RF29" t="s">
        <v>1900</v>
      </c>
      <c r="RG29" t="s">
        <v>1900</v>
      </c>
      <c r="RH29" t="s">
        <v>1900</v>
      </c>
      <c r="RI29" t="s">
        <v>1900</v>
      </c>
      <c r="RJ29" t="s">
        <v>1900</v>
      </c>
      <c r="RK29" t="s">
        <v>1900</v>
      </c>
      <c r="RL29" t="s">
        <v>1900</v>
      </c>
      <c r="RM29" t="s">
        <v>1900</v>
      </c>
      <c r="RN29" t="s">
        <v>1900</v>
      </c>
      <c r="RO29" t="s">
        <v>1900</v>
      </c>
      <c r="RP29" t="s">
        <v>1900</v>
      </c>
      <c r="RQ29" t="s">
        <v>1900</v>
      </c>
      <c r="RR29" t="s">
        <v>1900</v>
      </c>
      <c r="RS29" t="s">
        <v>1900</v>
      </c>
      <c r="RT29" t="s">
        <v>1900</v>
      </c>
      <c r="RU29" t="s">
        <v>1900</v>
      </c>
      <c r="RV29" t="s">
        <v>1900</v>
      </c>
      <c r="RW29" t="s">
        <v>1900</v>
      </c>
      <c r="RX29" t="s">
        <v>1900</v>
      </c>
      <c r="RY29" t="s">
        <v>1900</v>
      </c>
      <c r="RZ29" t="s">
        <v>1900</v>
      </c>
      <c r="SA29" t="s">
        <v>1900</v>
      </c>
      <c r="SB29" t="s">
        <v>1900</v>
      </c>
      <c r="SC29" t="s">
        <v>1900</v>
      </c>
      <c r="SD29" t="s">
        <v>1900</v>
      </c>
      <c r="SE29" t="s">
        <v>1900</v>
      </c>
      <c r="SF29" t="s">
        <v>1900</v>
      </c>
      <c r="SG29" t="s">
        <v>1900</v>
      </c>
      <c r="SH29" t="s">
        <v>1900</v>
      </c>
      <c r="SI29" t="s">
        <v>1900</v>
      </c>
      <c r="SJ29">
        <v>15635.4380905628</v>
      </c>
      <c r="SK29">
        <v>16630.2574634552</v>
      </c>
      <c r="SL29">
        <v>16052.3222982883</v>
      </c>
      <c r="SM29">
        <v>17045.6346273422</v>
      </c>
      <c r="SN29">
        <v>18467.8444564342</v>
      </c>
      <c r="SO29" t="s">
        <v>1900</v>
      </c>
      <c r="SP29" t="s">
        <v>1900</v>
      </c>
      <c r="SQ29" t="s">
        <v>1900</v>
      </c>
      <c r="SR29" t="s">
        <v>1900</v>
      </c>
      <c r="SS29" t="s">
        <v>1900</v>
      </c>
      <c r="ST29" t="s">
        <v>1900</v>
      </c>
      <c r="SU29" t="s">
        <v>1900</v>
      </c>
      <c r="SV29" t="s">
        <v>1900</v>
      </c>
      <c r="SW29" t="s">
        <v>1900</v>
      </c>
      <c r="SX29" t="s">
        <v>1900</v>
      </c>
      <c r="SY29" t="s">
        <v>1900</v>
      </c>
      <c r="SZ29" t="s">
        <v>1900</v>
      </c>
      <c r="TA29" t="s">
        <v>1900</v>
      </c>
      <c r="TB29" t="s">
        <v>1900</v>
      </c>
      <c r="TC29" t="s">
        <v>1900</v>
      </c>
      <c r="TD29" t="s">
        <v>1900</v>
      </c>
      <c r="TE29" t="s">
        <v>1900</v>
      </c>
      <c r="TF29" t="s">
        <v>1900</v>
      </c>
      <c r="TG29" t="s">
        <v>1900</v>
      </c>
      <c r="TH29" t="s">
        <v>1900</v>
      </c>
      <c r="TI29" t="s">
        <v>1900</v>
      </c>
      <c r="TJ29" t="s">
        <v>1900</v>
      </c>
      <c r="TK29" t="s">
        <v>1900</v>
      </c>
      <c r="TL29" t="s">
        <v>1900</v>
      </c>
      <c r="TM29" t="s">
        <v>1900</v>
      </c>
      <c r="TN29" t="s">
        <v>1900</v>
      </c>
      <c r="TO29" t="s">
        <v>1900</v>
      </c>
      <c r="TP29" t="s">
        <v>1900</v>
      </c>
      <c r="TQ29" t="s">
        <v>1900</v>
      </c>
      <c r="TR29" t="s">
        <v>1900</v>
      </c>
      <c r="TS29">
        <v>625389.805782762</v>
      </c>
      <c r="TT29">
        <v>473725.679752264</v>
      </c>
      <c r="TU29">
        <v>361378.508368927</v>
      </c>
      <c r="TV29">
        <v>321761.757815981</v>
      </c>
      <c r="TW29">
        <v>351946.80426836</v>
      </c>
      <c r="TX29" t="s">
        <v>1900</v>
      </c>
      <c r="TY29" t="s">
        <v>1900</v>
      </c>
      <c r="TZ29" t="s">
        <v>1900</v>
      </c>
      <c r="UA29" t="s">
        <v>1900</v>
      </c>
      <c r="UB29" t="s">
        <v>1900</v>
      </c>
      <c r="UC29">
        <v>1288.30815368533</v>
      </c>
      <c r="UD29">
        <v>0</v>
      </c>
      <c r="UE29">
        <v>0</v>
      </c>
      <c r="UF29">
        <v>1865.33607637882</v>
      </c>
      <c r="UG29">
        <v>14254.2676950276</v>
      </c>
      <c r="UH29" t="s">
        <v>1900</v>
      </c>
      <c r="UI29" t="s">
        <v>1900</v>
      </c>
      <c r="UJ29" t="s">
        <v>1900</v>
      </c>
      <c r="UK29" t="s">
        <v>1900</v>
      </c>
      <c r="UL29" t="s">
        <v>1900</v>
      </c>
      <c r="UM29" t="s">
        <v>1900</v>
      </c>
      <c r="UN29" t="s">
        <v>1900</v>
      </c>
      <c r="UO29" t="s">
        <v>1900</v>
      </c>
      <c r="UP29" t="s">
        <v>1900</v>
      </c>
      <c r="UQ29" t="s">
        <v>1900</v>
      </c>
      <c r="UR29" t="s">
        <v>1900</v>
      </c>
      <c r="US29" t="s">
        <v>1900</v>
      </c>
      <c r="UT29" t="s">
        <v>1900</v>
      </c>
      <c r="UU29" t="s">
        <v>1900</v>
      </c>
      <c r="UV29" t="s">
        <v>1900</v>
      </c>
      <c r="UW29" t="s">
        <v>1900</v>
      </c>
      <c r="UX29" t="s">
        <v>1900</v>
      </c>
      <c r="UY29" t="s">
        <v>1900</v>
      </c>
      <c r="UZ29" t="s">
        <v>1900</v>
      </c>
      <c r="VA29" t="s">
        <v>1900</v>
      </c>
      <c r="VB29" t="s">
        <v>1900</v>
      </c>
      <c r="VC29" t="s">
        <v>1900</v>
      </c>
      <c r="VD29" t="s">
        <v>1900</v>
      </c>
      <c r="VE29" t="s">
        <v>1900</v>
      </c>
      <c r="VF29" t="s">
        <v>1900</v>
      </c>
      <c r="VG29" t="s">
        <v>1900</v>
      </c>
      <c r="VH29" t="s">
        <v>1900</v>
      </c>
      <c r="VI29" t="s">
        <v>1900</v>
      </c>
      <c r="VJ29" t="s">
        <v>1900</v>
      </c>
      <c r="VK29" t="s">
        <v>1900</v>
      </c>
      <c r="VL29" t="s">
        <v>1900</v>
      </c>
      <c r="VM29" t="s">
        <v>1900</v>
      </c>
      <c r="VN29" t="s">
        <v>1900</v>
      </c>
      <c r="VO29" t="s">
        <v>1900</v>
      </c>
      <c r="VP29" t="s">
        <v>1900</v>
      </c>
      <c r="VQ29" t="s">
        <v>1900</v>
      </c>
      <c r="VR29" t="s">
        <v>1900</v>
      </c>
      <c r="VS29" t="s">
        <v>1900</v>
      </c>
      <c r="VT29" t="s">
        <v>1900</v>
      </c>
      <c r="VU29" t="s">
        <v>1900</v>
      </c>
      <c r="VV29" t="s">
        <v>1900</v>
      </c>
      <c r="VW29" t="s">
        <v>1900</v>
      </c>
      <c r="VX29" t="s">
        <v>1900</v>
      </c>
      <c r="VY29" t="s">
        <v>1900</v>
      </c>
      <c r="VZ29" t="s">
        <v>1900</v>
      </c>
      <c r="WA29">
        <v>83757.4731128383</v>
      </c>
      <c r="WB29">
        <v>75432.75940329549</v>
      </c>
      <c r="WC29">
        <v>63108.7611751735</v>
      </c>
      <c r="WD29">
        <v>49634.9173102856</v>
      </c>
      <c r="WE29">
        <v>71057.2096473873</v>
      </c>
      <c r="WF29" t="s">
        <v>1900</v>
      </c>
      <c r="WG29" t="s">
        <v>1900</v>
      </c>
      <c r="WH29" t="s">
        <v>1900</v>
      </c>
      <c r="WI29" t="s">
        <v>1900</v>
      </c>
      <c r="WJ29" t="s">
        <v>1900</v>
      </c>
      <c r="WK29" t="s">
        <v>1900</v>
      </c>
      <c r="WL29" t="s">
        <v>1900</v>
      </c>
      <c r="WM29" t="s">
        <v>1900</v>
      </c>
      <c r="WN29" t="s">
        <v>1900</v>
      </c>
      <c r="WO29" t="s">
        <v>1900</v>
      </c>
      <c r="WP29" t="s">
        <v>1900</v>
      </c>
      <c r="WQ29" t="s">
        <v>1900</v>
      </c>
      <c r="WR29" t="s">
        <v>1900</v>
      </c>
      <c r="WS29" t="s">
        <v>1900</v>
      </c>
      <c r="WT29" t="s">
        <v>1900</v>
      </c>
      <c r="WU29" t="s">
        <v>1900</v>
      </c>
      <c r="WV29" t="s">
        <v>1900</v>
      </c>
      <c r="WW29" t="s">
        <v>1900</v>
      </c>
      <c r="WX29" t="s">
        <v>1900</v>
      </c>
      <c r="WY29" t="s">
        <v>1900</v>
      </c>
      <c r="WZ29" t="s">
        <v>1900</v>
      </c>
      <c r="XA29" t="s">
        <v>1900</v>
      </c>
      <c r="XB29" t="s">
        <v>1900</v>
      </c>
      <c r="XC29" t="s">
        <v>1900</v>
      </c>
      <c r="XD29" t="s">
        <v>1900</v>
      </c>
      <c r="XE29" t="s">
        <v>1900</v>
      </c>
      <c r="XF29" t="s">
        <v>1900</v>
      </c>
      <c r="XG29" t="s">
        <v>1900</v>
      </c>
      <c r="XH29" t="s">
        <v>1900</v>
      </c>
      <c r="XI29" t="s">
        <v>1900</v>
      </c>
      <c r="XJ29">
        <v>0</v>
      </c>
      <c r="XK29" t="s">
        <v>1900</v>
      </c>
      <c r="XL29" t="s">
        <v>1900</v>
      </c>
      <c r="XM29" t="s">
        <v>1900</v>
      </c>
      <c r="XN29" t="s">
        <v>1900</v>
      </c>
      <c r="XO29" t="s">
        <v>1900</v>
      </c>
      <c r="XP29" t="s">
        <v>1900</v>
      </c>
      <c r="XQ29" t="s">
        <v>1900</v>
      </c>
      <c r="XR29" t="s">
        <v>1900</v>
      </c>
      <c r="XS29" t="s">
        <v>1900</v>
      </c>
      <c r="XT29" t="s">
        <v>1900</v>
      </c>
      <c r="XU29" t="s">
        <v>1900</v>
      </c>
      <c r="XV29" t="s">
        <v>1900</v>
      </c>
      <c r="XW29" t="s">
        <v>1900</v>
      </c>
      <c r="XX29" t="s">
        <v>1900</v>
      </c>
      <c r="XY29">
        <v>0</v>
      </c>
      <c r="XZ29" t="s">
        <v>1900</v>
      </c>
      <c r="YA29" t="s">
        <v>1900</v>
      </c>
      <c r="YB29" t="s">
        <v>1900</v>
      </c>
      <c r="YC29" t="s">
        <v>1900</v>
      </c>
      <c r="YD29" t="s">
        <v>1900</v>
      </c>
      <c r="YE29" t="s">
        <v>1900</v>
      </c>
      <c r="YF29" t="s">
        <v>1900</v>
      </c>
      <c r="YG29" t="s">
        <v>1900</v>
      </c>
      <c r="YH29" t="s">
        <v>1900</v>
      </c>
      <c r="YI29" t="s">
        <v>1900</v>
      </c>
      <c r="YJ29" t="s">
        <v>1900</v>
      </c>
      <c r="YK29" t="s">
        <v>1900</v>
      </c>
      <c r="YL29" t="s">
        <v>1900</v>
      </c>
      <c r="YM29" t="s">
        <v>1900</v>
      </c>
      <c r="YN29" t="s">
        <v>1900</v>
      </c>
      <c r="YO29" t="s">
        <v>1900</v>
      </c>
      <c r="YP29" t="s">
        <v>1900</v>
      </c>
      <c r="YQ29" t="s">
        <v>1900</v>
      </c>
      <c r="YR29" t="s">
        <v>1900</v>
      </c>
      <c r="YS29" t="s">
        <v>1900</v>
      </c>
      <c r="YT29" t="s">
        <v>1900</v>
      </c>
      <c r="YU29" t="s">
        <v>1900</v>
      </c>
      <c r="YV29" t="s">
        <v>1900</v>
      </c>
      <c r="YW29" t="s">
        <v>1900</v>
      </c>
      <c r="YX29" t="s">
        <v>1900</v>
      </c>
      <c r="YY29" t="s">
        <v>1900</v>
      </c>
      <c r="YZ29" t="s">
        <v>1900</v>
      </c>
      <c r="ZA29" t="s">
        <v>1900</v>
      </c>
      <c r="ZB29" t="s">
        <v>1900</v>
      </c>
      <c r="ZC29" t="s">
        <v>1900</v>
      </c>
      <c r="ZD29" t="s">
        <v>1900</v>
      </c>
      <c r="ZE29" t="s">
        <v>1900</v>
      </c>
      <c r="ZF29" t="s">
        <v>1900</v>
      </c>
      <c r="ZG29" t="s">
        <v>1900</v>
      </c>
      <c r="ZH29" t="s">
        <v>1900</v>
      </c>
      <c r="ZI29" t="s">
        <v>1900</v>
      </c>
      <c r="ZJ29" t="s">
        <v>1900</v>
      </c>
      <c r="ZK29" t="s">
        <v>1900</v>
      </c>
      <c r="ZL29" t="s">
        <v>1900</v>
      </c>
      <c r="ZM29" t="s">
        <v>1900</v>
      </c>
      <c r="ZN29" t="s">
        <v>1900</v>
      </c>
      <c r="ZO29" t="s">
        <v>1900</v>
      </c>
      <c r="ZP29" t="s">
        <v>1900</v>
      </c>
      <c r="ZQ29" t="s">
        <v>1900</v>
      </c>
      <c r="ZR29" t="s">
        <v>1900</v>
      </c>
      <c r="ZS29" t="s">
        <v>1900</v>
      </c>
      <c r="ZT29" t="s">
        <v>1900</v>
      </c>
      <c r="ZU29" t="s">
        <v>1900</v>
      </c>
      <c r="ZV29" t="s">
        <v>1900</v>
      </c>
      <c r="ZW29" t="s">
        <v>1900</v>
      </c>
      <c r="ZX29" t="s">
        <v>1900</v>
      </c>
      <c r="ZY29" t="s">
        <v>1900</v>
      </c>
      <c r="ZZ29" t="s">
        <v>1900</v>
      </c>
      <c r="AAA29" t="s">
        <v>1900</v>
      </c>
      <c r="AAB29" t="s">
        <v>1900</v>
      </c>
      <c r="AAC29" t="s">
        <v>1900</v>
      </c>
      <c r="AAD29" t="s">
        <v>1900</v>
      </c>
      <c r="AAE29" t="s">
        <v>1900</v>
      </c>
      <c r="AAF29" t="s">
        <v>1900</v>
      </c>
      <c r="AAG29" t="s">
        <v>1900</v>
      </c>
      <c r="AAH29" t="s">
        <v>1900</v>
      </c>
      <c r="AAI29" t="s">
        <v>1900</v>
      </c>
      <c r="AAJ29" t="s">
        <v>1900</v>
      </c>
      <c r="AAK29" t="s">
        <v>1900</v>
      </c>
      <c r="AAL29" t="s">
        <v>1900</v>
      </c>
      <c r="AAM29" t="s">
        <v>1900</v>
      </c>
      <c r="AAN29" t="s">
        <v>1900</v>
      </c>
      <c r="AAO29" t="s">
        <v>1900</v>
      </c>
      <c r="AAP29" t="s">
        <v>1900</v>
      </c>
      <c r="AAQ29" t="s">
        <v>1900</v>
      </c>
      <c r="AAR29" t="s">
        <v>1900</v>
      </c>
      <c r="AAS29" t="s">
        <v>1900</v>
      </c>
      <c r="AAT29" t="s">
        <v>1900</v>
      </c>
      <c r="AAU29" t="s">
        <v>1900</v>
      </c>
      <c r="AAV29" t="s">
        <v>1900</v>
      </c>
      <c r="AAW29" t="s">
        <v>1900</v>
      </c>
      <c r="AAX29" t="s">
        <v>1900</v>
      </c>
      <c r="AAY29" t="s">
        <v>1900</v>
      </c>
      <c r="AAZ29" t="s">
        <v>1900</v>
      </c>
      <c r="ABA29" t="s">
        <v>1900</v>
      </c>
      <c r="ABB29" t="s">
        <v>1900</v>
      </c>
      <c r="ABC29" t="s">
        <v>1900</v>
      </c>
      <c r="ABD29" t="s">
        <v>1900</v>
      </c>
      <c r="ABE29" t="s">
        <v>1900</v>
      </c>
      <c r="ABF29" t="s">
        <v>1900</v>
      </c>
      <c r="ABG29" t="s">
        <v>1900</v>
      </c>
      <c r="ABH29" t="s">
        <v>1900</v>
      </c>
      <c r="ABI29" t="s">
        <v>1900</v>
      </c>
      <c r="ABJ29" t="s">
        <v>1900</v>
      </c>
      <c r="ABK29" t="s">
        <v>1900</v>
      </c>
      <c r="ABL29" t="s">
        <v>1900</v>
      </c>
      <c r="ABM29" t="s">
        <v>1900</v>
      </c>
      <c r="ABN29" t="s">
        <v>1900</v>
      </c>
      <c r="ABO29" t="s">
        <v>1900</v>
      </c>
      <c r="ABP29" t="s">
        <v>1900</v>
      </c>
      <c r="ABQ29" t="s">
        <v>1900</v>
      </c>
      <c r="ABR29" t="s">
        <v>1900</v>
      </c>
      <c r="ABS29" t="s">
        <v>1900</v>
      </c>
      <c r="ABT29" t="s">
        <v>1900</v>
      </c>
      <c r="ABU29" t="s">
        <v>1900</v>
      </c>
      <c r="ABV29" t="s">
        <v>1900</v>
      </c>
      <c r="ABW29" t="s">
        <v>1900</v>
      </c>
      <c r="ABX29" t="s">
        <v>1900</v>
      </c>
      <c r="ABY29" t="s">
        <v>1900</v>
      </c>
      <c r="ABZ29" t="s">
        <v>1900</v>
      </c>
      <c r="ACA29" t="s">
        <v>1900</v>
      </c>
      <c r="ACB29" t="s">
        <v>1900</v>
      </c>
      <c r="ACC29" t="s">
        <v>1900</v>
      </c>
      <c r="ACD29" t="s">
        <v>1900</v>
      </c>
      <c r="ACE29">
        <v>42.218</v>
      </c>
      <c r="ACF29">
        <v>34.277</v>
      </c>
      <c r="ACG29">
        <v>21.735</v>
      </c>
      <c r="ACH29">
        <v>12.612</v>
      </c>
      <c r="ACI29">
        <v>26.385</v>
      </c>
      <c r="ACJ29">
        <v>40.871</v>
      </c>
      <c r="ACK29" t="s">
        <v>1900</v>
      </c>
      <c r="ACL29">
        <v>21.741</v>
      </c>
      <c r="ACM29">
        <v>12.683</v>
      </c>
      <c r="ACN29">
        <v>26.613</v>
      </c>
      <c r="ACO29">
        <v>31.849</v>
      </c>
      <c r="ACP29">
        <v>24.899</v>
      </c>
      <c r="ACQ29">
        <v>14.879</v>
      </c>
      <c r="ACR29">
        <v>8.621</v>
      </c>
      <c r="ACS29">
        <v>16.21</v>
      </c>
      <c r="ACT29">
        <v>31.424</v>
      </c>
      <c r="ACU29">
        <v>25.519</v>
      </c>
      <c r="ACV29">
        <v>16.273</v>
      </c>
      <c r="ACW29">
        <v>9.268000000000001</v>
      </c>
      <c r="ACX29">
        <v>19.579</v>
      </c>
      <c r="ACY29">
        <v>30.462</v>
      </c>
      <c r="ACZ29" t="s">
        <v>1900</v>
      </c>
      <c r="ADA29">
        <v>16.279</v>
      </c>
      <c r="ADB29">
        <v>9.339</v>
      </c>
      <c r="ADC29">
        <v>19.807</v>
      </c>
      <c r="ADD29">
        <v>23.706</v>
      </c>
      <c r="ADE29">
        <v>18.537</v>
      </c>
      <c r="ADF29">
        <v>11.14</v>
      </c>
      <c r="ADG29">
        <v>6.335</v>
      </c>
      <c r="ADH29">
        <v>12.028</v>
      </c>
      <c r="ADI29">
        <v>16.877</v>
      </c>
      <c r="ADJ29">
        <v>10.242</v>
      </c>
      <c r="ADK29">
        <v>5.147</v>
      </c>
      <c r="ADL29">
        <v>2.603</v>
      </c>
      <c r="ADM29">
        <v>5.109</v>
      </c>
      <c r="ADN29">
        <v>51.541</v>
      </c>
      <c r="ADO29">
        <v>50.223</v>
      </c>
      <c r="ADP29">
        <v>47.048</v>
      </c>
      <c r="ADQ29">
        <v>46.931</v>
      </c>
      <c r="ADR29">
        <v>46.363</v>
      </c>
      <c r="ADS29">
        <v>16.941972324</v>
      </c>
      <c r="ADT29">
        <v>10.241773028</v>
      </c>
      <c r="ADU29">
        <v>5.148743492</v>
      </c>
      <c r="ADV29">
        <v>2.618063177</v>
      </c>
      <c r="ADW29">
        <v>5.152091715</v>
      </c>
      <c r="ADX29">
        <v>16.942</v>
      </c>
      <c r="ADY29">
        <v>10.242</v>
      </c>
      <c r="ADZ29">
        <v>5.149</v>
      </c>
      <c r="AEA29">
        <v>2.618</v>
      </c>
      <c r="AEB29">
        <v>5.152</v>
      </c>
      <c r="AEC29">
        <v>16.942</v>
      </c>
      <c r="AED29">
        <v>10.242</v>
      </c>
      <c r="AEE29">
        <v>5.149</v>
      </c>
      <c r="AEF29">
        <v>2.618</v>
      </c>
      <c r="AEG29">
        <v>5.152</v>
      </c>
      <c r="AEH29" t="s">
        <v>1900</v>
      </c>
      <c r="AEI29" t="s">
        <v>1900</v>
      </c>
      <c r="AEJ29" t="s">
        <v>1900</v>
      </c>
      <c r="AEK29" t="s">
        <v>1900</v>
      </c>
      <c r="AEL29" t="s">
        <v>1900</v>
      </c>
      <c r="AEM29">
        <v>20.397754194</v>
      </c>
      <c r="AEN29">
        <v>11.410400331</v>
      </c>
      <c r="AEO29">
        <v>5.428229084</v>
      </c>
      <c r="AEP29">
        <v>2.688448456</v>
      </c>
      <c r="AEQ29">
        <v>5.431950802</v>
      </c>
      <c r="AER29">
        <v>1.489660833</v>
      </c>
      <c r="AES29">
        <v>1.256167642</v>
      </c>
      <c r="AET29">
        <v>1.122882649</v>
      </c>
      <c r="AEU29">
        <v>1.05908183</v>
      </c>
      <c r="AEV29">
        <v>1.125016971</v>
      </c>
      <c r="AEW29" t="s">
        <v>1900</v>
      </c>
      <c r="AEX29" t="s">
        <v>1900</v>
      </c>
      <c r="AEY29" t="s">
        <v>1900</v>
      </c>
      <c r="AEZ29" t="s">
        <v>1900</v>
      </c>
      <c r="AFA29" t="s">
        <v>1900</v>
      </c>
      <c r="AFB29" t="s">
        <v>1900</v>
      </c>
      <c r="AFC29" t="s">
        <v>1900</v>
      </c>
      <c r="AFD29" t="s">
        <v>1900</v>
      </c>
      <c r="AFE29" t="s">
        <v>1900</v>
      </c>
      <c r="AFF29" t="s">
        <v>1900</v>
      </c>
      <c r="AFG29">
        <v>2.412</v>
      </c>
      <c r="AFH29">
        <v>3.347</v>
      </c>
      <c r="AFI29">
        <v>4.223</v>
      </c>
      <c r="AFJ29">
        <v>4.844</v>
      </c>
      <c r="AFK29">
        <v>5.165</v>
      </c>
      <c r="AFL29">
        <v>261.829</v>
      </c>
      <c r="AFM29" t="s">
        <v>1900</v>
      </c>
      <c r="AFN29" t="s">
        <v>1901</v>
      </c>
      <c r="AFO29">
        <v>178.996</v>
      </c>
      <c r="AFP29">
        <v>116.616</v>
      </c>
      <c r="AFQ29" t="s">
        <v>1901</v>
      </c>
      <c r="AFR29" t="s">
        <v>1901</v>
      </c>
      <c r="AFS29" t="s">
        <v>1901</v>
      </c>
      <c r="AFT29" t="s">
        <v>1901</v>
      </c>
      <c r="AFU29" t="s">
        <v>1901</v>
      </c>
      <c r="AFV29">
        <v>11.495</v>
      </c>
      <c r="AFW29">
        <v>10.845</v>
      </c>
      <c r="AFX29">
        <v>17.562</v>
      </c>
      <c r="AFY29">
        <v>10.828</v>
      </c>
      <c r="AFZ29">
        <v>11.737</v>
      </c>
      <c r="AGA29">
        <v>15.6</v>
      </c>
      <c r="AGB29">
        <v>16.936</v>
      </c>
      <c r="AGC29">
        <v>17.533</v>
      </c>
      <c r="AGD29">
        <v>16.998</v>
      </c>
      <c r="AGE29">
        <v>16.253</v>
      </c>
      <c r="AGF29" t="s">
        <v>1900</v>
      </c>
      <c r="AGG29" t="s">
        <v>1900</v>
      </c>
      <c r="AGH29" t="s">
        <v>1900</v>
      </c>
      <c r="AGI29" t="s">
        <v>1900</v>
      </c>
      <c r="AGJ29" t="s">
        <v>1900</v>
      </c>
      <c r="AGK29" t="s">
        <v>1900</v>
      </c>
      <c r="AGL29" t="s">
        <v>1900</v>
      </c>
      <c r="AGM29" t="s">
        <v>1900</v>
      </c>
      <c r="AGN29" t="s">
        <v>1900</v>
      </c>
      <c r="AGO29" t="s">
        <v>1900</v>
      </c>
      <c r="AGP29" t="s">
        <v>1900</v>
      </c>
      <c r="AGQ29" t="s">
        <v>1900</v>
      </c>
      <c r="AGR29" t="s">
        <v>1900</v>
      </c>
      <c r="AGS29" t="s">
        <v>1900</v>
      </c>
      <c r="AGT29" t="s">
        <v>1900</v>
      </c>
      <c r="AGU29">
        <v>0</v>
      </c>
      <c r="AGV29">
        <v>0</v>
      </c>
      <c r="AGW29">
        <v>0</v>
      </c>
      <c r="AGX29">
        <v>0</v>
      </c>
      <c r="AGY29">
        <v>0</v>
      </c>
      <c r="AGZ29">
        <v>3.458</v>
      </c>
      <c r="AHA29">
        <v>2.654</v>
      </c>
      <c r="AHB29">
        <v>2.072</v>
      </c>
      <c r="AHC29">
        <v>1.664</v>
      </c>
      <c r="AHD29">
        <v>1.402</v>
      </c>
      <c r="AHE29">
        <v>3.455</v>
      </c>
      <c r="AHF29">
        <v>2.65</v>
      </c>
      <c r="AHG29">
        <v>2.072</v>
      </c>
      <c r="AHH29">
        <v>1.664</v>
      </c>
      <c r="AHI29">
        <v>1.402</v>
      </c>
      <c r="AHJ29">
        <v>27.087</v>
      </c>
      <c r="AHK29" t="s">
        <v>1901</v>
      </c>
      <c r="AHL29" t="s">
        <v>1901</v>
      </c>
      <c r="AHM29" t="s">
        <v>1901</v>
      </c>
      <c r="AHN29" t="s">
        <v>1901</v>
      </c>
      <c r="AHO29">
        <v>75.43899999999999</v>
      </c>
      <c r="AHP29">
        <v>72.64</v>
      </c>
      <c r="AHQ29">
        <v>68.458</v>
      </c>
      <c r="AHR29">
        <v>68.358</v>
      </c>
      <c r="AHS29">
        <v>61.435</v>
      </c>
      <c r="AHT29" t="s">
        <v>1901</v>
      </c>
      <c r="AHU29" t="s">
        <v>1901</v>
      </c>
      <c r="AHV29" t="s">
        <v>1901</v>
      </c>
      <c r="AHW29" t="s">
        <v>1901</v>
      </c>
      <c r="AHX29" t="s">
        <v>1901</v>
      </c>
      <c r="AHY29">
        <v>3.965</v>
      </c>
      <c r="AHZ29">
        <v>0</v>
      </c>
      <c r="AIA29">
        <v>0</v>
      </c>
      <c r="AIB29">
        <v>0.848</v>
      </c>
      <c r="AIC29">
        <v>6.593</v>
      </c>
      <c r="AID29">
        <v>2.500110802</v>
      </c>
      <c r="AIE29">
        <v>3.510524798</v>
      </c>
      <c r="AIF29">
        <v>4.441969272</v>
      </c>
      <c r="AIG29">
        <v>5.297594948</v>
      </c>
      <c r="AIH29">
        <v>5.247339721</v>
      </c>
      <c r="AII29">
        <v>69.21858762799999</v>
      </c>
      <c r="AIJ29">
        <v>65.192596138</v>
      </c>
      <c r="AIK29">
        <v>51.239691643</v>
      </c>
      <c r="AIL29">
        <v>42.698499123</v>
      </c>
      <c r="AIM29">
        <v>43.707278635</v>
      </c>
      <c r="AIN29">
        <v>13.392842726</v>
      </c>
      <c r="AIO29">
        <v>15.923299628</v>
      </c>
      <c r="AIP29">
        <v>17.463340988</v>
      </c>
      <c r="AIQ29">
        <v>15.42598401</v>
      </c>
      <c r="AIR29">
        <v>20.189758448</v>
      </c>
      <c r="AIS29">
        <v>0.07217794499999999</v>
      </c>
      <c r="AIT29">
        <v>0.076584522</v>
      </c>
      <c r="AIU29">
        <v>0</v>
      </c>
      <c r="AIV29">
        <v>0</v>
      </c>
      <c r="AIW29">
        <v>0</v>
      </c>
      <c r="AIX29">
        <v>33.1962655835792</v>
      </c>
      <c r="AIY29">
        <v>19.6586185075464</v>
      </c>
      <c r="AIZ29">
        <v>8.961881413996821</v>
      </c>
      <c r="AJA29">
        <v>4.62331636128187</v>
      </c>
      <c r="AJB29">
        <v>9.508160515150429</v>
      </c>
      <c r="AJC29">
        <v>196.692195690494</v>
      </c>
      <c r="AJD29">
        <v>191.945403992739</v>
      </c>
      <c r="AJE29">
        <v>174.109100093743</v>
      </c>
      <c r="AJF29">
        <v>177.585034542632</v>
      </c>
      <c r="AJG29">
        <v>186.119727910993</v>
      </c>
      <c r="AJH29">
        <v>25.047</v>
      </c>
      <c r="AJI29">
        <v>29.874</v>
      </c>
      <c r="AJJ29">
        <v>31.117</v>
      </c>
      <c r="AJK29">
        <v>32.56</v>
      </c>
      <c r="AJL29">
        <v>31.981</v>
      </c>
      <c r="AJM29">
        <v>49.2649227048987</v>
      </c>
      <c r="AJN29">
        <v>57.3422327344894</v>
      </c>
      <c r="AJO29">
        <v>54.1780809960067</v>
      </c>
      <c r="AJP29">
        <v>57.8222674736881</v>
      </c>
      <c r="AJQ29">
        <v>59.5224909579289</v>
      </c>
      <c r="AJR29">
        <v>78.6308394430426</v>
      </c>
      <c r="AJS29">
        <v>57.3524429390717</v>
      </c>
      <c r="AJT29">
        <v>41.2319470584065</v>
      </c>
      <c r="AJU29">
        <v>36.6585151174092</v>
      </c>
      <c r="AJV29">
        <v>36.0362594851661</v>
      </c>
      <c r="AJW29">
        <v>-2.17451024006486</v>
      </c>
      <c r="AJX29">
        <v>-3.17406198948002</v>
      </c>
      <c r="AJY29">
        <v>0.013804997176528</v>
      </c>
      <c r="AJZ29">
        <v>-3.04352694401979</v>
      </c>
      <c r="AKA29">
        <v>-2.33478097633898</v>
      </c>
      <c r="AKB29">
        <v>104.231634643427</v>
      </c>
      <c r="AKC29">
        <v>78.9542799587107</v>
      </c>
      <c r="AKD29">
        <v>60.229751039288</v>
      </c>
      <c r="AKE29">
        <v>53.6269596359968</v>
      </c>
      <c r="AKF29">
        <v>58.6578007113934</v>
      </c>
      <c r="AKG29">
        <v>0.07217794499999999</v>
      </c>
      <c r="AKH29">
        <v>0.076584522</v>
      </c>
      <c r="AKI29">
        <v>0</v>
      </c>
      <c r="AKJ29">
        <v>0</v>
      </c>
      <c r="AKK29">
        <v>0</v>
      </c>
      <c r="AKL29">
        <v>0.03497644</v>
      </c>
      <c r="AKM29">
        <v>0.038121847</v>
      </c>
      <c r="AKN29">
        <v>0</v>
      </c>
      <c r="AKO29">
        <v>0</v>
      </c>
      <c r="AKP29">
        <v>0</v>
      </c>
      <c r="AKQ29">
        <v>0.066002925</v>
      </c>
      <c r="AKR29">
        <v>0.092677855</v>
      </c>
      <c r="AKS29">
        <v>0</v>
      </c>
      <c r="AKT29">
        <v>0</v>
      </c>
      <c r="AKU29">
        <v>0</v>
      </c>
      <c r="AKV29">
        <v>0.09150372599999999</v>
      </c>
      <c r="AKW29">
        <v>0.09973259199999999</v>
      </c>
      <c r="AKX29">
        <v>0.106128556</v>
      </c>
      <c r="AKY29">
        <v>0.110489921</v>
      </c>
      <c r="AKZ29">
        <v>0</v>
      </c>
      <c r="ALA29">
        <v>0.172673766</v>
      </c>
      <c r="ALB29">
        <v>0.242459469</v>
      </c>
      <c r="ALC29">
        <v>0.306791027</v>
      </c>
      <c r="ALD29">
        <v>0.365886051</v>
      </c>
      <c r="ALE29">
        <v>0</v>
      </c>
      <c r="ALF29">
        <v>11.667466648</v>
      </c>
      <c r="ALG29">
        <v>9.723152992999999</v>
      </c>
      <c r="ALH29">
        <v>10.346709724</v>
      </c>
      <c r="ALI29">
        <v>12.585722034</v>
      </c>
      <c r="ALJ29">
        <v>12.827183142</v>
      </c>
      <c r="ALK29">
        <v>22.017304521</v>
      </c>
      <c r="ALL29">
        <v>23.637914629</v>
      </c>
      <c r="ALM29">
        <v>29.909741841</v>
      </c>
      <c r="ALN29">
        <v>41.677467776</v>
      </c>
      <c r="ALO29">
        <v>40.700329833</v>
      </c>
      <c r="ALP29">
        <v>3.192953175</v>
      </c>
      <c r="ALQ29">
        <v>3.012562344</v>
      </c>
      <c r="ALR29">
        <v>4.878253256</v>
      </c>
      <c r="ALS29">
        <v>3.007878039</v>
      </c>
      <c r="ALT29">
        <v>3.260363607</v>
      </c>
      <c r="ALU29">
        <v>135.719787973</v>
      </c>
      <c r="ALV29">
        <v>156.156498941</v>
      </c>
      <c r="ALW29">
        <v>99.837459462</v>
      </c>
      <c r="ALX29">
        <v>156.978448283</v>
      </c>
      <c r="ALY29">
        <v>138.475810433</v>
      </c>
      <c r="ALZ29">
        <v>51.541374873921</v>
      </c>
      <c r="AMA29">
        <v>50.2225175229335</v>
      </c>
      <c r="AMB29">
        <v>47.0484218721024</v>
      </c>
      <c r="AMC29">
        <v>46.9305560772943</v>
      </c>
      <c r="AMD29">
        <v>46.3632301210024</v>
      </c>
      <c r="AME29">
        <v>51.6166211618571</v>
      </c>
      <c r="AMF29">
        <v>50.2968356726918</v>
      </c>
      <c r="AMG29">
        <v>47.1083037579255</v>
      </c>
      <c r="AMH29">
        <v>46.9927458879674</v>
      </c>
      <c r="AMI29">
        <v>46.4267447307322</v>
      </c>
      <c r="AMJ29">
        <v>106.361612269132</v>
      </c>
      <c r="AMK29">
        <v>100.894048922768</v>
      </c>
      <c r="AML29">
        <v>88.8517840931259</v>
      </c>
      <c r="AMM29">
        <v>88.43234940552141</v>
      </c>
      <c r="AMN29">
        <v>86.4392658722663</v>
      </c>
      <c r="AMO29">
        <v>1.48966083065108</v>
      </c>
      <c r="AMP29">
        <v>1.25616764162643</v>
      </c>
      <c r="AMQ29">
        <v>1.12288264949556</v>
      </c>
      <c r="AMR29">
        <v>1.05908183009335</v>
      </c>
      <c r="AMS29">
        <v>1.12501697448474</v>
      </c>
      <c r="AMT29">
        <v>1.48966083319537</v>
      </c>
      <c r="AMU29">
        <v>1.25616764162643</v>
      </c>
      <c r="AMV29">
        <v>1.12288264949556</v>
      </c>
      <c r="AMW29">
        <v>1.05908183009335</v>
      </c>
      <c r="AMX29">
        <v>1.12501697181837</v>
      </c>
      <c r="AMY29">
        <v>1.48966083319537</v>
      </c>
      <c r="AMZ29">
        <v>1.25616764162643</v>
      </c>
      <c r="ANA29">
        <v>1.12288264949556</v>
      </c>
      <c r="ANB29">
        <v>1.05908183009335</v>
      </c>
      <c r="ANC29">
        <v>1.12501697148503</v>
      </c>
      <c r="AND29">
        <v>16.94197232384</v>
      </c>
      <c r="ANE29">
        <v>10.2417730277898</v>
      </c>
      <c r="ANF29">
        <v>5.14874349231938</v>
      </c>
      <c r="ANG29">
        <v>2.61806317657339</v>
      </c>
      <c r="ANH29">
        <v>5.15209171497212</v>
      </c>
      <c r="ANI29">
        <v>16.9667062493668</v>
      </c>
      <c r="ANJ29">
        <v>10.2569285727368</v>
      </c>
      <c r="ANK29">
        <v>5.15529666578772</v>
      </c>
      <c r="ANL29">
        <v>2.62153249095809</v>
      </c>
      <c r="ANM29">
        <v>5.15914974552165</v>
      </c>
      <c r="ANN29">
        <v>20.3977541940871</v>
      </c>
      <c r="ANO29">
        <v>11.4104003312818</v>
      </c>
      <c r="ANP29">
        <v>5.42822908403165</v>
      </c>
      <c r="ANQ29">
        <v>2.68844845561089</v>
      </c>
      <c r="ANR29">
        <v>5.43195080221437</v>
      </c>
      <c r="ANS29">
        <v>40.8708550913776</v>
      </c>
      <c r="ANT29">
        <v>34.2768530977743</v>
      </c>
      <c r="ANU29">
        <v>21.7414688896658</v>
      </c>
      <c r="ANV29">
        <v>12.6826968678183</v>
      </c>
      <c r="ANW29">
        <v>26.6094736517717</v>
      </c>
      <c r="ANX29">
        <v>51.5413749619519</v>
      </c>
      <c r="ANY29">
        <v>50.2225175229335</v>
      </c>
      <c r="ANZ29">
        <v>47.0484218721024</v>
      </c>
      <c r="AOA29">
        <v>46.9305560772943</v>
      </c>
      <c r="AOB29">
        <v>46.3632301210024</v>
      </c>
      <c r="AOC29">
        <v>62.0546578289564</v>
      </c>
      <c r="AOD29">
        <v>55.9531078287484</v>
      </c>
      <c r="AOE29">
        <v>49.6023179917418</v>
      </c>
      <c r="AOF29">
        <v>48.192259887364</v>
      </c>
      <c r="AOG29">
        <v>48.8816579714927</v>
      </c>
      <c r="AOH29">
        <v>97.2620861336512</v>
      </c>
      <c r="AOI29" t="s">
        <v>1901</v>
      </c>
      <c r="AOJ29" t="s">
        <v>1901</v>
      </c>
      <c r="AOK29" t="s">
        <v>1901</v>
      </c>
      <c r="AOL29" t="s">
        <v>1901</v>
      </c>
      <c r="AOM29">
        <v>34.9617272684433</v>
      </c>
      <c r="AON29">
        <v>20.5751125170068</v>
      </c>
      <c r="AOO29">
        <v>9.723493943623859</v>
      </c>
      <c r="AOP29">
        <v>4.93327795253805</v>
      </c>
      <c r="AOQ29">
        <v>9.605521970459881</v>
      </c>
      <c r="AOR29">
        <v>48.9660833195369</v>
      </c>
      <c r="AOS29">
        <v>25.6167641626429</v>
      </c>
      <c r="AOT29">
        <v>12.2882649495555</v>
      </c>
      <c r="AOU29">
        <v>5.90818300933548</v>
      </c>
      <c r="AOV29">
        <v>12.5016971818368</v>
      </c>
      <c r="AOW29">
        <v>31.9706561081478</v>
      </c>
      <c r="AOX29">
        <v>24.8987295235812</v>
      </c>
      <c r="AOY29">
        <v>14.8837256251363</v>
      </c>
      <c r="AOZ29">
        <v>8.669684852588521</v>
      </c>
      <c r="APA29">
        <v>16.3474575680237</v>
      </c>
      <c r="APB29">
        <v>12.5623748492108</v>
      </c>
      <c r="APC29">
        <v>7.62509184331219</v>
      </c>
      <c r="APD29">
        <v>3.85370965017988</v>
      </c>
      <c r="APE29">
        <v>1.91311738854443</v>
      </c>
      <c r="APF29">
        <v>3.79091406977134</v>
      </c>
      <c r="APG29">
        <v>12.5807149124585</v>
      </c>
      <c r="APH29">
        <v>7.63637528240448</v>
      </c>
      <c r="API29">
        <v>3.85861454161056</v>
      </c>
      <c r="APJ29">
        <v>1.91565254725836</v>
      </c>
      <c r="APK29">
        <v>3.79610737548004</v>
      </c>
      <c r="APL29">
        <v>25.9239193009443</v>
      </c>
      <c r="APM29">
        <v>15.3183557381095</v>
      </c>
      <c r="APN29">
        <v>7.27779942813366</v>
      </c>
      <c r="APO29">
        <v>3.60493204211982</v>
      </c>
      <c r="APP29">
        <v>7.06775236153015</v>
      </c>
      <c r="APQ29">
        <v>36.3080686120663</v>
      </c>
      <c r="APR29">
        <v>19.071910589955</v>
      </c>
      <c r="APS29">
        <v>9.1974683319749</v>
      </c>
      <c r="APT29">
        <v>4.31733189290576</v>
      </c>
      <c r="APU29">
        <v>9.19876088481127</v>
      </c>
      <c r="APV29">
        <v>15.1248171918926</v>
      </c>
      <c r="APW29">
        <v>8.495145348262019</v>
      </c>
      <c r="APX29">
        <v>4.06289783822508</v>
      </c>
      <c r="APY29">
        <v>1.96455056343077</v>
      </c>
      <c r="APZ29">
        <v>3.99683465699555</v>
      </c>
      <c r="AQA29">
        <v>23.7060572717741</v>
      </c>
      <c r="AQB29">
        <v>18.5373273635285</v>
      </c>
      <c r="AQC29">
        <v>11.1401077093431</v>
      </c>
      <c r="AQD29">
        <v>6.33526531869099</v>
      </c>
      <c r="AQE29">
        <v>12.0284750986709</v>
      </c>
      <c r="AQF29">
        <v>0.489660833195369</v>
      </c>
      <c r="AQG29">
        <v>0.256167641626428</v>
      </c>
      <c r="AQH29">
        <v>0.122882649495555</v>
      </c>
      <c r="AQI29">
        <v>0.0590818300933548</v>
      </c>
      <c r="AQJ29">
        <v>0.125016971485026</v>
      </c>
      <c r="AQK29">
        <v>1</v>
      </c>
      <c r="AQO29" t="s">
        <v>1903</v>
      </c>
      <c r="AQP29">
        <v>6</v>
      </c>
      <c r="AQQ29">
        <v>0</v>
      </c>
      <c r="AQS29" t="s">
        <v>1905</v>
      </c>
      <c r="AQU29" t="s">
        <v>1906</v>
      </c>
      <c r="AQV29">
        <v>1180153.17414297</v>
      </c>
      <c r="AQW29">
        <v>1151672.42395643</v>
      </c>
      <c r="AQX29">
        <v>1044654.59842926</v>
      </c>
      <c r="AQY29">
        <v>199941.22414222</v>
      </c>
      <c r="AQZ29">
        <v>117951.675685263</v>
      </c>
      <c r="ARA29">
        <v>53786.5856538415</v>
      </c>
      <c r="ARB29">
        <v>3376480.19652866</v>
      </c>
      <c r="ARC29">
        <v>371679.4854813245</v>
      </c>
      <c r="ARD29">
        <v>0.1236952201571378</v>
      </c>
      <c r="ARE29">
        <v>0.1236952201571378</v>
      </c>
      <c r="ARF29">
        <v>0.1236952201571378</v>
      </c>
      <c r="ARG29">
        <v>0.1236952201571378</v>
      </c>
      <c r="ARH29">
        <v>0.1236952201571378</v>
      </c>
      <c r="ARI29">
        <v>0.1236952201571378</v>
      </c>
      <c r="ARJ29" t="s">
        <v>1190</v>
      </c>
      <c r="ARK29" t="s">
        <v>1528</v>
      </c>
      <c r="ARL29" t="s">
        <v>1908</v>
      </c>
      <c r="ARM29" t="s">
        <v>1908</v>
      </c>
      <c r="ARN29" t="s">
        <v>1909</v>
      </c>
      <c r="ARO29" t="s">
        <v>1908</v>
      </c>
      <c r="ARP29" t="s">
        <v>1907</v>
      </c>
      <c r="ARQ29" t="s">
        <v>1933</v>
      </c>
      <c r="ARR29">
        <f>HYPERLINK("C:\Users\Usuario\Documents\Proyectos\llmthon\evidence\grupocip_es_233844.png", "Ver Evidencia")</f>
        <v>0</v>
      </c>
      <c r="ARS29">
        <v>95</v>
      </c>
    </row>
    <row r="30" spans="1:1163">
      <c r="A30">
        <v>534</v>
      </c>
      <c r="B30" t="s">
        <v>1191</v>
      </c>
      <c r="C30" t="s">
        <v>1314</v>
      </c>
      <c r="E30" s="2">
        <v>30090</v>
      </c>
      <c r="F30" t="s">
        <v>1431</v>
      </c>
      <c r="G30" t="s">
        <v>1433</v>
      </c>
      <c r="H30" t="s">
        <v>1434</v>
      </c>
      <c r="I30" t="s">
        <v>1436</v>
      </c>
      <c r="J30" t="s">
        <v>1466</v>
      </c>
      <c r="L30" t="s">
        <v>1529</v>
      </c>
      <c r="N30" t="s">
        <v>1634</v>
      </c>
      <c r="O30" t="s">
        <v>1658</v>
      </c>
      <c r="P30">
        <v>6203</v>
      </c>
      <c r="Q30">
        <v>6203</v>
      </c>
      <c r="R30" t="s">
        <v>1700</v>
      </c>
      <c r="Z30" t="s">
        <v>1899</v>
      </c>
      <c r="AA30" s="2">
        <v>45657</v>
      </c>
      <c r="AB30">
        <v>2024</v>
      </c>
      <c r="AC30">
        <v>1259921.43924267</v>
      </c>
      <c r="AD30">
        <v>1472889.95746491</v>
      </c>
      <c r="AE30">
        <v>1157808.0262716</v>
      </c>
      <c r="AF30">
        <v>1088233.53324645</v>
      </c>
      <c r="AG30">
        <v>1277826.63960286</v>
      </c>
      <c r="AH30">
        <v>1259921.43924267</v>
      </c>
      <c r="AI30">
        <v>1472889.95746491</v>
      </c>
      <c r="AJ30">
        <v>1157808.0262716</v>
      </c>
      <c r="AK30">
        <v>1088233.53324645</v>
      </c>
      <c r="AL30">
        <v>1277826.63960286</v>
      </c>
      <c r="AM30">
        <v>29501.962710824</v>
      </c>
      <c r="AN30">
        <v>37138.8456674576</v>
      </c>
      <c r="AO30">
        <v>22021.9089781523</v>
      </c>
      <c r="AP30">
        <v>11210.0701071739</v>
      </c>
      <c r="AQ30">
        <v>10004.3933363438</v>
      </c>
      <c r="AR30">
        <v>1230419.47549295</v>
      </c>
      <c r="AS30">
        <v>1435751.11179746</v>
      </c>
      <c r="AT30">
        <v>1135786.11622685</v>
      </c>
      <c r="AU30">
        <v>1077023.46313927</v>
      </c>
      <c r="AV30">
        <v>1267822.24626651</v>
      </c>
      <c r="AW30">
        <v>681681.922899781</v>
      </c>
      <c r="AX30">
        <v>723222.581473408</v>
      </c>
      <c r="AY30">
        <v>646631.347416037</v>
      </c>
      <c r="AZ30">
        <v>643915.282078314</v>
      </c>
      <c r="BA30">
        <v>680531.4417115269</v>
      </c>
      <c r="BB30">
        <v>548737.553632064</v>
      </c>
      <c r="BC30">
        <v>712528.5303240489</v>
      </c>
      <c r="BD30">
        <v>489154.76987741</v>
      </c>
      <c r="BE30">
        <v>433108.181060958</v>
      </c>
      <c r="BF30">
        <v>587290.804554987</v>
      </c>
      <c r="BG30">
        <v>18998.2624035013</v>
      </c>
      <c r="BH30">
        <v>11432.5340307808</v>
      </c>
      <c r="BI30">
        <v>53591.7285933316</v>
      </c>
      <c r="BJ30">
        <v>-46.9576087474823</v>
      </c>
      <c r="BK30">
        <v>-187.844360756874</v>
      </c>
      <c r="BL30">
        <v>18998.2624035013</v>
      </c>
      <c r="BM30">
        <v>17503.2078552246</v>
      </c>
      <c r="BN30">
        <v>53591.7285933316</v>
      </c>
      <c r="BO30" t="s">
        <v>1900</v>
      </c>
      <c r="BP30" t="s">
        <v>1900</v>
      </c>
      <c r="BQ30" t="s">
        <v>1900</v>
      </c>
      <c r="BR30">
        <v>6070.67382444382</v>
      </c>
      <c r="BS30" t="s">
        <v>1900</v>
      </c>
      <c r="BT30">
        <v>46.9576087474823</v>
      </c>
      <c r="BU30">
        <v>187.844360756874</v>
      </c>
      <c r="BV30">
        <v>567735.816035565</v>
      </c>
      <c r="BW30">
        <v>723961.06435483</v>
      </c>
      <c r="BX30">
        <v>542746.498470742</v>
      </c>
      <c r="BY30">
        <v>433061.22345221</v>
      </c>
      <c r="BZ30">
        <v>587102.96019423</v>
      </c>
      <c r="CA30">
        <v>86863.57496022461</v>
      </c>
      <c r="CB30">
        <v>104612.374898748</v>
      </c>
      <c r="CC30">
        <v>68187.51329644919</v>
      </c>
      <c r="CD30">
        <v>77951.02361919879</v>
      </c>
      <c r="CE30">
        <v>110998.432874352</v>
      </c>
      <c r="CF30">
        <v>480872.240036441</v>
      </c>
      <c r="CG30">
        <v>619348.688351081</v>
      </c>
      <c r="CH30">
        <v>474558.985174292</v>
      </c>
      <c r="CI30">
        <v>355110.199833012</v>
      </c>
      <c r="CJ30">
        <v>476104.527319878</v>
      </c>
      <c r="CK30" t="s">
        <v>1900</v>
      </c>
      <c r="CL30" t="s">
        <v>1900</v>
      </c>
      <c r="CM30" t="s">
        <v>1900</v>
      </c>
      <c r="CN30" t="s">
        <v>1900</v>
      </c>
      <c r="CO30" t="s">
        <v>1900</v>
      </c>
      <c r="CP30" t="s">
        <v>1900</v>
      </c>
      <c r="CQ30" t="s">
        <v>1900</v>
      </c>
      <c r="CR30" t="s">
        <v>1900</v>
      </c>
      <c r="CS30" t="s">
        <v>1900</v>
      </c>
      <c r="CT30" t="s">
        <v>1900</v>
      </c>
      <c r="CU30" t="s">
        <v>1900</v>
      </c>
      <c r="CV30" t="s">
        <v>1900</v>
      </c>
      <c r="CW30" t="s">
        <v>1900</v>
      </c>
      <c r="CX30" t="s">
        <v>1900</v>
      </c>
      <c r="CY30" t="s">
        <v>1900</v>
      </c>
      <c r="CZ30">
        <v>480872.240036441</v>
      </c>
      <c r="DA30">
        <v>619348.688351081</v>
      </c>
      <c r="DB30">
        <v>474558.985174292</v>
      </c>
      <c r="DC30">
        <v>355110.199833012</v>
      </c>
      <c r="DD30">
        <v>476104.527319878</v>
      </c>
      <c r="DE30" t="s">
        <v>1900</v>
      </c>
      <c r="DF30" t="s">
        <v>1900</v>
      </c>
      <c r="DG30" t="s">
        <v>1900</v>
      </c>
      <c r="DH30" t="s">
        <v>1900</v>
      </c>
      <c r="DI30" t="s">
        <v>1900</v>
      </c>
      <c r="DJ30">
        <v>29501.962710824</v>
      </c>
      <c r="DK30">
        <v>37138.8456674576</v>
      </c>
      <c r="DL30">
        <v>22021.9089781523</v>
      </c>
      <c r="DM30">
        <v>11210.0701071739</v>
      </c>
      <c r="DN30">
        <v>10004.3933363438</v>
      </c>
      <c r="DO30">
        <v>496540.123998566</v>
      </c>
      <c r="DP30">
        <v>500431.961587715</v>
      </c>
      <c r="DQ30">
        <v>459415.245650077</v>
      </c>
      <c r="DR30">
        <v>458878.632266808</v>
      </c>
      <c r="DS30">
        <v>549596.056557477</v>
      </c>
      <c r="DT30" t="s">
        <v>1900</v>
      </c>
      <c r="DU30" t="s">
        <v>1900</v>
      </c>
      <c r="DV30" t="s">
        <v>1900</v>
      </c>
      <c r="DW30" t="s">
        <v>1900</v>
      </c>
      <c r="DX30" t="s">
        <v>1900</v>
      </c>
      <c r="DY30">
        <v>185141.798901216</v>
      </c>
      <c r="DZ30">
        <v>222790.619885693</v>
      </c>
      <c r="EA30">
        <v>187216.10176596</v>
      </c>
      <c r="EB30">
        <v>185036.649811506</v>
      </c>
      <c r="EC30">
        <v>130935.385154051</v>
      </c>
      <c r="ED30" t="s">
        <v>1900</v>
      </c>
      <c r="EE30" t="s">
        <v>1900</v>
      </c>
      <c r="EF30" t="s">
        <v>1900</v>
      </c>
      <c r="EG30" t="s">
        <v>1900</v>
      </c>
      <c r="EH30" t="s">
        <v>1900</v>
      </c>
      <c r="EI30" t="s">
        <v>1900</v>
      </c>
      <c r="EJ30" t="s">
        <v>1900</v>
      </c>
      <c r="EK30" t="s">
        <v>1900</v>
      </c>
      <c r="EL30" t="s">
        <v>1900</v>
      </c>
      <c r="EM30" t="s">
        <v>1900</v>
      </c>
      <c r="EN30" t="s">
        <v>1900</v>
      </c>
      <c r="EO30" t="s">
        <v>1900</v>
      </c>
      <c r="EP30" t="s">
        <v>1900</v>
      </c>
      <c r="EQ30" t="s">
        <v>1900</v>
      </c>
      <c r="ER30" t="s">
        <v>1900</v>
      </c>
      <c r="ES30">
        <v>1064275.94003413</v>
      </c>
      <c r="ET30">
        <v>1224393.02594254</v>
      </c>
      <c r="EU30">
        <v>1002161.74412082</v>
      </c>
      <c r="EV30">
        <v>891939.855719018</v>
      </c>
      <c r="EW30">
        <v>1136699.01675171</v>
      </c>
      <c r="EX30">
        <v>548737.553632064</v>
      </c>
      <c r="EY30">
        <v>712528.5303240489</v>
      </c>
      <c r="EZ30">
        <v>489154.76987741</v>
      </c>
      <c r="FA30">
        <v>433108.181060958</v>
      </c>
      <c r="FB30">
        <v>587290.804554987</v>
      </c>
      <c r="FC30">
        <v>3366.03451251984</v>
      </c>
      <c r="FD30">
        <v>3580.20160675049</v>
      </c>
      <c r="FE30">
        <v>3455.78234195709</v>
      </c>
      <c r="FF30">
        <v>3669.6249961853</v>
      </c>
      <c r="FG30">
        <v>3975.80173015594</v>
      </c>
      <c r="FH30">
        <v>0</v>
      </c>
      <c r="FI30">
        <v>0</v>
      </c>
      <c r="FJ30">
        <v>0</v>
      </c>
      <c r="FK30">
        <v>0</v>
      </c>
      <c r="FL30">
        <v>0</v>
      </c>
      <c r="FM30">
        <v>0</v>
      </c>
      <c r="FN30">
        <v>0</v>
      </c>
      <c r="FO30">
        <v>0</v>
      </c>
      <c r="FP30">
        <v>0</v>
      </c>
      <c r="FQ30">
        <v>0</v>
      </c>
      <c r="FR30">
        <v>3366.03451251984</v>
      </c>
      <c r="FS30">
        <v>3580.20160675049</v>
      </c>
      <c r="FT30">
        <v>3455.78234195709</v>
      </c>
      <c r="FU30">
        <v>3669.6249961853</v>
      </c>
      <c r="FV30">
        <v>3975.80173015594</v>
      </c>
      <c r="FW30">
        <v>0</v>
      </c>
      <c r="FX30">
        <v>0</v>
      </c>
      <c r="FY30">
        <v>0</v>
      </c>
      <c r="FZ30">
        <v>0</v>
      </c>
      <c r="GA30">
        <v>0</v>
      </c>
      <c r="GB30">
        <v>0</v>
      </c>
      <c r="GC30">
        <v>0</v>
      </c>
      <c r="GD30">
        <v>0</v>
      </c>
      <c r="GE30">
        <v>0</v>
      </c>
      <c r="GF30">
        <v>0</v>
      </c>
      <c r="GG30">
        <v>3366.03451251984</v>
      </c>
      <c r="GH30">
        <v>3580.20160675049</v>
      </c>
      <c r="GI30">
        <v>3455.78234195709</v>
      </c>
      <c r="GJ30">
        <v>3669.6249961853</v>
      </c>
      <c r="GK30">
        <v>3975.80173015594</v>
      </c>
      <c r="GL30">
        <v>787448.721733506</v>
      </c>
      <c r="GM30">
        <v>963667.8605822939</v>
      </c>
      <c r="GN30">
        <v>803321.403826028</v>
      </c>
      <c r="GO30">
        <v>746422.1110296251</v>
      </c>
      <c r="GP30">
        <v>960859.540235066</v>
      </c>
      <c r="GQ30">
        <v>0</v>
      </c>
      <c r="GR30">
        <v>0</v>
      </c>
      <c r="GS30">
        <v>0</v>
      </c>
      <c r="GT30">
        <v>0</v>
      </c>
      <c r="GU30">
        <v>0</v>
      </c>
      <c r="GV30">
        <v>58144.6204443824</v>
      </c>
      <c r="GW30">
        <v>78601.5472254085</v>
      </c>
      <c r="GX30">
        <v>66365.3773946881</v>
      </c>
      <c r="GY30">
        <v>197985.159456611</v>
      </c>
      <c r="GZ30">
        <v>94792.3655756354</v>
      </c>
      <c r="HA30">
        <v>729304.1012891229</v>
      </c>
      <c r="HB30">
        <v>885066.313356886</v>
      </c>
      <c r="HC30">
        <v>736956.02643134</v>
      </c>
      <c r="HD30">
        <v>548436.951573014</v>
      </c>
      <c r="HE30">
        <v>866067.174659431</v>
      </c>
      <c r="HF30">
        <v>125765.739664017</v>
      </c>
      <c r="HG30">
        <v>240940.13148097</v>
      </c>
      <c r="HH30">
        <v>736956.02643134</v>
      </c>
      <c r="HI30">
        <v>548436.951573014</v>
      </c>
      <c r="HJ30">
        <v>866067.174659431</v>
      </c>
      <c r="HK30">
        <v>790814.756246026</v>
      </c>
      <c r="HL30">
        <v>967248.062189045</v>
      </c>
      <c r="HM30">
        <v>806777.186167985</v>
      </c>
      <c r="HN30">
        <v>750091.73602581</v>
      </c>
      <c r="HO30">
        <v>964835.341965222</v>
      </c>
      <c r="HP30">
        <v>659957.920548809</v>
      </c>
      <c r="HQ30">
        <v>809280.451045122</v>
      </c>
      <c r="HR30">
        <v>652635.022615546</v>
      </c>
      <c r="HS30">
        <v>596831.433700562</v>
      </c>
      <c r="HT30">
        <v>752729.068363833</v>
      </c>
      <c r="HU30">
        <v>21329.1997474396</v>
      </c>
      <c r="HV30">
        <v>22686.2900313282</v>
      </c>
      <c r="HW30">
        <v>21897.8954556525</v>
      </c>
      <c r="HX30">
        <v>23252.9298944235</v>
      </c>
      <c r="HY30">
        <v>25193.048063916</v>
      </c>
      <c r="HZ30">
        <v>638628.7208013691</v>
      </c>
      <c r="IA30">
        <v>786594.161013794</v>
      </c>
      <c r="IB30">
        <v>630737.127159894</v>
      </c>
      <c r="IC30">
        <v>573578.5038061379</v>
      </c>
      <c r="ID30">
        <v>727536.019072818</v>
      </c>
      <c r="IE30">
        <v>0</v>
      </c>
      <c r="IF30">
        <v>0</v>
      </c>
      <c r="IG30">
        <v>0</v>
      </c>
      <c r="IH30">
        <v>0</v>
      </c>
      <c r="II30">
        <v>0</v>
      </c>
      <c r="IJ30" t="s">
        <v>1900</v>
      </c>
      <c r="IK30" t="s">
        <v>1900</v>
      </c>
      <c r="IL30" t="s">
        <v>1900</v>
      </c>
      <c r="IM30" t="s">
        <v>1900</v>
      </c>
      <c r="IN30" t="s">
        <v>1900</v>
      </c>
      <c r="IO30" t="s">
        <v>1900</v>
      </c>
      <c r="IP30" t="s">
        <v>1900</v>
      </c>
      <c r="IQ30" t="s">
        <v>1900</v>
      </c>
      <c r="IR30" t="s">
        <v>1900</v>
      </c>
      <c r="IS30" t="s">
        <v>1900</v>
      </c>
      <c r="IT30" t="s">
        <v>1900</v>
      </c>
      <c r="IU30" t="s">
        <v>1900</v>
      </c>
      <c r="IV30" t="s">
        <v>1900</v>
      </c>
      <c r="IW30" t="s">
        <v>1900</v>
      </c>
      <c r="IX30" t="s">
        <v>1900</v>
      </c>
      <c r="IY30">
        <v>130856.835697217</v>
      </c>
      <c r="IZ30">
        <v>157967.611143923</v>
      </c>
      <c r="JA30">
        <v>154142.163552439</v>
      </c>
      <c r="JB30">
        <v>153260.302325249</v>
      </c>
      <c r="JC30">
        <v>212106.273601389</v>
      </c>
      <c r="JD30">
        <v>0</v>
      </c>
      <c r="JE30">
        <v>0</v>
      </c>
      <c r="JF30">
        <v>0</v>
      </c>
      <c r="JG30">
        <v>0</v>
      </c>
      <c r="JH30">
        <v>0</v>
      </c>
      <c r="JI30">
        <v>5858.01167429328</v>
      </c>
      <c r="JJ30">
        <v>6703.18715830803</v>
      </c>
      <c r="JK30">
        <v>349.748638194799</v>
      </c>
      <c r="JL30">
        <v>5039.40313403606</v>
      </c>
      <c r="JM30">
        <v>0</v>
      </c>
      <c r="JN30">
        <v>124998.824022924</v>
      </c>
      <c r="JO30">
        <v>151264.423985615</v>
      </c>
      <c r="JP30">
        <v>153792.414914244</v>
      </c>
      <c r="JQ30">
        <v>148220.899191213</v>
      </c>
      <c r="JR30">
        <v>212106.273601389</v>
      </c>
      <c r="JS30">
        <v>790814.756246026</v>
      </c>
      <c r="JT30">
        <v>967248.062189045</v>
      </c>
      <c r="JU30">
        <v>806777.186167985</v>
      </c>
      <c r="JV30">
        <v>750091.73602581</v>
      </c>
      <c r="JW30">
        <v>964835.341965222</v>
      </c>
      <c r="JX30">
        <v>52286.6087700892</v>
      </c>
      <c r="JY30">
        <v>71898.3600671005</v>
      </c>
      <c r="JZ30">
        <v>66015.62768989379</v>
      </c>
      <c r="KA30">
        <v>192945.756322575</v>
      </c>
      <c r="KB30">
        <v>94792.3655756354</v>
      </c>
      <c r="KC30" t="s">
        <v>1900</v>
      </c>
      <c r="KD30" t="s">
        <v>1900</v>
      </c>
      <c r="KE30" t="s">
        <v>1900</v>
      </c>
      <c r="KF30" t="s">
        <v>1900</v>
      </c>
      <c r="KG30" t="s">
        <v>1900</v>
      </c>
      <c r="KH30" t="s">
        <v>1900</v>
      </c>
      <c r="KI30" t="s">
        <v>1900</v>
      </c>
      <c r="KJ30" t="s">
        <v>1900</v>
      </c>
      <c r="KK30" t="s">
        <v>1900</v>
      </c>
      <c r="KL30" t="s">
        <v>1900</v>
      </c>
      <c r="KM30">
        <v>7</v>
      </c>
      <c r="KN30">
        <v>7</v>
      </c>
      <c r="KO30">
        <v>7</v>
      </c>
      <c r="KP30">
        <v>7</v>
      </c>
      <c r="KQ30">
        <v>7</v>
      </c>
      <c r="KR30" t="s">
        <v>1900</v>
      </c>
      <c r="KS30" t="s">
        <v>1900</v>
      </c>
      <c r="KT30" t="s">
        <v>1900</v>
      </c>
      <c r="KU30" t="s">
        <v>1900</v>
      </c>
      <c r="KV30" t="s">
        <v>1900</v>
      </c>
      <c r="KW30" t="s">
        <v>1900</v>
      </c>
      <c r="KX30" t="s">
        <v>1900</v>
      </c>
      <c r="KY30" t="s">
        <v>1900</v>
      </c>
      <c r="KZ30" t="s">
        <v>1900</v>
      </c>
      <c r="LA30" t="s">
        <v>1900</v>
      </c>
      <c r="LB30" t="s">
        <v>1900</v>
      </c>
      <c r="LC30" t="s">
        <v>1900</v>
      </c>
      <c r="LD30" t="s">
        <v>1900</v>
      </c>
      <c r="LE30" t="s">
        <v>1900</v>
      </c>
      <c r="LF30" t="s">
        <v>1900</v>
      </c>
      <c r="LG30" t="s">
        <v>1900</v>
      </c>
      <c r="LH30" t="s">
        <v>1900</v>
      </c>
      <c r="LI30" t="s">
        <v>1900</v>
      </c>
      <c r="LJ30" t="s">
        <v>1900</v>
      </c>
      <c r="LK30" t="s">
        <v>1900</v>
      </c>
      <c r="LL30" t="s">
        <v>1900</v>
      </c>
      <c r="LM30" t="s">
        <v>1900</v>
      </c>
      <c r="LN30" t="s">
        <v>1900</v>
      </c>
      <c r="LO30" t="s">
        <v>1900</v>
      </c>
      <c r="LP30" t="s">
        <v>1900</v>
      </c>
      <c r="LQ30" t="s">
        <v>1900</v>
      </c>
      <c r="LR30" t="s">
        <v>1900</v>
      </c>
      <c r="LS30" t="s">
        <v>1900</v>
      </c>
      <c r="LT30" t="s">
        <v>1900</v>
      </c>
      <c r="LU30" t="s">
        <v>1900</v>
      </c>
      <c r="LV30" t="s">
        <v>1900</v>
      </c>
      <c r="LW30" t="s">
        <v>1900</v>
      </c>
      <c r="LX30" t="s">
        <v>1900</v>
      </c>
      <c r="LY30" t="s">
        <v>1900</v>
      </c>
      <c r="LZ30" t="s">
        <v>1900</v>
      </c>
      <c r="MA30" t="s">
        <v>1900</v>
      </c>
      <c r="MB30" t="s">
        <v>1900</v>
      </c>
      <c r="MC30" t="s">
        <v>1900</v>
      </c>
      <c r="MD30" t="s">
        <v>1900</v>
      </c>
      <c r="ME30" t="s">
        <v>1900</v>
      </c>
      <c r="MF30" t="s">
        <v>1900</v>
      </c>
      <c r="MG30" t="s">
        <v>1900</v>
      </c>
      <c r="MH30" t="s">
        <v>1900</v>
      </c>
      <c r="MI30" t="s">
        <v>1900</v>
      </c>
      <c r="MJ30" t="s">
        <v>1900</v>
      </c>
      <c r="MK30" t="s">
        <v>1900</v>
      </c>
      <c r="ML30" t="s">
        <v>1900</v>
      </c>
      <c r="MM30" t="s">
        <v>1900</v>
      </c>
      <c r="MN30" t="s">
        <v>1900</v>
      </c>
      <c r="MO30" t="s">
        <v>1900</v>
      </c>
      <c r="MP30">
        <v>729304.1012891229</v>
      </c>
      <c r="MQ30">
        <v>885066.313356886</v>
      </c>
      <c r="MR30">
        <v>736956.02643134</v>
      </c>
      <c r="MS30">
        <v>548436.951573014</v>
      </c>
      <c r="MT30">
        <v>866067.174659431</v>
      </c>
      <c r="MU30" t="s">
        <v>1900</v>
      </c>
      <c r="MV30" t="s">
        <v>1900</v>
      </c>
      <c r="MW30" t="s">
        <v>1900</v>
      </c>
      <c r="MX30" t="s">
        <v>1900</v>
      </c>
      <c r="MY30" t="s">
        <v>1900</v>
      </c>
      <c r="MZ30" t="s">
        <v>1900</v>
      </c>
      <c r="NA30" t="s">
        <v>1900</v>
      </c>
      <c r="NB30" t="s">
        <v>1900</v>
      </c>
      <c r="NC30" t="s">
        <v>1900</v>
      </c>
      <c r="ND30" t="s">
        <v>1900</v>
      </c>
      <c r="NE30" t="s">
        <v>1900</v>
      </c>
      <c r="NF30" t="s">
        <v>1900</v>
      </c>
      <c r="NG30" t="s">
        <v>1900</v>
      </c>
      <c r="NH30" t="s">
        <v>1900</v>
      </c>
      <c r="NI30" t="s">
        <v>1900</v>
      </c>
      <c r="NJ30" t="s">
        <v>1900</v>
      </c>
      <c r="NK30" t="s">
        <v>1900</v>
      </c>
      <c r="NL30" t="s">
        <v>1900</v>
      </c>
      <c r="NM30" t="s">
        <v>1900</v>
      </c>
      <c r="NN30" t="s">
        <v>1900</v>
      </c>
      <c r="NO30" t="s">
        <v>1900</v>
      </c>
      <c r="NP30" t="s">
        <v>1900</v>
      </c>
      <c r="NQ30" t="s">
        <v>1900</v>
      </c>
      <c r="NR30" t="s">
        <v>1900</v>
      </c>
      <c r="NS30" t="s">
        <v>1900</v>
      </c>
      <c r="NT30">
        <v>3366.03451251984</v>
      </c>
      <c r="NU30">
        <v>3580.20160675049</v>
      </c>
      <c r="NV30">
        <v>3455.78234195709</v>
      </c>
      <c r="NW30">
        <v>3669.6249961853</v>
      </c>
      <c r="NX30">
        <v>3975.80173015594</v>
      </c>
      <c r="NY30" t="s">
        <v>1900</v>
      </c>
      <c r="NZ30" t="s">
        <v>1900</v>
      </c>
      <c r="OA30" t="s">
        <v>1900</v>
      </c>
      <c r="OB30" t="s">
        <v>1900</v>
      </c>
      <c r="OC30" t="s">
        <v>1900</v>
      </c>
      <c r="OD30" t="s">
        <v>1900</v>
      </c>
      <c r="OE30" t="s">
        <v>1900</v>
      </c>
      <c r="OF30" t="s">
        <v>1900</v>
      </c>
      <c r="OG30" t="s">
        <v>1900</v>
      </c>
      <c r="OH30" t="s">
        <v>1900</v>
      </c>
      <c r="OI30" t="s">
        <v>1900</v>
      </c>
      <c r="OJ30" t="s">
        <v>1900</v>
      </c>
      <c r="OK30" t="s">
        <v>1900</v>
      </c>
      <c r="OL30" t="s">
        <v>1900</v>
      </c>
      <c r="OM30" t="s">
        <v>1900</v>
      </c>
      <c r="ON30" t="s">
        <v>1900</v>
      </c>
      <c r="OO30" t="s">
        <v>1900</v>
      </c>
      <c r="OP30" t="s">
        <v>1900</v>
      </c>
      <c r="OQ30" t="s">
        <v>1900</v>
      </c>
      <c r="OR30" t="s">
        <v>1900</v>
      </c>
      <c r="OS30" t="s">
        <v>1900</v>
      </c>
      <c r="OT30" t="s">
        <v>1900</v>
      </c>
      <c r="OU30" t="s">
        <v>1900</v>
      </c>
      <c r="OV30" t="s">
        <v>1900</v>
      </c>
      <c r="OW30" t="s">
        <v>1900</v>
      </c>
      <c r="OX30" t="s">
        <v>1900</v>
      </c>
      <c r="OY30" t="s">
        <v>1900</v>
      </c>
      <c r="OZ30" t="s">
        <v>1900</v>
      </c>
      <c r="PA30" t="s">
        <v>1900</v>
      </c>
      <c r="PB30" t="s">
        <v>1900</v>
      </c>
      <c r="PC30" t="s">
        <v>1900</v>
      </c>
      <c r="PD30" t="s">
        <v>1900</v>
      </c>
      <c r="PE30" t="s">
        <v>1900</v>
      </c>
      <c r="PF30" t="s">
        <v>1900</v>
      </c>
      <c r="PG30" t="s">
        <v>1900</v>
      </c>
      <c r="PH30" t="s">
        <v>1900</v>
      </c>
      <c r="PI30" t="s">
        <v>1900</v>
      </c>
      <c r="PJ30" t="s">
        <v>1900</v>
      </c>
      <c r="PK30" t="s">
        <v>1900</v>
      </c>
      <c r="PL30" t="s">
        <v>1900</v>
      </c>
      <c r="PM30" t="s">
        <v>1900</v>
      </c>
      <c r="PN30" t="s">
        <v>1900</v>
      </c>
      <c r="PO30" t="s">
        <v>1900</v>
      </c>
      <c r="PP30" t="s">
        <v>1900</v>
      </c>
      <c r="PQ30" t="s">
        <v>1900</v>
      </c>
      <c r="PR30" t="s">
        <v>1900</v>
      </c>
      <c r="PS30" t="s">
        <v>1900</v>
      </c>
      <c r="PT30" t="s">
        <v>1900</v>
      </c>
      <c r="PU30" t="s">
        <v>1900</v>
      </c>
      <c r="PV30" t="s">
        <v>1900</v>
      </c>
      <c r="PW30" t="s">
        <v>1900</v>
      </c>
      <c r="PX30" t="s">
        <v>1900</v>
      </c>
      <c r="PY30" t="s">
        <v>1900</v>
      </c>
      <c r="PZ30" t="s">
        <v>1900</v>
      </c>
      <c r="QA30" t="s">
        <v>1900</v>
      </c>
      <c r="QB30" t="s">
        <v>1900</v>
      </c>
      <c r="QC30" t="s">
        <v>1900</v>
      </c>
      <c r="QD30" t="s">
        <v>1900</v>
      </c>
      <c r="QE30" t="s">
        <v>1900</v>
      </c>
      <c r="QF30" t="s">
        <v>1900</v>
      </c>
      <c r="QG30" t="s">
        <v>1900</v>
      </c>
      <c r="QH30" t="s">
        <v>1900</v>
      </c>
      <c r="QI30" t="s">
        <v>1900</v>
      </c>
      <c r="QJ30" t="s">
        <v>1900</v>
      </c>
      <c r="QK30" t="s">
        <v>1900</v>
      </c>
      <c r="QL30" t="s">
        <v>1900</v>
      </c>
      <c r="QM30" t="s">
        <v>1900</v>
      </c>
      <c r="QN30" t="s">
        <v>1900</v>
      </c>
      <c r="QO30" t="s">
        <v>1900</v>
      </c>
      <c r="QP30" t="s">
        <v>1900</v>
      </c>
      <c r="QQ30" t="s">
        <v>1900</v>
      </c>
      <c r="QR30" t="s">
        <v>1900</v>
      </c>
      <c r="QS30" t="s">
        <v>1900</v>
      </c>
      <c r="QT30" t="s">
        <v>1900</v>
      </c>
      <c r="QU30" t="s">
        <v>1900</v>
      </c>
      <c r="QV30" t="s">
        <v>1900</v>
      </c>
      <c r="QW30" t="s">
        <v>1900</v>
      </c>
      <c r="QX30" t="s">
        <v>1900</v>
      </c>
      <c r="QY30" t="s">
        <v>1900</v>
      </c>
      <c r="QZ30" t="s">
        <v>1900</v>
      </c>
      <c r="RA30" t="s">
        <v>1900</v>
      </c>
      <c r="RB30" t="s">
        <v>1900</v>
      </c>
      <c r="RC30" t="s">
        <v>1900</v>
      </c>
      <c r="RD30" t="s">
        <v>1900</v>
      </c>
      <c r="RE30" t="s">
        <v>1900</v>
      </c>
      <c r="RF30" t="s">
        <v>1900</v>
      </c>
      <c r="RG30" t="s">
        <v>1900</v>
      </c>
      <c r="RH30" t="s">
        <v>1900</v>
      </c>
      <c r="RI30" t="s">
        <v>1900</v>
      </c>
      <c r="RJ30" t="s">
        <v>1900</v>
      </c>
      <c r="RK30" t="s">
        <v>1900</v>
      </c>
      <c r="RL30" t="s">
        <v>1900</v>
      </c>
      <c r="RM30" t="s">
        <v>1900</v>
      </c>
      <c r="RN30" t="s">
        <v>1900</v>
      </c>
      <c r="RO30" t="s">
        <v>1900</v>
      </c>
      <c r="RP30" t="s">
        <v>1900</v>
      </c>
      <c r="RQ30" t="s">
        <v>1900</v>
      </c>
      <c r="RR30" t="s">
        <v>1900</v>
      </c>
      <c r="RS30" t="s">
        <v>1900</v>
      </c>
      <c r="RT30" t="s">
        <v>1900</v>
      </c>
      <c r="RU30" t="s">
        <v>1900</v>
      </c>
      <c r="RV30" t="s">
        <v>1900</v>
      </c>
      <c r="RW30" t="s">
        <v>1900</v>
      </c>
      <c r="RX30" t="s">
        <v>1900</v>
      </c>
      <c r="RY30" t="s">
        <v>1900</v>
      </c>
      <c r="RZ30" t="s">
        <v>1900</v>
      </c>
      <c r="SA30" t="s">
        <v>1900</v>
      </c>
      <c r="SB30" t="s">
        <v>1900</v>
      </c>
      <c r="SC30" t="s">
        <v>1900</v>
      </c>
      <c r="SD30" t="s">
        <v>1900</v>
      </c>
      <c r="SE30" t="s">
        <v>1900</v>
      </c>
      <c r="SF30" t="s">
        <v>1900</v>
      </c>
      <c r="SG30" t="s">
        <v>1900</v>
      </c>
      <c r="SH30" t="s">
        <v>1900</v>
      </c>
      <c r="SI30" t="s">
        <v>1900</v>
      </c>
      <c r="SJ30">
        <v>3366.03451251984</v>
      </c>
      <c r="SK30">
        <v>3580.20160675049</v>
      </c>
      <c r="SL30">
        <v>3455.78234195709</v>
      </c>
      <c r="SM30">
        <v>3669.6249961853</v>
      </c>
      <c r="SN30">
        <v>3975.80173015594</v>
      </c>
      <c r="SO30" t="s">
        <v>1900</v>
      </c>
      <c r="SP30" t="s">
        <v>1900</v>
      </c>
      <c r="SQ30" t="s">
        <v>1900</v>
      </c>
      <c r="SR30" t="s">
        <v>1900</v>
      </c>
      <c r="SS30" t="s">
        <v>1900</v>
      </c>
      <c r="ST30" t="s">
        <v>1900</v>
      </c>
      <c r="SU30" t="s">
        <v>1900</v>
      </c>
      <c r="SV30" t="s">
        <v>1900</v>
      </c>
      <c r="SW30" t="s">
        <v>1900</v>
      </c>
      <c r="SX30" t="s">
        <v>1900</v>
      </c>
      <c r="SY30" t="s">
        <v>1900</v>
      </c>
      <c r="SZ30" t="s">
        <v>1900</v>
      </c>
      <c r="TA30" t="s">
        <v>1900</v>
      </c>
      <c r="TB30" t="s">
        <v>1900</v>
      </c>
      <c r="TC30" t="s">
        <v>1900</v>
      </c>
      <c r="TD30" t="s">
        <v>1900</v>
      </c>
      <c r="TE30" t="s">
        <v>1900</v>
      </c>
      <c r="TF30" t="s">
        <v>1900</v>
      </c>
      <c r="TG30" t="s">
        <v>1900</v>
      </c>
      <c r="TH30" t="s">
        <v>1900</v>
      </c>
      <c r="TI30" t="s">
        <v>1900</v>
      </c>
      <c r="TJ30" t="s">
        <v>1900</v>
      </c>
      <c r="TK30" t="s">
        <v>1900</v>
      </c>
      <c r="TL30" t="s">
        <v>1900</v>
      </c>
      <c r="TM30" t="s">
        <v>1900</v>
      </c>
      <c r="TN30" t="s">
        <v>1900</v>
      </c>
      <c r="TO30" t="s">
        <v>1900</v>
      </c>
      <c r="TP30" t="s">
        <v>1900</v>
      </c>
      <c r="TQ30" t="s">
        <v>1900</v>
      </c>
      <c r="TR30" t="s">
        <v>1900</v>
      </c>
      <c r="TS30">
        <v>790814.756246026</v>
      </c>
      <c r="TT30">
        <v>967248.062189045</v>
      </c>
      <c r="TU30">
        <v>806777.186167985</v>
      </c>
      <c r="TV30">
        <v>750091.73602581</v>
      </c>
      <c r="TW30">
        <v>964835.341965222</v>
      </c>
      <c r="TX30" t="s">
        <v>1900</v>
      </c>
      <c r="TY30" t="s">
        <v>1900</v>
      </c>
      <c r="TZ30" t="s">
        <v>1900</v>
      </c>
      <c r="UA30" t="s">
        <v>1900</v>
      </c>
      <c r="UB30" t="s">
        <v>1900</v>
      </c>
      <c r="UC30">
        <v>0</v>
      </c>
      <c r="UD30">
        <v>0</v>
      </c>
      <c r="UE30">
        <v>0</v>
      </c>
      <c r="UF30">
        <v>0</v>
      </c>
      <c r="UG30">
        <v>0</v>
      </c>
      <c r="UH30" t="s">
        <v>1900</v>
      </c>
      <c r="UI30" t="s">
        <v>1900</v>
      </c>
      <c r="UJ30" t="s">
        <v>1900</v>
      </c>
      <c r="UK30" t="s">
        <v>1900</v>
      </c>
      <c r="UL30" t="s">
        <v>1900</v>
      </c>
      <c r="UM30" t="s">
        <v>1900</v>
      </c>
      <c r="UN30" t="s">
        <v>1900</v>
      </c>
      <c r="UO30" t="s">
        <v>1900</v>
      </c>
      <c r="UP30" t="s">
        <v>1900</v>
      </c>
      <c r="UQ30" t="s">
        <v>1900</v>
      </c>
      <c r="UR30" t="s">
        <v>1900</v>
      </c>
      <c r="US30" t="s">
        <v>1900</v>
      </c>
      <c r="UT30" t="s">
        <v>1900</v>
      </c>
      <c r="UU30" t="s">
        <v>1900</v>
      </c>
      <c r="UV30" t="s">
        <v>1900</v>
      </c>
      <c r="UW30" t="s">
        <v>1900</v>
      </c>
      <c r="UX30" t="s">
        <v>1900</v>
      </c>
      <c r="UY30" t="s">
        <v>1900</v>
      </c>
      <c r="UZ30" t="s">
        <v>1900</v>
      </c>
      <c r="VA30" t="s">
        <v>1900</v>
      </c>
      <c r="VB30" t="s">
        <v>1900</v>
      </c>
      <c r="VC30" t="s">
        <v>1900</v>
      </c>
      <c r="VD30" t="s">
        <v>1900</v>
      </c>
      <c r="VE30" t="s">
        <v>1900</v>
      </c>
      <c r="VF30" t="s">
        <v>1900</v>
      </c>
      <c r="VG30" t="s">
        <v>1900</v>
      </c>
      <c r="VH30" t="s">
        <v>1900</v>
      </c>
      <c r="VI30" t="s">
        <v>1900</v>
      </c>
      <c r="VJ30" t="s">
        <v>1900</v>
      </c>
      <c r="VK30" t="s">
        <v>1900</v>
      </c>
      <c r="VL30" t="s">
        <v>1900</v>
      </c>
      <c r="VM30" t="s">
        <v>1900</v>
      </c>
      <c r="VN30" t="s">
        <v>1900</v>
      </c>
      <c r="VO30" t="s">
        <v>1900</v>
      </c>
      <c r="VP30" t="s">
        <v>1900</v>
      </c>
      <c r="VQ30" t="s">
        <v>1900</v>
      </c>
      <c r="VR30" t="s">
        <v>1900</v>
      </c>
      <c r="VS30" t="s">
        <v>1900</v>
      </c>
      <c r="VT30" t="s">
        <v>1900</v>
      </c>
      <c r="VU30" t="s">
        <v>1900</v>
      </c>
      <c r="VV30" t="s">
        <v>1900</v>
      </c>
      <c r="VW30" t="s">
        <v>1900</v>
      </c>
      <c r="VX30" t="s">
        <v>1900</v>
      </c>
      <c r="VY30" t="s">
        <v>1900</v>
      </c>
      <c r="VZ30" t="s">
        <v>1900</v>
      </c>
      <c r="WA30">
        <v>124998.824022924</v>
      </c>
      <c r="WB30">
        <v>151264.423985615</v>
      </c>
      <c r="WC30">
        <v>153792.414914244</v>
      </c>
      <c r="WD30">
        <v>148220.899191213</v>
      </c>
      <c r="WE30">
        <v>212106.273601389</v>
      </c>
      <c r="WF30" t="s">
        <v>1900</v>
      </c>
      <c r="WG30" t="s">
        <v>1900</v>
      </c>
      <c r="WH30" t="s">
        <v>1900</v>
      </c>
      <c r="WI30" t="s">
        <v>1900</v>
      </c>
      <c r="WJ30" t="s">
        <v>1900</v>
      </c>
      <c r="WK30" t="s">
        <v>1900</v>
      </c>
      <c r="WL30" t="s">
        <v>1900</v>
      </c>
      <c r="WM30" t="s">
        <v>1900</v>
      </c>
      <c r="WN30" t="s">
        <v>1900</v>
      </c>
      <c r="WO30" t="s">
        <v>1900</v>
      </c>
      <c r="WP30" t="s">
        <v>1900</v>
      </c>
      <c r="WQ30" t="s">
        <v>1900</v>
      </c>
      <c r="WR30" t="s">
        <v>1900</v>
      </c>
      <c r="WS30" t="s">
        <v>1900</v>
      </c>
      <c r="WT30" t="s">
        <v>1900</v>
      </c>
      <c r="WU30" t="s">
        <v>1900</v>
      </c>
      <c r="WV30" t="s">
        <v>1900</v>
      </c>
      <c r="WW30" t="s">
        <v>1900</v>
      </c>
      <c r="WX30" t="s">
        <v>1900</v>
      </c>
      <c r="WY30" t="s">
        <v>1900</v>
      </c>
      <c r="WZ30" t="s">
        <v>1900</v>
      </c>
      <c r="XA30" t="s">
        <v>1900</v>
      </c>
      <c r="XB30" t="s">
        <v>1900</v>
      </c>
      <c r="XC30" t="s">
        <v>1900</v>
      </c>
      <c r="XD30" t="s">
        <v>1900</v>
      </c>
      <c r="XE30" t="s">
        <v>1900</v>
      </c>
      <c r="XF30" t="s">
        <v>1900</v>
      </c>
      <c r="XG30" t="s">
        <v>1900</v>
      </c>
      <c r="XH30" t="s">
        <v>1900</v>
      </c>
      <c r="XI30" t="s">
        <v>1900</v>
      </c>
      <c r="XJ30" t="s">
        <v>1900</v>
      </c>
      <c r="XK30" t="s">
        <v>1900</v>
      </c>
      <c r="XL30" t="s">
        <v>1900</v>
      </c>
      <c r="XM30" t="s">
        <v>1900</v>
      </c>
      <c r="XN30" t="s">
        <v>1900</v>
      </c>
      <c r="XO30" t="s">
        <v>1900</v>
      </c>
      <c r="XP30" t="s">
        <v>1900</v>
      </c>
      <c r="XQ30" t="s">
        <v>1900</v>
      </c>
      <c r="XR30" t="s">
        <v>1900</v>
      </c>
      <c r="XS30" t="s">
        <v>1900</v>
      </c>
      <c r="XT30" t="s">
        <v>1900</v>
      </c>
      <c r="XU30" t="s">
        <v>1900</v>
      </c>
      <c r="XV30" t="s">
        <v>1900</v>
      </c>
      <c r="XW30" t="s">
        <v>1900</v>
      </c>
      <c r="XX30" t="s">
        <v>1900</v>
      </c>
      <c r="XY30" t="s">
        <v>1900</v>
      </c>
      <c r="XZ30" t="s">
        <v>1900</v>
      </c>
      <c r="YA30" t="s">
        <v>1900</v>
      </c>
      <c r="YB30" t="s">
        <v>1900</v>
      </c>
      <c r="YC30" t="s">
        <v>1900</v>
      </c>
      <c r="YD30" t="s">
        <v>1900</v>
      </c>
      <c r="YE30" t="s">
        <v>1900</v>
      </c>
      <c r="YF30" t="s">
        <v>1900</v>
      </c>
      <c r="YG30" t="s">
        <v>1900</v>
      </c>
      <c r="YH30" t="s">
        <v>1900</v>
      </c>
      <c r="YI30" t="s">
        <v>1900</v>
      </c>
      <c r="YJ30" t="s">
        <v>1900</v>
      </c>
      <c r="YK30" t="s">
        <v>1900</v>
      </c>
      <c r="YL30" t="s">
        <v>1900</v>
      </c>
      <c r="YM30" t="s">
        <v>1900</v>
      </c>
      <c r="YN30" t="s">
        <v>1900</v>
      </c>
      <c r="YO30" t="s">
        <v>1900</v>
      </c>
      <c r="YP30" t="s">
        <v>1900</v>
      </c>
      <c r="YQ30" t="s">
        <v>1900</v>
      </c>
      <c r="YR30" t="s">
        <v>1900</v>
      </c>
      <c r="YS30" t="s">
        <v>1900</v>
      </c>
      <c r="YT30" t="s">
        <v>1900</v>
      </c>
      <c r="YU30" t="s">
        <v>1900</v>
      </c>
      <c r="YV30" t="s">
        <v>1900</v>
      </c>
      <c r="YW30" t="s">
        <v>1900</v>
      </c>
      <c r="YX30" t="s">
        <v>1900</v>
      </c>
      <c r="YY30" t="s">
        <v>1900</v>
      </c>
      <c r="YZ30" t="s">
        <v>1900</v>
      </c>
      <c r="ZA30" t="s">
        <v>1900</v>
      </c>
      <c r="ZB30" t="s">
        <v>1900</v>
      </c>
      <c r="ZC30" t="s">
        <v>1900</v>
      </c>
      <c r="ZD30" t="s">
        <v>1900</v>
      </c>
      <c r="ZE30" t="s">
        <v>1900</v>
      </c>
      <c r="ZF30" t="s">
        <v>1900</v>
      </c>
      <c r="ZG30" t="s">
        <v>1900</v>
      </c>
      <c r="ZH30" t="s">
        <v>1900</v>
      </c>
      <c r="ZI30" t="s">
        <v>1900</v>
      </c>
      <c r="ZJ30" t="s">
        <v>1900</v>
      </c>
      <c r="ZK30" t="s">
        <v>1900</v>
      </c>
      <c r="ZL30" t="s">
        <v>1900</v>
      </c>
      <c r="ZM30" t="s">
        <v>1900</v>
      </c>
      <c r="ZN30" t="s">
        <v>1900</v>
      </c>
      <c r="ZO30" t="s">
        <v>1900</v>
      </c>
      <c r="ZP30" t="s">
        <v>1900</v>
      </c>
      <c r="ZQ30" t="s">
        <v>1900</v>
      </c>
      <c r="ZR30" t="s">
        <v>1900</v>
      </c>
      <c r="ZS30" t="s">
        <v>1900</v>
      </c>
      <c r="ZT30" t="s">
        <v>1900</v>
      </c>
      <c r="ZU30" t="s">
        <v>1900</v>
      </c>
      <c r="ZV30" t="s">
        <v>1900</v>
      </c>
      <c r="ZW30" t="s">
        <v>1900</v>
      </c>
      <c r="ZX30" t="s">
        <v>1900</v>
      </c>
      <c r="ZY30" t="s">
        <v>1900</v>
      </c>
      <c r="ZZ30" t="s">
        <v>1900</v>
      </c>
      <c r="AAA30" t="s">
        <v>1900</v>
      </c>
      <c r="AAB30" t="s">
        <v>1900</v>
      </c>
      <c r="AAC30" t="s">
        <v>1900</v>
      </c>
      <c r="AAD30" t="s">
        <v>1900</v>
      </c>
      <c r="AAE30" t="s">
        <v>1900</v>
      </c>
      <c r="AAF30" t="s">
        <v>1900</v>
      </c>
      <c r="AAG30" t="s">
        <v>1900</v>
      </c>
      <c r="AAH30" t="s">
        <v>1900</v>
      </c>
      <c r="AAI30" t="s">
        <v>1900</v>
      </c>
      <c r="AAJ30" t="s">
        <v>1900</v>
      </c>
      <c r="AAK30" t="s">
        <v>1900</v>
      </c>
      <c r="AAL30" t="s">
        <v>1900</v>
      </c>
      <c r="AAM30" t="s">
        <v>1900</v>
      </c>
      <c r="AAN30" t="s">
        <v>1900</v>
      </c>
      <c r="AAO30" t="s">
        <v>1900</v>
      </c>
      <c r="AAP30" t="s">
        <v>1900</v>
      </c>
      <c r="AAQ30" t="s">
        <v>1900</v>
      </c>
      <c r="AAR30" t="s">
        <v>1900</v>
      </c>
      <c r="AAS30" t="s">
        <v>1900</v>
      </c>
      <c r="AAT30" t="s">
        <v>1900</v>
      </c>
      <c r="AAU30" t="s">
        <v>1900</v>
      </c>
      <c r="AAV30" t="s">
        <v>1900</v>
      </c>
      <c r="AAW30" t="s">
        <v>1900</v>
      </c>
      <c r="AAX30" t="s">
        <v>1900</v>
      </c>
      <c r="AAY30" t="s">
        <v>1900</v>
      </c>
      <c r="AAZ30" t="s">
        <v>1900</v>
      </c>
      <c r="ABA30" t="s">
        <v>1900</v>
      </c>
      <c r="ABB30" t="s">
        <v>1900</v>
      </c>
      <c r="ABC30" t="s">
        <v>1900</v>
      </c>
      <c r="ABD30" t="s">
        <v>1900</v>
      </c>
      <c r="ABE30" t="s">
        <v>1900</v>
      </c>
      <c r="ABF30" t="s">
        <v>1900</v>
      </c>
      <c r="ABG30" t="s">
        <v>1900</v>
      </c>
      <c r="ABH30" t="s">
        <v>1900</v>
      </c>
      <c r="ABI30" t="s">
        <v>1900</v>
      </c>
      <c r="ABJ30" t="s">
        <v>1900</v>
      </c>
      <c r="ABK30" t="s">
        <v>1900</v>
      </c>
      <c r="ABL30" t="s">
        <v>1900</v>
      </c>
      <c r="ABM30" t="s">
        <v>1900</v>
      </c>
      <c r="ABN30" t="s">
        <v>1900</v>
      </c>
      <c r="ABO30" t="s">
        <v>1900</v>
      </c>
      <c r="ABP30" t="s">
        <v>1900</v>
      </c>
      <c r="ABQ30" t="s">
        <v>1900</v>
      </c>
      <c r="ABR30" t="s">
        <v>1900</v>
      </c>
      <c r="ABS30" t="s">
        <v>1900</v>
      </c>
      <c r="ABT30" t="s">
        <v>1900</v>
      </c>
      <c r="ABU30" t="s">
        <v>1900</v>
      </c>
      <c r="ABV30" t="s">
        <v>1900</v>
      </c>
      <c r="ABW30" t="s">
        <v>1900</v>
      </c>
      <c r="ABX30" t="s">
        <v>1900</v>
      </c>
      <c r="ABY30" t="s">
        <v>1900</v>
      </c>
      <c r="ABZ30" t="s">
        <v>1900</v>
      </c>
      <c r="ACA30" t="s">
        <v>1900</v>
      </c>
      <c r="ACB30" t="s">
        <v>1900</v>
      </c>
      <c r="ACC30" t="s">
        <v>1900</v>
      </c>
      <c r="ACD30" t="s">
        <v>1900</v>
      </c>
      <c r="ACE30">
        <v>86.026</v>
      </c>
      <c r="ACF30">
        <v>89.45699999999999</v>
      </c>
      <c r="ACG30">
        <v>83.16200000000001</v>
      </c>
      <c r="ACH30">
        <v>72.56</v>
      </c>
      <c r="ACI30">
        <v>77.997</v>
      </c>
      <c r="ACJ30" t="s">
        <v>1900</v>
      </c>
      <c r="ACK30" t="s">
        <v>1900</v>
      </c>
      <c r="ACL30" t="s">
        <v>1900</v>
      </c>
      <c r="ACM30" t="s">
        <v>1900</v>
      </c>
      <c r="ACN30" t="s">
        <v>1900</v>
      </c>
      <c r="ACO30">
        <v>71.791</v>
      </c>
      <c r="ACP30">
        <v>74.848</v>
      </c>
      <c r="ACQ30">
        <v>67.273</v>
      </c>
      <c r="ACR30">
        <v>57.734</v>
      </c>
      <c r="ACS30">
        <v>60.85</v>
      </c>
      <c r="ACT30">
        <v>72.864</v>
      </c>
      <c r="ACU30">
        <v>76.53100000000001</v>
      </c>
      <c r="ACV30">
        <v>72.714</v>
      </c>
      <c r="ACW30">
        <v>59.499</v>
      </c>
      <c r="ACX30">
        <v>63.25</v>
      </c>
      <c r="ACY30" t="s">
        <v>1900</v>
      </c>
      <c r="ACZ30" t="s">
        <v>1900</v>
      </c>
      <c r="ADA30" t="s">
        <v>1900</v>
      </c>
      <c r="ADB30" t="s">
        <v>1900</v>
      </c>
      <c r="ADC30" t="s">
        <v>1900</v>
      </c>
      <c r="ADD30">
        <v>60.807</v>
      </c>
      <c r="ADE30">
        <v>64.032</v>
      </c>
      <c r="ADF30">
        <v>58.822</v>
      </c>
      <c r="ADG30">
        <v>47.342</v>
      </c>
      <c r="ADH30">
        <v>49.346</v>
      </c>
      <c r="ADI30">
        <v>45.061</v>
      </c>
      <c r="ADJ30">
        <v>49.152</v>
      </c>
      <c r="ADK30">
        <v>46.877</v>
      </c>
      <c r="ADL30">
        <v>39.795</v>
      </c>
      <c r="ADM30">
        <v>45.945</v>
      </c>
      <c r="ADN30">
        <v>97.658</v>
      </c>
      <c r="ADO30">
        <v>97.479</v>
      </c>
      <c r="ADP30">
        <v>98.098</v>
      </c>
      <c r="ADQ30">
        <v>98.97</v>
      </c>
      <c r="ADR30">
        <v>99.217</v>
      </c>
      <c r="ADS30">
        <v>43.553315035</v>
      </c>
      <c r="ADT30">
        <v>48.376222997</v>
      </c>
      <c r="ADU30">
        <v>42.248348498</v>
      </c>
      <c r="ADV30">
        <v>39.799194551</v>
      </c>
      <c r="ADW30">
        <v>45.960131551</v>
      </c>
      <c r="ADX30">
        <v>43.553</v>
      </c>
      <c r="ADY30">
        <v>48.376</v>
      </c>
      <c r="ADZ30">
        <v>42.248</v>
      </c>
      <c r="AEA30">
        <v>39.799</v>
      </c>
      <c r="AEB30">
        <v>45.96</v>
      </c>
      <c r="AEC30">
        <v>43.553</v>
      </c>
      <c r="AED30">
        <v>48.376</v>
      </c>
      <c r="AEE30">
        <v>42.248</v>
      </c>
      <c r="AEF30">
        <v>39.799</v>
      </c>
      <c r="AEG30">
        <v>45.96</v>
      </c>
      <c r="AEH30" t="s">
        <v>1900</v>
      </c>
      <c r="AEI30" t="s">
        <v>1900</v>
      </c>
      <c r="AEJ30" t="s">
        <v>1900</v>
      </c>
      <c r="AEK30" t="s">
        <v>1900</v>
      </c>
      <c r="AEL30" t="s">
        <v>1900</v>
      </c>
      <c r="AEM30">
        <v>77.15832216299999</v>
      </c>
      <c r="AEN30">
        <v>93.709189458</v>
      </c>
      <c r="AEO30">
        <v>73.155221365</v>
      </c>
      <c r="AEP30">
        <v>66.110734322</v>
      </c>
      <c r="AEQ30">
        <v>85.04856297800001</v>
      </c>
      <c r="AER30">
        <v>1.80497595</v>
      </c>
      <c r="AES30">
        <v>1.985213333</v>
      </c>
      <c r="AET30">
        <v>1.756466218</v>
      </c>
      <c r="AEU30">
        <v>1.672616714</v>
      </c>
      <c r="AEV30">
        <v>1.862988495</v>
      </c>
      <c r="AEW30" t="s">
        <v>1900</v>
      </c>
      <c r="AEX30" t="s">
        <v>1900</v>
      </c>
      <c r="AEY30" t="s">
        <v>1900</v>
      </c>
      <c r="AEZ30" t="s">
        <v>1900</v>
      </c>
      <c r="AFA30" t="s">
        <v>1900</v>
      </c>
      <c r="AFB30" t="s">
        <v>1900</v>
      </c>
      <c r="AFC30" t="s">
        <v>1900</v>
      </c>
      <c r="AFD30" t="s">
        <v>1900</v>
      </c>
      <c r="AFE30" t="s">
        <v>1900</v>
      </c>
      <c r="AFF30" t="s">
        <v>1900</v>
      </c>
      <c r="AFG30">
        <v>1.909</v>
      </c>
      <c r="AFH30">
        <v>1.82</v>
      </c>
      <c r="AFI30">
        <v>1.774</v>
      </c>
      <c r="AFJ30">
        <v>1.823</v>
      </c>
      <c r="AFK30">
        <v>1.698</v>
      </c>
      <c r="AFL30" t="s">
        <v>1900</v>
      </c>
      <c r="AFM30" t="s">
        <v>1900</v>
      </c>
      <c r="AFN30" t="s">
        <v>1900</v>
      </c>
      <c r="AFO30" t="s">
        <v>1900</v>
      </c>
      <c r="AFP30" t="s">
        <v>1900</v>
      </c>
      <c r="AFQ30" t="s">
        <v>1901</v>
      </c>
      <c r="AFR30" t="s">
        <v>1901</v>
      </c>
      <c r="AFS30" t="s">
        <v>1901</v>
      </c>
      <c r="AFT30" t="s">
        <v>1901</v>
      </c>
      <c r="AFU30" t="s">
        <v>1901</v>
      </c>
      <c r="AFV30">
        <v>16.614</v>
      </c>
      <c r="AFW30">
        <v>19.212</v>
      </c>
      <c r="AFX30">
        <v>20.635</v>
      </c>
      <c r="AFY30">
        <v>65.496</v>
      </c>
      <c r="AFZ30">
        <v>26.706</v>
      </c>
      <c r="AGA30">
        <v>1.674</v>
      </c>
      <c r="AGB30">
        <v>1.638</v>
      </c>
      <c r="AGC30">
        <v>0.109</v>
      </c>
      <c r="AGD30">
        <v>1.667</v>
      </c>
      <c r="AGE30">
        <v>0</v>
      </c>
      <c r="AGF30" t="s">
        <v>1900</v>
      </c>
      <c r="AGG30" t="s">
        <v>1900</v>
      </c>
      <c r="AGH30" t="s">
        <v>1900</v>
      </c>
      <c r="AGI30" t="s">
        <v>1900</v>
      </c>
      <c r="AGJ30" t="s">
        <v>1900</v>
      </c>
      <c r="AGK30" t="s">
        <v>1900</v>
      </c>
      <c r="AGL30" t="s">
        <v>1900</v>
      </c>
      <c r="AGM30" t="s">
        <v>1900</v>
      </c>
      <c r="AGN30" t="s">
        <v>1900</v>
      </c>
      <c r="AGO30" t="s">
        <v>1900</v>
      </c>
      <c r="AGP30" t="s">
        <v>1900</v>
      </c>
      <c r="AGQ30" t="s">
        <v>1900</v>
      </c>
      <c r="AGR30" t="s">
        <v>1900</v>
      </c>
      <c r="AGS30" t="s">
        <v>1900</v>
      </c>
      <c r="AGT30" t="s">
        <v>1900</v>
      </c>
      <c r="AGU30">
        <v>0</v>
      </c>
      <c r="AGV30">
        <v>0</v>
      </c>
      <c r="AGW30">
        <v>0</v>
      </c>
      <c r="AGX30">
        <v>0</v>
      </c>
      <c r="AGY30">
        <v>0</v>
      </c>
      <c r="AGZ30">
        <v>6.018</v>
      </c>
      <c r="AHA30">
        <v>6.1</v>
      </c>
      <c r="AHB30">
        <v>5.212</v>
      </c>
      <c r="AHC30">
        <v>4.87</v>
      </c>
      <c r="AHD30">
        <v>4.53</v>
      </c>
      <c r="AHE30">
        <v>6.018</v>
      </c>
      <c r="AHF30">
        <v>6.1</v>
      </c>
      <c r="AHG30">
        <v>5.212</v>
      </c>
      <c r="AHH30">
        <v>4.87</v>
      </c>
      <c r="AHI30">
        <v>4.53</v>
      </c>
      <c r="AHJ30" t="s">
        <v>1901</v>
      </c>
      <c r="AHK30" t="s">
        <v>1901</v>
      </c>
      <c r="AHL30" t="s">
        <v>1901</v>
      </c>
      <c r="AHM30" t="s">
        <v>1901</v>
      </c>
      <c r="AHN30" t="s">
        <v>1901</v>
      </c>
      <c r="AHO30">
        <v>83.453</v>
      </c>
      <c r="AHP30">
        <v>83.66800000000001</v>
      </c>
      <c r="AHQ30">
        <v>80.89400000000001</v>
      </c>
      <c r="AHR30">
        <v>79.568</v>
      </c>
      <c r="AHS30">
        <v>78.01600000000001</v>
      </c>
      <c r="AHT30" t="s">
        <v>1901</v>
      </c>
      <c r="AHU30" t="s">
        <v>1901</v>
      </c>
      <c r="AHV30" t="s">
        <v>1901</v>
      </c>
      <c r="AHW30" t="s">
        <v>1901</v>
      </c>
      <c r="AHX30" t="s">
        <v>1901</v>
      </c>
      <c r="AHY30">
        <v>0</v>
      </c>
      <c r="AHZ30">
        <v>0</v>
      </c>
      <c r="AIA30">
        <v>0</v>
      </c>
      <c r="AIB30">
        <v>0</v>
      </c>
      <c r="AIC30">
        <v>0</v>
      </c>
      <c r="AID30">
        <v>0.425641338</v>
      </c>
      <c r="AIE30">
        <v>0.370143063</v>
      </c>
      <c r="AIF30">
        <v>0.428344083</v>
      </c>
      <c r="AIG30">
        <v>0.489223494</v>
      </c>
      <c r="AIH30">
        <v>0.412070491</v>
      </c>
      <c r="AII30">
        <v>92.221863025</v>
      </c>
      <c r="AIJ30">
        <v>91.503549912</v>
      </c>
      <c r="AIK30">
        <v>91.34567004</v>
      </c>
      <c r="AIL30">
        <v>73.11598371700001</v>
      </c>
      <c r="AIM30">
        <v>89.76321005200001</v>
      </c>
      <c r="AIN30">
        <v>15.806334295</v>
      </c>
      <c r="AIO30">
        <v>15.638638101</v>
      </c>
      <c r="AIP30">
        <v>19.062563686</v>
      </c>
      <c r="AIQ30">
        <v>19.760369575</v>
      </c>
      <c r="AIR30">
        <v>21.983675802</v>
      </c>
      <c r="AIS30">
        <v>0</v>
      </c>
      <c r="AIT30">
        <v>0</v>
      </c>
      <c r="AIU30">
        <v>0</v>
      </c>
      <c r="AIV30">
        <v>0</v>
      </c>
      <c r="AIW30">
        <v>0</v>
      </c>
      <c r="AIX30">
        <v>81.10511687333771</v>
      </c>
      <c r="AIY30">
        <v>103.423008719975</v>
      </c>
      <c r="AIZ30">
        <v>77.5352136101347</v>
      </c>
      <c r="AJA30">
        <v>61.8658895500016</v>
      </c>
      <c r="AJB30">
        <v>83.8718518069184</v>
      </c>
      <c r="AJC30">
        <v>179.988777183081</v>
      </c>
      <c r="AJD30">
        <v>210.412850750702</v>
      </c>
      <c r="AJE30">
        <v>165.401146153114</v>
      </c>
      <c r="AJF30">
        <v>155.461933482721</v>
      </c>
      <c r="AJG30">
        <v>182.546662625108</v>
      </c>
      <c r="AJH30">
        <v>39.41</v>
      </c>
      <c r="AJI30">
        <v>33.976</v>
      </c>
      <c r="AJJ30">
        <v>39.68</v>
      </c>
      <c r="AJK30">
        <v>42.167</v>
      </c>
      <c r="AJL30">
        <v>43.01</v>
      </c>
      <c r="AJM30">
        <v>70.9343038736092</v>
      </c>
      <c r="AJN30">
        <v>71.49028006895919</v>
      </c>
      <c r="AJO30">
        <v>65.63074953095381</v>
      </c>
      <c r="AJP30">
        <v>65.5540903238296</v>
      </c>
      <c r="AJQ30">
        <v>78.51372271595361</v>
      </c>
      <c r="AJR30">
        <v>94.2797032323725</v>
      </c>
      <c r="AJS30">
        <v>115.611493480018</v>
      </c>
      <c r="AJT30">
        <v>93.2335742022496</v>
      </c>
      <c r="AJU30">
        <v>85.2616335475945</v>
      </c>
      <c r="AJV30">
        <v>107.532724051976</v>
      </c>
      <c r="AJW30">
        <v>7.46951524175572</v>
      </c>
      <c r="AJX30">
        <v>10.2711939795856</v>
      </c>
      <c r="AJY30">
        <v>9.43080441281319</v>
      </c>
      <c r="AJZ30">
        <v>27.5636791510534</v>
      </c>
      <c r="AKA30">
        <v>13.5417659849054</v>
      </c>
      <c r="AKB30">
        <v>112.973536903404</v>
      </c>
      <c r="AKC30">
        <v>138.178294282721</v>
      </c>
      <c r="AKD30">
        <v>115.25388328117</v>
      </c>
      <c r="AKE30">
        <v>107.155961804001</v>
      </c>
      <c r="AKF30">
        <v>137.833620806646</v>
      </c>
      <c r="AKG30">
        <v>0</v>
      </c>
      <c r="AKH30">
        <v>0</v>
      </c>
      <c r="AKI30">
        <v>0</v>
      </c>
      <c r="AKJ30">
        <v>0</v>
      </c>
      <c r="AKK30">
        <v>0</v>
      </c>
      <c r="AKL30">
        <v>0</v>
      </c>
      <c r="AKM30">
        <v>0</v>
      </c>
      <c r="AKN30">
        <v>0</v>
      </c>
      <c r="AKO30">
        <v>0</v>
      </c>
      <c r="AKP30">
        <v>0</v>
      </c>
      <c r="AKQ30">
        <v>0</v>
      </c>
      <c r="AKR30">
        <v>0</v>
      </c>
      <c r="AKS30">
        <v>0</v>
      </c>
      <c r="AKT30">
        <v>0</v>
      </c>
      <c r="AKU30">
        <v>0</v>
      </c>
      <c r="AKV30">
        <v>0</v>
      </c>
      <c r="AKW30">
        <v>0</v>
      </c>
      <c r="AKX30">
        <v>0</v>
      </c>
      <c r="AKY30">
        <v>0</v>
      </c>
      <c r="AKZ30">
        <v>0</v>
      </c>
      <c r="ALA30">
        <v>0</v>
      </c>
      <c r="ALB30">
        <v>0</v>
      </c>
      <c r="ALC30">
        <v>0</v>
      </c>
      <c r="ALD30">
        <v>0</v>
      </c>
      <c r="ALE30">
        <v>0</v>
      </c>
      <c r="ALF30">
        <v>0</v>
      </c>
      <c r="ALG30">
        <v>0</v>
      </c>
      <c r="ALH30">
        <v>0</v>
      </c>
      <c r="ALI30">
        <v>0</v>
      </c>
      <c r="ALJ30">
        <v>0</v>
      </c>
      <c r="ALK30">
        <v>0</v>
      </c>
      <c r="ALL30">
        <v>0</v>
      </c>
      <c r="ALM30">
        <v>0</v>
      </c>
      <c r="ALN30">
        <v>0</v>
      </c>
      <c r="ALO30">
        <v>0</v>
      </c>
      <c r="ALP30">
        <v>4.614940157</v>
      </c>
      <c r="ALQ30">
        <v>5.336552594</v>
      </c>
      <c r="ALR30">
        <v>5.731984568</v>
      </c>
      <c r="ALS30">
        <v>18.193260307</v>
      </c>
      <c r="ALT30">
        <v>7.418249287</v>
      </c>
      <c r="ALU30">
        <v>10.074898812</v>
      </c>
      <c r="ALV30">
        <v>8.528060064</v>
      </c>
      <c r="ALW30">
        <v>0.52700467</v>
      </c>
      <c r="ALX30">
        <v>2.545343877</v>
      </c>
      <c r="ALY30">
        <v>0</v>
      </c>
      <c r="ALZ30">
        <v>97.6584283090335</v>
      </c>
      <c r="AMA30">
        <v>97.47850506555289</v>
      </c>
      <c r="AMB30">
        <v>98.09796533233001</v>
      </c>
      <c r="AMC30">
        <v>98.9698837827822</v>
      </c>
      <c r="AMD30">
        <v>99.2170774167415</v>
      </c>
      <c r="AME30">
        <v>97.6584283090335</v>
      </c>
      <c r="AMF30">
        <v>97.47850506555289</v>
      </c>
      <c r="AMG30">
        <v>98.09796533233001</v>
      </c>
      <c r="AMH30">
        <v>98.9698837827822</v>
      </c>
      <c r="AMI30">
        <v>99.2170774167415</v>
      </c>
      <c r="AMJ30">
        <v>4170.63599311484</v>
      </c>
      <c r="AMK30">
        <v>3865.90128474433</v>
      </c>
      <c r="AML30">
        <v>5157.52797522526</v>
      </c>
      <c r="AMM30">
        <v>9607.64252892609</v>
      </c>
      <c r="AMN30">
        <v>12672.6549391135</v>
      </c>
      <c r="AMO30">
        <v>1.80497594869307</v>
      </c>
      <c r="AMP30">
        <v>1.98521333345597</v>
      </c>
      <c r="AMQ30">
        <v>1.75646621643923</v>
      </c>
      <c r="AMR30">
        <v>1.67261671389915</v>
      </c>
      <c r="AMS30">
        <v>1.86298849481217</v>
      </c>
      <c r="AMT30">
        <v>1.80497595021709</v>
      </c>
      <c r="AMU30">
        <v>1.98521333345597</v>
      </c>
      <c r="AMV30">
        <v>1.7564662180887</v>
      </c>
      <c r="AMW30">
        <v>1.67261671389915</v>
      </c>
      <c r="AMX30">
        <v>1.86298849481217</v>
      </c>
      <c r="AMY30">
        <v>1.80497595021709</v>
      </c>
      <c r="AMZ30">
        <v>1.98521333345597</v>
      </c>
      <c r="ANA30">
        <v>1.7564662180887</v>
      </c>
      <c r="ANB30">
        <v>1.67261671389915</v>
      </c>
      <c r="ANC30">
        <v>1.86298849481217</v>
      </c>
      <c r="AND30">
        <v>43.5533150354126</v>
      </c>
      <c r="ANE30">
        <v>48.3762229970274</v>
      </c>
      <c r="ANF30">
        <v>42.2483484980319</v>
      </c>
      <c r="ANG30">
        <v>39.799194550539</v>
      </c>
      <c r="ANH30">
        <v>45.9601315509836</v>
      </c>
      <c r="ANI30">
        <v>43.5533150354126</v>
      </c>
      <c r="ANJ30">
        <v>48.3762229970274</v>
      </c>
      <c r="ANK30">
        <v>42.2483484980319</v>
      </c>
      <c r="ANL30">
        <v>39.799194550539</v>
      </c>
      <c r="ANM30">
        <v>45.9601315509836</v>
      </c>
      <c r="ANN30">
        <v>77.15832216318159</v>
      </c>
      <c r="ANO30">
        <v>93.7091894578768</v>
      </c>
      <c r="ANP30">
        <v>73.1552213646948</v>
      </c>
      <c r="ANQ30">
        <v>66.1107343222356</v>
      </c>
      <c r="ANR30">
        <v>85.0485629778031</v>
      </c>
      <c r="ANS30">
        <v>83.1473547852481</v>
      </c>
      <c r="ANT30">
        <v>88.04469815178091</v>
      </c>
      <c r="ANU30">
        <v>74.95073860992611</v>
      </c>
      <c r="ANV30">
        <v>72.5679239740335</v>
      </c>
      <c r="ANW30">
        <v>78.0215391218449</v>
      </c>
      <c r="ANX30">
        <v>97.658428391491</v>
      </c>
      <c r="ANY30">
        <v>97.47850506555289</v>
      </c>
      <c r="ANZ30">
        <v>98.0979654244523</v>
      </c>
      <c r="AOA30">
        <v>98.9698837827822</v>
      </c>
      <c r="AOB30">
        <v>99.2170774167415</v>
      </c>
      <c r="AOC30">
        <v>173.010033043217</v>
      </c>
      <c r="AOD30">
        <v>188.824822058138</v>
      </c>
      <c r="AOE30">
        <v>169.861749025458</v>
      </c>
      <c r="AOF30">
        <v>164.399600709443</v>
      </c>
      <c r="AOG30">
        <v>183.599775988255</v>
      </c>
      <c r="AOH30" t="s">
        <v>1901</v>
      </c>
      <c r="AOI30" t="s">
        <v>1901</v>
      </c>
      <c r="AOJ30" t="s">
        <v>1901</v>
      </c>
      <c r="AOK30" t="s">
        <v>1901</v>
      </c>
      <c r="AOL30" t="s">
        <v>1901</v>
      </c>
      <c r="AOM30">
        <v>1860.00354963074</v>
      </c>
      <c r="AON30">
        <v>1918.55324934989</v>
      </c>
      <c r="AOO30">
        <v>2221.21874340093</v>
      </c>
      <c r="AOP30">
        <v>3863.56353635816</v>
      </c>
      <c r="AOQ30">
        <v>5870.32901256979</v>
      </c>
      <c r="AOR30">
        <v>80.4975950217089</v>
      </c>
      <c r="AOS30">
        <v>98.5213333455972</v>
      </c>
      <c r="AOT30">
        <v>75.64662180886999</v>
      </c>
      <c r="AOU30">
        <v>67.2616713899147</v>
      </c>
      <c r="AOV30">
        <v>86.298849481217</v>
      </c>
      <c r="AOW30">
        <v>69.3888864994003</v>
      </c>
      <c r="AOX30">
        <v>73.66554229237509</v>
      </c>
      <c r="AOY30">
        <v>60.630714187741</v>
      </c>
      <c r="AOZ30">
        <v>57.7406949389527</v>
      </c>
      <c r="APA30">
        <v>60.8695369055165</v>
      </c>
      <c r="APB30">
        <v>38.1668431902778</v>
      </c>
      <c r="APC30">
        <v>42.0498955276388</v>
      </c>
      <c r="APD30">
        <v>40.9877090507377</v>
      </c>
      <c r="APE30">
        <v>32.6318008942104</v>
      </c>
      <c r="APF30">
        <v>37.2589295421051</v>
      </c>
      <c r="APG30">
        <v>38.1668431902778</v>
      </c>
      <c r="APH30">
        <v>42.0498955276388</v>
      </c>
      <c r="API30">
        <v>40.9877090507377</v>
      </c>
      <c r="APJ30">
        <v>32.6318008942104</v>
      </c>
      <c r="APK30">
        <v>37.2589295421051</v>
      </c>
      <c r="APL30">
        <v>1629.96694406374</v>
      </c>
      <c r="APM30">
        <v>1667.65734696428</v>
      </c>
      <c r="APN30">
        <v>2154.94027173165</v>
      </c>
      <c r="APO30">
        <v>3167.77858156086</v>
      </c>
      <c r="APP30">
        <v>4758.95450442052</v>
      </c>
      <c r="APQ30">
        <v>70.5420261096079</v>
      </c>
      <c r="APR30">
        <v>85.63735483608561</v>
      </c>
      <c r="APS30">
        <v>73.3894184175647</v>
      </c>
      <c r="APT30">
        <v>55.1485901509979</v>
      </c>
      <c r="APU30">
        <v>69.9606951476749</v>
      </c>
      <c r="APV30">
        <v>67.61573901854869</v>
      </c>
      <c r="APW30">
        <v>81.45451179447321</v>
      </c>
      <c r="APX30">
        <v>70.972358339122</v>
      </c>
      <c r="APY30">
        <v>54.2049240879428</v>
      </c>
      <c r="APZ30">
        <v>68.9471136985777</v>
      </c>
      <c r="AQA30">
        <v>60.8071910948055</v>
      </c>
      <c r="AQB30">
        <v>64.0320423025083</v>
      </c>
      <c r="AQC30">
        <v>58.8215672567966</v>
      </c>
      <c r="AQD30">
        <v>47.3422359929576</v>
      </c>
      <c r="AQE30">
        <v>49.3456765742148</v>
      </c>
      <c r="AQF30">
        <v>0.804975950217089</v>
      </c>
      <c r="AQG30">
        <v>0.985213333455972</v>
      </c>
      <c r="AQH30">
        <v>0.7564662180887</v>
      </c>
      <c r="AQI30">
        <v>0.672616713899147</v>
      </c>
      <c r="AQJ30">
        <v>0.86298849481217</v>
      </c>
      <c r="AQK30">
        <v>6</v>
      </c>
      <c r="AQO30" t="s">
        <v>1903</v>
      </c>
      <c r="AQP30">
        <v>8</v>
      </c>
      <c r="AQQ30">
        <v>0</v>
      </c>
      <c r="AQS30" t="s">
        <v>1905</v>
      </c>
      <c r="AQU30" t="s">
        <v>1906</v>
      </c>
      <c r="AQV30">
        <v>1259921.43924267</v>
      </c>
      <c r="AQW30">
        <v>1472889.95746491</v>
      </c>
      <c r="AQX30">
        <v>1157808.0262716</v>
      </c>
      <c r="AQY30">
        <v>548737.553632064</v>
      </c>
      <c r="AQZ30">
        <v>712528.5303240489</v>
      </c>
      <c r="ARA30">
        <v>489154.76987741</v>
      </c>
      <c r="ARB30">
        <v>3890619.422979181</v>
      </c>
      <c r="ARC30">
        <v>1750420.853833523</v>
      </c>
      <c r="ARD30">
        <v>0.8178777796923165</v>
      </c>
      <c r="ARE30">
        <v>0.8178777796923165</v>
      </c>
      <c r="ARF30">
        <v>0.8178777796923165</v>
      </c>
      <c r="ARG30">
        <v>0.8178777796923165</v>
      </c>
      <c r="ARH30">
        <v>0.8178777796923165</v>
      </c>
      <c r="ARI30">
        <v>0.8178777796923165</v>
      </c>
      <c r="ARJ30" t="s">
        <v>1191</v>
      </c>
      <c r="ARK30" t="s">
        <v>1529</v>
      </c>
      <c r="ARL30" t="s">
        <v>1908</v>
      </c>
      <c r="ARM30" t="s">
        <v>1908</v>
      </c>
      <c r="ARN30" t="s">
        <v>1909</v>
      </c>
      <c r="ARO30" t="s">
        <v>1908</v>
      </c>
      <c r="ARP30" t="s">
        <v>1907</v>
      </c>
      <c r="ARQ30" t="s">
        <v>1934</v>
      </c>
      <c r="ARR30">
        <f>HYPERLINK("C:\Users\Usuario\Documents\Proyectos\llmthon\evidence\in2ca_com_233904.png", "Ver Evidencia")</f>
        <v>0</v>
      </c>
      <c r="ARS30">
        <v>100</v>
      </c>
    </row>
    <row r="31" spans="1:1163">
      <c r="A31">
        <v>448</v>
      </c>
      <c r="B31" t="s">
        <v>1192</v>
      </c>
      <c r="C31" t="s">
        <v>1315</v>
      </c>
      <c r="E31" s="2">
        <v>37904</v>
      </c>
      <c r="F31" t="s">
        <v>1431</v>
      </c>
      <c r="G31" t="s">
        <v>1433</v>
      </c>
      <c r="H31" t="s">
        <v>1434</v>
      </c>
      <c r="I31" t="s">
        <v>1439</v>
      </c>
      <c r="J31" t="s">
        <v>1467</v>
      </c>
      <c r="L31" t="s">
        <v>1530</v>
      </c>
      <c r="N31" t="s">
        <v>1624</v>
      </c>
      <c r="O31" t="s">
        <v>1648</v>
      </c>
      <c r="P31">
        <v>6209</v>
      </c>
      <c r="Q31">
        <v>6209</v>
      </c>
      <c r="R31" t="s">
        <v>1701</v>
      </c>
      <c r="S31" t="s">
        <v>1804</v>
      </c>
      <c r="T31" t="s">
        <v>1854</v>
      </c>
      <c r="U31" t="s">
        <v>1873</v>
      </c>
      <c r="X31" t="s">
        <v>1881</v>
      </c>
      <c r="Z31" t="s">
        <v>1899</v>
      </c>
      <c r="AA31" s="2">
        <v>45291</v>
      </c>
      <c r="AB31">
        <v>2023</v>
      </c>
      <c r="AC31" t="s">
        <v>1900</v>
      </c>
      <c r="AD31">
        <v>1570311.90628669</v>
      </c>
      <c r="AE31">
        <v>993150.642340237</v>
      </c>
      <c r="AF31">
        <v>930067.633187485</v>
      </c>
      <c r="AG31">
        <v>1114817.08754042</v>
      </c>
      <c r="AH31" t="s">
        <v>1900</v>
      </c>
      <c r="AI31">
        <v>1570311.90628669</v>
      </c>
      <c r="AJ31">
        <v>993150.642340237</v>
      </c>
      <c r="AK31">
        <v>930067.633187485</v>
      </c>
      <c r="AL31">
        <v>1114402.94152687</v>
      </c>
      <c r="AM31" t="s">
        <v>1900</v>
      </c>
      <c r="AN31">
        <v>34.3102653980255</v>
      </c>
      <c r="AO31">
        <v>4094.94208529592</v>
      </c>
      <c r="AP31">
        <v>6552.30797274113</v>
      </c>
      <c r="AQ31">
        <v>7394.80715319514</v>
      </c>
      <c r="AR31" t="s">
        <v>1900</v>
      </c>
      <c r="AS31">
        <v>1570277.59602129</v>
      </c>
      <c r="AT31">
        <v>989055.700254941</v>
      </c>
      <c r="AU31">
        <v>923515.325214744</v>
      </c>
      <c r="AV31">
        <v>1107422.28038723</v>
      </c>
      <c r="AW31" t="s">
        <v>1900</v>
      </c>
      <c r="AX31">
        <v>387545.055675459</v>
      </c>
      <c r="AY31">
        <v>466761.60961538</v>
      </c>
      <c r="AZ31">
        <v>392492.918841219</v>
      </c>
      <c r="BA31">
        <v>353657.086187935</v>
      </c>
      <c r="BB31" t="s">
        <v>1900</v>
      </c>
      <c r="BC31">
        <v>1182732.54034583</v>
      </c>
      <c r="BD31">
        <v>522294.090639561</v>
      </c>
      <c r="BE31">
        <v>531022.406373525</v>
      </c>
      <c r="BF31">
        <v>753765.194199294</v>
      </c>
      <c r="BG31" t="s">
        <v>1900</v>
      </c>
      <c r="BH31">
        <v>69.42718115806581</v>
      </c>
      <c r="BI31">
        <v>0</v>
      </c>
      <c r="BJ31">
        <v>0</v>
      </c>
      <c r="BK31">
        <v>0</v>
      </c>
      <c r="BL31" t="s">
        <v>1900</v>
      </c>
      <c r="BM31">
        <v>69.42718115806581</v>
      </c>
      <c r="BN31" t="s">
        <v>1900</v>
      </c>
      <c r="BO31" t="s">
        <v>1900</v>
      </c>
      <c r="BP31" t="s">
        <v>1900</v>
      </c>
      <c r="BQ31" t="s">
        <v>1900</v>
      </c>
      <c r="BR31" t="s">
        <v>1900</v>
      </c>
      <c r="BS31" t="s">
        <v>1900</v>
      </c>
      <c r="BT31" t="s">
        <v>1900</v>
      </c>
      <c r="BU31" t="s">
        <v>1900</v>
      </c>
      <c r="BV31" t="s">
        <v>1900</v>
      </c>
      <c r="BW31">
        <v>1182801.96752699</v>
      </c>
      <c r="BX31">
        <v>522294.090639561</v>
      </c>
      <c r="BY31">
        <v>531022.406373525</v>
      </c>
      <c r="BZ31">
        <v>753765.194199294</v>
      </c>
      <c r="CA31" t="s">
        <v>1900</v>
      </c>
      <c r="CB31">
        <v>295700.49740675</v>
      </c>
      <c r="CC31">
        <v>130573.525326389</v>
      </c>
      <c r="CD31">
        <v>132755.604424882</v>
      </c>
      <c r="CE31">
        <v>189381.437610334</v>
      </c>
      <c r="CF31" t="s">
        <v>1900</v>
      </c>
      <c r="CG31">
        <v>887101.470120239</v>
      </c>
      <c r="CH31">
        <v>391720.565313172</v>
      </c>
      <c r="CI31">
        <v>398266.801948643</v>
      </c>
      <c r="CJ31">
        <v>564383.75658896</v>
      </c>
      <c r="CK31" t="s">
        <v>1900</v>
      </c>
      <c r="CL31" t="s">
        <v>1900</v>
      </c>
      <c r="CM31" t="s">
        <v>1900</v>
      </c>
      <c r="CN31" t="s">
        <v>1900</v>
      </c>
      <c r="CO31" t="s">
        <v>1900</v>
      </c>
      <c r="CP31" t="s">
        <v>1900</v>
      </c>
      <c r="CQ31" t="s">
        <v>1900</v>
      </c>
      <c r="CR31" t="s">
        <v>1900</v>
      </c>
      <c r="CS31" t="s">
        <v>1900</v>
      </c>
      <c r="CT31" t="s">
        <v>1900</v>
      </c>
      <c r="CU31" t="s">
        <v>1900</v>
      </c>
      <c r="CV31" t="s">
        <v>1900</v>
      </c>
      <c r="CW31" t="s">
        <v>1900</v>
      </c>
      <c r="CX31" t="s">
        <v>1900</v>
      </c>
      <c r="CY31" t="s">
        <v>1900</v>
      </c>
      <c r="CZ31" t="s">
        <v>1900</v>
      </c>
      <c r="DA31">
        <v>887101.470120239</v>
      </c>
      <c r="DB31">
        <v>391720.565313172</v>
      </c>
      <c r="DC31">
        <v>398266.801948643</v>
      </c>
      <c r="DD31">
        <v>564383.75658896</v>
      </c>
      <c r="DE31" t="s">
        <v>1900</v>
      </c>
      <c r="DF31" t="s">
        <v>1900</v>
      </c>
      <c r="DG31" t="s">
        <v>1900</v>
      </c>
      <c r="DH31" t="s">
        <v>1900</v>
      </c>
      <c r="DI31" t="s">
        <v>1900</v>
      </c>
      <c r="DJ31" t="s">
        <v>1900</v>
      </c>
      <c r="DK31">
        <v>34.3102653980255</v>
      </c>
      <c r="DL31">
        <v>4094.94208529592</v>
      </c>
      <c r="DM31">
        <v>6552.30797274113</v>
      </c>
      <c r="DN31">
        <v>7394.80715319514</v>
      </c>
      <c r="DO31" t="s">
        <v>1900</v>
      </c>
      <c r="DP31">
        <v>295344.455196962</v>
      </c>
      <c r="DQ31">
        <v>376250.712995422</v>
      </c>
      <c r="DR31">
        <v>316654.126839423</v>
      </c>
      <c r="DS31">
        <v>305010.734633857</v>
      </c>
      <c r="DT31" t="s">
        <v>1900</v>
      </c>
      <c r="DU31">
        <v>18923.5754926682</v>
      </c>
      <c r="DV31">
        <v>12735.731189549</v>
      </c>
      <c r="DW31">
        <v>8116.49695336819</v>
      </c>
      <c r="DX31" t="s">
        <v>1900</v>
      </c>
      <c r="DY31" t="s">
        <v>1900</v>
      </c>
      <c r="DZ31">
        <v>73277.0238808279</v>
      </c>
      <c r="EA31">
        <v>77775.1654304087</v>
      </c>
      <c r="EB31">
        <v>67722.29391582729</v>
      </c>
      <c r="EC31">
        <v>48646.3515540779</v>
      </c>
      <c r="ED31" t="s">
        <v>1900</v>
      </c>
      <c r="EE31" t="s">
        <v>1900</v>
      </c>
      <c r="EF31" t="s">
        <v>1900</v>
      </c>
      <c r="EG31" t="s">
        <v>1900</v>
      </c>
      <c r="EH31" t="s">
        <v>1900</v>
      </c>
      <c r="EI31" t="s">
        <v>1900</v>
      </c>
      <c r="EJ31" t="s">
        <v>1900</v>
      </c>
      <c r="EK31" t="s">
        <v>1900</v>
      </c>
      <c r="EL31" t="s">
        <v>1900</v>
      </c>
      <c r="EM31" t="s">
        <v>1900</v>
      </c>
      <c r="EN31" t="s">
        <v>1900</v>
      </c>
      <c r="EO31">
        <v>906025.045612908</v>
      </c>
      <c r="EP31">
        <v>404456.296502721</v>
      </c>
      <c r="EQ31">
        <v>406383.298902011</v>
      </c>
      <c r="ER31" t="s">
        <v>1900</v>
      </c>
      <c r="ES31" t="s">
        <v>1900</v>
      </c>
      <c r="ET31">
        <v>1497069.99711162</v>
      </c>
      <c r="EU31">
        <v>911280.534824532</v>
      </c>
      <c r="EV31">
        <v>855793.030166316</v>
      </c>
      <c r="EW31">
        <v>1058775.92883315</v>
      </c>
      <c r="EX31" t="s">
        <v>1900</v>
      </c>
      <c r="EY31">
        <v>1201656.1147335</v>
      </c>
      <c r="EZ31">
        <v>535029.82182911</v>
      </c>
      <c r="FA31">
        <v>539138.903326893</v>
      </c>
      <c r="FB31">
        <v>753765.194199294</v>
      </c>
      <c r="FC31" t="s">
        <v>1900</v>
      </c>
      <c r="FD31">
        <v>166675.457051897</v>
      </c>
      <c r="FE31">
        <v>162280.178989917</v>
      </c>
      <c r="FF31">
        <v>127121.642759442</v>
      </c>
      <c r="FG31">
        <v>35174.8014181852</v>
      </c>
      <c r="FH31" t="s">
        <v>1900</v>
      </c>
      <c r="FI31">
        <v>166675.457051897</v>
      </c>
      <c r="FJ31">
        <v>162280.178989917</v>
      </c>
      <c r="FK31">
        <v>127121.642759442</v>
      </c>
      <c r="FL31">
        <v>35174.8014181852</v>
      </c>
      <c r="FM31" t="s">
        <v>1900</v>
      </c>
      <c r="FN31">
        <v>0</v>
      </c>
      <c r="FO31">
        <v>0</v>
      </c>
      <c r="FP31">
        <v>0</v>
      </c>
      <c r="FQ31">
        <v>0</v>
      </c>
      <c r="FR31" t="s">
        <v>1900</v>
      </c>
      <c r="FS31">
        <v>0</v>
      </c>
      <c r="FT31">
        <v>0</v>
      </c>
      <c r="FU31">
        <v>0</v>
      </c>
      <c r="FV31">
        <v>0</v>
      </c>
      <c r="FW31" t="s">
        <v>1900</v>
      </c>
      <c r="FX31">
        <v>166675.457051897</v>
      </c>
      <c r="FY31">
        <v>162280.178989917</v>
      </c>
      <c r="FZ31">
        <v>127121.642759442</v>
      </c>
      <c r="GA31">
        <v>35174.8014181852</v>
      </c>
      <c r="GB31" t="s">
        <v>1900</v>
      </c>
      <c r="GC31">
        <v>0</v>
      </c>
      <c r="GD31">
        <v>0</v>
      </c>
      <c r="GE31">
        <v>0</v>
      </c>
      <c r="GF31">
        <v>0</v>
      </c>
      <c r="GG31" t="s">
        <v>1900</v>
      </c>
      <c r="GH31">
        <v>0</v>
      </c>
      <c r="GI31">
        <v>0</v>
      </c>
      <c r="GJ31">
        <v>0</v>
      </c>
      <c r="GK31">
        <v>0</v>
      </c>
      <c r="GL31" t="s">
        <v>1900</v>
      </c>
      <c r="GM31">
        <v>1163911.47574917</v>
      </c>
      <c r="GN31">
        <v>482732.059736949</v>
      </c>
      <c r="GO31">
        <v>518298.196893311</v>
      </c>
      <c r="GP31">
        <v>1212475.6503047</v>
      </c>
      <c r="GQ31" t="s">
        <v>1900</v>
      </c>
      <c r="GR31">
        <v>0</v>
      </c>
      <c r="GS31">
        <v>0</v>
      </c>
      <c r="GT31">
        <v>0</v>
      </c>
      <c r="GU31">
        <v>0</v>
      </c>
      <c r="GV31" t="s">
        <v>1900</v>
      </c>
      <c r="GW31">
        <v>142453.824081526</v>
      </c>
      <c r="GX31">
        <v>85215.29415672419</v>
      </c>
      <c r="GY31">
        <v>144229.083385563</v>
      </c>
      <c r="GZ31">
        <v>140614.499008101</v>
      </c>
      <c r="HA31" t="s">
        <v>1900</v>
      </c>
      <c r="HB31">
        <v>1021457.65166764</v>
      </c>
      <c r="HC31">
        <v>397516.765580225</v>
      </c>
      <c r="HD31">
        <v>374069.113507748</v>
      </c>
      <c r="HE31">
        <v>1071861.1512966</v>
      </c>
      <c r="HF31" t="s">
        <v>1900</v>
      </c>
      <c r="HG31">
        <v>1021457.65166764</v>
      </c>
      <c r="HH31">
        <v>397516.765580225</v>
      </c>
      <c r="HI31">
        <v>374069.113507748</v>
      </c>
      <c r="HJ31">
        <v>1071861.1512966</v>
      </c>
      <c r="HK31" t="s">
        <v>1900</v>
      </c>
      <c r="HL31">
        <v>1330586.93280107</v>
      </c>
      <c r="HM31">
        <v>645012.238726866</v>
      </c>
      <c r="HN31">
        <v>645419.839652753</v>
      </c>
      <c r="HO31">
        <v>1247650.45172289</v>
      </c>
      <c r="HP31" t="s">
        <v>1900</v>
      </c>
      <c r="HQ31">
        <v>934500.389042292</v>
      </c>
      <c r="HR31">
        <v>437472.275700051</v>
      </c>
      <c r="HS31">
        <v>446849.612855315</v>
      </c>
      <c r="HT31">
        <v>617020.095141095</v>
      </c>
      <c r="HU31" t="s">
        <v>1900</v>
      </c>
      <c r="HV31">
        <v>3425.501537323</v>
      </c>
      <c r="HW31">
        <v>3306.45841360092</v>
      </c>
      <c r="HX31">
        <v>3511.06095314026</v>
      </c>
      <c r="HY31">
        <v>3804.00782823563</v>
      </c>
      <c r="HZ31" t="s">
        <v>1900</v>
      </c>
      <c r="IA31">
        <v>931074.887504969</v>
      </c>
      <c r="IB31">
        <v>434165.81621985</v>
      </c>
      <c r="IC31">
        <v>443338.551902175</v>
      </c>
      <c r="ID31">
        <v>613216.087312859</v>
      </c>
      <c r="IE31" t="s">
        <v>1900</v>
      </c>
      <c r="IF31">
        <v>0</v>
      </c>
      <c r="IG31">
        <v>0</v>
      </c>
      <c r="IH31">
        <v>0</v>
      </c>
      <c r="II31">
        <v>0</v>
      </c>
      <c r="IJ31" t="s">
        <v>1900</v>
      </c>
      <c r="IK31" t="s">
        <v>1900</v>
      </c>
      <c r="IL31" t="s">
        <v>1900</v>
      </c>
      <c r="IM31" t="s">
        <v>1900</v>
      </c>
      <c r="IN31" t="s">
        <v>1900</v>
      </c>
      <c r="IO31" t="s">
        <v>1900</v>
      </c>
      <c r="IP31" t="s">
        <v>1900</v>
      </c>
      <c r="IQ31" t="s">
        <v>1900</v>
      </c>
      <c r="IR31" t="s">
        <v>1900</v>
      </c>
      <c r="IS31" t="s">
        <v>1900</v>
      </c>
      <c r="IT31" t="s">
        <v>1900</v>
      </c>
      <c r="IU31" t="s">
        <v>1900</v>
      </c>
      <c r="IV31" t="s">
        <v>1900</v>
      </c>
      <c r="IW31" t="s">
        <v>1900</v>
      </c>
      <c r="IX31" t="s">
        <v>1900</v>
      </c>
      <c r="IY31" t="s">
        <v>1900</v>
      </c>
      <c r="IZ31">
        <v>396086.543758774</v>
      </c>
      <c r="JA31">
        <v>207539.963026816</v>
      </c>
      <c r="JB31">
        <v>198570.226797438</v>
      </c>
      <c r="JC31">
        <v>630630.356581795</v>
      </c>
      <c r="JD31" t="s">
        <v>1900</v>
      </c>
      <c r="JE31">
        <v>0</v>
      </c>
      <c r="JF31">
        <v>0</v>
      </c>
      <c r="JG31">
        <v>0</v>
      </c>
      <c r="JH31">
        <v>0</v>
      </c>
      <c r="JI31" t="s">
        <v>1900</v>
      </c>
      <c r="JJ31">
        <v>0</v>
      </c>
      <c r="JK31">
        <v>0</v>
      </c>
      <c r="JL31">
        <v>1093.07255673409</v>
      </c>
      <c r="JM31">
        <v>536.279206830263</v>
      </c>
      <c r="JN31" t="s">
        <v>1900</v>
      </c>
      <c r="JO31">
        <v>396086.543758774</v>
      </c>
      <c r="JP31">
        <v>207539.963026816</v>
      </c>
      <c r="JQ31">
        <v>197477.154240704</v>
      </c>
      <c r="JR31">
        <v>630094.077374965</v>
      </c>
      <c r="JS31" t="s">
        <v>1900</v>
      </c>
      <c r="JT31">
        <v>1330586.93280107</v>
      </c>
      <c r="JU31">
        <v>645012.238726866</v>
      </c>
      <c r="JV31">
        <v>645419.839652753</v>
      </c>
      <c r="JW31">
        <v>1247650.45172289</v>
      </c>
      <c r="JX31" t="s">
        <v>1900</v>
      </c>
      <c r="JY31">
        <v>142453.824081526</v>
      </c>
      <c r="JZ31">
        <v>85215.29415672419</v>
      </c>
      <c r="KA31">
        <v>143136.010828829</v>
      </c>
      <c r="KB31">
        <v>140078.219801271</v>
      </c>
      <c r="KC31" t="s">
        <v>1900</v>
      </c>
      <c r="KD31" t="s">
        <v>1900</v>
      </c>
      <c r="KE31" t="s">
        <v>1900</v>
      </c>
      <c r="KF31" t="s">
        <v>1900</v>
      </c>
      <c r="KG31" t="s">
        <v>1900</v>
      </c>
      <c r="KH31" t="s">
        <v>1900</v>
      </c>
      <c r="KI31" t="s">
        <v>1900</v>
      </c>
      <c r="KJ31" t="s">
        <v>1900</v>
      </c>
      <c r="KK31" t="s">
        <v>1900</v>
      </c>
      <c r="KL31" t="s">
        <v>1900</v>
      </c>
      <c r="KM31" t="s">
        <v>1900</v>
      </c>
      <c r="KN31">
        <v>7</v>
      </c>
      <c r="KO31">
        <v>9</v>
      </c>
      <c r="KP31">
        <v>8</v>
      </c>
      <c r="KQ31">
        <v>10</v>
      </c>
      <c r="KR31" t="s">
        <v>1900</v>
      </c>
      <c r="KS31" t="s">
        <v>1900</v>
      </c>
      <c r="KT31" t="s">
        <v>1900</v>
      </c>
      <c r="KU31" t="s">
        <v>1900</v>
      </c>
      <c r="KV31" t="s">
        <v>1900</v>
      </c>
      <c r="KW31" t="s">
        <v>1900</v>
      </c>
      <c r="KX31" t="s">
        <v>1900</v>
      </c>
      <c r="KY31" t="s">
        <v>1900</v>
      </c>
      <c r="KZ31" t="s">
        <v>1900</v>
      </c>
      <c r="LA31" t="s">
        <v>1900</v>
      </c>
      <c r="LB31" t="s">
        <v>1900</v>
      </c>
      <c r="LC31" t="s">
        <v>1900</v>
      </c>
      <c r="LD31" t="s">
        <v>1900</v>
      </c>
      <c r="LE31" t="s">
        <v>1900</v>
      </c>
      <c r="LF31" t="s">
        <v>1900</v>
      </c>
      <c r="LG31" t="s">
        <v>1900</v>
      </c>
      <c r="LH31" t="s">
        <v>1900</v>
      </c>
      <c r="LI31" t="s">
        <v>1900</v>
      </c>
      <c r="LJ31" t="s">
        <v>1900</v>
      </c>
      <c r="LK31" t="s">
        <v>1900</v>
      </c>
      <c r="LL31" t="s">
        <v>1900</v>
      </c>
      <c r="LM31" t="s">
        <v>1900</v>
      </c>
      <c r="LN31" t="s">
        <v>1900</v>
      </c>
      <c r="LO31" t="s">
        <v>1900</v>
      </c>
      <c r="LP31" t="s">
        <v>1900</v>
      </c>
      <c r="LQ31" t="s">
        <v>1900</v>
      </c>
      <c r="LR31" t="s">
        <v>1900</v>
      </c>
      <c r="LS31" t="s">
        <v>1900</v>
      </c>
      <c r="LT31" t="s">
        <v>1900</v>
      </c>
      <c r="LU31" t="s">
        <v>1900</v>
      </c>
      <c r="LV31" t="s">
        <v>1900</v>
      </c>
      <c r="LW31" t="s">
        <v>1900</v>
      </c>
      <c r="LX31" t="s">
        <v>1900</v>
      </c>
      <c r="LY31" t="s">
        <v>1900</v>
      </c>
      <c r="LZ31" t="s">
        <v>1900</v>
      </c>
      <c r="MA31" t="s">
        <v>1900</v>
      </c>
      <c r="MB31" t="s">
        <v>1900</v>
      </c>
      <c r="MC31" t="s">
        <v>1900</v>
      </c>
      <c r="MD31" t="s">
        <v>1900</v>
      </c>
      <c r="ME31" t="s">
        <v>1900</v>
      </c>
      <c r="MF31" t="s">
        <v>1900</v>
      </c>
      <c r="MG31" t="s">
        <v>1900</v>
      </c>
      <c r="MH31" t="s">
        <v>1900</v>
      </c>
      <c r="MI31" t="s">
        <v>1900</v>
      </c>
      <c r="MJ31" t="s">
        <v>1900</v>
      </c>
      <c r="MK31" t="s">
        <v>1900</v>
      </c>
      <c r="ML31" t="s">
        <v>1900</v>
      </c>
      <c r="MM31" t="s">
        <v>1900</v>
      </c>
      <c r="MN31" t="s">
        <v>1900</v>
      </c>
      <c r="MO31" t="s">
        <v>1900</v>
      </c>
      <c r="MP31" t="s">
        <v>1900</v>
      </c>
      <c r="MQ31">
        <v>1021457.65166764</v>
      </c>
      <c r="MR31">
        <v>397516.765580225</v>
      </c>
      <c r="MS31">
        <v>374069.113507748</v>
      </c>
      <c r="MT31">
        <v>1071861.1512966</v>
      </c>
      <c r="MU31" t="s">
        <v>1900</v>
      </c>
      <c r="MV31" t="s">
        <v>1900</v>
      </c>
      <c r="MW31" t="s">
        <v>1900</v>
      </c>
      <c r="MX31" t="s">
        <v>1900</v>
      </c>
      <c r="MY31" t="s">
        <v>1900</v>
      </c>
      <c r="MZ31" t="s">
        <v>1900</v>
      </c>
      <c r="NA31" t="s">
        <v>1900</v>
      </c>
      <c r="NB31" t="s">
        <v>1900</v>
      </c>
      <c r="NC31" t="s">
        <v>1900</v>
      </c>
      <c r="ND31" t="s">
        <v>1900</v>
      </c>
      <c r="NE31" t="s">
        <v>1900</v>
      </c>
      <c r="NF31" t="s">
        <v>1900</v>
      </c>
      <c r="NG31" t="s">
        <v>1900</v>
      </c>
      <c r="NH31" t="s">
        <v>1900</v>
      </c>
      <c r="NI31" t="s">
        <v>1900</v>
      </c>
      <c r="NJ31" t="s">
        <v>1900</v>
      </c>
      <c r="NK31" t="s">
        <v>1900</v>
      </c>
      <c r="NL31" t="s">
        <v>1900</v>
      </c>
      <c r="NM31" t="s">
        <v>1900</v>
      </c>
      <c r="NN31" t="s">
        <v>1900</v>
      </c>
      <c r="NO31" t="s">
        <v>1900</v>
      </c>
      <c r="NP31" t="s">
        <v>1900</v>
      </c>
      <c r="NQ31" t="s">
        <v>1900</v>
      </c>
      <c r="NR31" t="s">
        <v>1900</v>
      </c>
      <c r="NS31" t="s">
        <v>1900</v>
      </c>
      <c r="NT31" t="s">
        <v>1900</v>
      </c>
      <c r="NU31">
        <v>166675.457051897</v>
      </c>
      <c r="NV31">
        <v>162280.178989917</v>
      </c>
      <c r="NW31">
        <v>127121.642759442</v>
      </c>
      <c r="NX31">
        <v>35174.8014181852</v>
      </c>
      <c r="NY31" t="s">
        <v>1900</v>
      </c>
      <c r="NZ31" t="s">
        <v>1900</v>
      </c>
      <c r="OA31" t="s">
        <v>1900</v>
      </c>
      <c r="OB31" t="s">
        <v>1900</v>
      </c>
      <c r="OC31" t="s">
        <v>1900</v>
      </c>
      <c r="OD31" t="s">
        <v>1900</v>
      </c>
      <c r="OE31" t="s">
        <v>1900</v>
      </c>
      <c r="OF31" t="s">
        <v>1900</v>
      </c>
      <c r="OG31" t="s">
        <v>1900</v>
      </c>
      <c r="OH31" t="s">
        <v>1900</v>
      </c>
      <c r="OI31" t="s">
        <v>1900</v>
      </c>
      <c r="OJ31" t="s">
        <v>1900</v>
      </c>
      <c r="OK31" t="s">
        <v>1900</v>
      </c>
      <c r="OL31" t="s">
        <v>1900</v>
      </c>
      <c r="OM31" t="s">
        <v>1900</v>
      </c>
      <c r="ON31" t="s">
        <v>1900</v>
      </c>
      <c r="OO31" t="s">
        <v>1900</v>
      </c>
      <c r="OP31" t="s">
        <v>1900</v>
      </c>
      <c r="OQ31" t="s">
        <v>1900</v>
      </c>
      <c r="OR31" t="s">
        <v>1900</v>
      </c>
      <c r="OS31" t="s">
        <v>1900</v>
      </c>
      <c r="OT31" t="s">
        <v>1900</v>
      </c>
      <c r="OU31" t="s">
        <v>1900</v>
      </c>
      <c r="OV31" t="s">
        <v>1900</v>
      </c>
      <c r="OW31" t="s">
        <v>1900</v>
      </c>
      <c r="OX31" t="s">
        <v>1900</v>
      </c>
      <c r="OY31" t="s">
        <v>1900</v>
      </c>
      <c r="OZ31" t="s">
        <v>1900</v>
      </c>
      <c r="PA31" t="s">
        <v>1900</v>
      </c>
      <c r="PB31" t="s">
        <v>1900</v>
      </c>
      <c r="PC31" t="s">
        <v>1900</v>
      </c>
      <c r="PD31" t="s">
        <v>1900</v>
      </c>
      <c r="PE31" t="s">
        <v>1900</v>
      </c>
      <c r="PF31" t="s">
        <v>1900</v>
      </c>
      <c r="PG31" t="s">
        <v>1900</v>
      </c>
      <c r="PH31" t="s">
        <v>1900</v>
      </c>
      <c r="PI31" t="s">
        <v>1900</v>
      </c>
      <c r="PJ31" t="s">
        <v>1900</v>
      </c>
      <c r="PK31" t="s">
        <v>1900</v>
      </c>
      <c r="PL31" t="s">
        <v>1900</v>
      </c>
      <c r="PM31" t="s">
        <v>1900</v>
      </c>
      <c r="PN31" t="s">
        <v>1900</v>
      </c>
      <c r="PO31" t="s">
        <v>1900</v>
      </c>
      <c r="PP31" t="s">
        <v>1900</v>
      </c>
      <c r="PQ31" t="s">
        <v>1900</v>
      </c>
      <c r="PR31" t="s">
        <v>1900</v>
      </c>
      <c r="PS31" t="s">
        <v>1900</v>
      </c>
      <c r="PT31" t="s">
        <v>1900</v>
      </c>
      <c r="PU31" t="s">
        <v>1900</v>
      </c>
      <c r="PV31" t="s">
        <v>1900</v>
      </c>
      <c r="PW31" t="s">
        <v>1900</v>
      </c>
      <c r="PX31" t="s">
        <v>1900</v>
      </c>
      <c r="PY31" t="s">
        <v>1900</v>
      </c>
      <c r="PZ31" t="s">
        <v>1900</v>
      </c>
      <c r="QA31" t="s">
        <v>1900</v>
      </c>
      <c r="QB31" t="s">
        <v>1900</v>
      </c>
      <c r="QC31" t="s">
        <v>1900</v>
      </c>
      <c r="QD31" t="s">
        <v>1900</v>
      </c>
      <c r="QE31" t="s">
        <v>1900</v>
      </c>
      <c r="QF31" t="s">
        <v>1900</v>
      </c>
      <c r="QG31" t="s">
        <v>1900</v>
      </c>
      <c r="QH31" t="s">
        <v>1900</v>
      </c>
      <c r="QI31" t="s">
        <v>1900</v>
      </c>
      <c r="QJ31" t="s">
        <v>1900</v>
      </c>
      <c r="QK31" t="s">
        <v>1900</v>
      </c>
      <c r="QL31" t="s">
        <v>1900</v>
      </c>
      <c r="QM31" t="s">
        <v>1900</v>
      </c>
      <c r="QN31" t="s">
        <v>1900</v>
      </c>
      <c r="QO31" t="s">
        <v>1900</v>
      </c>
      <c r="QP31" t="s">
        <v>1900</v>
      </c>
      <c r="QQ31" t="s">
        <v>1900</v>
      </c>
      <c r="QR31" t="s">
        <v>1900</v>
      </c>
      <c r="QS31" t="s">
        <v>1900</v>
      </c>
      <c r="QT31" t="s">
        <v>1900</v>
      </c>
      <c r="QU31" t="s">
        <v>1900</v>
      </c>
      <c r="QV31" t="s">
        <v>1900</v>
      </c>
      <c r="QW31" t="s">
        <v>1900</v>
      </c>
      <c r="QX31" t="s">
        <v>1900</v>
      </c>
      <c r="QY31" t="s">
        <v>1900</v>
      </c>
      <c r="QZ31" t="s">
        <v>1900</v>
      </c>
      <c r="RA31" t="s">
        <v>1900</v>
      </c>
      <c r="RB31" t="s">
        <v>1900</v>
      </c>
      <c r="RC31" t="s">
        <v>1900</v>
      </c>
      <c r="RD31" t="s">
        <v>1900</v>
      </c>
      <c r="RE31" t="s">
        <v>1900</v>
      </c>
      <c r="RF31" t="s">
        <v>1900</v>
      </c>
      <c r="RG31" t="s">
        <v>1900</v>
      </c>
      <c r="RH31" t="s">
        <v>1900</v>
      </c>
      <c r="RI31" t="s">
        <v>1900</v>
      </c>
      <c r="RJ31" t="s">
        <v>1900</v>
      </c>
      <c r="RK31" t="s">
        <v>1900</v>
      </c>
      <c r="RL31" t="s">
        <v>1900</v>
      </c>
      <c r="RM31" t="s">
        <v>1900</v>
      </c>
      <c r="RN31" t="s">
        <v>1900</v>
      </c>
      <c r="RO31" t="s">
        <v>1900</v>
      </c>
      <c r="RP31" t="s">
        <v>1900</v>
      </c>
      <c r="RQ31" t="s">
        <v>1900</v>
      </c>
      <c r="RR31" t="s">
        <v>1900</v>
      </c>
      <c r="RS31" t="s">
        <v>1900</v>
      </c>
      <c r="RT31" t="s">
        <v>1900</v>
      </c>
      <c r="RU31" t="s">
        <v>1900</v>
      </c>
      <c r="RV31" t="s">
        <v>1900</v>
      </c>
      <c r="RW31" t="s">
        <v>1900</v>
      </c>
      <c r="RX31" t="s">
        <v>1900</v>
      </c>
      <c r="RY31" t="s">
        <v>1900</v>
      </c>
      <c r="RZ31" t="s">
        <v>1900</v>
      </c>
      <c r="SA31" t="s">
        <v>1900</v>
      </c>
      <c r="SB31" t="s">
        <v>1900</v>
      </c>
      <c r="SC31" t="s">
        <v>1900</v>
      </c>
      <c r="SD31" t="s">
        <v>1900</v>
      </c>
      <c r="SE31" t="s">
        <v>1900</v>
      </c>
      <c r="SF31" t="s">
        <v>1900</v>
      </c>
      <c r="SG31" t="s">
        <v>1900</v>
      </c>
      <c r="SH31" t="s">
        <v>1900</v>
      </c>
      <c r="SI31" t="s">
        <v>1900</v>
      </c>
      <c r="SJ31" t="s">
        <v>1900</v>
      </c>
      <c r="SK31">
        <v>0</v>
      </c>
      <c r="SL31">
        <v>0</v>
      </c>
      <c r="SM31">
        <v>0</v>
      </c>
      <c r="SN31">
        <v>0</v>
      </c>
      <c r="SO31" t="s">
        <v>1900</v>
      </c>
      <c r="SP31" t="s">
        <v>1900</v>
      </c>
      <c r="SQ31" t="s">
        <v>1900</v>
      </c>
      <c r="SR31" t="s">
        <v>1900</v>
      </c>
      <c r="SS31" t="s">
        <v>1900</v>
      </c>
      <c r="ST31" t="s">
        <v>1900</v>
      </c>
      <c r="SU31" t="s">
        <v>1900</v>
      </c>
      <c r="SV31" t="s">
        <v>1900</v>
      </c>
      <c r="SW31" t="s">
        <v>1900</v>
      </c>
      <c r="SX31" t="s">
        <v>1900</v>
      </c>
      <c r="SY31" t="s">
        <v>1900</v>
      </c>
      <c r="SZ31" t="s">
        <v>1900</v>
      </c>
      <c r="TA31" t="s">
        <v>1900</v>
      </c>
      <c r="TB31" t="s">
        <v>1900</v>
      </c>
      <c r="TC31" t="s">
        <v>1900</v>
      </c>
      <c r="TD31" t="s">
        <v>1900</v>
      </c>
      <c r="TE31" t="s">
        <v>1900</v>
      </c>
      <c r="TF31" t="s">
        <v>1900</v>
      </c>
      <c r="TG31" t="s">
        <v>1900</v>
      </c>
      <c r="TH31" t="s">
        <v>1900</v>
      </c>
      <c r="TI31" t="s">
        <v>1900</v>
      </c>
      <c r="TJ31" t="s">
        <v>1900</v>
      </c>
      <c r="TK31" t="s">
        <v>1900</v>
      </c>
      <c r="TL31" t="s">
        <v>1900</v>
      </c>
      <c r="TM31" t="s">
        <v>1900</v>
      </c>
      <c r="TN31" t="s">
        <v>1900</v>
      </c>
      <c r="TO31" t="s">
        <v>1900</v>
      </c>
      <c r="TP31" t="s">
        <v>1900</v>
      </c>
      <c r="TQ31" t="s">
        <v>1900</v>
      </c>
      <c r="TR31" t="s">
        <v>1900</v>
      </c>
      <c r="TS31" t="s">
        <v>1900</v>
      </c>
      <c r="TT31">
        <v>1330586.93280107</v>
      </c>
      <c r="TU31">
        <v>645012.238726866</v>
      </c>
      <c r="TV31">
        <v>645419.839652753</v>
      </c>
      <c r="TW31">
        <v>1247650.45172289</v>
      </c>
      <c r="TX31" t="s">
        <v>1900</v>
      </c>
      <c r="TY31" t="s">
        <v>1900</v>
      </c>
      <c r="TZ31" t="s">
        <v>1900</v>
      </c>
      <c r="UA31" t="s">
        <v>1900</v>
      </c>
      <c r="UB31" t="s">
        <v>1900</v>
      </c>
      <c r="UC31" t="s">
        <v>1900</v>
      </c>
      <c r="UD31">
        <v>0</v>
      </c>
      <c r="UE31">
        <v>0</v>
      </c>
      <c r="UF31">
        <v>0</v>
      </c>
      <c r="UG31">
        <v>0</v>
      </c>
      <c r="UH31" t="s">
        <v>1900</v>
      </c>
      <c r="UI31" t="s">
        <v>1900</v>
      </c>
      <c r="UJ31" t="s">
        <v>1900</v>
      </c>
      <c r="UK31" t="s">
        <v>1900</v>
      </c>
      <c r="UL31" t="s">
        <v>1900</v>
      </c>
      <c r="UM31" t="s">
        <v>1900</v>
      </c>
      <c r="UN31" t="s">
        <v>1900</v>
      </c>
      <c r="UO31" t="s">
        <v>1900</v>
      </c>
      <c r="UP31" t="s">
        <v>1900</v>
      </c>
      <c r="UQ31" t="s">
        <v>1900</v>
      </c>
      <c r="UR31" t="s">
        <v>1900</v>
      </c>
      <c r="US31" t="s">
        <v>1900</v>
      </c>
      <c r="UT31" t="s">
        <v>1900</v>
      </c>
      <c r="UU31" t="s">
        <v>1900</v>
      </c>
      <c r="UV31" t="s">
        <v>1900</v>
      </c>
      <c r="UW31" t="s">
        <v>1900</v>
      </c>
      <c r="UX31" t="s">
        <v>1900</v>
      </c>
      <c r="UY31" t="s">
        <v>1900</v>
      </c>
      <c r="UZ31" t="s">
        <v>1900</v>
      </c>
      <c r="VA31" t="s">
        <v>1900</v>
      </c>
      <c r="VB31" t="s">
        <v>1900</v>
      </c>
      <c r="VC31" t="s">
        <v>1900</v>
      </c>
      <c r="VD31" t="s">
        <v>1900</v>
      </c>
      <c r="VE31" t="s">
        <v>1900</v>
      </c>
      <c r="VF31" t="s">
        <v>1900</v>
      </c>
      <c r="VG31" t="s">
        <v>1900</v>
      </c>
      <c r="VH31" t="s">
        <v>1900</v>
      </c>
      <c r="VI31" t="s">
        <v>1900</v>
      </c>
      <c r="VJ31" t="s">
        <v>1900</v>
      </c>
      <c r="VK31" t="s">
        <v>1900</v>
      </c>
      <c r="VL31" t="s">
        <v>1900</v>
      </c>
      <c r="VM31" t="s">
        <v>1900</v>
      </c>
      <c r="VN31" t="s">
        <v>1900</v>
      </c>
      <c r="VO31" t="s">
        <v>1900</v>
      </c>
      <c r="VP31" t="s">
        <v>1900</v>
      </c>
      <c r="VQ31" t="s">
        <v>1900</v>
      </c>
      <c r="VR31" t="s">
        <v>1900</v>
      </c>
      <c r="VS31" t="s">
        <v>1900</v>
      </c>
      <c r="VT31" t="s">
        <v>1900</v>
      </c>
      <c r="VU31" t="s">
        <v>1900</v>
      </c>
      <c r="VV31" t="s">
        <v>1900</v>
      </c>
      <c r="VW31" t="s">
        <v>1900</v>
      </c>
      <c r="VX31" t="s">
        <v>1900</v>
      </c>
      <c r="VY31" t="s">
        <v>1900</v>
      </c>
      <c r="VZ31" t="s">
        <v>1900</v>
      </c>
      <c r="WA31" t="s">
        <v>1900</v>
      </c>
      <c r="WB31">
        <v>396086.543758774</v>
      </c>
      <c r="WC31">
        <v>207539.963026816</v>
      </c>
      <c r="WD31">
        <v>197477.154240704</v>
      </c>
      <c r="WE31">
        <v>630094.077374965</v>
      </c>
      <c r="WF31" t="s">
        <v>1900</v>
      </c>
      <c r="WG31" t="s">
        <v>1900</v>
      </c>
      <c r="WH31" t="s">
        <v>1900</v>
      </c>
      <c r="WI31" t="s">
        <v>1900</v>
      </c>
      <c r="WJ31" t="s">
        <v>1900</v>
      </c>
      <c r="WK31" t="s">
        <v>1900</v>
      </c>
      <c r="WL31" t="s">
        <v>1900</v>
      </c>
      <c r="WM31" t="s">
        <v>1900</v>
      </c>
      <c r="WN31" t="s">
        <v>1900</v>
      </c>
      <c r="WO31" t="s">
        <v>1900</v>
      </c>
      <c r="WP31" t="s">
        <v>1900</v>
      </c>
      <c r="WQ31" t="s">
        <v>1900</v>
      </c>
      <c r="WR31" t="s">
        <v>1900</v>
      </c>
      <c r="WS31" t="s">
        <v>1900</v>
      </c>
      <c r="WT31" t="s">
        <v>1900</v>
      </c>
      <c r="WU31" t="s">
        <v>1900</v>
      </c>
      <c r="WV31" t="s">
        <v>1900</v>
      </c>
      <c r="WW31" t="s">
        <v>1900</v>
      </c>
      <c r="WX31" t="s">
        <v>1900</v>
      </c>
      <c r="WY31" t="s">
        <v>1900</v>
      </c>
      <c r="WZ31" t="s">
        <v>1900</v>
      </c>
      <c r="XA31" t="s">
        <v>1900</v>
      </c>
      <c r="XB31" t="s">
        <v>1900</v>
      </c>
      <c r="XC31" t="s">
        <v>1900</v>
      </c>
      <c r="XD31" t="s">
        <v>1900</v>
      </c>
      <c r="XE31" t="s">
        <v>1900</v>
      </c>
      <c r="XF31" t="s">
        <v>1900</v>
      </c>
      <c r="XG31" t="s">
        <v>1900</v>
      </c>
      <c r="XH31" t="s">
        <v>1900</v>
      </c>
      <c r="XI31" t="s">
        <v>1900</v>
      </c>
      <c r="XJ31" t="s">
        <v>1900</v>
      </c>
      <c r="XK31" t="s">
        <v>1900</v>
      </c>
      <c r="XL31" t="s">
        <v>1900</v>
      </c>
      <c r="XM31" t="s">
        <v>1900</v>
      </c>
      <c r="XN31" t="s">
        <v>1900</v>
      </c>
      <c r="XO31" t="s">
        <v>1900</v>
      </c>
      <c r="XP31" t="s">
        <v>1900</v>
      </c>
      <c r="XQ31" t="s">
        <v>1900</v>
      </c>
      <c r="XR31" t="s">
        <v>1900</v>
      </c>
      <c r="XS31" t="s">
        <v>1900</v>
      </c>
      <c r="XT31" t="s">
        <v>1900</v>
      </c>
      <c r="XU31" t="s">
        <v>1900</v>
      </c>
      <c r="XV31" t="s">
        <v>1900</v>
      </c>
      <c r="XW31" t="s">
        <v>1900</v>
      </c>
      <c r="XX31" t="s">
        <v>1900</v>
      </c>
      <c r="XY31" t="s">
        <v>1900</v>
      </c>
      <c r="XZ31" t="s">
        <v>1900</v>
      </c>
      <c r="YA31" t="s">
        <v>1900</v>
      </c>
      <c r="YB31" t="s">
        <v>1900</v>
      </c>
      <c r="YC31" t="s">
        <v>1900</v>
      </c>
      <c r="YD31" t="s">
        <v>1900</v>
      </c>
      <c r="YE31" t="s">
        <v>1900</v>
      </c>
      <c r="YF31" t="s">
        <v>1900</v>
      </c>
      <c r="YG31" t="s">
        <v>1900</v>
      </c>
      <c r="YH31" t="s">
        <v>1900</v>
      </c>
      <c r="YI31" t="s">
        <v>1900</v>
      </c>
      <c r="YJ31" t="s">
        <v>1900</v>
      </c>
      <c r="YK31" t="s">
        <v>1900</v>
      </c>
      <c r="YL31" t="s">
        <v>1900</v>
      </c>
      <c r="YM31" t="s">
        <v>1900</v>
      </c>
      <c r="YN31" t="s">
        <v>1900</v>
      </c>
      <c r="YO31" t="s">
        <v>1900</v>
      </c>
      <c r="YP31" t="s">
        <v>1900</v>
      </c>
      <c r="YQ31" t="s">
        <v>1900</v>
      </c>
      <c r="YR31" t="s">
        <v>1900</v>
      </c>
      <c r="YS31" t="s">
        <v>1900</v>
      </c>
      <c r="YT31" t="s">
        <v>1900</v>
      </c>
      <c r="YU31" t="s">
        <v>1900</v>
      </c>
      <c r="YV31" t="s">
        <v>1900</v>
      </c>
      <c r="YW31" t="s">
        <v>1900</v>
      </c>
      <c r="YX31" t="s">
        <v>1900</v>
      </c>
      <c r="YY31" t="s">
        <v>1900</v>
      </c>
      <c r="YZ31" t="s">
        <v>1900</v>
      </c>
      <c r="ZA31" t="s">
        <v>1900</v>
      </c>
      <c r="ZB31" t="s">
        <v>1900</v>
      </c>
      <c r="ZC31" t="s">
        <v>1900</v>
      </c>
      <c r="ZD31" t="s">
        <v>1900</v>
      </c>
      <c r="ZE31" t="s">
        <v>1900</v>
      </c>
      <c r="ZF31" t="s">
        <v>1900</v>
      </c>
      <c r="ZG31" t="s">
        <v>1900</v>
      </c>
      <c r="ZH31" t="s">
        <v>1900</v>
      </c>
      <c r="ZI31" t="s">
        <v>1900</v>
      </c>
      <c r="ZJ31" t="s">
        <v>1900</v>
      </c>
      <c r="ZK31" t="s">
        <v>1900</v>
      </c>
      <c r="ZL31" t="s">
        <v>1900</v>
      </c>
      <c r="ZM31" t="s">
        <v>1900</v>
      </c>
      <c r="ZN31" t="s">
        <v>1900</v>
      </c>
      <c r="ZO31" t="s">
        <v>1900</v>
      </c>
      <c r="ZP31" t="s">
        <v>1900</v>
      </c>
      <c r="ZQ31" t="s">
        <v>1900</v>
      </c>
      <c r="ZR31" t="s">
        <v>1900</v>
      </c>
      <c r="ZS31" t="s">
        <v>1900</v>
      </c>
      <c r="ZT31" t="s">
        <v>1900</v>
      </c>
      <c r="ZU31" t="s">
        <v>1900</v>
      </c>
      <c r="ZV31" t="s">
        <v>1900</v>
      </c>
      <c r="ZW31" t="s">
        <v>1900</v>
      </c>
      <c r="ZX31" t="s">
        <v>1900</v>
      </c>
      <c r="ZY31" t="s">
        <v>1900</v>
      </c>
      <c r="ZZ31" t="s">
        <v>1900</v>
      </c>
      <c r="AAA31" t="s">
        <v>1900</v>
      </c>
      <c r="AAB31" t="s">
        <v>1900</v>
      </c>
      <c r="AAC31" t="s">
        <v>1900</v>
      </c>
      <c r="AAD31" t="s">
        <v>1900</v>
      </c>
      <c r="AAE31" t="s">
        <v>1900</v>
      </c>
      <c r="AAF31" t="s">
        <v>1900</v>
      </c>
      <c r="AAG31" t="s">
        <v>1900</v>
      </c>
      <c r="AAH31" t="s">
        <v>1900</v>
      </c>
      <c r="AAI31" t="s">
        <v>1900</v>
      </c>
      <c r="AAJ31" t="s">
        <v>1900</v>
      </c>
      <c r="AAK31" t="s">
        <v>1900</v>
      </c>
      <c r="AAL31" t="s">
        <v>1900</v>
      </c>
      <c r="AAM31" t="s">
        <v>1900</v>
      </c>
      <c r="AAN31" t="s">
        <v>1900</v>
      </c>
      <c r="AAO31" t="s">
        <v>1900</v>
      </c>
      <c r="AAP31" t="s">
        <v>1900</v>
      </c>
      <c r="AAQ31" t="s">
        <v>1900</v>
      </c>
      <c r="AAR31" t="s">
        <v>1900</v>
      </c>
      <c r="AAS31" t="s">
        <v>1900</v>
      </c>
      <c r="AAT31" t="s">
        <v>1900</v>
      </c>
      <c r="AAU31" t="s">
        <v>1900</v>
      </c>
      <c r="AAV31" t="s">
        <v>1900</v>
      </c>
      <c r="AAW31" t="s">
        <v>1900</v>
      </c>
      <c r="AAX31" t="s">
        <v>1900</v>
      </c>
      <c r="AAY31" t="s">
        <v>1900</v>
      </c>
      <c r="AAZ31" t="s">
        <v>1900</v>
      </c>
      <c r="ABA31" t="s">
        <v>1900</v>
      </c>
      <c r="ABB31" t="s">
        <v>1900</v>
      </c>
      <c r="ABC31" t="s">
        <v>1900</v>
      </c>
      <c r="ABD31" t="s">
        <v>1900</v>
      </c>
      <c r="ABE31" t="s">
        <v>1900</v>
      </c>
      <c r="ABF31" t="s">
        <v>1900</v>
      </c>
      <c r="ABG31" t="s">
        <v>1900</v>
      </c>
      <c r="ABH31" t="s">
        <v>1900</v>
      </c>
      <c r="ABI31" t="s">
        <v>1900</v>
      </c>
      <c r="ABJ31" t="s">
        <v>1900</v>
      </c>
      <c r="ABK31" t="s">
        <v>1900</v>
      </c>
      <c r="ABL31" t="s">
        <v>1900</v>
      </c>
      <c r="ABM31" t="s">
        <v>1900</v>
      </c>
      <c r="ABN31" t="s">
        <v>1900</v>
      </c>
      <c r="ABO31" t="s">
        <v>1900</v>
      </c>
      <c r="ABP31" t="s">
        <v>1900</v>
      </c>
      <c r="ABQ31" t="s">
        <v>1900</v>
      </c>
      <c r="ABR31" t="s">
        <v>1900</v>
      </c>
      <c r="ABS31" t="s">
        <v>1900</v>
      </c>
      <c r="ABT31" t="s">
        <v>1900</v>
      </c>
      <c r="ABU31" t="s">
        <v>1900</v>
      </c>
      <c r="ABV31" t="s">
        <v>1900</v>
      </c>
      <c r="ABW31" t="s">
        <v>1900</v>
      </c>
      <c r="ABX31" t="s">
        <v>1900</v>
      </c>
      <c r="ABY31" t="s">
        <v>1900</v>
      </c>
      <c r="ABZ31" t="s">
        <v>1900</v>
      </c>
      <c r="ACA31" t="s">
        <v>1900</v>
      </c>
      <c r="ACB31" t="s">
        <v>1900</v>
      </c>
      <c r="ACC31" t="s">
        <v>1900</v>
      </c>
      <c r="ACD31" t="s">
        <v>1900</v>
      </c>
      <c r="ACE31" t="s">
        <v>1900</v>
      </c>
      <c r="ACF31">
        <v>126.571</v>
      </c>
      <c r="ACG31">
        <v>119.389</v>
      </c>
      <c r="ACH31">
        <v>118.837</v>
      </c>
      <c r="ACI31">
        <v>122.162</v>
      </c>
      <c r="ACJ31" t="s">
        <v>1900</v>
      </c>
      <c r="ACK31" t="s">
        <v>1900</v>
      </c>
      <c r="ACL31" t="s">
        <v>1900</v>
      </c>
      <c r="ACM31" t="s">
        <v>1900</v>
      </c>
      <c r="ACN31" t="s">
        <v>1900</v>
      </c>
      <c r="ACO31" t="s">
        <v>1900</v>
      </c>
      <c r="ACP31">
        <v>88.893</v>
      </c>
      <c r="ACQ31">
        <v>80.974</v>
      </c>
      <c r="ACR31">
        <v>82.276</v>
      </c>
      <c r="ACS31">
        <v>60.415</v>
      </c>
      <c r="ACT31" t="s">
        <v>1900</v>
      </c>
      <c r="ACU31">
        <v>94.928</v>
      </c>
      <c r="ACV31">
        <v>89.542</v>
      </c>
      <c r="ACW31">
        <v>89.128</v>
      </c>
      <c r="ACX31">
        <v>91.46899999999999</v>
      </c>
      <c r="ACY31" t="s">
        <v>1900</v>
      </c>
      <c r="ACZ31" t="s">
        <v>1900</v>
      </c>
      <c r="ADA31" t="s">
        <v>1900</v>
      </c>
      <c r="ADB31" t="s">
        <v>1900</v>
      </c>
      <c r="ADC31" t="s">
        <v>1900</v>
      </c>
      <c r="ADD31" t="s">
        <v>1900</v>
      </c>
      <c r="ADE31">
        <v>66.67</v>
      </c>
      <c r="ADF31">
        <v>60.731</v>
      </c>
      <c r="ADG31">
        <v>61.707</v>
      </c>
      <c r="ADH31">
        <v>45.236</v>
      </c>
      <c r="ADI31" t="s">
        <v>1900</v>
      </c>
      <c r="ADJ31">
        <v>75.32299999999999</v>
      </c>
      <c r="ADK31">
        <v>52.59</v>
      </c>
      <c r="ADL31">
        <v>57.095</v>
      </c>
      <c r="ADM31">
        <v>67.613</v>
      </c>
      <c r="ADN31" t="s">
        <v>1900</v>
      </c>
      <c r="ADO31">
        <v>99.998</v>
      </c>
      <c r="ADP31">
        <v>99.58799999999999</v>
      </c>
      <c r="ADQ31">
        <v>99.29600000000001</v>
      </c>
      <c r="ADR31">
        <v>99.337</v>
      </c>
      <c r="ADS31" t="s">
        <v>1900</v>
      </c>
      <c r="ADT31">
        <v>75.31831960300001</v>
      </c>
      <c r="ADU31">
        <v>52.58961414</v>
      </c>
      <c r="ADV31">
        <v>57.09503131</v>
      </c>
      <c r="ADW31">
        <v>67.61335133999999</v>
      </c>
      <c r="ADX31" t="s">
        <v>1900</v>
      </c>
      <c r="ADY31">
        <v>76.523</v>
      </c>
      <c r="ADZ31">
        <v>53.872</v>
      </c>
      <c r="AEA31">
        <v>57.968</v>
      </c>
      <c r="AEB31">
        <v>67.613</v>
      </c>
      <c r="AEC31" t="s">
        <v>1900</v>
      </c>
      <c r="AED31">
        <v>75.318</v>
      </c>
      <c r="AEE31">
        <v>52.59</v>
      </c>
      <c r="AEF31">
        <v>57.095</v>
      </c>
      <c r="AEG31">
        <v>67.613</v>
      </c>
      <c r="AEH31" t="s">
        <v>1900</v>
      </c>
      <c r="AEI31">
        <v>57.697</v>
      </c>
      <c r="AEJ31">
        <v>40.725</v>
      </c>
      <c r="AEK31">
        <v>43.694</v>
      </c>
      <c r="AEL31" t="s">
        <v>1900</v>
      </c>
      <c r="AEM31" t="s">
        <v>1900</v>
      </c>
      <c r="AEN31">
        <v>305.158799534</v>
      </c>
      <c r="AEO31">
        <v>110.92424832</v>
      </c>
      <c r="AEP31">
        <v>133.073238493</v>
      </c>
      <c r="AEQ31">
        <v>208.769212432</v>
      </c>
      <c r="AER31" t="s">
        <v>1900</v>
      </c>
      <c r="AES31">
        <v>4.05185816</v>
      </c>
      <c r="AET31">
        <v>2.118973968</v>
      </c>
      <c r="AEU31">
        <v>2.352947737</v>
      </c>
      <c r="AEV31">
        <v>3.131344807</v>
      </c>
      <c r="AEW31" t="s">
        <v>1900</v>
      </c>
      <c r="AEX31" t="s">
        <v>1900</v>
      </c>
      <c r="AEY31" t="s">
        <v>1900</v>
      </c>
      <c r="AEZ31" t="s">
        <v>1900</v>
      </c>
      <c r="AFA31" t="s">
        <v>1900</v>
      </c>
      <c r="AFB31" t="s">
        <v>1900</v>
      </c>
      <c r="AFC31" t="s">
        <v>1900</v>
      </c>
      <c r="AFD31" t="s">
        <v>1900</v>
      </c>
      <c r="AFE31" t="s">
        <v>1900</v>
      </c>
      <c r="AFF31" t="s">
        <v>1900</v>
      </c>
      <c r="AFG31" t="s">
        <v>1900</v>
      </c>
      <c r="AFH31">
        <v>1.68</v>
      </c>
      <c r="AFI31">
        <v>2.27</v>
      </c>
      <c r="AFJ31">
        <v>2.081</v>
      </c>
      <c r="AFK31">
        <v>1.807</v>
      </c>
      <c r="AFL31" t="s">
        <v>1900</v>
      </c>
      <c r="AFM31" t="s">
        <v>1900</v>
      </c>
      <c r="AFN31" t="s">
        <v>1900</v>
      </c>
      <c r="AFO31" t="s">
        <v>1900</v>
      </c>
      <c r="AFP31" t="s">
        <v>1900</v>
      </c>
      <c r="AFQ31" t="s">
        <v>1900</v>
      </c>
      <c r="AFR31" t="s">
        <v>1901</v>
      </c>
      <c r="AFS31" t="s">
        <v>1901</v>
      </c>
      <c r="AFT31" t="s">
        <v>1901</v>
      </c>
      <c r="AFU31" t="s">
        <v>1901</v>
      </c>
      <c r="AFV31" t="s">
        <v>1900</v>
      </c>
      <c r="AFW31">
        <v>32.658</v>
      </c>
      <c r="AFX31">
        <v>30.889</v>
      </c>
      <c r="AFY31">
        <v>55.827</v>
      </c>
      <c r="AFZ31">
        <v>45.408</v>
      </c>
      <c r="AGA31" t="s">
        <v>1900</v>
      </c>
      <c r="AGB31">
        <v>0</v>
      </c>
      <c r="AGC31">
        <v>0</v>
      </c>
      <c r="AGD31">
        <v>0.423</v>
      </c>
      <c r="AGE31">
        <v>0.173</v>
      </c>
      <c r="AGF31" t="s">
        <v>1900</v>
      </c>
      <c r="AGG31" t="s">
        <v>1900</v>
      </c>
      <c r="AGH31" t="s">
        <v>1900</v>
      </c>
      <c r="AGI31" t="s">
        <v>1900</v>
      </c>
      <c r="AGJ31" t="s">
        <v>1900</v>
      </c>
      <c r="AGK31" t="s">
        <v>1900</v>
      </c>
      <c r="AGL31" t="s">
        <v>1900</v>
      </c>
      <c r="AGM31" t="s">
        <v>1900</v>
      </c>
      <c r="AGN31" t="s">
        <v>1900</v>
      </c>
      <c r="AGO31" t="s">
        <v>1900</v>
      </c>
      <c r="AGP31" t="s">
        <v>1900</v>
      </c>
      <c r="AGQ31" t="s">
        <v>1900</v>
      </c>
      <c r="AGR31" t="s">
        <v>1900</v>
      </c>
      <c r="AGS31" t="s">
        <v>1900</v>
      </c>
      <c r="AGT31" t="s">
        <v>1900</v>
      </c>
      <c r="AGU31">
        <v>0</v>
      </c>
      <c r="AGV31">
        <v>0</v>
      </c>
      <c r="AGW31">
        <v>0</v>
      </c>
      <c r="AGX31">
        <v>0</v>
      </c>
      <c r="AGY31">
        <v>0</v>
      </c>
      <c r="AGZ31" t="s">
        <v>1900</v>
      </c>
      <c r="AHA31">
        <v>2.939</v>
      </c>
      <c r="AHB31">
        <v>2.326</v>
      </c>
      <c r="AHC31">
        <v>2.61</v>
      </c>
      <c r="AHD31">
        <v>1.923</v>
      </c>
      <c r="AHE31" t="s">
        <v>1900</v>
      </c>
      <c r="AHF31">
        <v>2.939</v>
      </c>
      <c r="AHG31">
        <v>2.326</v>
      </c>
      <c r="AHH31">
        <v>2.61</v>
      </c>
      <c r="AHI31">
        <v>1.923</v>
      </c>
      <c r="AHJ31" t="s">
        <v>1900</v>
      </c>
      <c r="AHK31" t="s">
        <v>1901</v>
      </c>
      <c r="AHL31" t="s">
        <v>1901</v>
      </c>
      <c r="AHM31" t="s">
        <v>1901</v>
      </c>
      <c r="AHN31" t="s">
        <v>1901</v>
      </c>
      <c r="AHO31" t="s">
        <v>1900</v>
      </c>
      <c r="AHP31">
        <v>70.232</v>
      </c>
      <c r="AHQ31">
        <v>67.824</v>
      </c>
      <c r="AHR31">
        <v>69.23399999999999</v>
      </c>
      <c r="AHS31">
        <v>49.455</v>
      </c>
      <c r="AHT31" t="s">
        <v>1900</v>
      </c>
      <c r="AHU31" t="s">
        <v>1901</v>
      </c>
      <c r="AHV31" t="s">
        <v>1901</v>
      </c>
      <c r="AHW31" t="s">
        <v>1901</v>
      </c>
      <c r="AHX31">
        <v>97.842</v>
      </c>
      <c r="AHY31" t="s">
        <v>1900</v>
      </c>
      <c r="AHZ31">
        <v>0</v>
      </c>
      <c r="AIA31">
        <v>0</v>
      </c>
      <c r="AIB31">
        <v>0</v>
      </c>
      <c r="AIC31">
        <v>0</v>
      </c>
      <c r="AID31" t="s">
        <v>1900</v>
      </c>
      <c r="AIE31">
        <v>0</v>
      </c>
      <c r="AIF31">
        <v>0</v>
      </c>
      <c r="AIG31">
        <v>0</v>
      </c>
      <c r="AIH31">
        <v>0</v>
      </c>
      <c r="AII31" t="s">
        <v>1900</v>
      </c>
      <c r="AIJ31">
        <v>76.767449498</v>
      </c>
      <c r="AIK31">
        <v>61.629336889</v>
      </c>
      <c r="AIL31">
        <v>57.957486046</v>
      </c>
      <c r="AIM31">
        <v>85.91037255800001</v>
      </c>
      <c r="AIN31" t="s">
        <v>1900</v>
      </c>
      <c r="AIO31">
        <v>29.767806522</v>
      </c>
      <c r="AIP31">
        <v>32.176127919</v>
      </c>
      <c r="AIQ31">
        <v>30.596697236</v>
      </c>
      <c r="AIR31">
        <v>50.50245255</v>
      </c>
      <c r="AIS31" t="s">
        <v>1900</v>
      </c>
      <c r="AIT31">
        <v>0</v>
      </c>
      <c r="AIU31">
        <v>0</v>
      </c>
      <c r="AIV31">
        <v>0</v>
      </c>
      <c r="AIW31">
        <v>0</v>
      </c>
      <c r="AIX31" t="s">
        <v>1900</v>
      </c>
      <c r="AIY31">
        <v>168.971709962427</v>
      </c>
      <c r="AIZ31">
        <v>58.032676619218</v>
      </c>
      <c r="AJA31">
        <v>66.37780107984069</v>
      </c>
      <c r="AJB31">
        <v>75.37651941992939</v>
      </c>
      <c r="AJC31" t="s">
        <v>1900</v>
      </c>
      <c r="AJD31">
        <v>224.33027232667</v>
      </c>
      <c r="AJE31">
        <v>110.35007160816</v>
      </c>
      <c r="AJF31">
        <v>116.258454148436</v>
      </c>
      <c r="AJG31">
        <v>111.481708754042</v>
      </c>
      <c r="AJH31" t="s">
        <v>1900</v>
      </c>
      <c r="AJI31">
        <v>18.808</v>
      </c>
      <c r="AJJ31">
        <v>37.885</v>
      </c>
      <c r="AJK31">
        <v>34.046</v>
      </c>
      <c r="AJL31">
        <v>27.36</v>
      </c>
      <c r="AJM31" t="s">
        <v>1900</v>
      </c>
      <c r="AJN31">
        <v>42.1920648702803</v>
      </c>
      <c r="AJO31">
        <v>41.805634658758</v>
      </c>
      <c r="AJP31">
        <v>39.5817655717778</v>
      </c>
      <c r="AJQ31">
        <v>30.5010734633857</v>
      </c>
      <c r="AJR31" t="s">
        <v>1900</v>
      </c>
      <c r="AJS31">
        <v>133.500055893185</v>
      </c>
      <c r="AJT31">
        <v>48.60803075185</v>
      </c>
      <c r="AJU31">
        <v>55.8562013237643</v>
      </c>
      <c r="AJV31">
        <v>61.7020095141095</v>
      </c>
      <c r="AJW31" t="s">
        <v>1900</v>
      </c>
      <c r="AJX31">
        <v>20.3505466130753</v>
      </c>
      <c r="AJY31">
        <v>9.468365780391689</v>
      </c>
      <c r="AJZ31">
        <v>17.8920019199038</v>
      </c>
      <c r="AKA31">
        <v>14.0078219801271</v>
      </c>
      <c r="AKB31" t="s">
        <v>1900</v>
      </c>
      <c r="AKC31">
        <v>190.083847227295</v>
      </c>
      <c r="AKD31">
        <v>71.6680268807405</v>
      </c>
      <c r="AKE31">
        <v>80.6774802397442</v>
      </c>
      <c r="AKF31">
        <v>124.765045172289</v>
      </c>
      <c r="AKG31" t="s">
        <v>1900</v>
      </c>
      <c r="AKH31">
        <v>0</v>
      </c>
      <c r="AKI31">
        <v>0</v>
      </c>
      <c r="AKJ31">
        <v>0</v>
      </c>
      <c r="AKK31">
        <v>0</v>
      </c>
      <c r="AKL31" t="s">
        <v>1900</v>
      </c>
      <c r="AKM31">
        <v>0</v>
      </c>
      <c r="AKN31">
        <v>0</v>
      </c>
      <c r="AKO31">
        <v>0</v>
      </c>
      <c r="AKP31">
        <v>0</v>
      </c>
      <c r="AKQ31" t="s">
        <v>1900</v>
      </c>
      <c r="AKR31">
        <v>0</v>
      </c>
      <c r="AKS31">
        <v>0</v>
      </c>
      <c r="AKT31">
        <v>0</v>
      </c>
      <c r="AKU31">
        <v>0</v>
      </c>
      <c r="AKV31" t="s">
        <v>1900</v>
      </c>
      <c r="AKW31">
        <v>10.614162472</v>
      </c>
      <c r="AKX31">
        <v>16.339935965</v>
      </c>
      <c r="AKY31">
        <v>13.667999855</v>
      </c>
      <c r="AKZ31">
        <v>3.155208313</v>
      </c>
      <c r="ALA31" t="s">
        <v>1900</v>
      </c>
      <c r="ALB31">
        <v>12.526461289</v>
      </c>
      <c r="ALC31">
        <v>25.159240282</v>
      </c>
      <c r="ALD31">
        <v>19.695961442</v>
      </c>
      <c r="ALE31">
        <v>2.819283347</v>
      </c>
      <c r="ALF31" t="s">
        <v>1900</v>
      </c>
      <c r="ALG31">
        <v>0</v>
      </c>
      <c r="ALH31">
        <v>0</v>
      </c>
      <c r="ALI31">
        <v>0</v>
      </c>
      <c r="ALJ31">
        <v>0</v>
      </c>
      <c r="ALK31" t="s">
        <v>1900</v>
      </c>
      <c r="ALL31">
        <v>0</v>
      </c>
      <c r="ALM31">
        <v>0</v>
      </c>
      <c r="ALN31">
        <v>0</v>
      </c>
      <c r="ALO31">
        <v>0</v>
      </c>
      <c r="ALP31" t="s">
        <v>1900</v>
      </c>
      <c r="ALQ31">
        <v>9.07168974</v>
      </c>
      <c r="ALR31">
        <v>8.580298952</v>
      </c>
      <c r="ALS31">
        <v>15.507375834</v>
      </c>
      <c r="ALT31">
        <v>12.613234994</v>
      </c>
      <c r="ALU31" t="s">
        <v>1900</v>
      </c>
      <c r="ALV31">
        <v>0</v>
      </c>
      <c r="ALW31">
        <v>0</v>
      </c>
      <c r="ALX31">
        <v>0.757872498</v>
      </c>
      <c r="ALY31">
        <v>0.381382582</v>
      </c>
      <c r="ALZ31" t="s">
        <v>1900</v>
      </c>
      <c r="AMA31">
        <v>99.99781506685009</v>
      </c>
      <c r="AMB31">
        <v>99.58768167579829</v>
      </c>
      <c r="AMC31">
        <v>99.2955019894322</v>
      </c>
      <c r="AMD31">
        <v>99.3366797804015</v>
      </c>
      <c r="AME31" t="s">
        <v>1900</v>
      </c>
      <c r="AMF31">
        <v>99.99781506685009</v>
      </c>
      <c r="AMG31">
        <v>99.58768167579829</v>
      </c>
      <c r="AMH31">
        <v>99.2955019894322</v>
      </c>
      <c r="AMI31">
        <v>99.373596310678</v>
      </c>
      <c r="AMJ31" t="s">
        <v>1900</v>
      </c>
      <c r="AMK31">
        <v>4576699.06602254</v>
      </c>
      <c r="AML31">
        <v>24153.1059451716</v>
      </c>
      <c r="AMM31">
        <v>14094.5042427301</v>
      </c>
      <c r="AMN31">
        <v>14975.6749222153</v>
      </c>
      <c r="AMO31" t="s">
        <v>1900</v>
      </c>
      <c r="AMP31">
        <v>4.05185815952271</v>
      </c>
      <c r="AMQ31">
        <v>2.11897396846742</v>
      </c>
      <c r="AMR31">
        <v>2.35294773709879</v>
      </c>
      <c r="AMS31">
        <v>3.13134480726548</v>
      </c>
      <c r="AMT31" t="s">
        <v>1900</v>
      </c>
      <c r="AMU31">
        <v>4.05185815952271</v>
      </c>
      <c r="AMV31">
        <v>2.11897396846742</v>
      </c>
      <c r="AMW31">
        <v>2.35294773709879</v>
      </c>
      <c r="AMX31">
        <v>3.13134480726548</v>
      </c>
      <c r="AMY31" t="s">
        <v>1900</v>
      </c>
      <c r="AMZ31">
        <v>4.05185815952271</v>
      </c>
      <c r="ANA31">
        <v>2.11897396846742</v>
      </c>
      <c r="ANB31">
        <v>2.35294773709879</v>
      </c>
      <c r="ANC31">
        <v>3.13134480726548</v>
      </c>
      <c r="AND31" t="s">
        <v>1900</v>
      </c>
      <c r="ANE31">
        <v>75.3183196033096</v>
      </c>
      <c r="ANF31">
        <v>52.5896141403926</v>
      </c>
      <c r="ANG31">
        <v>57.0950313101026</v>
      </c>
      <c r="ANH31">
        <v>67.6133513402002</v>
      </c>
      <c r="ANI31" t="s">
        <v>1900</v>
      </c>
      <c r="ANJ31">
        <v>75.3183196033096</v>
      </c>
      <c r="ANK31">
        <v>52.5896141403926</v>
      </c>
      <c r="ANL31">
        <v>57.0950313101026</v>
      </c>
      <c r="ANM31">
        <v>67.6384785171641</v>
      </c>
      <c r="ANN31" t="s">
        <v>1900</v>
      </c>
      <c r="ANO31">
        <v>305.158799533799</v>
      </c>
      <c r="ANP31">
        <v>110.924248320024</v>
      </c>
      <c r="ANQ31">
        <v>133.073238493113</v>
      </c>
      <c r="ANR31">
        <v>208.769212432053</v>
      </c>
      <c r="ANS31" t="s">
        <v>1900</v>
      </c>
      <c r="ANT31">
        <v>126.563086994317</v>
      </c>
      <c r="ANU31">
        <v>119.389072096918</v>
      </c>
      <c r="ANV31">
        <v>118.836940012179</v>
      </c>
      <c r="ANW31">
        <v>122.16217917942</v>
      </c>
      <c r="ANX31" t="s">
        <v>1900</v>
      </c>
      <c r="ANY31">
        <v>99.99781506685009</v>
      </c>
      <c r="ANZ31">
        <v>99.58768167579829</v>
      </c>
      <c r="AOA31">
        <v>99.2955019894322</v>
      </c>
      <c r="AOB31">
        <v>99.3366797804015</v>
      </c>
      <c r="AOC31" t="s">
        <v>1900</v>
      </c>
      <c r="AOD31">
        <v>405.149947084878</v>
      </c>
      <c r="AOE31">
        <v>210.054568994016</v>
      </c>
      <c r="AOF31">
        <v>231.431242164763</v>
      </c>
      <c r="AOG31">
        <v>306.721083814096</v>
      </c>
      <c r="AOH31" t="s">
        <v>1900</v>
      </c>
      <c r="AOI31" t="s">
        <v>1901</v>
      </c>
      <c r="AOJ31" t="s">
        <v>1901</v>
      </c>
      <c r="AOK31" t="s">
        <v>1901</v>
      </c>
      <c r="AOL31">
        <v>88.76062032101871</v>
      </c>
      <c r="AOM31" t="s">
        <v>1900</v>
      </c>
      <c r="AON31">
        <v>3447168.14814815</v>
      </c>
      <c r="AOO31">
        <v>12754.6148336264</v>
      </c>
      <c r="AOP31">
        <v>8104.35664170062</v>
      </c>
      <c r="AOQ31">
        <v>10193.1690520639</v>
      </c>
      <c r="AOR31" t="s">
        <v>1900</v>
      </c>
      <c r="AOS31">
        <v>305.185815952271</v>
      </c>
      <c r="AOT31">
        <v>111.897396846742</v>
      </c>
      <c r="AOU31">
        <v>135.294773709879</v>
      </c>
      <c r="AOV31">
        <v>213.134480726548</v>
      </c>
      <c r="AOW31" t="s">
        <v>1900</v>
      </c>
      <c r="AOX31">
        <v>88.8880321300029</v>
      </c>
      <c r="AOY31">
        <v>80.97429153754859</v>
      </c>
      <c r="AOZ31">
        <v>82.2755009606188</v>
      </c>
      <c r="APA31">
        <v>60.4147734774923</v>
      </c>
      <c r="APB31" t="s">
        <v>1900</v>
      </c>
      <c r="APC31">
        <v>56.492055276965</v>
      </c>
      <c r="APD31">
        <v>39.4422103368056</v>
      </c>
      <c r="APE31">
        <v>42.8212731781366</v>
      </c>
      <c r="APF31">
        <v>50.6256822663292</v>
      </c>
      <c r="APG31" t="s">
        <v>1900</v>
      </c>
      <c r="APH31">
        <v>56.492055276965</v>
      </c>
      <c r="API31">
        <v>39.4422103368056</v>
      </c>
      <c r="APJ31">
        <v>42.8212731781366</v>
      </c>
      <c r="APK31">
        <v>50.6444963089999</v>
      </c>
      <c r="APL31" t="s">
        <v>1900</v>
      </c>
      <c r="APM31">
        <v>2585527.85829308</v>
      </c>
      <c r="APN31">
        <v>9565.961060102891</v>
      </c>
      <c r="APO31">
        <v>6078.26743806167</v>
      </c>
      <c r="APP31">
        <v>7632.16328562539</v>
      </c>
      <c r="APQ31" t="s">
        <v>1900</v>
      </c>
      <c r="APR31">
        <v>228.90279649526</v>
      </c>
      <c r="APS31">
        <v>83.9230470637801</v>
      </c>
      <c r="APT31">
        <v>101.471079560994</v>
      </c>
      <c r="APU31">
        <v>159.585027030688</v>
      </c>
      <c r="APV31" t="s">
        <v>1900</v>
      </c>
      <c r="APW31">
        <v>228.882532992122</v>
      </c>
      <c r="APX31">
        <v>83.1931856737102</v>
      </c>
      <c r="APY31">
        <v>99.8049281602658</v>
      </c>
      <c r="APZ31">
        <v>156.316520422098</v>
      </c>
      <c r="AQA31" t="s">
        <v>1900</v>
      </c>
      <c r="AQB31">
        <v>66.6699370219104</v>
      </c>
      <c r="AQC31">
        <v>60.7307182397586</v>
      </c>
      <c r="AQD31">
        <v>61.7066252817573</v>
      </c>
      <c r="AQE31">
        <v>45.2357273473189</v>
      </c>
      <c r="AQF31" t="s">
        <v>1900</v>
      </c>
      <c r="AQG31">
        <v>3.05185815952271</v>
      </c>
      <c r="AQH31">
        <v>1.11897396846742</v>
      </c>
      <c r="AQI31">
        <v>1.35294773709879</v>
      </c>
      <c r="AQJ31">
        <v>2.13134480726548</v>
      </c>
      <c r="AQK31">
        <v>2</v>
      </c>
      <c r="AQO31" t="s">
        <v>1902</v>
      </c>
      <c r="AQP31">
        <v>1</v>
      </c>
      <c r="AQQ31">
        <v>0</v>
      </c>
      <c r="AQS31" t="s">
        <v>1905</v>
      </c>
      <c r="AQU31" t="s">
        <v>1906</v>
      </c>
      <c r="AQV31" t="s">
        <v>1900</v>
      </c>
      <c r="AQW31">
        <v>1570311.90628669</v>
      </c>
      <c r="AQX31">
        <v>993150.642340237</v>
      </c>
      <c r="AQY31" t="s">
        <v>1900</v>
      </c>
      <c r="AQZ31">
        <v>1182732.54034583</v>
      </c>
      <c r="ARA31">
        <v>522294.090639561</v>
      </c>
      <c r="ARB31">
        <v>2563462.548626927</v>
      </c>
      <c r="ARC31">
        <v>1705026.630985391</v>
      </c>
      <c r="ARD31">
        <v>1.986201411131277</v>
      </c>
      <c r="ARE31">
        <v>1.986201411131277</v>
      </c>
      <c r="ARF31">
        <v>1.986201411131277</v>
      </c>
      <c r="ARG31">
        <v>1.986201411131277</v>
      </c>
      <c r="ARH31">
        <v>1.986201411131277</v>
      </c>
      <c r="ARI31">
        <v>1.986201411131277</v>
      </c>
      <c r="ARJ31" t="s">
        <v>1192</v>
      </c>
      <c r="ARK31" t="s">
        <v>1530</v>
      </c>
      <c r="ARL31" t="s">
        <v>1909</v>
      </c>
      <c r="ARP31" t="s">
        <v>1907</v>
      </c>
      <c r="ARQ31" t="s">
        <v>1911</v>
      </c>
    </row>
    <row r="32" spans="1:1163">
      <c r="A32">
        <v>272</v>
      </c>
      <c r="B32" t="s">
        <v>1193</v>
      </c>
      <c r="C32" t="s">
        <v>1316</v>
      </c>
      <c r="E32" s="2">
        <v>41032</v>
      </c>
      <c r="F32" t="s">
        <v>1431</v>
      </c>
      <c r="G32" t="s">
        <v>1433</v>
      </c>
      <c r="H32" t="s">
        <v>1434</v>
      </c>
      <c r="I32" t="s">
        <v>1437</v>
      </c>
      <c r="J32" t="s">
        <v>1453</v>
      </c>
      <c r="L32" t="s">
        <v>1531</v>
      </c>
      <c r="N32" t="s">
        <v>1635</v>
      </c>
      <c r="O32" t="s">
        <v>1659</v>
      </c>
      <c r="P32">
        <v>6203</v>
      </c>
      <c r="Q32">
        <v>6203</v>
      </c>
      <c r="R32" t="s">
        <v>1702</v>
      </c>
      <c r="S32" t="s">
        <v>1805</v>
      </c>
      <c r="Z32" t="s">
        <v>1899</v>
      </c>
      <c r="AA32" s="2">
        <v>45291</v>
      </c>
      <c r="AB32">
        <v>2023</v>
      </c>
      <c r="AC32" t="s">
        <v>1900</v>
      </c>
      <c r="AD32">
        <v>2858223.95198579</v>
      </c>
      <c r="AE32">
        <v>2197386.56041029</v>
      </c>
      <c r="AF32">
        <v>1585143.53604355</v>
      </c>
      <c r="AG32">
        <v>1133255.62886559</v>
      </c>
      <c r="AH32" t="s">
        <v>1900</v>
      </c>
      <c r="AI32">
        <v>2858223.95198579</v>
      </c>
      <c r="AJ32">
        <v>2197386.56041029</v>
      </c>
      <c r="AK32">
        <v>1585143.53604355</v>
      </c>
      <c r="AL32">
        <v>1130296.99428672</v>
      </c>
      <c r="AM32" t="s">
        <v>1900</v>
      </c>
      <c r="AN32">
        <v>458089.491784935</v>
      </c>
      <c r="AO32">
        <v>332346.747564018</v>
      </c>
      <c r="AP32">
        <v>282254.246652961</v>
      </c>
      <c r="AQ32">
        <v>183353.275488901</v>
      </c>
      <c r="AR32" t="s">
        <v>1900</v>
      </c>
      <c r="AS32">
        <v>2400134.46020085</v>
      </c>
      <c r="AT32">
        <v>1865039.81284627</v>
      </c>
      <c r="AU32">
        <v>1302889.28939059</v>
      </c>
      <c r="AV32">
        <v>949902.353376687</v>
      </c>
      <c r="AW32" t="s">
        <v>1900</v>
      </c>
      <c r="AX32">
        <v>1557444.25286184</v>
      </c>
      <c r="AY32">
        <v>877961.950686389</v>
      </c>
      <c r="AZ32">
        <v>720105.620756943</v>
      </c>
      <c r="BA32">
        <v>921000.55720315</v>
      </c>
      <c r="BB32" t="s">
        <v>1900</v>
      </c>
      <c r="BC32">
        <v>842690.20733901</v>
      </c>
      <c r="BD32">
        <v>987077.862159884</v>
      </c>
      <c r="BE32">
        <v>582783.667501044</v>
      </c>
      <c r="BF32">
        <v>28901.7961735368</v>
      </c>
      <c r="BG32" t="s">
        <v>1900</v>
      </c>
      <c r="BH32">
        <v>6544.04498688698</v>
      </c>
      <c r="BI32">
        <v>-18928.908053537</v>
      </c>
      <c r="BJ32">
        <v>9545.532739305499</v>
      </c>
      <c r="BK32">
        <v>-16670.328047663</v>
      </c>
      <c r="BL32" t="s">
        <v>1900</v>
      </c>
      <c r="BM32">
        <v>27615.4099434566</v>
      </c>
      <c r="BN32">
        <v>914.289081335068</v>
      </c>
      <c r="BO32">
        <v>19120.354522562</v>
      </c>
      <c r="BP32">
        <v>347.931735360622</v>
      </c>
      <c r="BQ32" t="s">
        <v>1900</v>
      </c>
      <c r="BR32">
        <v>21071.3649565697</v>
      </c>
      <c r="BS32">
        <v>19843.1982014716</v>
      </c>
      <c r="BT32">
        <v>9574.82178325653</v>
      </c>
      <c r="BU32">
        <v>17018.2597830236</v>
      </c>
      <c r="BV32" t="s">
        <v>1900</v>
      </c>
      <c r="BW32">
        <v>849234.252325897</v>
      </c>
      <c r="BX32">
        <v>968148.953039748</v>
      </c>
      <c r="BY32">
        <v>592329.20024035</v>
      </c>
      <c r="BZ32">
        <v>12231.4681258738</v>
      </c>
      <c r="CA32" t="s">
        <v>1900</v>
      </c>
      <c r="CB32">
        <v>77318.0559993935</v>
      </c>
      <c r="CC32">
        <v>216031.769514549</v>
      </c>
      <c r="CD32">
        <v>17836.0310779095</v>
      </c>
      <c r="CE32">
        <v>3057.8700992167</v>
      </c>
      <c r="CF32" t="s">
        <v>1900</v>
      </c>
      <c r="CG32">
        <v>771916.195221503</v>
      </c>
      <c r="CH32">
        <v>752117.183525199</v>
      </c>
      <c r="CI32">
        <v>574493.16916244</v>
      </c>
      <c r="CJ32">
        <v>9173.5980266571</v>
      </c>
      <c r="CK32" t="s">
        <v>1900</v>
      </c>
      <c r="CL32" t="s">
        <v>1900</v>
      </c>
      <c r="CM32" t="s">
        <v>1900</v>
      </c>
      <c r="CN32" t="s">
        <v>1900</v>
      </c>
      <c r="CO32" t="s">
        <v>1900</v>
      </c>
      <c r="CP32" t="s">
        <v>1900</v>
      </c>
      <c r="CQ32" t="s">
        <v>1900</v>
      </c>
      <c r="CR32" t="s">
        <v>1900</v>
      </c>
      <c r="CS32" t="s">
        <v>1900</v>
      </c>
      <c r="CT32" t="s">
        <v>1900</v>
      </c>
      <c r="CU32" t="s">
        <v>1900</v>
      </c>
      <c r="CV32" t="s">
        <v>1900</v>
      </c>
      <c r="CW32" t="s">
        <v>1900</v>
      </c>
      <c r="CX32" t="s">
        <v>1900</v>
      </c>
      <c r="CY32" t="s">
        <v>1900</v>
      </c>
      <c r="CZ32" t="s">
        <v>1900</v>
      </c>
      <c r="DA32">
        <v>771916.195221503</v>
      </c>
      <c r="DB32">
        <v>752117.183525199</v>
      </c>
      <c r="DC32">
        <v>574493.16916244</v>
      </c>
      <c r="DD32">
        <v>9173.5980266571</v>
      </c>
      <c r="DE32" t="s">
        <v>1900</v>
      </c>
      <c r="DF32" t="s">
        <v>1900</v>
      </c>
      <c r="DG32" t="s">
        <v>1900</v>
      </c>
      <c r="DH32" t="s">
        <v>1900</v>
      </c>
      <c r="DI32" t="s">
        <v>1900</v>
      </c>
      <c r="DJ32" t="s">
        <v>1900</v>
      </c>
      <c r="DK32">
        <v>458089.491784935</v>
      </c>
      <c r="DL32">
        <v>332346.747564018</v>
      </c>
      <c r="DM32">
        <v>282254.246652961</v>
      </c>
      <c r="DN32">
        <v>183353.275488901</v>
      </c>
      <c r="DO32" t="s">
        <v>1900</v>
      </c>
      <c r="DP32">
        <v>901213.1552033901</v>
      </c>
      <c r="DQ32">
        <v>676435.784888226</v>
      </c>
      <c r="DR32">
        <v>613878.9371184109</v>
      </c>
      <c r="DS32">
        <v>616682.520123821</v>
      </c>
      <c r="DT32" t="s">
        <v>1900</v>
      </c>
      <c r="DU32">
        <v>322598.640478306</v>
      </c>
      <c r="DV32">
        <v>191437.201238728</v>
      </c>
      <c r="DW32">
        <v>118870.377695489</v>
      </c>
      <c r="DX32">
        <v>103488.597432828</v>
      </c>
      <c r="DY32" t="s">
        <v>1900</v>
      </c>
      <c r="DZ32">
        <v>333632.457180147</v>
      </c>
      <c r="EA32">
        <v>10088.9645594358</v>
      </c>
      <c r="EB32">
        <v>-12643.6929243565</v>
      </c>
      <c r="EC32">
        <v>200829.4396465</v>
      </c>
      <c r="ED32" t="s">
        <v>1900</v>
      </c>
      <c r="EE32">
        <v>7463.27279942513</v>
      </c>
      <c r="EF32">
        <v>8244.44073441625</v>
      </c>
      <c r="EG32">
        <v>9574.82178325653</v>
      </c>
      <c r="EH32">
        <v>9404.75899268389</v>
      </c>
      <c r="EI32" t="s">
        <v>1900</v>
      </c>
      <c r="EJ32" t="s">
        <v>1900</v>
      </c>
      <c r="EK32" t="s">
        <v>1900</v>
      </c>
      <c r="EL32" t="s">
        <v>1900</v>
      </c>
      <c r="EM32" t="s">
        <v>1900</v>
      </c>
      <c r="EN32" t="s">
        <v>1900</v>
      </c>
      <c r="EO32">
        <v>1094514.83680481</v>
      </c>
      <c r="EP32">
        <v>943554.384763926</v>
      </c>
      <c r="EQ32">
        <v>693363.546857929</v>
      </c>
      <c r="ER32">
        <v>112662.195459485</v>
      </c>
      <c r="ES32" t="s">
        <v>1900</v>
      </c>
      <c r="ET32">
        <v>2080509.32080702</v>
      </c>
      <c r="EU32">
        <v>1844266.37990112</v>
      </c>
      <c r="EV32">
        <v>1334653.33683751</v>
      </c>
      <c r="EW32">
        <v>741807.3434481079</v>
      </c>
      <c r="EX32" t="s">
        <v>1900</v>
      </c>
      <c r="EY32">
        <v>1165288.84781732</v>
      </c>
      <c r="EZ32">
        <v>1178515.06339861</v>
      </c>
      <c r="FA32">
        <v>701654.045196533</v>
      </c>
      <c r="FB32">
        <v>132390.393606365</v>
      </c>
      <c r="FC32" t="s">
        <v>1900</v>
      </c>
      <c r="FD32">
        <v>575020.191211996</v>
      </c>
      <c r="FE32">
        <v>669413.517843425</v>
      </c>
      <c r="FF32">
        <v>568000.458617878</v>
      </c>
      <c r="FG32">
        <v>574091.0814559039</v>
      </c>
      <c r="FH32" t="s">
        <v>1900</v>
      </c>
      <c r="FI32">
        <v>472303.632514067</v>
      </c>
      <c r="FJ32">
        <v>649168.904924548</v>
      </c>
      <c r="FK32">
        <v>488323.386108112</v>
      </c>
      <c r="FL32">
        <v>342540.081916797</v>
      </c>
      <c r="FM32" t="s">
        <v>1900</v>
      </c>
      <c r="FN32">
        <v>8516.18357195854</v>
      </c>
      <c r="FO32">
        <v>8310.431244754791</v>
      </c>
      <c r="FP32">
        <v>8884.85300195217</v>
      </c>
      <c r="FQ32">
        <v>9742.039506125449</v>
      </c>
      <c r="FR32" t="s">
        <v>1900</v>
      </c>
      <c r="FS32">
        <v>94200.3751259709</v>
      </c>
      <c r="FT32">
        <v>11934.1816741228</v>
      </c>
      <c r="FU32">
        <v>70792.2195078135</v>
      </c>
      <c r="FV32">
        <v>221808.960032982</v>
      </c>
      <c r="FW32" t="s">
        <v>1900</v>
      </c>
      <c r="FX32">
        <v>472303.632514067</v>
      </c>
      <c r="FY32">
        <v>649168.904924548</v>
      </c>
      <c r="FZ32">
        <v>488323.386108112</v>
      </c>
      <c r="GA32">
        <v>342540.081916797</v>
      </c>
      <c r="GB32" t="s">
        <v>1900</v>
      </c>
      <c r="GC32">
        <v>8516.18357195854</v>
      </c>
      <c r="GD32">
        <v>8310.431244754791</v>
      </c>
      <c r="GE32">
        <v>8884.85300195217</v>
      </c>
      <c r="GF32">
        <v>9742.039506125449</v>
      </c>
      <c r="GG32" t="s">
        <v>1900</v>
      </c>
      <c r="GH32">
        <v>94200.3751259709</v>
      </c>
      <c r="GI32">
        <v>11934.1816741228</v>
      </c>
      <c r="GJ32">
        <v>70792.2195078135</v>
      </c>
      <c r="GK32">
        <v>221808.960032982</v>
      </c>
      <c r="GL32" t="s">
        <v>1900</v>
      </c>
      <c r="GM32">
        <v>2605288.14507131</v>
      </c>
      <c r="GN32">
        <v>1851633.63855039</v>
      </c>
      <c r="GO32">
        <v>1284117.60587268</v>
      </c>
      <c r="GP32">
        <v>894427.280118227</v>
      </c>
      <c r="GQ32" t="s">
        <v>1900</v>
      </c>
      <c r="GR32">
        <v>221.000099182129</v>
      </c>
      <c r="GS32">
        <v>0</v>
      </c>
      <c r="GT32">
        <v>411.13391160965</v>
      </c>
      <c r="GU32">
        <v>0</v>
      </c>
      <c r="GV32" t="s">
        <v>1900</v>
      </c>
      <c r="GW32">
        <v>644699.478233204</v>
      </c>
      <c r="GX32">
        <v>492839.64712345</v>
      </c>
      <c r="GY32">
        <v>492397.33808806</v>
      </c>
      <c r="GZ32">
        <v>332259.186295313</v>
      </c>
      <c r="HA32" t="s">
        <v>1900</v>
      </c>
      <c r="HB32">
        <v>1960367.66563392</v>
      </c>
      <c r="HC32">
        <v>1358793.99142694</v>
      </c>
      <c r="HD32">
        <v>791309.1338730101</v>
      </c>
      <c r="HE32">
        <v>562168.0938229139</v>
      </c>
      <c r="HF32" t="s">
        <v>1900</v>
      </c>
      <c r="HG32">
        <v>330217.408947515</v>
      </c>
      <c r="HH32">
        <v>1358767.32643974</v>
      </c>
      <c r="HI32">
        <v>791309.1338730101</v>
      </c>
      <c r="HJ32">
        <v>560837.660491479</v>
      </c>
      <c r="HK32" t="s">
        <v>1900</v>
      </c>
      <c r="HL32">
        <v>3180308.3362833</v>
      </c>
      <c r="HM32">
        <v>2521047.15639382</v>
      </c>
      <c r="HN32">
        <v>1852118.06449056</v>
      </c>
      <c r="HO32">
        <v>1468518.36157413</v>
      </c>
      <c r="HP32" t="s">
        <v>1900</v>
      </c>
      <c r="HQ32">
        <v>2375414.71510694</v>
      </c>
      <c r="HR32">
        <v>1864177.79780586</v>
      </c>
      <c r="HS32">
        <v>1180874.55274351</v>
      </c>
      <c r="HT32">
        <v>656975.0741512059</v>
      </c>
      <c r="HU32" t="s">
        <v>1900</v>
      </c>
      <c r="HV32">
        <v>48410.0717258453</v>
      </c>
      <c r="HW32">
        <v>57119.6023947001</v>
      </c>
      <c r="HX32">
        <v>60654.1442656517</v>
      </c>
      <c r="HY32">
        <v>65714.8487824202</v>
      </c>
      <c r="HZ32" t="s">
        <v>1900</v>
      </c>
      <c r="IA32">
        <v>2327004.64227609</v>
      </c>
      <c r="IB32">
        <v>1807058.19541116</v>
      </c>
      <c r="IC32">
        <v>1120220.40847785</v>
      </c>
      <c r="ID32">
        <v>591260.225368786</v>
      </c>
      <c r="IE32" t="s">
        <v>1900</v>
      </c>
      <c r="IF32">
        <v>257057.226714125</v>
      </c>
      <c r="IG32">
        <v>314771.619844353</v>
      </c>
      <c r="IH32">
        <v>428167.49536972</v>
      </c>
      <c r="II32">
        <v>623434.413141066</v>
      </c>
      <c r="IJ32" t="s">
        <v>1900</v>
      </c>
      <c r="IK32">
        <v>257057.226714125</v>
      </c>
      <c r="IL32">
        <v>314771.619844353</v>
      </c>
      <c r="IM32">
        <v>428167.49536972</v>
      </c>
      <c r="IN32">
        <v>623434.413141066</v>
      </c>
      <c r="IO32" t="s">
        <v>1900</v>
      </c>
      <c r="IP32">
        <v>0</v>
      </c>
      <c r="IQ32">
        <v>0</v>
      </c>
      <c r="IR32">
        <v>0</v>
      </c>
      <c r="IS32">
        <v>0</v>
      </c>
      <c r="IT32" t="s">
        <v>1900</v>
      </c>
      <c r="IU32">
        <v>0</v>
      </c>
      <c r="IV32">
        <v>0</v>
      </c>
      <c r="IW32">
        <v>0</v>
      </c>
      <c r="IX32">
        <v>0</v>
      </c>
      <c r="IY32" t="s">
        <v>1900</v>
      </c>
      <c r="IZ32">
        <v>547836.394462242</v>
      </c>
      <c r="JA32">
        <v>342097.738743609</v>
      </c>
      <c r="JB32">
        <v>243076.01637733</v>
      </c>
      <c r="JC32">
        <v>188108.874281859</v>
      </c>
      <c r="JD32" t="s">
        <v>1900</v>
      </c>
      <c r="JE32">
        <v>93406.3880696392</v>
      </c>
      <c r="JF32">
        <v>88444.96807316539</v>
      </c>
      <c r="JG32">
        <v>78433.4547201633</v>
      </c>
      <c r="JH32">
        <v>146.761076211929</v>
      </c>
      <c r="JI32" t="s">
        <v>1900</v>
      </c>
      <c r="JJ32">
        <v>22.8735102653503</v>
      </c>
      <c r="JK32">
        <v>203.581844323874</v>
      </c>
      <c r="JL32">
        <v>0</v>
      </c>
      <c r="JM32">
        <v>0</v>
      </c>
      <c r="JN32" t="s">
        <v>1900</v>
      </c>
      <c r="JO32">
        <v>454407.132882338</v>
      </c>
      <c r="JP32">
        <v>253449.18882612</v>
      </c>
      <c r="JQ32">
        <v>164642.561657166</v>
      </c>
      <c r="JR32">
        <v>187962.113205647</v>
      </c>
      <c r="JS32" t="s">
        <v>1900</v>
      </c>
      <c r="JT32">
        <v>3180308.3362833</v>
      </c>
      <c r="JU32">
        <v>2521047.15639382</v>
      </c>
      <c r="JV32">
        <v>1852118.06449056</v>
      </c>
      <c r="JW32">
        <v>1468518.36157413</v>
      </c>
      <c r="JX32" t="s">
        <v>1900</v>
      </c>
      <c r="JY32">
        <v>644897.604822121</v>
      </c>
      <c r="JZ32">
        <v>492636.065279126</v>
      </c>
      <c r="KA32">
        <v>492808.471999669</v>
      </c>
      <c r="KB32">
        <v>332259.186295313</v>
      </c>
      <c r="KC32" t="s">
        <v>1900</v>
      </c>
      <c r="KD32" t="s">
        <v>1900</v>
      </c>
      <c r="KE32" t="s">
        <v>1900</v>
      </c>
      <c r="KF32" t="s">
        <v>1900</v>
      </c>
      <c r="KG32" t="s">
        <v>1900</v>
      </c>
      <c r="KH32" t="s">
        <v>1900</v>
      </c>
      <c r="KI32" t="s">
        <v>1900</v>
      </c>
      <c r="KJ32" t="s">
        <v>1900</v>
      </c>
      <c r="KK32" t="s">
        <v>1900</v>
      </c>
      <c r="KL32" t="s">
        <v>1900</v>
      </c>
      <c r="KM32" t="s">
        <v>1900</v>
      </c>
      <c r="KN32">
        <v>16</v>
      </c>
      <c r="KO32">
        <v>15</v>
      </c>
      <c r="KP32">
        <v>13</v>
      </c>
      <c r="KQ32">
        <v>16</v>
      </c>
      <c r="KR32" t="s">
        <v>1900</v>
      </c>
      <c r="KS32" t="s">
        <v>1900</v>
      </c>
      <c r="KT32" t="s">
        <v>1900</v>
      </c>
      <c r="KU32" t="s">
        <v>1900</v>
      </c>
      <c r="KV32" t="s">
        <v>1900</v>
      </c>
      <c r="KW32" t="s">
        <v>1900</v>
      </c>
      <c r="KX32" t="s">
        <v>1900</v>
      </c>
      <c r="KY32" t="s">
        <v>1900</v>
      </c>
      <c r="KZ32" t="s">
        <v>1900</v>
      </c>
      <c r="LA32" t="s">
        <v>1900</v>
      </c>
      <c r="LB32" t="s">
        <v>1900</v>
      </c>
      <c r="LC32" t="s">
        <v>1900</v>
      </c>
      <c r="LD32" t="s">
        <v>1900</v>
      </c>
      <c r="LE32" t="s">
        <v>1900</v>
      </c>
      <c r="LF32" t="s">
        <v>1900</v>
      </c>
      <c r="LG32" t="s">
        <v>1900</v>
      </c>
      <c r="LH32" t="s">
        <v>1900</v>
      </c>
      <c r="LI32" t="s">
        <v>1900</v>
      </c>
      <c r="LJ32" t="s">
        <v>1900</v>
      </c>
      <c r="LK32" t="s">
        <v>1900</v>
      </c>
      <c r="LL32" t="s">
        <v>1900</v>
      </c>
      <c r="LM32" t="s">
        <v>1900</v>
      </c>
      <c r="LN32" t="s">
        <v>1900</v>
      </c>
      <c r="LO32" t="s">
        <v>1900</v>
      </c>
      <c r="LP32" t="s">
        <v>1900</v>
      </c>
      <c r="LQ32" t="s">
        <v>1900</v>
      </c>
      <c r="LR32" t="s">
        <v>1900</v>
      </c>
      <c r="LS32" t="s">
        <v>1900</v>
      </c>
      <c r="LT32" t="s">
        <v>1900</v>
      </c>
      <c r="LU32" t="s">
        <v>1900</v>
      </c>
      <c r="LV32" t="s">
        <v>1900</v>
      </c>
      <c r="LW32" t="s">
        <v>1900</v>
      </c>
      <c r="LX32" t="s">
        <v>1900</v>
      </c>
      <c r="LY32" t="s">
        <v>1900</v>
      </c>
      <c r="LZ32" t="s">
        <v>1900</v>
      </c>
      <c r="MA32" t="s">
        <v>1900</v>
      </c>
      <c r="MB32" t="s">
        <v>1900</v>
      </c>
      <c r="MC32" t="s">
        <v>1900</v>
      </c>
      <c r="MD32" t="s">
        <v>1900</v>
      </c>
      <c r="ME32" t="s">
        <v>1900</v>
      </c>
      <c r="MF32" t="s">
        <v>1900</v>
      </c>
      <c r="MG32" t="s">
        <v>1900</v>
      </c>
      <c r="MH32" t="s">
        <v>1900</v>
      </c>
      <c r="MI32" t="s">
        <v>1900</v>
      </c>
      <c r="MJ32" t="s">
        <v>1900</v>
      </c>
      <c r="MK32" t="s">
        <v>1900</v>
      </c>
      <c r="ML32" t="s">
        <v>1900</v>
      </c>
      <c r="MM32" t="s">
        <v>1900</v>
      </c>
      <c r="MN32" t="s">
        <v>1900</v>
      </c>
      <c r="MO32" t="s">
        <v>1900</v>
      </c>
      <c r="MP32" t="s">
        <v>1900</v>
      </c>
      <c r="MQ32">
        <v>1960367.66563392</v>
      </c>
      <c r="MR32">
        <v>1358793.99142694</v>
      </c>
      <c r="MS32">
        <v>791309.1338730101</v>
      </c>
      <c r="MT32">
        <v>562168.0938229139</v>
      </c>
      <c r="MU32" t="s">
        <v>1900</v>
      </c>
      <c r="MV32" t="s">
        <v>1900</v>
      </c>
      <c r="MW32" t="s">
        <v>1900</v>
      </c>
      <c r="MX32" t="s">
        <v>1900</v>
      </c>
      <c r="MY32" t="s">
        <v>1900</v>
      </c>
      <c r="MZ32" t="s">
        <v>1900</v>
      </c>
      <c r="NA32" t="s">
        <v>1900</v>
      </c>
      <c r="NB32" t="s">
        <v>1900</v>
      </c>
      <c r="NC32" t="s">
        <v>1900</v>
      </c>
      <c r="ND32" t="s">
        <v>1900</v>
      </c>
      <c r="NE32" t="s">
        <v>1900</v>
      </c>
      <c r="NF32" t="s">
        <v>1900</v>
      </c>
      <c r="NG32" t="s">
        <v>1900</v>
      </c>
      <c r="NH32" t="s">
        <v>1900</v>
      </c>
      <c r="NI32" t="s">
        <v>1900</v>
      </c>
      <c r="NJ32" t="s">
        <v>1900</v>
      </c>
      <c r="NK32" t="s">
        <v>1900</v>
      </c>
      <c r="NL32" t="s">
        <v>1900</v>
      </c>
      <c r="NM32" t="s">
        <v>1900</v>
      </c>
      <c r="NN32" t="s">
        <v>1900</v>
      </c>
      <c r="NO32" t="s">
        <v>1900</v>
      </c>
      <c r="NP32" t="s">
        <v>1900</v>
      </c>
      <c r="NQ32" t="s">
        <v>1900</v>
      </c>
      <c r="NR32" t="s">
        <v>1900</v>
      </c>
      <c r="NS32" t="s">
        <v>1900</v>
      </c>
      <c r="NT32" t="s">
        <v>1900</v>
      </c>
      <c r="NU32">
        <v>575020.191211996</v>
      </c>
      <c r="NV32">
        <v>669413.517843425</v>
      </c>
      <c r="NW32">
        <v>568000.458617878</v>
      </c>
      <c r="NX32">
        <v>574091.0814559039</v>
      </c>
      <c r="NY32" t="s">
        <v>1900</v>
      </c>
      <c r="NZ32" t="s">
        <v>1900</v>
      </c>
      <c r="OA32" t="s">
        <v>1900</v>
      </c>
      <c r="OB32" t="s">
        <v>1900</v>
      </c>
      <c r="OC32" t="s">
        <v>1900</v>
      </c>
      <c r="OD32" t="s">
        <v>1900</v>
      </c>
      <c r="OE32" t="s">
        <v>1900</v>
      </c>
      <c r="OF32" t="s">
        <v>1900</v>
      </c>
      <c r="OG32" t="s">
        <v>1900</v>
      </c>
      <c r="OH32" t="s">
        <v>1900</v>
      </c>
      <c r="OI32" t="s">
        <v>1900</v>
      </c>
      <c r="OJ32" t="s">
        <v>1900</v>
      </c>
      <c r="OK32" t="s">
        <v>1900</v>
      </c>
      <c r="OL32" t="s">
        <v>1900</v>
      </c>
      <c r="OM32" t="s">
        <v>1900</v>
      </c>
      <c r="ON32" t="s">
        <v>1900</v>
      </c>
      <c r="OO32" t="s">
        <v>1900</v>
      </c>
      <c r="OP32" t="s">
        <v>1900</v>
      </c>
      <c r="OQ32" t="s">
        <v>1900</v>
      </c>
      <c r="OR32" t="s">
        <v>1900</v>
      </c>
      <c r="OS32" t="s">
        <v>1900</v>
      </c>
      <c r="OT32" t="s">
        <v>1900</v>
      </c>
      <c r="OU32" t="s">
        <v>1900</v>
      </c>
      <c r="OV32" t="s">
        <v>1900</v>
      </c>
      <c r="OW32" t="s">
        <v>1900</v>
      </c>
      <c r="OX32" t="s">
        <v>1900</v>
      </c>
      <c r="OY32" t="s">
        <v>1900</v>
      </c>
      <c r="OZ32" t="s">
        <v>1900</v>
      </c>
      <c r="PA32" t="s">
        <v>1900</v>
      </c>
      <c r="PB32" t="s">
        <v>1900</v>
      </c>
      <c r="PC32" t="s">
        <v>1900</v>
      </c>
      <c r="PD32" t="s">
        <v>1900</v>
      </c>
      <c r="PE32" t="s">
        <v>1900</v>
      </c>
      <c r="PF32" t="s">
        <v>1900</v>
      </c>
      <c r="PG32" t="s">
        <v>1900</v>
      </c>
      <c r="PH32" t="s">
        <v>1900</v>
      </c>
      <c r="PI32" t="s">
        <v>1900</v>
      </c>
      <c r="PJ32" t="s">
        <v>1900</v>
      </c>
      <c r="PK32" t="s">
        <v>1900</v>
      </c>
      <c r="PL32" t="s">
        <v>1900</v>
      </c>
      <c r="PM32" t="s">
        <v>1900</v>
      </c>
      <c r="PN32" t="s">
        <v>1900</v>
      </c>
      <c r="PO32" t="s">
        <v>1900</v>
      </c>
      <c r="PP32" t="s">
        <v>1900</v>
      </c>
      <c r="PQ32" t="s">
        <v>1900</v>
      </c>
      <c r="PR32" t="s">
        <v>1900</v>
      </c>
      <c r="PS32" t="s">
        <v>1900</v>
      </c>
      <c r="PT32" t="s">
        <v>1900</v>
      </c>
      <c r="PU32" t="s">
        <v>1900</v>
      </c>
      <c r="PV32" t="s">
        <v>1900</v>
      </c>
      <c r="PW32" t="s">
        <v>1900</v>
      </c>
      <c r="PX32" t="s">
        <v>1900</v>
      </c>
      <c r="PY32" t="s">
        <v>1900</v>
      </c>
      <c r="PZ32" t="s">
        <v>1900</v>
      </c>
      <c r="QA32" t="s">
        <v>1900</v>
      </c>
      <c r="QB32" t="s">
        <v>1900</v>
      </c>
      <c r="QC32" t="s">
        <v>1900</v>
      </c>
      <c r="QD32" t="s">
        <v>1900</v>
      </c>
      <c r="QE32" t="s">
        <v>1900</v>
      </c>
      <c r="QF32" t="s">
        <v>1900</v>
      </c>
      <c r="QG32" t="s">
        <v>1900</v>
      </c>
      <c r="QH32" t="s">
        <v>1900</v>
      </c>
      <c r="QI32" t="s">
        <v>1900</v>
      </c>
      <c r="QJ32" t="s">
        <v>1900</v>
      </c>
      <c r="QK32" t="s">
        <v>1900</v>
      </c>
      <c r="QL32" t="s">
        <v>1900</v>
      </c>
      <c r="QM32" t="s">
        <v>1900</v>
      </c>
      <c r="QN32" t="s">
        <v>1900</v>
      </c>
      <c r="QO32" t="s">
        <v>1900</v>
      </c>
      <c r="QP32" t="s">
        <v>1900</v>
      </c>
      <c r="QQ32" t="s">
        <v>1900</v>
      </c>
      <c r="QR32" t="s">
        <v>1900</v>
      </c>
      <c r="QS32" t="s">
        <v>1900</v>
      </c>
      <c r="QT32" t="s">
        <v>1900</v>
      </c>
      <c r="QU32" t="s">
        <v>1900</v>
      </c>
      <c r="QV32" t="s">
        <v>1900</v>
      </c>
      <c r="QW32" t="s">
        <v>1900</v>
      </c>
      <c r="QX32" t="s">
        <v>1900</v>
      </c>
      <c r="QY32" t="s">
        <v>1900</v>
      </c>
      <c r="QZ32" t="s">
        <v>1900</v>
      </c>
      <c r="RA32" t="s">
        <v>1900</v>
      </c>
      <c r="RB32" t="s">
        <v>1900</v>
      </c>
      <c r="RC32" t="s">
        <v>1900</v>
      </c>
      <c r="RD32" t="s">
        <v>1900</v>
      </c>
      <c r="RE32" t="s">
        <v>1900</v>
      </c>
      <c r="RF32" t="s">
        <v>1900</v>
      </c>
      <c r="RG32" t="s">
        <v>1900</v>
      </c>
      <c r="RH32" t="s">
        <v>1900</v>
      </c>
      <c r="RI32" t="s">
        <v>1900</v>
      </c>
      <c r="RJ32" t="s">
        <v>1900</v>
      </c>
      <c r="RK32" t="s">
        <v>1900</v>
      </c>
      <c r="RL32" t="s">
        <v>1900</v>
      </c>
      <c r="RM32" t="s">
        <v>1900</v>
      </c>
      <c r="RN32" t="s">
        <v>1900</v>
      </c>
      <c r="RO32" t="s">
        <v>1900</v>
      </c>
      <c r="RP32" t="s">
        <v>1900</v>
      </c>
      <c r="RQ32" t="s">
        <v>1900</v>
      </c>
      <c r="RR32" t="s">
        <v>1900</v>
      </c>
      <c r="RS32" t="s">
        <v>1900</v>
      </c>
      <c r="RT32" t="s">
        <v>1900</v>
      </c>
      <c r="RU32" t="s">
        <v>1900</v>
      </c>
      <c r="RV32" t="s">
        <v>1900</v>
      </c>
      <c r="RW32" t="s">
        <v>1900</v>
      </c>
      <c r="RX32" t="s">
        <v>1900</v>
      </c>
      <c r="RY32" t="s">
        <v>1900</v>
      </c>
      <c r="RZ32" t="s">
        <v>1900</v>
      </c>
      <c r="SA32" t="s">
        <v>1900</v>
      </c>
      <c r="SB32" t="s">
        <v>1900</v>
      </c>
      <c r="SC32" t="s">
        <v>1900</v>
      </c>
      <c r="SD32" t="s">
        <v>1900</v>
      </c>
      <c r="SE32" t="s">
        <v>1900</v>
      </c>
      <c r="SF32" t="s">
        <v>1900</v>
      </c>
      <c r="SG32" t="s">
        <v>1900</v>
      </c>
      <c r="SH32" t="s">
        <v>1900</v>
      </c>
      <c r="SI32" t="s">
        <v>1900</v>
      </c>
      <c r="SJ32" t="s">
        <v>1900</v>
      </c>
      <c r="SK32">
        <v>94200.3751259709</v>
      </c>
      <c r="SL32">
        <v>11934.1816741228</v>
      </c>
      <c r="SM32">
        <v>70792.2195078135</v>
      </c>
      <c r="SN32">
        <v>221808.960032982</v>
      </c>
      <c r="SO32" t="s">
        <v>1900</v>
      </c>
      <c r="SP32" t="s">
        <v>1900</v>
      </c>
      <c r="SQ32" t="s">
        <v>1900</v>
      </c>
      <c r="SR32" t="s">
        <v>1900</v>
      </c>
      <c r="SS32" t="s">
        <v>1900</v>
      </c>
      <c r="ST32" t="s">
        <v>1900</v>
      </c>
      <c r="SU32" t="s">
        <v>1900</v>
      </c>
      <c r="SV32" t="s">
        <v>1900</v>
      </c>
      <c r="SW32" t="s">
        <v>1900</v>
      </c>
      <c r="SX32" t="s">
        <v>1900</v>
      </c>
      <c r="SY32" t="s">
        <v>1900</v>
      </c>
      <c r="SZ32" t="s">
        <v>1900</v>
      </c>
      <c r="TA32" t="s">
        <v>1900</v>
      </c>
      <c r="TB32" t="s">
        <v>1900</v>
      </c>
      <c r="TC32" t="s">
        <v>1900</v>
      </c>
      <c r="TD32" t="s">
        <v>1900</v>
      </c>
      <c r="TE32" t="s">
        <v>1900</v>
      </c>
      <c r="TF32" t="s">
        <v>1900</v>
      </c>
      <c r="TG32" t="s">
        <v>1900</v>
      </c>
      <c r="TH32" t="s">
        <v>1900</v>
      </c>
      <c r="TI32" t="s">
        <v>1900</v>
      </c>
      <c r="TJ32" t="s">
        <v>1900</v>
      </c>
      <c r="TK32" t="s">
        <v>1900</v>
      </c>
      <c r="TL32" t="s">
        <v>1900</v>
      </c>
      <c r="TM32" t="s">
        <v>1900</v>
      </c>
      <c r="TN32" t="s">
        <v>1900</v>
      </c>
      <c r="TO32" t="s">
        <v>1900</v>
      </c>
      <c r="TP32" t="s">
        <v>1900</v>
      </c>
      <c r="TQ32" t="s">
        <v>1900</v>
      </c>
      <c r="TR32" t="s">
        <v>1900</v>
      </c>
      <c r="TS32" t="s">
        <v>1900</v>
      </c>
      <c r="TT32">
        <v>3180308.3362833</v>
      </c>
      <c r="TU32">
        <v>2521047.15639382</v>
      </c>
      <c r="TV32">
        <v>1852118.06449056</v>
      </c>
      <c r="TW32">
        <v>1468518.36157413</v>
      </c>
      <c r="TX32" t="s">
        <v>1900</v>
      </c>
      <c r="TY32" t="s">
        <v>1900</v>
      </c>
      <c r="TZ32" t="s">
        <v>1900</v>
      </c>
      <c r="UA32" t="s">
        <v>1900</v>
      </c>
      <c r="UB32" t="s">
        <v>1900</v>
      </c>
      <c r="UC32" t="s">
        <v>1900</v>
      </c>
      <c r="UD32">
        <v>93406.3880696392</v>
      </c>
      <c r="UE32">
        <v>88444.96807316539</v>
      </c>
      <c r="UF32">
        <v>78433.4547201633</v>
      </c>
      <c r="UG32">
        <v>146.761076211929</v>
      </c>
      <c r="UH32" t="s">
        <v>1900</v>
      </c>
      <c r="UI32" t="s">
        <v>1900</v>
      </c>
      <c r="UJ32" t="s">
        <v>1900</v>
      </c>
      <c r="UK32" t="s">
        <v>1900</v>
      </c>
      <c r="UL32" t="s">
        <v>1900</v>
      </c>
      <c r="UM32" t="s">
        <v>1900</v>
      </c>
      <c r="UN32" t="s">
        <v>1900</v>
      </c>
      <c r="UO32" t="s">
        <v>1900</v>
      </c>
      <c r="UP32" t="s">
        <v>1900</v>
      </c>
      <c r="UQ32" t="s">
        <v>1900</v>
      </c>
      <c r="UR32" t="s">
        <v>1900</v>
      </c>
      <c r="US32" t="s">
        <v>1900</v>
      </c>
      <c r="UT32" t="s">
        <v>1900</v>
      </c>
      <c r="UU32" t="s">
        <v>1900</v>
      </c>
      <c r="UV32" t="s">
        <v>1900</v>
      </c>
      <c r="UW32" t="s">
        <v>1900</v>
      </c>
      <c r="UX32" t="s">
        <v>1900</v>
      </c>
      <c r="UY32" t="s">
        <v>1900</v>
      </c>
      <c r="UZ32" t="s">
        <v>1900</v>
      </c>
      <c r="VA32" t="s">
        <v>1900</v>
      </c>
      <c r="VB32" t="s">
        <v>1900</v>
      </c>
      <c r="VC32" t="s">
        <v>1900</v>
      </c>
      <c r="VD32" t="s">
        <v>1900</v>
      </c>
      <c r="VE32" t="s">
        <v>1900</v>
      </c>
      <c r="VF32" t="s">
        <v>1900</v>
      </c>
      <c r="VG32" t="s">
        <v>1900</v>
      </c>
      <c r="VH32" t="s">
        <v>1900</v>
      </c>
      <c r="VI32" t="s">
        <v>1900</v>
      </c>
      <c r="VJ32" t="s">
        <v>1900</v>
      </c>
      <c r="VK32" t="s">
        <v>1900</v>
      </c>
      <c r="VL32" t="s">
        <v>1900</v>
      </c>
      <c r="VM32" t="s">
        <v>1900</v>
      </c>
      <c r="VN32" t="s">
        <v>1900</v>
      </c>
      <c r="VO32" t="s">
        <v>1900</v>
      </c>
      <c r="VP32" t="s">
        <v>1900</v>
      </c>
      <c r="VQ32" t="s">
        <v>1900</v>
      </c>
      <c r="VR32" t="s">
        <v>1900</v>
      </c>
      <c r="VS32" t="s">
        <v>1900</v>
      </c>
      <c r="VT32" t="s">
        <v>1900</v>
      </c>
      <c r="VU32" t="s">
        <v>1900</v>
      </c>
      <c r="VV32" t="s">
        <v>1900</v>
      </c>
      <c r="VW32" t="s">
        <v>1900</v>
      </c>
      <c r="VX32" t="s">
        <v>1900</v>
      </c>
      <c r="VY32" t="s">
        <v>1900</v>
      </c>
      <c r="VZ32" t="s">
        <v>1900</v>
      </c>
      <c r="WA32" t="s">
        <v>1900</v>
      </c>
      <c r="WB32">
        <v>454407.132882338</v>
      </c>
      <c r="WC32">
        <v>253449.18882612</v>
      </c>
      <c r="WD32">
        <v>164642.561657166</v>
      </c>
      <c r="WE32">
        <v>187962.113205647</v>
      </c>
      <c r="WF32" t="s">
        <v>1900</v>
      </c>
      <c r="WG32" t="s">
        <v>1900</v>
      </c>
      <c r="WH32" t="s">
        <v>1900</v>
      </c>
      <c r="WI32" t="s">
        <v>1900</v>
      </c>
      <c r="WJ32" t="s">
        <v>1900</v>
      </c>
      <c r="WK32" t="s">
        <v>1900</v>
      </c>
      <c r="WL32" t="s">
        <v>1900</v>
      </c>
      <c r="WM32" t="s">
        <v>1900</v>
      </c>
      <c r="WN32" t="s">
        <v>1900</v>
      </c>
      <c r="WO32" t="s">
        <v>1900</v>
      </c>
      <c r="WP32" t="s">
        <v>1900</v>
      </c>
      <c r="WQ32" t="s">
        <v>1900</v>
      </c>
      <c r="WR32" t="s">
        <v>1900</v>
      </c>
      <c r="WS32" t="s">
        <v>1900</v>
      </c>
      <c r="WT32" t="s">
        <v>1900</v>
      </c>
      <c r="WU32" t="s">
        <v>1900</v>
      </c>
      <c r="WV32" t="s">
        <v>1900</v>
      </c>
      <c r="WW32" t="s">
        <v>1900</v>
      </c>
      <c r="WX32" t="s">
        <v>1900</v>
      </c>
      <c r="WY32" t="s">
        <v>1900</v>
      </c>
      <c r="WZ32" t="s">
        <v>1900</v>
      </c>
      <c r="XA32" t="s">
        <v>1900</v>
      </c>
      <c r="XB32" t="s">
        <v>1900</v>
      </c>
      <c r="XC32" t="s">
        <v>1900</v>
      </c>
      <c r="XD32" t="s">
        <v>1900</v>
      </c>
      <c r="XE32" t="s">
        <v>1900</v>
      </c>
      <c r="XF32" t="s">
        <v>1900</v>
      </c>
      <c r="XG32" t="s">
        <v>1900</v>
      </c>
      <c r="XH32" t="s">
        <v>1900</v>
      </c>
      <c r="XI32" t="s">
        <v>1900</v>
      </c>
      <c r="XJ32" t="s">
        <v>1900</v>
      </c>
      <c r="XK32">
        <v>0</v>
      </c>
      <c r="XL32">
        <v>0</v>
      </c>
      <c r="XM32">
        <v>0</v>
      </c>
      <c r="XN32">
        <v>0</v>
      </c>
      <c r="XO32" t="s">
        <v>1900</v>
      </c>
      <c r="XP32" t="s">
        <v>1900</v>
      </c>
      <c r="XQ32" t="s">
        <v>1900</v>
      </c>
      <c r="XR32" t="s">
        <v>1900</v>
      </c>
      <c r="XS32" t="s">
        <v>1900</v>
      </c>
      <c r="XT32" t="s">
        <v>1900</v>
      </c>
      <c r="XU32" t="s">
        <v>1900</v>
      </c>
      <c r="XV32" t="s">
        <v>1900</v>
      </c>
      <c r="XW32" t="s">
        <v>1900</v>
      </c>
      <c r="XX32" t="s">
        <v>1900</v>
      </c>
      <c r="XY32" t="s">
        <v>1900</v>
      </c>
      <c r="XZ32">
        <v>0</v>
      </c>
      <c r="YA32">
        <v>0</v>
      </c>
      <c r="YB32">
        <v>0</v>
      </c>
      <c r="YC32">
        <v>0</v>
      </c>
      <c r="YD32" t="s">
        <v>1900</v>
      </c>
      <c r="YE32" t="s">
        <v>1900</v>
      </c>
      <c r="YF32" t="s">
        <v>1900</v>
      </c>
      <c r="YG32" t="s">
        <v>1900</v>
      </c>
      <c r="YH32" t="s">
        <v>1900</v>
      </c>
      <c r="YI32" t="s">
        <v>1900</v>
      </c>
      <c r="YJ32" t="s">
        <v>1900</v>
      </c>
      <c r="YK32" t="s">
        <v>1900</v>
      </c>
      <c r="YL32" t="s">
        <v>1900</v>
      </c>
      <c r="YM32" t="s">
        <v>1900</v>
      </c>
      <c r="YN32" t="s">
        <v>1900</v>
      </c>
      <c r="YO32" t="s">
        <v>1900</v>
      </c>
      <c r="YP32" t="s">
        <v>1900</v>
      </c>
      <c r="YQ32" t="s">
        <v>1900</v>
      </c>
      <c r="YR32" t="s">
        <v>1900</v>
      </c>
      <c r="YS32" t="s">
        <v>1900</v>
      </c>
      <c r="YT32" t="s">
        <v>1900</v>
      </c>
      <c r="YU32" t="s">
        <v>1900</v>
      </c>
      <c r="YV32" t="s">
        <v>1900</v>
      </c>
      <c r="YW32" t="s">
        <v>1900</v>
      </c>
      <c r="YX32" t="s">
        <v>1900</v>
      </c>
      <c r="YY32" t="s">
        <v>1900</v>
      </c>
      <c r="YZ32" t="s">
        <v>1900</v>
      </c>
      <c r="ZA32" t="s">
        <v>1900</v>
      </c>
      <c r="ZB32" t="s">
        <v>1900</v>
      </c>
      <c r="ZC32" t="s">
        <v>1900</v>
      </c>
      <c r="ZD32" t="s">
        <v>1900</v>
      </c>
      <c r="ZE32" t="s">
        <v>1900</v>
      </c>
      <c r="ZF32" t="s">
        <v>1900</v>
      </c>
      <c r="ZG32" t="s">
        <v>1900</v>
      </c>
      <c r="ZH32" t="s">
        <v>1900</v>
      </c>
      <c r="ZI32" t="s">
        <v>1900</v>
      </c>
      <c r="ZJ32" t="s">
        <v>1900</v>
      </c>
      <c r="ZK32" t="s">
        <v>1900</v>
      </c>
      <c r="ZL32" t="s">
        <v>1900</v>
      </c>
      <c r="ZM32" t="s">
        <v>1900</v>
      </c>
      <c r="ZN32" t="s">
        <v>1900</v>
      </c>
      <c r="ZO32" t="s">
        <v>1900</v>
      </c>
      <c r="ZP32" t="s">
        <v>1900</v>
      </c>
      <c r="ZQ32" t="s">
        <v>1900</v>
      </c>
      <c r="ZR32" t="s">
        <v>1900</v>
      </c>
      <c r="ZS32" t="s">
        <v>1900</v>
      </c>
      <c r="ZT32" t="s">
        <v>1900</v>
      </c>
      <c r="ZU32" t="s">
        <v>1900</v>
      </c>
      <c r="ZV32" t="s">
        <v>1900</v>
      </c>
      <c r="ZW32" t="s">
        <v>1900</v>
      </c>
      <c r="ZX32" t="s">
        <v>1900</v>
      </c>
      <c r="ZY32" t="s">
        <v>1900</v>
      </c>
      <c r="ZZ32" t="s">
        <v>1900</v>
      </c>
      <c r="AAA32" t="s">
        <v>1900</v>
      </c>
      <c r="AAB32" t="s">
        <v>1900</v>
      </c>
      <c r="AAC32" t="s">
        <v>1900</v>
      </c>
      <c r="AAD32" t="s">
        <v>1900</v>
      </c>
      <c r="AAE32" t="s">
        <v>1900</v>
      </c>
      <c r="AAF32" t="s">
        <v>1900</v>
      </c>
      <c r="AAG32" t="s">
        <v>1900</v>
      </c>
      <c r="AAH32" t="s">
        <v>1900</v>
      </c>
      <c r="AAI32" t="s">
        <v>1900</v>
      </c>
      <c r="AAJ32" t="s">
        <v>1900</v>
      </c>
      <c r="AAK32" t="s">
        <v>1900</v>
      </c>
      <c r="AAL32" t="s">
        <v>1900</v>
      </c>
      <c r="AAM32" t="s">
        <v>1900</v>
      </c>
      <c r="AAN32" t="s">
        <v>1900</v>
      </c>
      <c r="AAO32" t="s">
        <v>1900</v>
      </c>
      <c r="AAP32" t="s">
        <v>1900</v>
      </c>
      <c r="AAQ32" t="s">
        <v>1900</v>
      </c>
      <c r="AAR32" t="s">
        <v>1900</v>
      </c>
      <c r="AAS32" t="s">
        <v>1900</v>
      </c>
      <c r="AAT32" t="s">
        <v>1900</v>
      </c>
      <c r="AAU32" t="s">
        <v>1900</v>
      </c>
      <c r="AAV32" t="s">
        <v>1900</v>
      </c>
      <c r="AAW32" t="s">
        <v>1900</v>
      </c>
      <c r="AAX32" t="s">
        <v>1900</v>
      </c>
      <c r="AAY32" t="s">
        <v>1900</v>
      </c>
      <c r="AAZ32" t="s">
        <v>1900</v>
      </c>
      <c r="ABA32" t="s">
        <v>1900</v>
      </c>
      <c r="ABB32" t="s">
        <v>1900</v>
      </c>
      <c r="ABC32" t="s">
        <v>1900</v>
      </c>
      <c r="ABD32" t="s">
        <v>1900</v>
      </c>
      <c r="ABE32" t="s">
        <v>1900</v>
      </c>
      <c r="ABF32" t="s">
        <v>1900</v>
      </c>
      <c r="ABG32" t="s">
        <v>1900</v>
      </c>
      <c r="ABH32" t="s">
        <v>1900</v>
      </c>
      <c r="ABI32" t="s">
        <v>1900</v>
      </c>
      <c r="ABJ32" t="s">
        <v>1900</v>
      </c>
      <c r="ABK32" t="s">
        <v>1900</v>
      </c>
      <c r="ABL32" t="s">
        <v>1900</v>
      </c>
      <c r="ABM32" t="s">
        <v>1900</v>
      </c>
      <c r="ABN32" t="s">
        <v>1900</v>
      </c>
      <c r="ABO32" t="s">
        <v>1900</v>
      </c>
      <c r="ABP32" t="s">
        <v>1900</v>
      </c>
      <c r="ABQ32" t="s">
        <v>1900</v>
      </c>
      <c r="ABR32" t="s">
        <v>1900</v>
      </c>
      <c r="ABS32" t="s">
        <v>1900</v>
      </c>
      <c r="ABT32" t="s">
        <v>1900</v>
      </c>
      <c r="ABU32" t="s">
        <v>1900</v>
      </c>
      <c r="ABV32" t="s">
        <v>1900</v>
      </c>
      <c r="ABW32" t="s">
        <v>1900</v>
      </c>
      <c r="ABX32" t="s">
        <v>1900</v>
      </c>
      <c r="ABY32" t="s">
        <v>1900</v>
      </c>
      <c r="ABZ32" t="s">
        <v>1900</v>
      </c>
      <c r="ACA32" t="s">
        <v>1900</v>
      </c>
      <c r="ACB32" t="s">
        <v>1900</v>
      </c>
      <c r="ACC32" t="s">
        <v>1900</v>
      </c>
      <c r="ACD32" t="s">
        <v>1900</v>
      </c>
      <c r="ACE32" t="s">
        <v>1900</v>
      </c>
      <c r="ACF32">
        <v>35.751</v>
      </c>
      <c r="ACG32">
        <v>51.934</v>
      </c>
      <c r="ACH32">
        <v>50.16</v>
      </c>
      <c r="ACI32">
        <v>1.862</v>
      </c>
      <c r="ACJ32" t="s">
        <v>1900</v>
      </c>
      <c r="ACK32">
        <v>32.543</v>
      </c>
      <c r="ACL32">
        <v>44.81</v>
      </c>
      <c r="ACM32">
        <v>37.408</v>
      </c>
      <c r="ACN32">
        <v>1.69</v>
      </c>
      <c r="ACO32" t="s">
        <v>1900</v>
      </c>
      <c r="ACP32">
        <v>26.703</v>
      </c>
      <c r="ACQ32">
        <v>38.403</v>
      </c>
      <c r="ACR32">
        <v>31.981</v>
      </c>
      <c r="ACS32">
        <v>0.833</v>
      </c>
      <c r="ACT32" t="s">
        <v>1900</v>
      </c>
      <c r="ACU32">
        <v>32.496</v>
      </c>
      <c r="ACV32">
        <v>40.346</v>
      </c>
      <c r="ACW32">
        <v>48.65</v>
      </c>
      <c r="ACX32">
        <v>1.396</v>
      </c>
      <c r="ACY32" t="s">
        <v>1900</v>
      </c>
      <c r="ACZ32">
        <v>29.606</v>
      </c>
      <c r="ADA32">
        <v>34.896</v>
      </c>
      <c r="ADB32">
        <v>36.299</v>
      </c>
      <c r="ADC32">
        <v>1.451</v>
      </c>
      <c r="ADD32" t="s">
        <v>1900</v>
      </c>
      <c r="ADE32">
        <v>24.272</v>
      </c>
      <c r="ADF32">
        <v>29.834</v>
      </c>
      <c r="ADG32">
        <v>31.018</v>
      </c>
      <c r="ADH32">
        <v>0.625</v>
      </c>
      <c r="ADI32" t="s">
        <v>1900</v>
      </c>
      <c r="ADJ32">
        <v>29.712</v>
      </c>
      <c r="ADK32">
        <v>44.059</v>
      </c>
      <c r="ADL32">
        <v>37.368</v>
      </c>
      <c r="ADM32">
        <v>1.079</v>
      </c>
      <c r="ADN32" t="s">
        <v>1900</v>
      </c>
      <c r="ADO32">
        <v>83.973</v>
      </c>
      <c r="ADP32">
        <v>84.875</v>
      </c>
      <c r="ADQ32">
        <v>82.194</v>
      </c>
      <c r="ADR32">
        <v>83.821</v>
      </c>
      <c r="ADS32" t="s">
        <v>1900</v>
      </c>
      <c r="ADT32">
        <v>29.483001385</v>
      </c>
      <c r="ADU32">
        <v>44.920537876</v>
      </c>
      <c r="ADV32">
        <v>36.765356212</v>
      </c>
      <c r="ADW32">
        <v>2.550333344</v>
      </c>
      <c r="ADX32" t="s">
        <v>1900</v>
      </c>
      <c r="ADY32">
        <v>40.77</v>
      </c>
      <c r="ADZ32">
        <v>53.633</v>
      </c>
      <c r="AEA32">
        <v>44.264</v>
      </c>
      <c r="AEB32">
        <v>11.682</v>
      </c>
      <c r="AEC32" t="s">
        <v>1900</v>
      </c>
      <c r="AED32">
        <v>29.483</v>
      </c>
      <c r="AEE32">
        <v>44.921</v>
      </c>
      <c r="AEF32">
        <v>36.765</v>
      </c>
      <c r="AEG32">
        <v>2.55</v>
      </c>
      <c r="AEH32" t="s">
        <v>1900</v>
      </c>
      <c r="AEI32">
        <v>38.294</v>
      </c>
      <c r="AEJ32">
        <v>42.94</v>
      </c>
      <c r="AEK32">
        <v>43.741</v>
      </c>
      <c r="AEL32">
        <v>9.941000000000001</v>
      </c>
      <c r="AEM32" t="s">
        <v>1900</v>
      </c>
      <c r="AEN32">
        <v>41.80977915</v>
      </c>
      <c r="AEO32">
        <v>81.555876082</v>
      </c>
      <c r="AEP32">
        <v>58.141161253</v>
      </c>
      <c r="AEQ32">
        <v>2.617077545</v>
      </c>
      <c r="AER32" t="s">
        <v>1900</v>
      </c>
      <c r="AES32">
        <v>1.541072469</v>
      </c>
      <c r="AET32">
        <v>2.124283189</v>
      </c>
      <c r="AEU32">
        <v>1.809303038</v>
      </c>
      <c r="AEV32">
        <v>1.031380867</v>
      </c>
      <c r="AEW32" t="s">
        <v>1900</v>
      </c>
      <c r="AEX32" t="s">
        <v>1900</v>
      </c>
      <c r="AEY32" t="s">
        <v>1900</v>
      </c>
      <c r="AEZ32" t="s">
        <v>1900</v>
      </c>
      <c r="AFA32" t="s">
        <v>1900</v>
      </c>
      <c r="AFB32" t="s">
        <v>1900</v>
      </c>
      <c r="AFC32" t="s">
        <v>1900</v>
      </c>
      <c r="AFD32" t="s">
        <v>1900</v>
      </c>
      <c r="AFE32" t="s">
        <v>1900</v>
      </c>
      <c r="AFF32" t="s">
        <v>1900</v>
      </c>
      <c r="AFG32" t="s">
        <v>1900</v>
      </c>
      <c r="AFH32">
        <v>1.086</v>
      </c>
      <c r="AFI32">
        <v>1.008</v>
      </c>
      <c r="AFJ32">
        <v>0.985</v>
      </c>
      <c r="AFK32">
        <v>0.885</v>
      </c>
      <c r="AFL32" t="s">
        <v>1900</v>
      </c>
      <c r="AFM32">
        <v>112.912</v>
      </c>
      <c r="AFN32">
        <v>119.726</v>
      </c>
      <c r="AFO32">
        <v>60.866</v>
      </c>
      <c r="AFP32">
        <v>3.073</v>
      </c>
      <c r="AFQ32" t="s">
        <v>1900</v>
      </c>
      <c r="AFR32" t="s">
        <v>1901</v>
      </c>
      <c r="AFS32" t="s">
        <v>1901</v>
      </c>
      <c r="AFT32" t="s">
        <v>1901</v>
      </c>
      <c r="AFU32" t="s">
        <v>1901</v>
      </c>
      <c r="AFV32" t="s">
        <v>1900</v>
      </c>
      <c r="AFW32">
        <v>81.20099999999999</v>
      </c>
      <c r="AFX32">
        <v>80.742</v>
      </c>
      <c r="AFY32">
        <v>111.828</v>
      </c>
      <c r="AFZ32">
        <v>105.548</v>
      </c>
      <c r="AGA32" t="s">
        <v>1900</v>
      </c>
      <c r="AGB32">
        <v>0.003</v>
      </c>
      <c r="AGC32">
        <v>0.033</v>
      </c>
      <c r="AGD32">
        <v>0</v>
      </c>
      <c r="AGE32">
        <v>0</v>
      </c>
      <c r="AGF32" t="s">
        <v>1900</v>
      </c>
      <c r="AGG32" t="s">
        <v>1900</v>
      </c>
      <c r="AGH32" t="s">
        <v>1900</v>
      </c>
      <c r="AGI32" t="s">
        <v>1900</v>
      </c>
      <c r="AGJ32" t="s">
        <v>1900</v>
      </c>
      <c r="AGK32" t="s">
        <v>1900</v>
      </c>
      <c r="AGL32" t="s">
        <v>1900</v>
      </c>
      <c r="AGM32" t="s">
        <v>1900</v>
      </c>
      <c r="AGN32" t="s">
        <v>1900</v>
      </c>
      <c r="AGO32" t="s">
        <v>1900</v>
      </c>
      <c r="AGP32" t="s">
        <v>1900</v>
      </c>
      <c r="AGQ32" t="s">
        <v>1900</v>
      </c>
      <c r="AGR32" t="s">
        <v>1900</v>
      </c>
      <c r="AGS32" t="s">
        <v>1900</v>
      </c>
      <c r="AGT32" t="s">
        <v>1900</v>
      </c>
      <c r="AGU32">
        <v>0</v>
      </c>
      <c r="AGV32">
        <v>0</v>
      </c>
      <c r="AGW32">
        <v>0</v>
      </c>
      <c r="AGX32">
        <v>0</v>
      </c>
      <c r="AGY32">
        <v>0</v>
      </c>
      <c r="AGZ32" t="s">
        <v>1900</v>
      </c>
      <c r="AHA32">
        <v>4.756</v>
      </c>
      <c r="AHB32">
        <v>5.413</v>
      </c>
      <c r="AHC32">
        <v>5.283</v>
      </c>
      <c r="AHD32">
        <v>4.755</v>
      </c>
      <c r="AHE32" t="s">
        <v>1900</v>
      </c>
      <c r="AHF32">
        <v>4.755</v>
      </c>
      <c r="AHG32">
        <v>5.413</v>
      </c>
      <c r="AHH32">
        <v>5.281</v>
      </c>
      <c r="AHI32">
        <v>4.755</v>
      </c>
      <c r="AHJ32" t="s">
        <v>1900</v>
      </c>
      <c r="AHK32">
        <v>9.241</v>
      </c>
      <c r="AHL32">
        <v>5.922</v>
      </c>
      <c r="AHM32">
        <v>2.758</v>
      </c>
      <c r="AHN32">
        <v>1.054</v>
      </c>
      <c r="AHO32" t="s">
        <v>1900</v>
      </c>
      <c r="AHP32">
        <v>74.691</v>
      </c>
      <c r="AHQ32">
        <v>73.94499999999999</v>
      </c>
      <c r="AHR32">
        <v>63.758</v>
      </c>
      <c r="AHS32">
        <v>44.737</v>
      </c>
      <c r="AHT32" t="s">
        <v>1900</v>
      </c>
      <c r="AHU32" t="s">
        <v>1901</v>
      </c>
      <c r="AHV32" t="s">
        <v>1901</v>
      </c>
      <c r="AHW32" t="s">
        <v>1901</v>
      </c>
      <c r="AHX32">
        <v>80.95399999999999</v>
      </c>
      <c r="AHY32" t="s">
        <v>1900</v>
      </c>
      <c r="AHZ32">
        <v>14.754</v>
      </c>
      <c r="AIA32">
        <v>21.63</v>
      </c>
      <c r="AIB32">
        <v>42.9</v>
      </c>
      <c r="AIC32">
        <v>94.917</v>
      </c>
      <c r="AID32" t="s">
        <v>1900</v>
      </c>
      <c r="AIE32">
        <v>2.96198875</v>
      </c>
      <c r="AIF32">
        <v>0.47338193</v>
      </c>
      <c r="AIG32">
        <v>3.822230389</v>
      </c>
      <c r="AIH32">
        <v>15.104268754</v>
      </c>
      <c r="AII32" t="s">
        <v>1900</v>
      </c>
      <c r="AIJ32">
        <v>61.640805178</v>
      </c>
      <c r="AIK32">
        <v>53.897999805</v>
      </c>
      <c r="AIL32">
        <v>42.724551369</v>
      </c>
      <c r="AIM32">
        <v>38.281311867</v>
      </c>
      <c r="AIN32" t="s">
        <v>1900</v>
      </c>
      <c r="AIO32">
        <v>14.288147086</v>
      </c>
      <c r="AIP32">
        <v>10.05332995</v>
      </c>
      <c r="AIQ32">
        <v>8.889420432</v>
      </c>
      <c r="AIR32">
        <v>12.799439089</v>
      </c>
      <c r="AIS32" t="s">
        <v>1900</v>
      </c>
      <c r="AIT32">
        <v>0.04824387</v>
      </c>
      <c r="AIU32">
        <v>0</v>
      </c>
      <c r="AIV32">
        <v>0.145660842</v>
      </c>
      <c r="AIW32">
        <v>0</v>
      </c>
      <c r="AIX32" t="s">
        <v>1900</v>
      </c>
      <c r="AIY32">
        <v>53.0771407703686</v>
      </c>
      <c r="AIZ32">
        <v>64.5432638915163</v>
      </c>
      <c r="AJA32">
        <v>45.5637843725038</v>
      </c>
      <c r="AJB32">
        <v>0.764466911254525</v>
      </c>
      <c r="AJC32" t="s">
        <v>1900</v>
      </c>
      <c r="AJD32">
        <v>178.638996860987</v>
      </c>
      <c r="AJE32">
        <v>146.492437360686</v>
      </c>
      <c r="AJF32">
        <v>121.934118157196</v>
      </c>
      <c r="AJG32">
        <v>70.828477110874</v>
      </c>
      <c r="AJH32" t="s">
        <v>1900</v>
      </c>
      <c r="AJI32">
        <v>31.531</v>
      </c>
      <c r="AJJ32">
        <v>30.784</v>
      </c>
      <c r="AJK32">
        <v>38.727</v>
      </c>
      <c r="AJL32">
        <v>54.417</v>
      </c>
      <c r="AJM32" t="s">
        <v>1900</v>
      </c>
      <c r="AJN32">
        <v>56.3258223383369</v>
      </c>
      <c r="AJO32">
        <v>45.0957186370152</v>
      </c>
      <c r="AJP32">
        <v>47.2214570499087</v>
      </c>
      <c r="AJQ32">
        <v>38.5426576611263</v>
      </c>
      <c r="AJR32" t="s">
        <v>1900</v>
      </c>
      <c r="AJS32">
        <v>148.463420108559</v>
      </c>
      <c r="AJT32">
        <v>124.278520209257</v>
      </c>
      <c r="AJU32">
        <v>90.8365040571928</v>
      </c>
      <c r="AJV32">
        <v>41.060942748</v>
      </c>
      <c r="AJW32" t="s">
        <v>1900</v>
      </c>
      <c r="AJX32">
        <v>40.3061008538828</v>
      </c>
      <c r="AJY32">
        <v>32.8424039964086</v>
      </c>
      <c r="AJZ32">
        <v>37.9083440870976</v>
      </c>
      <c r="AKA32">
        <v>20.7661989900696</v>
      </c>
      <c r="AKB32" t="s">
        <v>1900</v>
      </c>
      <c r="AKC32">
        <v>198.769271570207</v>
      </c>
      <c r="AKD32">
        <v>168.069810070722</v>
      </c>
      <c r="AKE32">
        <v>142.470620606797</v>
      </c>
      <c r="AKF32">
        <v>91.7823977517706</v>
      </c>
      <c r="AKG32" t="s">
        <v>1900</v>
      </c>
      <c r="AKH32">
        <v>0.04824387</v>
      </c>
      <c r="AKI32">
        <v>0</v>
      </c>
      <c r="AKJ32">
        <v>0.145660842</v>
      </c>
      <c r="AKK32">
        <v>0</v>
      </c>
      <c r="AKL32" t="s">
        <v>1900</v>
      </c>
      <c r="AKM32">
        <v>0.007732078</v>
      </c>
      <c r="AKN32">
        <v>0</v>
      </c>
      <c r="AKO32">
        <v>0.025936699</v>
      </c>
      <c r="AKP32">
        <v>0</v>
      </c>
      <c r="AKQ32" t="s">
        <v>1900</v>
      </c>
      <c r="AKR32">
        <v>0.006949015</v>
      </c>
      <c r="AKS32">
        <v>0</v>
      </c>
      <c r="AKT32">
        <v>0.02219804</v>
      </c>
      <c r="AKU32">
        <v>0</v>
      </c>
      <c r="AKV32" t="s">
        <v>1900</v>
      </c>
      <c r="AKW32">
        <v>16.524374592</v>
      </c>
      <c r="AKX32">
        <v>29.542772156</v>
      </c>
      <c r="AKY32">
        <v>30.806256658</v>
      </c>
      <c r="AKZ32">
        <v>30.226197267</v>
      </c>
      <c r="ALA32" t="s">
        <v>1900</v>
      </c>
      <c r="ALB32">
        <v>14.850875531</v>
      </c>
      <c r="ALC32">
        <v>25.749970733</v>
      </c>
      <c r="ALD32">
        <v>26.365672657</v>
      </c>
      <c r="ALE32">
        <v>23.325556621</v>
      </c>
      <c r="ALF32" t="s">
        <v>1900</v>
      </c>
      <c r="ALG32">
        <v>0.297953684</v>
      </c>
      <c r="ALH32">
        <v>0.378196144</v>
      </c>
      <c r="ALI32">
        <v>0.56050779</v>
      </c>
      <c r="ALJ32">
        <v>0.859650661</v>
      </c>
      <c r="ALK32" t="s">
        <v>1900</v>
      </c>
      <c r="ALL32">
        <v>0.267778551</v>
      </c>
      <c r="ALM32">
        <v>0.329642039</v>
      </c>
      <c r="ALN32">
        <v>0.479713101</v>
      </c>
      <c r="ALO32">
        <v>0.663392421</v>
      </c>
      <c r="ALP32" t="s">
        <v>1900</v>
      </c>
      <c r="ALQ32">
        <v>22.555946947</v>
      </c>
      <c r="ALR32">
        <v>22.4284455</v>
      </c>
      <c r="ALS32">
        <v>31.063265054</v>
      </c>
      <c r="ALT32">
        <v>29.318997218</v>
      </c>
      <c r="ALU32" t="s">
        <v>1900</v>
      </c>
      <c r="ALV32">
        <v>0.003547934</v>
      </c>
      <c r="ALW32">
        <v>0.041307928</v>
      </c>
      <c r="ALX32">
        <v>0</v>
      </c>
      <c r="ALY32">
        <v>0</v>
      </c>
      <c r="ALZ32" t="s">
        <v>1900</v>
      </c>
      <c r="AMA32">
        <v>83.97293216066321</v>
      </c>
      <c r="AMB32">
        <v>84.8753626898508</v>
      </c>
      <c r="AMC32">
        <v>82.1937736088269</v>
      </c>
      <c r="AMD32">
        <v>83.8206605095409</v>
      </c>
      <c r="AME32" t="s">
        <v>1900</v>
      </c>
      <c r="AMF32">
        <v>83.97293216066321</v>
      </c>
      <c r="AMG32">
        <v>84.8753626898508</v>
      </c>
      <c r="AMH32">
        <v>82.1937736088269</v>
      </c>
      <c r="AMI32">
        <v>84.0400671839467</v>
      </c>
      <c r="AMJ32" t="s">
        <v>1900</v>
      </c>
      <c r="AMK32">
        <v>523.944448244989</v>
      </c>
      <c r="AML32">
        <v>561.172879384662</v>
      </c>
      <c r="AMM32">
        <v>461.601306212595</v>
      </c>
      <c r="AMN32">
        <v>518.072202879292</v>
      </c>
      <c r="AMO32" t="s">
        <v>1900</v>
      </c>
      <c r="AMP32">
        <v>1.54107246907268</v>
      </c>
      <c r="AMQ32">
        <v>2.12428318948012</v>
      </c>
      <c r="AMR32">
        <v>1.80930304088038</v>
      </c>
      <c r="AMS32">
        <v>1.03138086719655</v>
      </c>
      <c r="AMT32" t="s">
        <v>1900</v>
      </c>
      <c r="AMU32">
        <v>1.54107246907268</v>
      </c>
      <c r="AMV32">
        <v>2.12428318948012</v>
      </c>
      <c r="AMW32">
        <v>1.80930303930755</v>
      </c>
      <c r="AMX32">
        <v>1.03138086719655</v>
      </c>
      <c r="AMY32" t="s">
        <v>1900</v>
      </c>
      <c r="AMZ32">
        <v>1.54107246907268</v>
      </c>
      <c r="ANA32">
        <v>2.12428318948012</v>
      </c>
      <c r="ANB32">
        <v>1.80930303803466</v>
      </c>
      <c r="ANC32">
        <v>1.03138086719655</v>
      </c>
      <c r="AND32" t="s">
        <v>1900</v>
      </c>
      <c r="ANE32">
        <v>29.4830013846025</v>
      </c>
      <c r="ANF32">
        <v>44.9205378763934</v>
      </c>
      <c r="ANG32">
        <v>36.7653562121981</v>
      </c>
      <c r="ANH32">
        <v>2.55033334380771</v>
      </c>
      <c r="ANI32" t="s">
        <v>1900</v>
      </c>
      <c r="ANJ32">
        <v>29.4830013846025</v>
      </c>
      <c r="ANK32">
        <v>44.9205378763934</v>
      </c>
      <c r="ANL32">
        <v>36.7653562121981</v>
      </c>
      <c r="ANM32">
        <v>2.55700902679791</v>
      </c>
      <c r="ANN32" t="s">
        <v>1900</v>
      </c>
      <c r="ANO32">
        <v>41.8097791504201</v>
      </c>
      <c r="ANP32">
        <v>81.5558760824226</v>
      </c>
      <c r="ANQ32">
        <v>58.1411612526396</v>
      </c>
      <c r="ANR32">
        <v>2.61707754507301</v>
      </c>
      <c r="ANS32" t="s">
        <v>1900</v>
      </c>
      <c r="ANT32">
        <v>32.011365209692</v>
      </c>
      <c r="ANU32">
        <v>45.3006322296528</v>
      </c>
      <c r="ANV32">
        <v>36.2192938453299</v>
      </c>
      <c r="ANW32">
        <v>2.25723071098578</v>
      </c>
      <c r="ANX32" t="s">
        <v>1900</v>
      </c>
      <c r="ANY32">
        <v>83.97293216066321</v>
      </c>
      <c r="ANZ32">
        <v>84.8753626898509</v>
      </c>
      <c r="AOA32">
        <v>82.1937736088269</v>
      </c>
      <c r="AOB32">
        <v>83.8206605095409</v>
      </c>
      <c r="AOC32" t="s">
        <v>1900</v>
      </c>
      <c r="AOD32">
        <v>119.081829643169</v>
      </c>
      <c r="AOE32">
        <v>154.096208309692</v>
      </c>
      <c r="AOF32">
        <v>129.982188062365</v>
      </c>
      <c r="AOG32">
        <v>86.01431219386789</v>
      </c>
      <c r="AOH32" t="s">
        <v>1900</v>
      </c>
      <c r="AOI32">
        <v>75.46860890242461</v>
      </c>
      <c r="AOJ32">
        <v>73.9787753718213</v>
      </c>
      <c r="AOK32">
        <v>70.3459090632519</v>
      </c>
      <c r="AOL32">
        <v>64.6844042425502</v>
      </c>
      <c r="AOM32" t="s">
        <v>1900</v>
      </c>
      <c r="AON32">
        <v>183.957550315221</v>
      </c>
      <c r="AOO32">
        <v>297.002413712428</v>
      </c>
      <c r="AOP32">
        <v>206.474720721418</v>
      </c>
      <c r="AOQ32">
        <v>15.7629014788374</v>
      </c>
      <c r="AOR32" t="s">
        <v>1900</v>
      </c>
      <c r="AOS32">
        <v>54.1072469072678</v>
      </c>
      <c r="AOT32">
        <v>112.428318948012</v>
      </c>
      <c r="AOU32">
        <v>80.930303930755</v>
      </c>
      <c r="AOV32">
        <v>3.13808671965459</v>
      </c>
      <c r="AOW32" t="s">
        <v>1900</v>
      </c>
      <c r="AOX32">
        <v>26.4971228646285</v>
      </c>
      <c r="AOY32">
        <v>39.1534866635271</v>
      </c>
      <c r="AOZ32">
        <v>31.4657946852511</v>
      </c>
      <c r="APA32">
        <v>1.96809225746122</v>
      </c>
      <c r="APB32" t="s">
        <v>1900</v>
      </c>
      <c r="APC32">
        <v>27.0068478953584</v>
      </c>
      <c r="APD32">
        <v>34.2278048421651</v>
      </c>
      <c r="APE32">
        <v>36.2423437436051</v>
      </c>
      <c r="APF32">
        <v>0.8094906209149</v>
      </c>
      <c r="APG32" t="s">
        <v>1900</v>
      </c>
      <c r="APH32">
        <v>27.0068478953584</v>
      </c>
      <c r="API32">
        <v>34.2278048421651</v>
      </c>
      <c r="APJ32">
        <v>36.2423437436051</v>
      </c>
      <c r="APK32">
        <v>0.811609521482111</v>
      </c>
      <c r="APL32" t="s">
        <v>1900</v>
      </c>
      <c r="APM32">
        <v>168.507728089057</v>
      </c>
      <c r="APN32">
        <v>226.304962825106</v>
      </c>
      <c r="APO32">
        <v>203.537475866145</v>
      </c>
      <c r="APP32">
        <v>5.00323651278998</v>
      </c>
      <c r="APQ32" t="s">
        <v>1900</v>
      </c>
      <c r="APR32">
        <v>49.5630064320497</v>
      </c>
      <c r="APS32">
        <v>85.6662618393878</v>
      </c>
      <c r="APT32">
        <v>79.7790147171131</v>
      </c>
      <c r="APU32">
        <v>0.996046957291214</v>
      </c>
      <c r="APV32" t="s">
        <v>1900</v>
      </c>
      <c r="APW32">
        <v>38.2983513558976</v>
      </c>
      <c r="APX32">
        <v>62.1425909449747</v>
      </c>
      <c r="APY32">
        <v>57.3140632613106</v>
      </c>
      <c r="APZ32">
        <v>0.830675618184336</v>
      </c>
      <c r="AQA32" t="s">
        <v>1900</v>
      </c>
      <c r="AQB32">
        <v>24.2717407747832</v>
      </c>
      <c r="AQC32">
        <v>29.8335230111701</v>
      </c>
      <c r="AQD32">
        <v>31.0181721228695</v>
      </c>
      <c r="AQE32">
        <v>0.624683917252744</v>
      </c>
      <c r="AQF32" t="s">
        <v>1900</v>
      </c>
      <c r="AQG32">
        <v>0.541072469072678</v>
      </c>
      <c r="AQH32">
        <v>1.12428318948012</v>
      </c>
      <c r="AQI32">
        <v>0.809303038034658</v>
      </c>
      <c r="AQJ32">
        <v>0.0313808671965459</v>
      </c>
      <c r="AQK32">
        <v>7</v>
      </c>
      <c r="AQO32" t="s">
        <v>1903</v>
      </c>
      <c r="AQP32">
        <v>58</v>
      </c>
      <c r="AQQ32">
        <v>0</v>
      </c>
      <c r="AQS32" t="s">
        <v>1905</v>
      </c>
      <c r="AQU32" t="s">
        <v>1906</v>
      </c>
      <c r="AQV32" t="s">
        <v>1900</v>
      </c>
      <c r="AQW32">
        <v>2858223.95198579</v>
      </c>
      <c r="AQX32">
        <v>2197386.56041029</v>
      </c>
      <c r="AQY32" t="s">
        <v>1900</v>
      </c>
      <c r="AQZ32">
        <v>842690.20733901</v>
      </c>
      <c r="ARA32">
        <v>987077.862159884</v>
      </c>
      <c r="ARB32">
        <v>5055610.51239608</v>
      </c>
      <c r="ARC32">
        <v>1829768.069498894</v>
      </c>
      <c r="ARD32">
        <v>0.5672217728822324</v>
      </c>
      <c r="ARE32">
        <v>0.5672217728822324</v>
      </c>
      <c r="ARF32">
        <v>0.5672217728822324</v>
      </c>
      <c r="ARG32">
        <v>0.5672217728822324</v>
      </c>
      <c r="ARH32">
        <v>0.5672217728822324</v>
      </c>
      <c r="ARI32">
        <v>0.5672217728822324</v>
      </c>
      <c r="ARJ32" t="s">
        <v>1193</v>
      </c>
      <c r="ARK32" t="s">
        <v>1531</v>
      </c>
      <c r="ARL32" t="s">
        <v>1908</v>
      </c>
      <c r="ARM32" t="s">
        <v>1908</v>
      </c>
      <c r="ARN32" t="s">
        <v>1909</v>
      </c>
      <c r="ARO32" t="s">
        <v>1908</v>
      </c>
      <c r="ARP32" t="s">
        <v>1907</v>
      </c>
      <c r="ARQ32" t="s">
        <v>1935</v>
      </c>
      <c r="ARR32">
        <f>HYPERLINK("C:\Users\Usuario\Documents\Proyectos\llmthon\evidence\weplananalytics_com_233927.png", "Ver Evidencia")</f>
        <v>0</v>
      </c>
      <c r="ARS32">
        <v>100</v>
      </c>
    </row>
    <row r="33" spans="1:1163">
      <c r="A33">
        <v>167</v>
      </c>
      <c r="B33" t="s">
        <v>1194</v>
      </c>
      <c r="C33" t="s">
        <v>1317</v>
      </c>
      <c r="E33" s="2">
        <v>28311</v>
      </c>
      <c r="F33" t="s">
        <v>1431</v>
      </c>
      <c r="G33" t="s">
        <v>1433</v>
      </c>
      <c r="H33" t="s">
        <v>1434</v>
      </c>
      <c r="I33" t="s">
        <v>1435</v>
      </c>
      <c r="J33" t="s">
        <v>1451</v>
      </c>
      <c r="L33" t="s">
        <v>1532</v>
      </c>
      <c r="N33" t="s">
        <v>1636</v>
      </c>
      <c r="O33" t="s">
        <v>1660</v>
      </c>
      <c r="P33">
        <v>7490</v>
      </c>
      <c r="Q33">
        <v>7490</v>
      </c>
      <c r="R33" t="s">
        <v>1703</v>
      </c>
      <c r="Z33" t="s">
        <v>1899</v>
      </c>
      <c r="AA33" s="2">
        <v>45657</v>
      </c>
      <c r="AB33">
        <v>2024</v>
      </c>
      <c r="AC33">
        <v>5385743.41221377</v>
      </c>
      <c r="AD33">
        <v>5341908.67098297</v>
      </c>
      <c r="AE33">
        <v>5100417.99934463</v>
      </c>
      <c r="AF33">
        <v>5673319.71866605</v>
      </c>
      <c r="AG33">
        <v>6104004.94472223</v>
      </c>
      <c r="AH33">
        <v>5376576.68211462</v>
      </c>
      <c r="AI33">
        <v>5331556.8384872</v>
      </c>
      <c r="AJ33">
        <v>5094192.79143141</v>
      </c>
      <c r="AK33">
        <v>5667523.86311266</v>
      </c>
      <c r="AL33">
        <v>6104004.94472223</v>
      </c>
      <c r="AM33">
        <v>1878681.2167133</v>
      </c>
      <c r="AN33">
        <v>1799177.48739875</v>
      </c>
      <c r="AO33">
        <v>1594746.28653926</v>
      </c>
      <c r="AP33">
        <v>1905576.64043884</v>
      </c>
      <c r="AQ33">
        <v>2115340.4897478</v>
      </c>
      <c r="AR33">
        <v>3507062.19446157</v>
      </c>
      <c r="AS33">
        <v>3542731.18358422</v>
      </c>
      <c r="AT33">
        <v>3505671.71067217</v>
      </c>
      <c r="AU33">
        <v>3767743.07822721</v>
      </c>
      <c r="AV33">
        <v>3988664.45374733</v>
      </c>
      <c r="AW33">
        <v>3156225.34160545</v>
      </c>
      <c r="AX33">
        <v>3452779.97736523</v>
      </c>
      <c r="AY33">
        <v>3386539.82310882</v>
      </c>
      <c r="AZ33">
        <v>3662798.65556817</v>
      </c>
      <c r="BA33">
        <v>4197678.42607025</v>
      </c>
      <c r="BB33">
        <v>350836.852856119</v>
      </c>
      <c r="BC33">
        <v>89951.2062189961</v>
      </c>
      <c r="BD33">
        <v>119131.888629949</v>
      </c>
      <c r="BE33">
        <v>104944.422659039</v>
      </c>
      <c r="BF33">
        <v>-209013.97109583</v>
      </c>
      <c r="BG33">
        <v>-7435.33129126191</v>
      </c>
      <c r="BH33">
        <v>-12661.9907325459</v>
      </c>
      <c r="BI33">
        <v>-32717.9073043406</v>
      </c>
      <c r="BJ33">
        <v>-30803.3973855329</v>
      </c>
      <c r="BK33">
        <v>7356.27623519301</v>
      </c>
      <c r="BL33">
        <v>1205.62213922501</v>
      </c>
      <c r="BM33">
        <v>606.965722398758</v>
      </c>
      <c r="BN33">
        <v>101.070967507362</v>
      </c>
      <c r="BO33">
        <v>940.046929192543</v>
      </c>
      <c r="BP33">
        <v>7356.27623519301</v>
      </c>
      <c r="BQ33">
        <v>8640.953430486919</v>
      </c>
      <c r="BR33">
        <v>13268.9564549446</v>
      </c>
      <c r="BS33">
        <v>32818.978271848</v>
      </c>
      <c r="BT33">
        <v>31743.4454473257</v>
      </c>
      <c r="BU33" t="s">
        <v>1900</v>
      </c>
      <c r="BV33">
        <v>343401.521564857</v>
      </c>
      <c r="BW33">
        <v>77289.21548645019</v>
      </c>
      <c r="BX33">
        <v>86413.9813256085</v>
      </c>
      <c r="BY33">
        <v>74141.0241409063</v>
      </c>
      <c r="BZ33">
        <v>-201657.694860637</v>
      </c>
      <c r="CA33">
        <v>61476.7244978964</v>
      </c>
      <c r="CB33">
        <v>13142.6438482571</v>
      </c>
      <c r="CC33">
        <v>22101.9252717614</v>
      </c>
      <c r="CD33">
        <v>18659.8392375469</v>
      </c>
      <c r="CE33">
        <v>-48494.9275005281</v>
      </c>
      <c r="CF33">
        <v>281924.79706696</v>
      </c>
      <c r="CG33">
        <v>64146.5716381931</v>
      </c>
      <c r="CH33">
        <v>64312.0560538471</v>
      </c>
      <c r="CI33">
        <v>55481.1849033594</v>
      </c>
      <c r="CJ33">
        <v>-153162.767360109</v>
      </c>
      <c r="CK33" t="s">
        <v>1900</v>
      </c>
      <c r="CL33" t="s">
        <v>1900</v>
      </c>
      <c r="CM33" t="s">
        <v>1900</v>
      </c>
      <c r="CN33" t="s">
        <v>1900</v>
      </c>
      <c r="CO33" t="s">
        <v>1900</v>
      </c>
      <c r="CP33" t="s">
        <v>1900</v>
      </c>
      <c r="CQ33" t="s">
        <v>1900</v>
      </c>
      <c r="CR33" t="s">
        <v>1900</v>
      </c>
      <c r="CS33" t="s">
        <v>1900</v>
      </c>
      <c r="CT33" t="s">
        <v>1900</v>
      </c>
      <c r="CU33" t="s">
        <v>1900</v>
      </c>
      <c r="CV33" t="s">
        <v>1900</v>
      </c>
      <c r="CW33" t="s">
        <v>1900</v>
      </c>
      <c r="CX33" t="s">
        <v>1900</v>
      </c>
      <c r="CY33" t="s">
        <v>1900</v>
      </c>
      <c r="CZ33">
        <v>281924.79706696</v>
      </c>
      <c r="DA33">
        <v>64146.5716381931</v>
      </c>
      <c r="DB33">
        <v>64312.0560538471</v>
      </c>
      <c r="DC33">
        <v>55481.1849033594</v>
      </c>
      <c r="DD33">
        <v>-153162.767360109</v>
      </c>
      <c r="DE33" t="s">
        <v>1900</v>
      </c>
      <c r="DF33" t="s">
        <v>1900</v>
      </c>
      <c r="DG33" t="s">
        <v>1900</v>
      </c>
      <c r="DH33" t="s">
        <v>1900</v>
      </c>
      <c r="DI33" t="s">
        <v>1900</v>
      </c>
      <c r="DJ33">
        <v>1912155.18326086</v>
      </c>
      <c r="DK33">
        <v>1829218.41763075</v>
      </c>
      <c r="DL33">
        <v>1588678.50977711</v>
      </c>
      <c r="DM33">
        <v>1910534.25850468</v>
      </c>
      <c r="DN33">
        <v>2037472.62129772</v>
      </c>
      <c r="DO33">
        <v>2672114.6646981</v>
      </c>
      <c r="DP33">
        <v>3132556.31445278</v>
      </c>
      <c r="DQ33">
        <v>2841624.18125881</v>
      </c>
      <c r="DR33">
        <v>2990103.89774315</v>
      </c>
      <c r="DS33">
        <v>3489684.45295349</v>
      </c>
      <c r="DT33">
        <v>3608.61755532026</v>
      </c>
      <c r="DU33">
        <v>3331.87484530449</v>
      </c>
      <c r="DV33">
        <v>2068.66970747709</v>
      </c>
      <c r="DW33">
        <v>12830.5946270943</v>
      </c>
      <c r="DX33">
        <v>32689.6185620129</v>
      </c>
      <c r="DY33">
        <v>480502.060390927</v>
      </c>
      <c r="DZ33">
        <v>316891.788067141</v>
      </c>
      <c r="EA33">
        <v>542846.972142535</v>
      </c>
      <c r="EB33">
        <v>659864.162065322</v>
      </c>
      <c r="EC33">
        <v>675304.354554749</v>
      </c>
      <c r="ED33">
        <v>262.259800105095</v>
      </c>
      <c r="EE33">
        <v>0.110500049591064</v>
      </c>
      <c r="EF33">
        <v>2410.37618553042</v>
      </c>
      <c r="EG33">
        <v>20386.4770802736</v>
      </c>
      <c r="EH33" t="s">
        <v>1900</v>
      </c>
      <c r="EI33" t="s">
        <v>1900</v>
      </c>
      <c r="EJ33" t="s">
        <v>1900</v>
      </c>
      <c r="EK33" t="s">
        <v>1900</v>
      </c>
      <c r="EL33" t="s">
        <v>1900</v>
      </c>
      <c r="EM33" t="s">
        <v>1900</v>
      </c>
      <c r="EN33">
        <v>285533.414622281</v>
      </c>
      <c r="EO33">
        <v>67478.4464834976</v>
      </c>
      <c r="EP33">
        <v>66380.7257613242</v>
      </c>
      <c r="EQ33">
        <v>68311.7795304537</v>
      </c>
      <c r="ER33">
        <v>-120473.148798096</v>
      </c>
      <c r="ES33">
        <v>3019387.06257948</v>
      </c>
      <c r="ET33">
        <v>3213177.51528459</v>
      </c>
      <c r="EU33">
        <v>2932517.20847743</v>
      </c>
      <c r="EV33">
        <v>3097461.99359143</v>
      </c>
      <c r="EW33">
        <v>3320716.37665487</v>
      </c>
      <c r="EX33">
        <v>354445.470411439</v>
      </c>
      <c r="EY33">
        <v>93283.0810643005</v>
      </c>
      <c r="EZ33">
        <v>121200.558337426</v>
      </c>
      <c r="FA33">
        <v>117775.017286134</v>
      </c>
      <c r="FB33">
        <v>-176324.352533817</v>
      </c>
      <c r="FC33">
        <v>66975.2561530471</v>
      </c>
      <c r="FD33">
        <v>67892.3244192409</v>
      </c>
      <c r="FE33">
        <v>56407.2845924616</v>
      </c>
      <c r="FF33">
        <v>88239.4628781795</v>
      </c>
      <c r="FG33">
        <v>113615.860222024</v>
      </c>
      <c r="FH33">
        <v>15062.5681057191</v>
      </c>
      <c r="FI33">
        <v>16020.9380900002</v>
      </c>
      <c r="FJ33">
        <v>15464.1780084729</v>
      </c>
      <c r="FK33">
        <v>16421.0961658001</v>
      </c>
      <c r="FL33">
        <v>17791.1973607421</v>
      </c>
      <c r="FM33">
        <v>9021.543888300659</v>
      </c>
      <c r="FN33">
        <v>13433.7672789097</v>
      </c>
      <c r="FO33">
        <v>1363.66877772808</v>
      </c>
      <c r="FP33">
        <v>3644.73044142723</v>
      </c>
      <c r="FQ33">
        <v>17849.9508751988</v>
      </c>
      <c r="FR33">
        <v>42891.1441590273</v>
      </c>
      <c r="FS33">
        <v>38437.6190503311</v>
      </c>
      <c r="FT33">
        <v>39579.4378062606</v>
      </c>
      <c r="FU33">
        <v>68173.63627095221</v>
      </c>
      <c r="FV33">
        <v>77974.7119860828</v>
      </c>
      <c r="FW33">
        <v>15062.5681057191</v>
      </c>
      <c r="FX33">
        <v>16020.9380900002</v>
      </c>
      <c r="FY33">
        <v>15464.1780084729</v>
      </c>
      <c r="FZ33">
        <v>16421.0961658001</v>
      </c>
      <c r="GA33">
        <v>17791.1973607421</v>
      </c>
      <c r="GB33">
        <v>9021.543888300659</v>
      </c>
      <c r="GC33">
        <v>13433.7672789097</v>
      </c>
      <c r="GD33">
        <v>1363.66877772808</v>
      </c>
      <c r="GE33">
        <v>3644.73044142723</v>
      </c>
      <c r="GF33">
        <v>17849.9508751988</v>
      </c>
      <c r="GG33">
        <v>42891.1441590273</v>
      </c>
      <c r="GH33">
        <v>38437.6190503311</v>
      </c>
      <c r="GI33">
        <v>39579.4378062606</v>
      </c>
      <c r="GJ33">
        <v>68173.63627095221</v>
      </c>
      <c r="GK33">
        <v>77974.7119860828</v>
      </c>
      <c r="GL33">
        <v>2429444.80106304</v>
      </c>
      <c r="GM33">
        <v>2554788.87100785</v>
      </c>
      <c r="GN33">
        <v>2626925.72510055</v>
      </c>
      <c r="GO33">
        <v>3034308.41564126</v>
      </c>
      <c r="GP33">
        <v>2869836.24978601</v>
      </c>
      <c r="GQ33">
        <v>105968.168731737</v>
      </c>
      <c r="GR33">
        <v>77106.7136045456</v>
      </c>
      <c r="GS33">
        <v>45430.1519731581</v>
      </c>
      <c r="GT33">
        <v>54684.6044551134</v>
      </c>
      <c r="GU33">
        <v>53875.9788064063</v>
      </c>
      <c r="GV33">
        <v>1607613.20035163</v>
      </c>
      <c r="GW33">
        <v>1939137.30326099</v>
      </c>
      <c r="GX33">
        <v>1696278.93270172</v>
      </c>
      <c r="GY33">
        <v>1786498.46456494</v>
      </c>
      <c r="GZ33">
        <v>1848041.69477264</v>
      </c>
      <c r="HA33">
        <v>715863.431979673</v>
      </c>
      <c r="HB33">
        <v>538544.854142313</v>
      </c>
      <c r="HC33">
        <v>885216.640425676</v>
      </c>
      <c r="HD33">
        <v>1193125.3454886</v>
      </c>
      <c r="HE33">
        <v>967918.576206958</v>
      </c>
      <c r="HF33">
        <v>712310.634496685</v>
      </c>
      <c r="HG33">
        <v>538544.854142313</v>
      </c>
      <c r="HH33">
        <v>879966.432436663</v>
      </c>
      <c r="HI33">
        <v>1188489.75966819</v>
      </c>
      <c r="HJ33">
        <v>967918.576206958</v>
      </c>
      <c r="HK33">
        <v>2496420.05721609</v>
      </c>
      <c r="HL33">
        <v>2622681.19542709</v>
      </c>
      <c r="HM33">
        <v>2683333.00969301</v>
      </c>
      <c r="HN33">
        <v>3122547.87851944</v>
      </c>
      <c r="HO33">
        <v>2983452.11000803</v>
      </c>
      <c r="HP33">
        <v>1691031.81560121</v>
      </c>
      <c r="HQ33">
        <v>1721963.12464589</v>
      </c>
      <c r="HR33">
        <v>1911331.05191829</v>
      </c>
      <c r="HS33">
        <v>1961311.91289518</v>
      </c>
      <c r="HT33">
        <v>2064844.5191487</v>
      </c>
      <c r="HU33">
        <v>58285.7445580185</v>
      </c>
      <c r="HV33">
        <v>61994.2295722485</v>
      </c>
      <c r="HW33">
        <v>71474.4316074252</v>
      </c>
      <c r="HX33">
        <v>75897.245503664</v>
      </c>
      <c r="HY33">
        <v>82229.7647038102</v>
      </c>
      <c r="HZ33">
        <v>1632746.0700043</v>
      </c>
      <c r="IA33">
        <v>1659968.89396864</v>
      </c>
      <c r="IB33">
        <v>1839856.62031087</v>
      </c>
      <c r="IC33">
        <v>1885414.66625891</v>
      </c>
      <c r="ID33">
        <v>1982614.75444489</v>
      </c>
      <c r="IE33">
        <v>124110.450636504</v>
      </c>
      <c r="IF33">
        <v>0</v>
      </c>
      <c r="IG33">
        <v>0</v>
      </c>
      <c r="IH33">
        <v>0</v>
      </c>
      <c r="II33">
        <v>368129.789829254</v>
      </c>
      <c r="IJ33">
        <v>124110.450636504</v>
      </c>
      <c r="IK33" t="s">
        <v>1900</v>
      </c>
      <c r="IL33" t="s">
        <v>1900</v>
      </c>
      <c r="IM33" t="s">
        <v>1900</v>
      </c>
      <c r="IN33">
        <v>368129.789829254</v>
      </c>
      <c r="IO33">
        <v>0</v>
      </c>
      <c r="IP33" t="s">
        <v>1900</v>
      </c>
      <c r="IQ33" t="s">
        <v>1900</v>
      </c>
      <c r="IR33" t="s">
        <v>1900</v>
      </c>
      <c r="IS33">
        <v>0</v>
      </c>
      <c r="IT33">
        <v>0</v>
      </c>
      <c r="IU33" t="s">
        <v>1900</v>
      </c>
      <c r="IV33" t="s">
        <v>1900</v>
      </c>
      <c r="IW33" t="s">
        <v>1900</v>
      </c>
      <c r="IX33">
        <v>0</v>
      </c>
      <c r="IY33">
        <v>681277.790978371</v>
      </c>
      <c r="IZ33">
        <v>900718.0707812021</v>
      </c>
      <c r="JA33">
        <v>772001.9577747229</v>
      </c>
      <c r="JB33">
        <v>1161235.96562426</v>
      </c>
      <c r="JC33">
        <v>550477.801030076</v>
      </c>
      <c r="JD33">
        <v>0</v>
      </c>
      <c r="JE33">
        <v>0</v>
      </c>
      <c r="JF33">
        <v>0</v>
      </c>
      <c r="JG33">
        <v>0</v>
      </c>
      <c r="JH33">
        <v>0</v>
      </c>
      <c r="JI33">
        <v>162485.14526539</v>
      </c>
      <c r="JJ33">
        <v>354075.076854544</v>
      </c>
      <c r="JK33">
        <v>289517.30645507</v>
      </c>
      <c r="JL33">
        <v>315836.072289348</v>
      </c>
      <c r="JM33">
        <v>43857.3143052101</v>
      </c>
      <c r="JN33">
        <v>518792.645712981</v>
      </c>
      <c r="JO33">
        <v>546642.993926659</v>
      </c>
      <c r="JP33">
        <v>482484.651319653</v>
      </c>
      <c r="JQ33">
        <v>845399.893334913</v>
      </c>
      <c r="JR33">
        <v>506620.486724865</v>
      </c>
      <c r="JS33">
        <v>2496420.05721609</v>
      </c>
      <c r="JT33">
        <v>2622681.19542709</v>
      </c>
      <c r="JU33">
        <v>2683333.00969301</v>
      </c>
      <c r="JV33">
        <v>3122547.87851944</v>
      </c>
      <c r="JW33">
        <v>2983452.11000803</v>
      </c>
      <c r="JX33">
        <v>1551096.22381798</v>
      </c>
      <c r="JY33">
        <v>1662168.940011</v>
      </c>
      <c r="JZ33">
        <v>1452191.77715321</v>
      </c>
      <c r="KA33">
        <v>1525346.99673071</v>
      </c>
      <c r="KB33">
        <v>1858060.35927384</v>
      </c>
      <c r="KC33" t="s">
        <v>1900</v>
      </c>
      <c r="KD33" t="s">
        <v>1900</v>
      </c>
      <c r="KE33" t="s">
        <v>1900</v>
      </c>
      <c r="KF33" t="s">
        <v>1900</v>
      </c>
      <c r="KG33" t="s">
        <v>1900</v>
      </c>
      <c r="KH33" t="s">
        <v>1900</v>
      </c>
      <c r="KI33" t="s">
        <v>1900</v>
      </c>
      <c r="KJ33" t="s">
        <v>1900</v>
      </c>
      <c r="KK33" t="s">
        <v>1900</v>
      </c>
      <c r="KL33" t="s">
        <v>1900</v>
      </c>
      <c r="KM33">
        <v>40</v>
      </c>
      <c r="KN33">
        <v>41</v>
      </c>
      <c r="KO33">
        <v>43</v>
      </c>
      <c r="KP33">
        <v>41</v>
      </c>
      <c r="KQ33">
        <v>41</v>
      </c>
      <c r="KR33" t="s">
        <v>1900</v>
      </c>
      <c r="KS33" t="s">
        <v>1900</v>
      </c>
      <c r="KT33" t="s">
        <v>1900</v>
      </c>
      <c r="KU33" t="s">
        <v>1900</v>
      </c>
      <c r="KV33" t="s">
        <v>1900</v>
      </c>
      <c r="KW33" t="s">
        <v>1900</v>
      </c>
      <c r="KX33" t="s">
        <v>1900</v>
      </c>
      <c r="KY33" t="s">
        <v>1900</v>
      </c>
      <c r="KZ33" t="s">
        <v>1900</v>
      </c>
      <c r="LA33" t="s">
        <v>1900</v>
      </c>
      <c r="LB33" t="s">
        <v>1900</v>
      </c>
      <c r="LC33" t="s">
        <v>1900</v>
      </c>
      <c r="LD33" t="s">
        <v>1900</v>
      </c>
      <c r="LE33" t="s">
        <v>1900</v>
      </c>
      <c r="LF33" t="s">
        <v>1900</v>
      </c>
      <c r="LG33" t="s">
        <v>1900</v>
      </c>
      <c r="LH33" t="s">
        <v>1900</v>
      </c>
      <c r="LI33" t="s">
        <v>1900</v>
      </c>
      <c r="LJ33" t="s">
        <v>1900</v>
      </c>
      <c r="LK33" t="s">
        <v>1900</v>
      </c>
      <c r="LL33" t="s">
        <v>1900</v>
      </c>
      <c r="LM33" t="s">
        <v>1900</v>
      </c>
      <c r="LN33" t="s">
        <v>1900</v>
      </c>
      <c r="LO33" t="s">
        <v>1900</v>
      </c>
      <c r="LP33" t="s">
        <v>1900</v>
      </c>
      <c r="LQ33" t="s">
        <v>1900</v>
      </c>
      <c r="LR33" t="s">
        <v>1900</v>
      </c>
      <c r="LS33" t="s">
        <v>1900</v>
      </c>
      <c r="LT33" t="s">
        <v>1900</v>
      </c>
      <c r="LU33" t="s">
        <v>1900</v>
      </c>
      <c r="LV33" t="s">
        <v>1900</v>
      </c>
      <c r="LW33" t="s">
        <v>1900</v>
      </c>
      <c r="LX33" t="s">
        <v>1900</v>
      </c>
      <c r="LY33" t="s">
        <v>1900</v>
      </c>
      <c r="LZ33" t="s">
        <v>1900</v>
      </c>
      <c r="MA33" t="s">
        <v>1900</v>
      </c>
      <c r="MB33" t="s">
        <v>1900</v>
      </c>
      <c r="MC33" t="s">
        <v>1900</v>
      </c>
      <c r="MD33" t="s">
        <v>1900</v>
      </c>
      <c r="ME33" t="s">
        <v>1900</v>
      </c>
      <c r="MF33" t="s">
        <v>1900</v>
      </c>
      <c r="MG33" t="s">
        <v>1900</v>
      </c>
      <c r="MH33" t="s">
        <v>1900</v>
      </c>
      <c r="MI33" t="s">
        <v>1900</v>
      </c>
      <c r="MJ33" t="s">
        <v>1900</v>
      </c>
      <c r="MK33" t="s">
        <v>1900</v>
      </c>
      <c r="ML33" t="s">
        <v>1900</v>
      </c>
      <c r="MM33" t="s">
        <v>1900</v>
      </c>
      <c r="MN33" t="s">
        <v>1900</v>
      </c>
      <c r="MO33" t="s">
        <v>1900</v>
      </c>
      <c r="MP33">
        <v>715863.431979673</v>
      </c>
      <c r="MQ33">
        <v>538544.854142313</v>
      </c>
      <c r="MR33">
        <v>885216.640425676</v>
      </c>
      <c r="MS33">
        <v>1193125.3454886</v>
      </c>
      <c r="MT33">
        <v>967918.576206958</v>
      </c>
      <c r="MU33" t="s">
        <v>1900</v>
      </c>
      <c r="MV33" t="s">
        <v>1900</v>
      </c>
      <c r="MW33" t="s">
        <v>1900</v>
      </c>
      <c r="MX33" t="s">
        <v>1900</v>
      </c>
      <c r="MY33" t="s">
        <v>1900</v>
      </c>
      <c r="MZ33" t="s">
        <v>1900</v>
      </c>
      <c r="NA33" t="s">
        <v>1900</v>
      </c>
      <c r="NB33" t="s">
        <v>1900</v>
      </c>
      <c r="NC33" t="s">
        <v>1900</v>
      </c>
      <c r="ND33" t="s">
        <v>1900</v>
      </c>
      <c r="NE33" t="s">
        <v>1900</v>
      </c>
      <c r="NF33" t="s">
        <v>1900</v>
      </c>
      <c r="NG33" t="s">
        <v>1900</v>
      </c>
      <c r="NH33" t="s">
        <v>1900</v>
      </c>
      <c r="NI33" t="s">
        <v>1900</v>
      </c>
      <c r="NJ33" t="s">
        <v>1900</v>
      </c>
      <c r="NK33" t="s">
        <v>1900</v>
      </c>
      <c r="NL33" t="s">
        <v>1900</v>
      </c>
      <c r="NM33" t="s">
        <v>1900</v>
      </c>
      <c r="NN33" t="s">
        <v>1900</v>
      </c>
      <c r="NO33" t="s">
        <v>1900</v>
      </c>
      <c r="NP33" t="s">
        <v>1900</v>
      </c>
      <c r="NQ33" t="s">
        <v>1900</v>
      </c>
      <c r="NR33" t="s">
        <v>1900</v>
      </c>
      <c r="NS33" t="s">
        <v>1900</v>
      </c>
      <c r="NT33">
        <v>66975.2561530471</v>
      </c>
      <c r="NU33">
        <v>67892.3244192409</v>
      </c>
      <c r="NV33">
        <v>56407.2845924616</v>
      </c>
      <c r="NW33">
        <v>88239.4628781795</v>
      </c>
      <c r="NX33">
        <v>113615.860222024</v>
      </c>
      <c r="NY33" t="s">
        <v>1900</v>
      </c>
      <c r="NZ33" t="s">
        <v>1900</v>
      </c>
      <c r="OA33" t="s">
        <v>1900</v>
      </c>
      <c r="OB33" t="s">
        <v>1900</v>
      </c>
      <c r="OC33" t="s">
        <v>1900</v>
      </c>
      <c r="OD33" t="s">
        <v>1900</v>
      </c>
      <c r="OE33" t="s">
        <v>1900</v>
      </c>
      <c r="OF33" t="s">
        <v>1900</v>
      </c>
      <c r="OG33" t="s">
        <v>1900</v>
      </c>
      <c r="OH33" t="s">
        <v>1900</v>
      </c>
      <c r="OI33" t="s">
        <v>1900</v>
      </c>
      <c r="OJ33" t="s">
        <v>1900</v>
      </c>
      <c r="OK33" t="s">
        <v>1900</v>
      </c>
      <c r="OL33" t="s">
        <v>1900</v>
      </c>
      <c r="OM33" t="s">
        <v>1900</v>
      </c>
      <c r="ON33" t="s">
        <v>1900</v>
      </c>
      <c r="OO33" t="s">
        <v>1900</v>
      </c>
      <c r="OP33" t="s">
        <v>1900</v>
      </c>
      <c r="OQ33" t="s">
        <v>1900</v>
      </c>
      <c r="OR33" t="s">
        <v>1900</v>
      </c>
      <c r="OS33" t="s">
        <v>1900</v>
      </c>
      <c r="OT33" t="s">
        <v>1900</v>
      </c>
      <c r="OU33" t="s">
        <v>1900</v>
      </c>
      <c r="OV33" t="s">
        <v>1900</v>
      </c>
      <c r="OW33" t="s">
        <v>1900</v>
      </c>
      <c r="OX33" t="s">
        <v>1900</v>
      </c>
      <c r="OY33" t="s">
        <v>1900</v>
      </c>
      <c r="OZ33" t="s">
        <v>1900</v>
      </c>
      <c r="PA33" t="s">
        <v>1900</v>
      </c>
      <c r="PB33" t="s">
        <v>1900</v>
      </c>
      <c r="PC33" t="s">
        <v>1900</v>
      </c>
      <c r="PD33" t="s">
        <v>1900</v>
      </c>
      <c r="PE33" t="s">
        <v>1900</v>
      </c>
      <c r="PF33" t="s">
        <v>1900</v>
      </c>
      <c r="PG33" t="s">
        <v>1900</v>
      </c>
      <c r="PH33" t="s">
        <v>1900</v>
      </c>
      <c r="PI33" t="s">
        <v>1900</v>
      </c>
      <c r="PJ33" t="s">
        <v>1900</v>
      </c>
      <c r="PK33" t="s">
        <v>1900</v>
      </c>
      <c r="PL33" t="s">
        <v>1900</v>
      </c>
      <c r="PM33" t="s">
        <v>1900</v>
      </c>
      <c r="PN33" t="s">
        <v>1900</v>
      </c>
      <c r="PO33" t="s">
        <v>1900</v>
      </c>
      <c r="PP33" t="s">
        <v>1900</v>
      </c>
      <c r="PQ33" t="s">
        <v>1900</v>
      </c>
      <c r="PR33" t="s">
        <v>1900</v>
      </c>
      <c r="PS33" t="s">
        <v>1900</v>
      </c>
      <c r="PT33" t="s">
        <v>1900</v>
      </c>
      <c r="PU33" t="s">
        <v>1900</v>
      </c>
      <c r="PV33" t="s">
        <v>1900</v>
      </c>
      <c r="PW33" t="s">
        <v>1900</v>
      </c>
      <c r="PX33" t="s">
        <v>1900</v>
      </c>
      <c r="PY33" t="s">
        <v>1900</v>
      </c>
      <c r="PZ33" t="s">
        <v>1900</v>
      </c>
      <c r="QA33" t="s">
        <v>1900</v>
      </c>
      <c r="QB33" t="s">
        <v>1900</v>
      </c>
      <c r="QC33" t="s">
        <v>1900</v>
      </c>
      <c r="QD33" t="s">
        <v>1900</v>
      </c>
      <c r="QE33" t="s">
        <v>1900</v>
      </c>
      <c r="QF33" t="s">
        <v>1900</v>
      </c>
      <c r="QG33" t="s">
        <v>1900</v>
      </c>
      <c r="QH33" t="s">
        <v>1900</v>
      </c>
      <c r="QI33" t="s">
        <v>1900</v>
      </c>
      <c r="QJ33" t="s">
        <v>1900</v>
      </c>
      <c r="QK33" t="s">
        <v>1900</v>
      </c>
      <c r="QL33" t="s">
        <v>1900</v>
      </c>
      <c r="QM33" t="s">
        <v>1900</v>
      </c>
      <c r="QN33" t="s">
        <v>1900</v>
      </c>
      <c r="QO33" t="s">
        <v>1900</v>
      </c>
      <c r="QP33" t="s">
        <v>1900</v>
      </c>
      <c r="QQ33" t="s">
        <v>1900</v>
      </c>
      <c r="QR33" t="s">
        <v>1900</v>
      </c>
      <c r="QS33" t="s">
        <v>1900</v>
      </c>
      <c r="QT33" t="s">
        <v>1900</v>
      </c>
      <c r="QU33" t="s">
        <v>1900</v>
      </c>
      <c r="QV33" t="s">
        <v>1900</v>
      </c>
      <c r="QW33" t="s">
        <v>1900</v>
      </c>
      <c r="QX33" t="s">
        <v>1900</v>
      </c>
      <c r="QY33" t="s">
        <v>1900</v>
      </c>
      <c r="QZ33" t="s">
        <v>1900</v>
      </c>
      <c r="RA33" t="s">
        <v>1900</v>
      </c>
      <c r="RB33" t="s">
        <v>1900</v>
      </c>
      <c r="RC33" t="s">
        <v>1900</v>
      </c>
      <c r="RD33" t="s">
        <v>1900</v>
      </c>
      <c r="RE33" t="s">
        <v>1900</v>
      </c>
      <c r="RF33" t="s">
        <v>1900</v>
      </c>
      <c r="RG33" t="s">
        <v>1900</v>
      </c>
      <c r="RH33" t="s">
        <v>1900</v>
      </c>
      <c r="RI33" t="s">
        <v>1900</v>
      </c>
      <c r="RJ33" t="s">
        <v>1900</v>
      </c>
      <c r="RK33" t="s">
        <v>1900</v>
      </c>
      <c r="RL33" t="s">
        <v>1900</v>
      </c>
      <c r="RM33" t="s">
        <v>1900</v>
      </c>
      <c r="RN33" t="s">
        <v>1900</v>
      </c>
      <c r="RO33" t="s">
        <v>1900</v>
      </c>
      <c r="RP33" t="s">
        <v>1900</v>
      </c>
      <c r="RQ33" t="s">
        <v>1900</v>
      </c>
      <c r="RR33" t="s">
        <v>1900</v>
      </c>
      <c r="RS33" t="s">
        <v>1900</v>
      </c>
      <c r="RT33" t="s">
        <v>1900</v>
      </c>
      <c r="RU33" t="s">
        <v>1900</v>
      </c>
      <c r="RV33" t="s">
        <v>1900</v>
      </c>
      <c r="RW33" t="s">
        <v>1900</v>
      </c>
      <c r="RX33" t="s">
        <v>1900</v>
      </c>
      <c r="RY33" t="s">
        <v>1900</v>
      </c>
      <c r="RZ33" t="s">
        <v>1900</v>
      </c>
      <c r="SA33" t="s">
        <v>1900</v>
      </c>
      <c r="SB33" t="s">
        <v>1900</v>
      </c>
      <c r="SC33" t="s">
        <v>1900</v>
      </c>
      <c r="SD33" t="s">
        <v>1900</v>
      </c>
      <c r="SE33" t="s">
        <v>1900</v>
      </c>
      <c r="SF33" t="s">
        <v>1900</v>
      </c>
      <c r="SG33" t="s">
        <v>1900</v>
      </c>
      <c r="SH33" t="s">
        <v>1900</v>
      </c>
      <c r="SI33" t="s">
        <v>1900</v>
      </c>
      <c r="SJ33">
        <v>42891.1441590273</v>
      </c>
      <c r="SK33">
        <v>38437.6190503311</v>
      </c>
      <c r="SL33">
        <v>39579.4378062606</v>
      </c>
      <c r="SM33">
        <v>68173.63627095221</v>
      </c>
      <c r="SN33">
        <v>77974.7119860828</v>
      </c>
      <c r="SO33" t="s">
        <v>1900</v>
      </c>
      <c r="SP33" t="s">
        <v>1900</v>
      </c>
      <c r="SQ33" t="s">
        <v>1900</v>
      </c>
      <c r="SR33" t="s">
        <v>1900</v>
      </c>
      <c r="SS33" t="s">
        <v>1900</v>
      </c>
      <c r="ST33" t="s">
        <v>1900</v>
      </c>
      <c r="SU33" t="s">
        <v>1900</v>
      </c>
      <c r="SV33" t="s">
        <v>1900</v>
      </c>
      <c r="SW33" t="s">
        <v>1900</v>
      </c>
      <c r="SX33" t="s">
        <v>1900</v>
      </c>
      <c r="SY33" t="s">
        <v>1900</v>
      </c>
      <c r="SZ33" t="s">
        <v>1900</v>
      </c>
      <c r="TA33" t="s">
        <v>1900</v>
      </c>
      <c r="TB33" t="s">
        <v>1900</v>
      </c>
      <c r="TC33" t="s">
        <v>1900</v>
      </c>
      <c r="TD33" t="s">
        <v>1900</v>
      </c>
      <c r="TE33" t="s">
        <v>1900</v>
      </c>
      <c r="TF33" t="s">
        <v>1900</v>
      </c>
      <c r="TG33" t="s">
        <v>1900</v>
      </c>
      <c r="TH33" t="s">
        <v>1900</v>
      </c>
      <c r="TI33" t="s">
        <v>1900</v>
      </c>
      <c r="TJ33" t="s">
        <v>1900</v>
      </c>
      <c r="TK33" t="s">
        <v>1900</v>
      </c>
      <c r="TL33" t="s">
        <v>1900</v>
      </c>
      <c r="TM33" t="s">
        <v>1900</v>
      </c>
      <c r="TN33" t="s">
        <v>1900</v>
      </c>
      <c r="TO33" t="s">
        <v>1900</v>
      </c>
      <c r="TP33" t="s">
        <v>1900</v>
      </c>
      <c r="TQ33" t="s">
        <v>1900</v>
      </c>
      <c r="TR33" t="s">
        <v>1900</v>
      </c>
      <c r="TS33">
        <v>2496420.05721609</v>
      </c>
      <c r="TT33">
        <v>2622681.19542709</v>
      </c>
      <c r="TU33">
        <v>2683333.00969301</v>
      </c>
      <c r="TV33">
        <v>3122547.87851944</v>
      </c>
      <c r="TW33">
        <v>2983452.11000803</v>
      </c>
      <c r="TX33" t="s">
        <v>1900</v>
      </c>
      <c r="TY33" t="s">
        <v>1900</v>
      </c>
      <c r="TZ33" t="s">
        <v>1900</v>
      </c>
      <c r="UA33" t="s">
        <v>1900</v>
      </c>
      <c r="UB33" t="s">
        <v>1900</v>
      </c>
      <c r="UC33">
        <v>0</v>
      </c>
      <c r="UD33">
        <v>0</v>
      </c>
      <c r="UE33">
        <v>0</v>
      </c>
      <c r="UF33">
        <v>0</v>
      </c>
      <c r="UG33">
        <v>0</v>
      </c>
      <c r="UH33" t="s">
        <v>1900</v>
      </c>
      <c r="UI33" t="s">
        <v>1900</v>
      </c>
      <c r="UJ33" t="s">
        <v>1900</v>
      </c>
      <c r="UK33" t="s">
        <v>1900</v>
      </c>
      <c r="UL33" t="s">
        <v>1900</v>
      </c>
      <c r="UM33" t="s">
        <v>1900</v>
      </c>
      <c r="UN33" t="s">
        <v>1900</v>
      </c>
      <c r="UO33" t="s">
        <v>1900</v>
      </c>
      <c r="UP33" t="s">
        <v>1900</v>
      </c>
      <c r="UQ33" t="s">
        <v>1900</v>
      </c>
      <c r="UR33" t="s">
        <v>1900</v>
      </c>
      <c r="US33" t="s">
        <v>1900</v>
      </c>
      <c r="UT33" t="s">
        <v>1900</v>
      </c>
      <c r="UU33" t="s">
        <v>1900</v>
      </c>
      <c r="UV33" t="s">
        <v>1900</v>
      </c>
      <c r="UW33" t="s">
        <v>1900</v>
      </c>
      <c r="UX33" t="s">
        <v>1900</v>
      </c>
      <c r="UY33" t="s">
        <v>1900</v>
      </c>
      <c r="UZ33" t="s">
        <v>1900</v>
      </c>
      <c r="VA33" t="s">
        <v>1900</v>
      </c>
      <c r="VB33" t="s">
        <v>1900</v>
      </c>
      <c r="VC33" t="s">
        <v>1900</v>
      </c>
      <c r="VD33" t="s">
        <v>1900</v>
      </c>
      <c r="VE33" t="s">
        <v>1900</v>
      </c>
      <c r="VF33" t="s">
        <v>1900</v>
      </c>
      <c r="VG33" t="s">
        <v>1900</v>
      </c>
      <c r="VH33" t="s">
        <v>1900</v>
      </c>
      <c r="VI33" t="s">
        <v>1900</v>
      </c>
      <c r="VJ33" t="s">
        <v>1900</v>
      </c>
      <c r="VK33" t="s">
        <v>1900</v>
      </c>
      <c r="VL33" t="s">
        <v>1900</v>
      </c>
      <c r="VM33" t="s">
        <v>1900</v>
      </c>
      <c r="VN33" t="s">
        <v>1900</v>
      </c>
      <c r="VO33" t="s">
        <v>1900</v>
      </c>
      <c r="VP33" t="s">
        <v>1900</v>
      </c>
      <c r="VQ33" t="s">
        <v>1900</v>
      </c>
      <c r="VR33" t="s">
        <v>1900</v>
      </c>
      <c r="VS33" t="s">
        <v>1900</v>
      </c>
      <c r="VT33" t="s">
        <v>1900</v>
      </c>
      <c r="VU33" t="s">
        <v>1900</v>
      </c>
      <c r="VV33" t="s">
        <v>1900</v>
      </c>
      <c r="VW33" t="s">
        <v>1900</v>
      </c>
      <c r="VX33" t="s">
        <v>1900</v>
      </c>
      <c r="VY33" t="s">
        <v>1900</v>
      </c>
      <c r="VZ33" t="s">
        <v>1900</v>
      </c>
      <c r="WA33">
        <v>518792.645712981</v>
      </c>
      <c r="WB33">
        <v>546642.993926659</v>
      </c>
      <c r="WC33">
        <v>482484.651319653</v>
      </c>
      <c r="WD33">
        <v>845399.893334913</v>
      </c>
      <c r="WE33">
        <v>506620.486724865</v>
      </c>
      <c r="WF33" t="s">
        <v>1900</v>
      </c>
      <c r="WG33" t="s">
        <v>1900</v>
      </c>
      <c r="WH33" t="s">
        <v>1900</v>
      </c>
      <c r="WI33" t="s">
        <v>1900</v>
      </c>
      <c r="WJ33" t="s">
        <v>1900</v>
      </c>
      <c r="WK33" t="s">
        <v>1900</v>
      </c>
      <c r="WL33" t="s">
        <v>1900</v>
      </c>
      <c r="WM33" t="s">
        <v>1900</v>
      </c>
      <c r="WN33" t="s">
        <v>1900</v>
      </c>
      <c r="WO33" t="s">
        <v>1900</v>
      </c>
      <c r="WP33" t="s">
        <v>1900</v>
      </c>
      <c r="WQ33" t="s">
        <v>1900</v>
      </c>
      <c r="WR33" t="s">
        <v>1900</v>
      </c>
      <c r="WS33" t="s">
        <v>1900</v>
      </c>
      <c r="WT33" t="s">
        <v>1900</v>
      </c>
      <c r="WU33" t="s">
        <v>1900</v>
      </c>
      <c r="WV33" t="s">
        <v>1900</v>
      </c>
      <c r="WW33" t="s">
        <v>1900</v>
      </c>
      <c r="WX33" t="s">
        <v>1900</v>
      </c>
      <c r="WY33" t="s">
        <v>1900</v>
      </c>
      <c r="WZ33" t="s">
        <v>1900</v>
      </c>
      <c r="XA33" t="s">
        <v>1900</v>
      </c>
      <c r="XB33" t="s">
        <v>1900</v>
      </c>
      <c r="XC33" t="s">
        <v>1900</v>
      </c>
      <c r="XD33" t="s">
        <v>1900</v>
      </c>
      <c r="XE33" t="s">
        <v>1900</v>
      </c>
      <c r="XF33" t="s">
        <v>1900</v>
      </c>
      <c r="XG33" t="s">
        <v>1900</v>
      </c>
      <c r="XH33" t="s">
        <v>1900</v>
      </c>
      <c r="XI33" t="s">
        <v>1900</v>
      </c>
      <c r="XJ33">
        <v>0</v>
      </c>
      <c r="XK33" t="s">
        <v>1900</v>
      </c>
      <c r="XL33" t="s">
        <v>1900</v>
      </c>
      <c r="XM33" t="s">
        <v>1900</v>
      </c>
      <c r="XN33">
        <v>0</v>
      </c>
      <c r="XO33" t="s">
        <v>1900</v>
      </c>
      <c r="XP33" t="s">
        <v>1900</v>
      </c>
      <c r="XQ33" t="s">
        <v>1900</v>
      </c>
      <c r="XR33" t="s">
        <v>1900</v>
      </c>
      <c r="XS33" t="s">
        <v>1900</v>
      </c>
      <c r="XT33" t="s">
        <v>1900</v>
      </c>
      <c r="XU33" t="s">
        <v>1900</v>
      </c>
      <c r="XV33" t="s">
        <v>1900</v>
      </c>
      <c r="XW33" t="s">
        <v>1900</v>
      </c>
      <c r="XX33" t="s">
        <v>1900</v>
      </c>
      <c r="XY33">
        <v>0</v>
      </c>
      <c r="XZ33" t="s">
        <v>1900</v>
      </c>
      <c r="YA33" t="s">
        <v>1900</v>
      </c>
      <c r="YB33" t="s">
        <v>1900</v>
      </c>
      <c r="YC33">
        <v>0</v>
      </c>
      <c r="YD33" t="s">
        <v>1900</v>
      </c>
      <c r="YE33" t="s">
        <v>1900</v>
      </c>
      <c r="YF33" t="s">
        <v>1900</v>
      </c>
      <c r="YG33" t="s">
        <v>1900</v>
      </c>
      <c r="YH33" t="s">
        <v>1900</v>
      </c>
      <c r="YI33" t="s">
        <v>1900</v>
      </c>
      <c r="YJ33" t="s">
        <v>1900</v>
      </c>
      <c r="YK33" t="s">
        <v>1900</v>
      </c>
      <c r="YL33" t="s">
        <v>1900</v>
      </c>
      <c r="YM33" t="s">
        <v>1900</v>
      </c>
      <c r="YN33" t="s">
        <v>1900</v>
      </c>
      <c r="YO33" t="s">
        <v>1900</v>
      </c>
      <c r="YP33" t="s">
        <v>1900</v>
      </c>
      <c r="YQ33" t="s">
        <v>1900</v>
      </c>
      <c r="YR33" t="s">
        <v>1900</v>
      </c>
      <c r="YS33" t="s">
        <v>1900</v>
      </c>
      <c r="YT33" t="s">
        <v>1900</v>
      </c>
      <c r="YU33" t="s">
        <v>1900</v>
      </c>
      <c r="YV33" t="s">
        <v>1900</v>
      </c>
      <c r="YW33" t="s">
        <v>1900</v>
      </c>
      <c r="YX33" t="s">
        <v>1900</v>
      </c>
      <c r="YY33" t="s">
        <v>1900</v>
      </c>
      <c r="YZ33" t="s">
        <v>1900</v>
      </c>
      <c r="ZA33" t="s">
        <v>1900</v>
      </c>
      <c r="ZB33" t="s">
        <v>1900</v>
      </c>
      <c r="ZC33" t="s">
        <v>1900</v>
      </c>
      <c r="ZD33" t="s">
        <v>1900</v>
      </c>
      <c r="ZE33" t="s">
        <v>1900</v>
      </c>
      <c r="ZF33" t="s">
        <v>1900</v>
      </c>
      <c r="ZG33" t="s">
        <v>1900</v>
      </c>
      <c r="ZH33" t="s">
        <v>1900</v>
      </c>
      <c r="ZI33" t="s">
        <v>1900</v>
      </c>
      <c r="ZJ33" t="s">
        <v>1900</v>
      </c>
      <c r="ZK33" t="s">
        <v>1900</v>
      </c>
      <c r="ZL33" t="s">
        <v>1900</v>
      </c>
      <c r="ZM33" t="s">
        <v>1900</v>
      </c>
      <c r="ZN33" t="s">
        <v>1900</v>
      </c>
      <c r="ZO33" t="s">
        <v>1900</v>
      </c>
      <c r="ZP33" t="s">
        <v>1900</v>
      </c>
      <c r="ZQ33" t="s">
        <v>1900</v>
      </c>
      <c r="ZR33" t="s">
        <v>1900</v>
      </c>
      <c r="ZS33" t="s">
        <v>1900</v>
      </c>
      <c r="ZT33" t="s">
        <v>1900</v>
      </c>
      <c r="ZU33" t="s">
        <v>1900</v>
      </c>
      <c r="ZV33" t="s">
        <v>1900</v>
      </c>
      <c r="ZW33" t="s">
        <v>1900</v>
      </c>
      <c r="ZX33" t="s">
        <v>1900</v>
      </c>
      <c r="ZY33" t="s">
        <v>1900</v>
      </c>
      <c r="ZZ33" t="s">
        <v>1900</v>
      </c>
      <c r="AAA33" t="s">
        <v>1900</v>
      </c>
      <c r="AAB33" t="s">
        <v>1900</v>
      </c>
      <c r="AAC33" t="s">
        <v>1900</v>
      </c>
      <c r="AAD33" t="s">
        <v>1900</v>
      </c>
      <c r="AAE33" t="s">
        <v>1900</v>
      </c>
      <c r="AAF33" t="s">
        <v>1900</v>
      </c>
      <c r="AAG33" t="s">
        <v>1900</v>
      </c>
      <c r="AAH33" t="s">
        <v>1900</v>
      </c>
      <c r="AAI33" t="s">
        <v>1900</v>
      </c>
      <c r="AAJ33" t="s">
        <v>1900</v>
      </c>
      <c r="AAK33" t="s">
        <v>1900</v>
      </c>
      <c r="AAL33" t="s">
        <v>1900</v>
      </c>
      <c r="AAM33" t="s">
        <v>1900</v>
      </c>
      <c r="AAN33" t="s">
        <v>1900</v>
      </c>
      <c r="AAO33" t="s">
        <v>1900</v>
      </c>
      <c r="AAP33" t="s">
        <v>1900</v>
      </c>
      <c r="AAQ33" t="s">
        <v>1900</v>
      </c>
      <c r="AAR33" t="s">
        <v>1900</v>
      </c>
      <c r="AAS33" t="s">
        <v>1900</v>
      </c>
      <c r="AAT33" t="s">
        <v>1900</v>
      </c>
      <c r="AAU33" t="s">
        <v>1900</v>
      </c>
      <c r="AAV33" t="s">
        <v>1900</v>
      </c>
      <c r="AAW33" t="s">
        <v>1900</v>
      </c>
      <c r="AAX33" t="s">
        <v>1900</v>
      </c>
      <c r="AAY33" t="s">
        <v>1900</v>
      </c>
      <c r="AAZ33" t="s">
        <v>1900</v>
      </c>
      <c r="ABA33" t="s">
        <v>1900</v>
      </c>
      <c r="ABB33" t="s">
        <v>1900</v>
      </c>
      <c r="ABC33" t="s">
        <v>1900</v>
      </c>
      <c r="ABD33" t="s">
        <v>1900</v>
      </c>
      <c r="ABE33" t="s">
        <v>1900</v>
      </c>
      <c r="ABF33" t="s">
        <v>1900</v>
      </c>
      <c r="ABG33" t="s">
        <v>1900</v>
      </c>
      <c r="ABH33" t="s">
        <v>1900</v>
      </c>
      <c r="ABI33" t="s">
        <v>1900</v>
      </c>
      <c r="ABJ33" t="s">
        <v>1900</v>
      </c>
      <c r="ABK33" t="s">
        <v>1900</v>
      </c>
      <c r="ABL33" t="s">
        <v>1900</v>
      </c>
      <c r="ABM33" t="s">
        <v>1900</v>
      </c>
      <c r="ABN33" t="s">
        <v>1900</v>
      </c>
      <c r="ABO33" t="s">
        <v>1900</v>
      </c>
      <c r="ABP33" t="s">
        <v>1900</v>
      </c>
      <c r="ABQ33" t="s">
        <v>1900</v>
      </c>
      <c r="ABR33" t="s">
        <v>1900</v>
      </c>
      <c r="ABS33" t="s">
        <v>1900</v>
      </c>
      <c r="ABT33" t="s">
        <v>1900</v>
      </c>
      <c r="ABU33" t="s">
        <v>1900</v>
      </c>
      <c r="ABV33" t="s">
        <v>1900</v>
      </c>
      <c r="ABW33" t="s">
        <v>1900</v>
      </c>
      <c r="ABX33" t="s">
        <v>1900</v>
      </c>
      <c r="ABY33" t="s">
        <v>1900</v>
      </c>
      <c r="ABZ33" t="s">
        <v>1900</v>
      </c>
      <c r="ACA33" t="s">
        <v>1900</v>
      </c>
      <c r="ACB33" t="s">
        <v>1900</v>
      </c>
      <c r="ACC33" t="s">
        <v>1900</v>
      </c>
      <c r="ACD33" t="s">
        <v>1900</v>
      </c>
      <c r="ACE33">
        <v>20.307</v>
      </c>
      <c r="ACF33">
        <v>4.488</v>
      </c>
      <c r="ACG33">
        <v>4.521</v>
      </c>
      <c r="ACH33">
        <v>3.78</v>
      </c>
      <c r="ACI33">
        <v>-9.766</v>
      </c>
      <c r="ACJ33">
        <v>18.933</v>
      </c>
      <c r="ACK33">
        <v>4.488</v>
      </c>
      <c r="ACL33">
        <v>4.647</v>
      </c>
      <c r="ACM33">
        <v>4.82</v>
      </c>
      <c r="ACN33" t="s">
        <v>1900</v>
      </c>
      <c r="ACO33">
        <v>13.756</v>
      </c>
      <c r="ACP33">
        <v>2.947</v>
      </c>
      <c r="ACQ33">
        <v>3.22</v>
      </c>
      <c r="ACR33">
        <v>2.374</v>
      </c>
      <c r="ACS33">
        <v>-6.759</v>
      </c>
      <c r="ACT33">
        <v>16.672</v>
      </c>
      <c r="ACU33">
        <v>3.725</v>
      </c>
      <c r="ACV33">
        <v>3.365</v>
      </c>
      <c r="ACW33">
        <v>2.829</v>
      </c>
      <c r="ACX33">
        <v>-7.418</v>
      </c>
      <c r="ACY33">
        <v>15.546</v>
      </c>
      <c r="ACZ33">
        <v>3.725</v>
      </c>
      <c r="ADA33">
        <v>3.491</v>
      </c>
      <c r="ADB33">
        <v>3.868</v>
      </c>
      <c r="ADC33" t="s">
        <v>1900</v>
      </c>
      <c r="ADD33">
        <v>11.293</v>
      </c>
      <c r="ADE33">
        <v>2.446</v>
      </c>
      <c r="ADF33">
        <v>2.397</v>
      </c>
      <c r="ADG33">
        <v>1.777</v>
      </c>
      <c r="ADH33">
        <v>-5.134</v>
      </c>
      <c r="ADI33">
        <v>6.376</v>
      </c>
      <c r="ADJ33">
        <v>1.447</v>
      </c>
      <c r="ADK33">
        <v>1.694</v>
      </c>
      <c r="ADL33">
        <v>1.307</v>
      </c>
      <c r="ADM33">
        <v>-3.304</v>
      </c>
      <c r="ADN33">
        <v>65.11799999999999</v>
      </c>
      <c r="ADO33">
        <v>66.31999999999999</v>
      </c>
      <c r="ADP33">
        <v>68.733</v>
      </c>
      <c r="ADQ33">
        <v>66.41200000000001</v>
      </c>
      <c r="ADR33">
        <v>65.345</v>
      </c>
      <c r="ADS33">
        <v>6.514176893</v>
      </c>
      <c r="ADT33">
        <v>1.68387765</v>
      </c>
      <c r="ADU33">
        <v>2.335727947</v>
      </c>
      <c r="ADV33">
        <v>1.849788622</v>
      </c>
      <c r="ADW33">
        <v>-3.424210383</v>
      </c>
      <c r="ADX33">
        <v>6.581</v>
      </c>
      <c r="ADY33">
        <v>1.746</v>
      </c>
      <c r="ADZ33">
        <v>2.376</v>
      </c>
      <c r="AEA33">
        <v>2.076</v>
      </c>
      <c r="AEB33">
        <v>-2.889</v>
      </c>
      <c r="AEC33">
        <v>6.514</v>
      </c>
      <c r="AED33">
        <v>1.684</v>
      </c>
      <c r="AEE33">
        <v>2.336</v>
      </c>
      <c r="AEF33">
        <v>1.85</v>
      </c>
      <c r="AEG33">
        <v>-3.424</v>
      </c>
      <c r="AEH33">
        <v>5.302</v>
      </c>
      <c r="AEI33">
        <v>1.263</v>
      </c>
      <c r="AEJ33">
        <v>1.301</v>
      </c>
      <c r="AEK33">
        <v>1.204</v>
      </c>
      <c r="AEL33">
        <v>-1.974</v>
      </c>
      <c r="AEM33">
        <v>6.968090643</v>
      </c>
      <c r="AEN33">
        <v>1.712717721</v>
      </c>
      <c r="AEO33">
        <v>2.391588959</v>
      </c>
      <c r="AEP33">
        <v>1.884650676</v>
      </c>
      <c r="AEQ33">
        <v>-3.310840247</v>
      </c>
      <c r="AER33">
        <v>1.111157099</v>
      </c>
      <c r="AES33">
        <v>1.026051821</v>
      </c>
      <c r="AET33">
        <v>1.035178056</v>
      </c>
      <c r="AEU33">
        <v>1.028651431</v>
      </c>
      <c r="AEV33">
        <v>0.9502072459999999</v>
      </c>
      <c r="AEW33" t="s">
        <v>1900</v>
      </c>
      <c r="AEX33" t="s">
        <v>1900</v>
      </c>
      <c r="AEY33" t="s">
        <v>1900</v>
      </c>
      <c r="AEZ33" t="s">
        <v>1900</v>
      </c>
      <c r="AFA33" t="s">
        <v>1900</v>
      </c>
      <c r="AFB33" t="s">
        <v>1900</v>
      </c>
      <c r="AFC33" t="s">
        <v>1900</v>
      </c>
      <c r="AFD33" t="s">
        <v>1900</v>
      </c>
      <c r="AFE33" t="s">
        <v>1900</v>
      </c>
      <c r="AFF33" t="s">
        <v>1900</v>
      </c>
      <c r="AFG33">
        <v>2.967</v>
      </c>
      <c r="AFH33">
        <v>3.102</v>
      </c>
      <c r="AFI33">
        <v>2.669</v>
      </c>
      <c r="AFJ33">
        <v>2.893</v>
      </c>
      <c r="AFK33">
        <v>2.509</v>
      </c>
      <c r="AFL33" t="s">
        <v>1901</v>
      </c>
      <c r="AFM33" t="s">
        <v>1901</v>
      </c>
      <c r="AFN33">
        <v>49.425</v>
      </c>
      <c r="AFO33">
        <v>5.148</v>
      </c>
      <c r="AFP33" t="s">
        <v>1900</v>
      </c>
      <c r="AFQ33">
        <v>50.824</v>
      </c>
      <c r="AFR33">
        <v>69.279</v>
      </c>
      <c r="AFS33">
        <v>112.269</v>
      </c>
      <c r="AFT33">
        <v>103.746</v>
      </c>
      <c r="AFU33">
        <v>113.297</v>
      </c>
      <c r="AFV33">
        <v>107.458</v>
      </c>
      <c r="AFW33">
        <v>130.682</v>
      </c>
      <c r="AFX33">
        <v>119.728</v>
      </c>
      <c r="AFY33">
        <v>113.362</v>
      </c>
      <c r="AFZ33">
        <v>108.993</v>
      </c>
      <c r="AGA33">
        <v>10.861</v>
      </c>
      <c r="AGB33">
        <v>23.862</v>
      </c>
      <c r="AGC33">
        <v>20.435</v>
      </c>
      <c r="AGD33">
        <v>20.041</v>
      </c>
      <c r="AGE33">
        <v>2.587</v>
      </c>
      <c r="AGF33" t="s">
        <v>1900</v>
      </c>
      <c r="AGG33" t="s">
        <v>1900</v>
      </c>
      <c r="AGH33" t="s">
        <v>1900</v>
      </c>
      <c r="AGI33" t="s">
        <v>1900</v>
      </c>
      <c r="AGJ33" t="s">
        <v>1900</v>
      </c>
      <c r="AGK33" t="s">
        <v>1900</v>
      </c>
      <c r="AGL33" t="s">
        <v>1900</v>
      </c>
      <c r="AGM33" t="s">
        <v>1900</v>
      </c>
      <c r="AGN33" t="s">
        <v>1900</v>
      </c>
      <c r="AGO33" t="s">
        <v>1900</v>
      </c>
      <c r="AGP33" t="s">
        <v>1900</v>
      </c>
      <c r="AGQ33" t="s">
        <v>1900</v>
      </c>
      <c r="AGR33" t="s">
        <v>1900</v>
      </c>
      <c r="AGS33" t="s">
        <v>1900</v>
      </c>
      <c r="AGT33" t="s">
        <v>1900</v>
      </c>
      <c r="AGU33">
        <v>0</v>
      </c>
      <c r="AGV33">
        <v>0</v>
      </c>
      <c r="AGW33">
        <v>0</v>
      </c>
      <c r="AGX33">
        <v>0</v>
      </c>
      <c r="AGY33">
        <v>0</v>
      </c>
      <c r="AGZ33">
        <v>3.566</v>
      </c>
      <c r="AHA33">
        <v>2.836</v>
      </c>
      <c r="AHB33">
        <v>3.403</v>
      </c>
      <c r="AHC33">
        <v>2.613</v>
      </c>
      <c r="AHD33">
        <v>5.213</v>
      </c>
      <c r="AHE33">
        <v>3.41</v>
      </c>
      <c r="AHF33">
        <v>2.751</v>
      </c>
      <c r="AHG33">
        <v>3.344</v>
      </c>
      <c r="AHH33">
        <v>2.566</v>
      </c>
      <c r="AHI33">
        <v>5.115</v>
      </c>
      <c r="AHJ33">
        <v>13.625</v>
      </c>
      <c r="AHK33" t="s">
        <v>1901</v>
      </c>
      <c r="AHL33" t="s">
        <v>1901</v>
      </c>
      <c r="AHM33" t="s">
        <v>1901</v>
      </c>
      <c r="AHN33">
        <v>5.609</v>
      </c>
      <c r="AHO33">
        <v>67.738</v>
      </c>
      <c r="AHP33">
        <v>65.657</v>
      </c>
      <c r="AHQ33">
        <v>71.23</v>
      </c>
      <c r="AHR33">
        <v>62.811</v>
      </c>
      <c r="AHS33">
        <v>69.20999999999999</v>
      </c>
      <c r="AHT33" t="s">
        <v>1901</v>
      </c>
      <c r="AHU33" t="s">
        <v>1901</v>
      </c>
      <c r="AHV33" t="s">
        <v>1901</v>
      </c>
      <c r="AHW33" t="s">
        <v>1901</v>
      </c>
      <c r="AHX33" t="s">
        <v>1901</v>
      </c>
      <c r="AHY33">
        <v>7.339</v>
      </c>
      <c r="AHZ33">
        <v>0</v>
      </c>
      <c r="AIA33">
        <v>0</v>
      </c>
      <c r="AIB33">
        <v>0</v>
      </c>
      <c r="AIC33">
        <v>17.828</v>
      </c>
      <c r="AID33">
        <v>1.718106055</v>
      </c>
      <c r="AIE33">
        <v>1.46558488</v>
      </c>
      <c r="AIF33">
        <v>1.475010282</v>
      </c>
      <c r="AIG33">
        <v>2.183269526</v>
      </c>
      <c r="AIH33">
        <v>2.613573441</v>
      </c>
      <c r="AII33">
        <v>28.675600082</v>
      </c>
      <c r="AIJ33">
        <v>20.534133355</v>
      </c>
      <c r="AIK33">
        <v>32.989443995</v>
      </c>
      <c r="AIL33">
        <v>38.20999363</v>
      </c>
      <c r="AIM33">
        <v>32.442906422</v>
      </c>
      <c r="AIN33">
        <v>20.78146441</v>
      </c>
      <c r="AIO33">
        <v>20.842906674</v>
      </c>
      <c r="AIP33">
        <v>17.980796628</v>
      </c>
      <c r="AIQ33">
        <v>27.074041015</v>
      </c>
      <c r="AIR33">
        <v>16.98101622</v>
      </c>
      <c r="AIS33">
        <v>5.640561463</v>
      </c>
      <c r="AIT33">
        <v>4.285664652</v>
      </c>
      <c r="AIU33">
        <v>2.848738533</v>
      </c>
      <c r="AIV33">
        <v>2.869714253</v>
      </c>
      <c r="AIW33">
        <v>2.54691758</v>
      </c>
      <c r="AIX33">
        <v>8.585037779396529</v>
      </c>
      <c r="AIY33">
        <v>1.88510322101116</v>
      </c>
      <c r="AIZ33">
        <v>2.00962702620506</v>
      </c>
      <c r="AJA33">
        <v>1.80831757910013</v>
      </c>
      <c r="AJB33">
        <v>-4.91848027266681</v>
      </c>
      <c r="AJC33">
        <v>134.643585045619</v>
      </c>
      <c r="AJD33">
        <v>130.290454877755</v>
      </c>
      <c r="AJE33">
        <v>118.614372425047</v>
      </c>
      <c r="AJF33">
        <v>138.373651923401</v>
      </c>
      <c r="AJG33">
        <v>148.878169772549</v>
      </c>
      <c r="AJH33">
        <v>49.615</v>
      </c>
      <c r="AJI33">
        <v>58.641</v>
      </c>
      <c r="AJJ33">
        <v>55.714</v>
      </c>
      <c r="AJK33">
        <v>52.705</v>
      </c>
      <c r="AJL33">
        <v>57.17</v>
      </c>
      <c r="AJM33">
        <v>66.80286635772769</v>
      </c>
      <c r="AJN33">
        <v>76.4038128440924</v>
      </c>
      <c r="AJO33">
        <v>66.0842836323535</v>
      </c>
      <c r="AJP33">
        <v>72.9293638015795</v>
      </c>
      <c r="AJQ33">
        <v>85.11425548881181</v>
      </c>
      <c r="AJR33">
        <v>42.2757956497552</v>
      </c>
      <c r="AJS33">
        <v>41.9991008436804</v>
      </c>
      <c r="AJT33">
        <v>44.4495598678344</v>
      </c>
      <c r="AJU33">
        <v>47.8368758137751</v>
      </c>
      <c r="AJV33">
        <v>50.362060933854</v>
      </c>
      <c r="AJW33">
        <v>38.7774053357246</v>
      </c>
      <c r="AJX33">
        <v>40.5407057191706</v>
      </c>
      <c r="AJY33">
        <v>33.7719017198467</v>
      </c>
      <c r="AJZ33">
        <v>37.2035858109784</v>
      </c>
      <c r="AKA33">
        <v>45.3185453780717</v>
      </c>
      <c r="AKB33">
        <v>62.410501949852</v>
      </c>
      <c r="AKC33">
        <v>63.9678344929781</v>
      </c>
      <c r="AKD33">
        <v>62.4030936207443</v>
      </c>
      <c r="AKE33">
        <v>76.1597041055131</v>
      </c>
      <c r="AKF33">
        <v>72.76712466427151</v>
      </c>
      <c r="AKG33">
        <v>5.640561463</v>
      </c>
      <c r="AKH33">
        <v>4.285664652</v>
      </c>
      <c r="AKI33">
        <v>2.848738533</v>
      </c>
      <c r="AKJ33">
        <v>2.869714253</v>
      </c>
      <c r="AKK33">
        <v>2.54691758</v>
      </c>
      <c r="AKL33">
        <v>1.967568089</v>
      </c>
      <c r="AKM33">
        <v>1.443430024</v>
      </c>
      <c r="AKN33">
        <v>0.89071429</v>
      </c>
      <c r="AKO33">
        <v>0.963890758</v>
      </c>
      <c r="AKP33">
        <v>0.882633276</v>
      </c>
      <c r="AKQ33">
        <v>4.244805213</v>
      </c>
      <c r="AKR33">
        <v>2.939995671</v>
      </c>
      <c r="AKS33">
        <v>1.693049346</v>
      </c>
      <c r="AKT33">
        <v>1.751281536</v>
      </c>
      <c r="AKU33">
        <v>1.805826835</v>
      </c>
      <c r="AKV33">
        <v>0.279674818</v>
      </c>
      <c r="AKW33">
        <v>0.299910371</v>
      </c>
      <c r="AKX33">
        <v>0.303194327</v>
      </c>
      <c r="AKY33">
        <v>0.289444223</v>
      </c>
      <c r="AKZ33">
        <v>0.291467611</v>
      </c>
      <c r="ALA33">
        <v>0.603366732</v>
      </c>
      <c r="ALB33">
        <v>0.610861058</v>
      </c>
      <c r="ALC33">
        <v>0.57630484</v>
      </c>
      <c r="ALD33">
        <v>0.52588773</v>
      </c>
      <c r="ALE33">
        <v>0.596329242</v>
      </c>
      <c r="ALF33">
        <v>0.167507867</v>
      </c>
      <c r="ALG33">
        <v>0.25147879</v>
      </c>
      <c r="ALH33">
        <v>0.026736412</v>
      </c>
      <c r="ALI33">
        <v>0.06424334600000001</v>
      </c>
      <c r="ALJ33">
        <v>0.292430151</v>
      </c>
      <c r="ALK33">
        <v>0.361379242</v>
      </c>
      <c r="ALL33">
        <v>0.51221503</v>
      </c>
      <c r="ALM33">
        <v>0.050819961</v>
      </c>
      <c r="ALN33">
        <v>0.116722964</v>
      </c>
      <c r="ALO33">
        <v>0.598298555</v>
      </c>
      <c r="ALP33">
        <v>29.849420541</v>
      </c>
      <c r="ALQ33">
        <v>36.300457808</v>
      </c>
      <c r="ALR33">
        <v>33.257645411</v>
      </c>
      <c r="ALS33">
        <v>31.48947271</v>
      </c>
      <c r="ALT33">
        <v>30.275887905</v>
      </c>
      <c r="ALU33">
        <v>10.107228855</v>
      </c>
      <c r="ALV33">
        <v>18.259412382</v>
      </c>
      <c r="ALW33">
        <v>17.067788845</v>
      </c>
      <c r="ALX33">
        <v>17.679056465</v>
      </c>
      <c r="ALY33">
        <v>2.37317775</v>
      </c>
      <c r="ALZ33">
        <v>65.11751351741469</v>
      </c>
      <c r="AMA33">
        <v>66.3195760501896</v>
      </c>
      <c r="AMB33">
        <v>68.73302758955489</v>
      </c>
      <c r="AMC33">
        <v>66.4116119849686</v>
      </c>
      <c r="AMD33">
        <v>65.345039689001</v>
      </c>
      <c r="AME33">
        <v>65.2285348431454</v>
      </c>
      <c r="AMF33">
        <v>66.4483431557949</v>
      </c>
      <c r="AMG33">
        <v>68.8170207568276</v>
      </c>
      <c r="AMH33">
        <v>66.47952737790369</v>
      </c>
      <c r="AMI33">
        <v>65.345039689001</v>
      </c>
      <c r="AMJ33">
        <v>186.676811545339</v>
      </c>
      <c r="AMK33">
        <v>196.908376655285</v>
      </c>
      <c r="AML33">
        <v>219.826297152244</v>
      </c>
      <c r="AMM33">
        <v>197.721938770173</v>
      </c>
      <c r="AMN33">
        <v>188.558980130091</v>
      </c>
      <c r="AMO33">
        <v>1.11115709902946</v>
      </c>
      <c r="AMP33">
        <v>1.02605182108581</v>
      </c>
      <c r="AMQ33">
        <v>1.03517805600585</v>
      </c>
      <c r="AMR33">
        <v>1.02865143092141</v>
      </c>
      <c r="AMS33">
        <v>0.950207245265664</v>
      </c>
      <c r="AMT33">
        <v>1.11115709902946</v>
      </c>
      <c r="AMU33">
        <v>1.02605182108581</v>
      </c>
      <c r="AMV33">
        <v>1.0351780563208</v>
      </c>
      <c r="AMW33">
        <v>1.02865143092141</v>
      </c>
      <c r="AMX33">
        <v>0.950207245557992</v>
      </c>
      <c r="AMY33">
        <v>1.11234863445794</v>
      </c>
      <c r="AMZ33">
        <v>1.02628047449143</v>
      </c>
      <c r="ANA33">
        <v>1.03511513933914</v>
      </c>
      <c r="ANB33">
        <v>1.02869026335018</v>
      </c>
      <c r="ANC33">
        <v>0.951114090060559</v>
      </c>
      <c r="AND33">
        <v>6.51417689265501</v>
      </c>
      <c r="ANE33">
        <v>1.68387765046616</v>
      </c>
      <c r="ANF33">
        <v>2.33572794710662</v>
      </c>
      <c r="ANG33">
        <v>1.84978862223747</v>
      </c>
      <c r="ANH33">
        <v>-3.42421038299702</v>
      </c>
      <c r="ANI33">
        <v>6.52528316062505</v>
      </c>
      <c r="ANJ33">
        <v>1.68714709312785</v>
      </c>
      <c r="ANK33">
        <v>2.3385822544905</v>
      </c>
      <c r="ANL33">
        <v>1.8516802962591</v>
      </c>
      <c r="ANM33">
        <v>-3.42421038299702</v>
      </c>
      <c r="ANN33">
        <v>6.96809064319316</v>
      </c>
      <c r="ANO33">
        <v>1.71271772139226</v>
      </c>
      <c r="ANP33">
        <v>2.39158895879716</v>
      </c>
      <c r="ANQ33">
        <v>1.88465067601125</v>
      </c>
      <c r="ANR33">
        <v>-3.31084024747842</v>
      </c>
      <c r="ANS33">
        <v>19.3283391270099</v>
      </c>
      <c r="ANT33">
        <v>5.22375914626475</v>
      </c>
      <c r="ANU33">
        <v>6.23292801685942</v>
      </c>
      <c r="ANV33">
        <v>5.35072580597986</v>
      </c>
      <c r="ANW33">
        <v>-8.59088278591946</v>
      </c>
      <c r="ANX33">
        <v>64.4959843626326</v>
      </c>
      <c r="ANY33">
        <v>65.7572128185757</v>
      </c>
      <c r="ANZ33">
        <v>68.85199389576999</v>
      </c>
      <c r="AOA33">
        <v>66.3242272030124</v>
      </c>
      <c r="AOB33">
        <v>66.6207245939503</v>
      </c>
      <c r="AOC33">
        <v>69.65496088390169</v>
      </c>
      <c r="AOD33">
        <v>67.4554431819534</v>
      </c>
      <c r="AOE33">
        <v>70.3768390884337</v>
      </c>
      <c r="AOF33">
        <v>67.6632388791933</v>
      </c>
      <c r="AOG33">
        <v>63.1815698152468</v>
      </c>
      <c r="AOH33" t="s">
        <v>1901</v>
      </c>
      <c r="AOI33" t="s">
        <v>1901</v>
      </c>
      <c r="AOJ33" t="s">
        <v>1901</v>
      </c>
      <c r="AOK33" t="s">
        <v>1901</v>
      </c>
      <c r="AOL33" t="s">
        <v>1901</v>
      </c>
      <c r="AOM33">
        <v>18.6746346178889</v>
      </c>
      <c r="AON33">
        <v>4.99957379686023</v>
      </c>
      <c r="AOO33">
        <v>7.47027220790559</v>
      </c>
      <c r="AOP33">
        <v>5.50722654927547</v>
      </c>
      <c r="AOQ33">
        <v>-9.880866560671249</v>
      </c>
      <c r="AOR33">
        <v>11.1157099029457</v>
      </c>
      <c r="AOS33">
        <v>2.60518210858129</v>
      </c>
      <c r="AOT33">
        <v>3.51780563207985</v>
      </c>
      <c r="AOU33">
        <v>2.86514309214085</v>
      </c>
      <c r="AOV33">
        <v>-4.97927544420078</v>
      </c>
      <c r="AOW33">
        <v>14.0535985457254</v>
      </c>
      <c r="AOX33">
        <v>3.42974229486355</v>
      </c>
      <c r="AOY33">
        <v>4.43969824839513</v>
      </c>
      <c r="AOZ33">
        <v>3.36085871992455</v>
      </c>
      <c r="APA33">
        <v>-7.00577597323215</v>
      </c>
      <c r="APB33">
        <v>5.2346496200991</v>
      </c>
      <c r="APC33">
        <v>1.20081745288224</v>
      </c>
      <c r="APD33">
        <v>1.26091736132432</v>
      </c>
      <c r="APE33">
        <v>0.977931575419911</v>
      </c>
      <c r="APF33">
        <v>-2.5092176160922</v>
      </c>
      <c r="APG33">
        <v>5.2435743733516</v>
      </c>
      <c r="APH33">
        <v>1.2031489784585</v>
      </c>
      <c r="API33">
        <v>1.26245822816172</v>
      </c>
      <c r="APJ33">
        <v>0.9789316506360251</v>
      </c>
      <c r="APK33">
        <v>-2.5092176160922</v>
      </c>
      <c r="APL33">
        <v>15.006526629365</v>
      </c>
      <c r="APM33">
        <v>3.565327605946</v>
      </c>
      <c r="APN33">
        <v>4.03274530856</v>
      </c>
      <c r="APO33">
        <v>2.91151684618586</v>
      </c>
      <c r="APP33">
        <v>-7.24057276369581</v>
      </c>
      <c r="APQ33">
        <v>8.932340582613669</v>
      </c>
      <c r="APR33">
        <v>1.85782390012417</v>
      </c>
      <c r="APS33">
        <v>1.8990491597057</v>
      </c>
      <c r="APT33">
        <v>1.51472112230404</v>
      </c>
      <c r="APU33">
        <v>-3.64874942322572</v>
      </c>
      <c r="APV33">
        <v>5.59940475048117</v>
      </c>
      <c r="APW33">
        <v>1.22138406619932</v>
      </c>
      <c r="APX33">
        <v>1.29107332171731</v>
      </c>
      <c r="APY33">
        <v>0.99636216946699</v>
      </c>
      <c r="APZ33">
        <v>-2.4261414293618</v>
      </c>
      <c r="AQA33">
        <v>11.293163434256</v>
      </c>
      <c r="AQB33">
        <v>2.44583946192313</v>
      </c>
      <c r="AQC33">
        <v>2.39672287492951</v>
      </c>
      <c r="AQD33">
        <v>1.77679212815356</v>
      </c>
      <c r="AQE33">
        <v>-5.13374311745519</v>
      </c>
      <c r="AQF33">
        <v>0.112348634457937</v>
      </c>
      <c r="AQG33">
        <v>0.026280474491427</v>
      </c>
      <c r="AQH33">
        <v>0.0351151393391402</v>
      </c>
      <c r="AQI33">
        <v>0.0286902633501805</v>
      </c>
      <c r="AQJ33">
        <v>-0.0488859099394406</v>
      </c>
      <c r="AQK33">
        <v>7</v>
      </c>
      <c r="AQO33" t="s">
        <v>1902</v>
      </c>
      <c r="AQP33">
        <v>9</v>
      </c>
      <c r="AQQ33">
        <v>0</v>
      </c>
      <c r="AQS33" t="s">
        <v>1905</v>
      </c>
      <c r="AQU33" t="s">
        <v>1906</v>
      </c>
      <c r="AQV33">
        <v>5385743.41221377</v>
      </c>
      <c r="AQW33">
        <v>5341908.67098297</v>
      </c>
      <c r="AQX33">
        <v>5100417.99934463</v>
      </c>
      <c r="AQY33">
        <v>350836.852856119</v>
      </c>
      <c r="AQZ33">
        <v>89951.2062189961</v>
      </c>
      <c r="ARA33">
        <v>119131.888629949</v>
      </c>
      <c r="ARB33">
        <v>15828070.08254137</v>
      </c>
      <c r="ARC33">
        <v>559919.9477050641</v>
      </c>
      <c r="ARD33">
        <v>0.03667241563387123</v>
      </c>
      <c r="ARE33">
        <v>0.03667241563387123</v>
      </c>
      <c r="ARF33">
        <v>0.03667241563387123</v>
      </c>
      <c r="ARG33">
        <v>0.03667241563387123</v>
      </c>
      <c r="ARH33">
        <v>0.03667241563387123</v>
      </c>
      <c r="ARI33">
        <v>0.03667241563387123</v>
      </c>
      <c r="ARJ33" t="s">
        <v>1194</v>
      </c>
      <c r="ARK33" t="s">
        <v>1532</v>
      </c>
      <c r="ARL33" t="s">
        <v>1909</v>
      </c>
      <c r="ARP33" t="s">
        <v>1907</v>
      </c>
      <c r="ARQ33" t="s">
        <v>1911</v>
      </c>
    </row>
    <row r="34" spans="1:1163">
      <c r="A34">
        <v>665</v>
      </c>
      <c r="B34" t="s">
        <v>1195</v>
      </c>
      <c r="C34" t="s">
        <v>1318</v>
      </c>
      <c r="E34" s="2">
        <v>41898</v>
      </c>
      <c r="F34" t="s">
        <v>1431</v>
      </c>
      <c r="G34" t="s">
        <v>1433</v>
      </c>
      <c r="H34" t="s">
        <v>1434</v>
      </c>
      <c r="I34" t="s">
        <v>1435</v>
      </c>
      <c r="J34" t="s">
        <v>1468</v>
      </c>
      <c r="L34" t="s">
        <v>1533</v>
      </c>
      <c r="N34" t="s">
        <v>1637</v>
      </c>
      <c r="O34" t="s">
        <v>1661</v>
      </c>
      <c r="P34">
        <v>6202</v>
      </c>
      <c r="Q34">
        <v>6202</v>
      </c>
      <c r="R34" t="s">
        <v>1704</v>
      </c>
      <c r="Z34" t="s">
        <v>1899</v>
      </c>
      <c r="AA34" s="2">
        <v>45657</v>
      </c>
      <c r="AB34">
        <v>2024</v>
      </c>
      <c r="AC34">
        <v>603740.240583894</v>
      </c>
      <c r="AD34">
        <v>388365.816893806</v>
      </c>
      <c r="AE34">
        <v>143899.150028914</v>
      </c>
      <c r="AF34">
        <v>94697.3912672997</v>
      </c>
      <c r="AG34">
        <v>100992.235702038</v>
      </c>
      <c r="AH34">
        <v>333646.358765749</v>
      </c>
      <c r="AI34">
        <v>269475.542737312</v>
      </c>
      <c r="AJ34">
        <v>103482.228970468</v>
      </c>
      <c r="AK34">
        <v>44596.7034065723</v>
      </c>
      <c r="AL34">
        <v>24217.7249987423</v>
      </c>
      <c r="AM34">
        <v>-412.318449792862</v>
      </c>
      <c r="AN34">
        <v>6410.35097688675</v>
      </c>
      <c r="AO34">
        <v>16458.8886912227</v>
      </c>
      <c r="AP34">
        <v>3522.28502218723</v>
      </c>
      <c r="AQ34">
        <v>22019.5238557279</v>
      </c>
      <c r="AR34">
        <v>604152.559033687</v>
      </c>
      <c r="AS34">
        <v>381955.46591692</v>
      </c>
      <c r="AT34">
        <v>127440.261337692</v>
      </c>
      <c r="AU34">
        <v>91175.1062451124</v>
      </c>
      <c r="AV34">
        <v>78972.7118463099</v>
      </c>
      <c r="AW34">
        <v>726159.923773563</v>
      </c>
      <c r="AX34">
        <v>429344.04203433</v>
      </c>
      <c r="AY34">
        <v>283152.352676898</v>
      </c>
      <c r="AZ34">
        <v>243339.73216552</v>
      </c>
      <c r="BA34">
        <v>108231.483477044</v>
      </c>
      <c r="BB34">
        <v>-122007.364739876</v>
      </c>
      <c r="BC34">
        <v>-47388.5761174107</v>
      </c>
      <c r="BD34">
        <v>-155712.091339207</v>
      </c>
      <c r="BE34">
        <v>-152164.624787807</v>
      </c>
      <c r="BF34">
        <v>-29258.7716307342</v>
      </c>
      <c r="BG34">
        <v>-23597.2525021672</v>
      </c>
      <c r="BH34">
        <v>-10940.5988600063</v>
      </c>
      <c r="BI34">
        <v>-8795.979329794651</v>
      </c>
      <c r="BJ34">
        <v>-9575.161563348771</v>
      </c>
      <c r="BK34">
        <v>-9369.70076569915</v>
      </c>
      <c r="BL34" t="s">
        <v>1900</v>
      </c>
      <c r="BM34">
        <v>29.9565634441376</v>
      </c>
      <c r="BN34">
        <v>0.255983877182007</v>
      </c>
      <c r="BO34">
        <v>19.707245349884</v>
      </c>
      <c r="BP34" t="s">
        <v>1900</v>
      </c>
      <c r="BQ34">
        <v>23597.2525021672</v>
      </c>
      <c r="BR34">
        <v>10970.5554234505</v>
      </c>
      <c r="BS34">
        <v>8796.23531367183</v>
      </c>
      <c r="BT34">
        <v>9594.868808698649</v>
      </c>
      <c r="BU34">
        <v>9369.70076569915</v>
      </c>
      <c r="BV34">
        <v>-145604.617242043</v>
      </c>
      <c r="BW34">
        <v>-58329.174977417</v>
      </c>
      <c r="BX34">
        <v>-164508.070669001</v>
      </c>
      <c r="BY34">
        <v>-161739.786351156</v>
      </c>
      <c r="BZ34">
        <v>-38628.4723964334</v>
      </c>
      <c r="CA34">
        <v>-29421.1571045327</v>
      </c>
      <c r="CB34">
        <v>-19432.3177209854</v>
      </c>
      <c r="CC34">
        <v>-27045.2085920334</v>
      </c>
      <c r="CD34">
        <v>-40082.1699070215</v>
      </c>
      <c r="CE34" t="s">
        <v>1900</v>
      </c>
      <c r="CF34">
        <v>-116183.459098611</v>
      </c>
      <c r="CG34">
        <v>-38896.8561514311</v>
      </c>
      <c r="CH34">
        <v>-137462.862076968</v>
      </c>
      <c r="CI34">
        <v>-121657.616444135</v>
      </c>
      <c r="CJ34">
        <v>-38628.4723964334</v>
      </c>
      <c r="CK34" t="s">
        <v>1900</v>
      </c>
      <c r="CL34" t="s">
        <v>1900</v>
      </c>
      <c r="CM34" t="s">
        <v>1900</v>
      </c>
      <c r="CN34" t="s">
        <v>1900</v>
      </c>
      <c r="CO34" t="s">
        <v>1900</v>
      </c>
      <c r="CP34" t="s">
        <v>1900</v>
      </c>
      <c r="CQ34" t="s">
        <v>1900</v>
      </c>
      <c r="CR34" t="s">
        <v>1900</v>
      </c>
      <c r="CS34" t="s">
        <v>1900</v>
      </c>
      <c r="CT34" t="s">
        <v>1900</v>
      </c>
      <c r="CU34" t="s">
        <v>1900</v>
      </c>
      <c r="CV34" t="s">
        <v>1900</v>
      </c>
      <c r="CW34" t="s">
        <v>1900</v>
      </c>
      <c r="CX34" t="s">
        <v>1900</v>
      </c>
      <c r="CY34" t="s">
        <v>1900</v>
      </c>
      <c r="CZ34">
        <v>-116183.459098611</v>
      </c>
      <c r="DA34">
        <v>-38896.8561514311</v>
      </c>
      <c r="DB34">
        <v>-137462.862076968</v>
      </c>
      <c r="DC34">
        <v>-121657.616444135</v>
      </c>
      <c r="DD34">
        <v>-38628.4723964334</v>
      </c>
      <c r="DE34" t="s">
        <v>1900</v>
      </c>
      <c r="DF34" t="s">
        <v>1900</v>
      </c>
      <c r="DG34" t="s">
        <v>1900</v>
      </c>
      <c r="DH34" t="s">
        <v>1900</v>
      </c>
      <c r="DI34" t="s">
        <v>1900</v>
      </c>
      <c r="DJ34">
        <v>-412.318449792862</v>
      </c>
      <c r="DK34">
        <v>6410.35097688675</v>
      </c>
      <c r="DL34">
        <v>16458.8886912227</v>
      </c>
      <c r="DM34">
        <v>3522.28502218723</v>
      </c>
      <c r="DN34">
        <v>22019.5238557279</v>
      </c>
      <c r="DO34">
        <v>747049.928740086</v>
      </c>
      <c r="DP34">
        <v>526020.469121523</v>
      </c>
      <c r="DQ34">
        <v>424037.388545948</v>
      </c>
      <c r="DR34">
        <v>318744.74844296</v>
      </c>
      <c r="DS34">
        <v>249027.75270437</v>
      </c>
      <c r="DT34">
        <v>51213.7683811867</v>
      </c>
      <c r="DU34">
        <v>56965.3723153591</v>
      </c>
      <c r="DV34">
        <v>43550.0143912256</v>
      </c>
      <c r="DW34">
        <v>33470.3664401293</v>
      </c>
      <c r="DX34">
        <v>25501.6267247438</v>
      </c>
      <c r="DY34">
        <v>-72103.7733477104</v>
      </c>
      <c r="DZ34">
        <v>-153641.798297551</v>
      </c>
      <c r="EA34">
        <v>-184435.050260276</v>
      </c>
      <c r="EB34">
        <v>-108875.382717569</v>
      </c>
      <c r="EC34">
        <v>-166297.89472497</v>
      </c>
      <c r="ED34">
        <v>23597.2525021672</v>
      </c>
      <c r="EE34">
        <v>10970.5554234505</v>
      </c>
      <c r="EF34">
        <v>8796.23531367183</v>
      </c>
      <c r="EG34">
        <v>9594.868808698649</v>
      </c>
      <c r="EH34">
        <v>9367.45517398119</v>
      </c>
      <c r="EI34" t="s">
        <v>1900</v>
      </c>
      <c r="EJ34" t="s">
        <v>1900</v>
      </c>
      <c r="EK34" t="s">
        <v>1900</v>
      </c>
      <c r="EL34" t="s">
        <v>1900</v>
      </c>
      <c r="EM34" t="s">
        <v>1900</v>
      </c>
      <c r="EN34">
        <v>-64969.690717424</v>
      </c>
      <c r="EO34">
        <v>18068.5150589275</v>
      </c>
      <c r="EP34">
        <v>-93912.8476857424</v>
      </c>
      <c r="EQ34">
        <v>-88187.2488714051</v>
      </c>
      <c r="ER34">
        <v>-13126.8456716895</v>
      </c>
      <c r="ES34">
        <v>676256.332381397</v>
      </c>
      <c r="ET34">
        <v>535627.220777915</v>
      </c>
      <c r="EU34">
        <v>311875.567581844</v>
      </c>
      <c r="EV34">
        <v>200070.197340631</v>
      </c>
      <c r="EW34">
        <v>245268.362206662</v>
      </c>
      <c r="EX34">
        <v>-70793.5963586891</v>
      </c>
      <c r="EY34">
        <v>9576.795092947959</v>
      </c>
      <c r="EZ34">
        <v>-112162.076947981</v>
      </c>
      <c r="FA34">
        <v>-118694.257215078</v>
      </c>
      <c r="FB34">
        <v>-3757.14367889106</v>
      </c>
      <c r="FC34">
        <v>1596763.03743641</v>
      </c>
      <c r="FD34">
        <v>1320376.62876881</v>
      </c>
      <c r="FE34">
        <v>1127127.37731981</v>
      </c>
      <c r="FF34">
        <v>761282.959663868</v>
      </c>
      <c r="FG34">
        <v>597500.037577385</v>
      </c>
      <c r="FH34">
        <v>1372640.69925004</v>
      </c>
      <c r="FI34">
        <v>1170004.95678385</v>
      </c>
      <c r="FJ34">
        <v>941234.146901148</v>
      </c>
      <c r="FK34">
        <v>714850.911437058</v>
      </c>
      <c r="FL34">
        <v>592393.1079840061</v>
      </c>
      <c r="FM34">
        <v>3381.75306257367</v>
      </c>
      <c r="FN34">
        <v>3986.30033900261</v>
      </c>
      <c r="FO34">
        <v>3969.45665550232</v>
      </c>
      <c r="FP34">
        <v>4987.8358420372</v>
      </c>
      <c r="FQ34">
        <v>2922.6928403914</v>
      </c>
      <c r="FR34">
        <v>220740.5851238</v>
      </c>
      <c r="FS34">
        <v>146385.370540956</v>
      </c>
      <c r="FT34">
        <v>181923.773763156</v>
      </c>
      <c r="FU34">
        <v>41444.2123847723</v>
      </c>
      <c r="FV34">
        <v>2184.23675298691</v>
      </c>
      <c r="FW34">
        <v>1372640.69925004</v>
      </c>
      <c r="FX34">
        <v>1170004.95678385</v>
      </c>
      <c r="FY34">
        <v>941234.146901148</v>
      </c>
      <c r="FZ34">
        <v>714850.911437058</v>
      </c>
      <c r="GA34">
        <v>592393.1079840061</v>
      </c>
      <c r="GB34">
        <v>3381.75306257367</v>
      </c>
      <c r="GC34">
        <v>3986.30033900261</v>
      </c>
      <c r="GD34">
        <v>3969.45665550232</v>
      </c>
      <c r="GE34">
        <v>4987.8358420372</v>
      </c>
      <c r="GF34">
        <v>2922.6928403914</v>
      </c>
      <c r="GG34">
        <v>220740.5851238</v>
      </c>
      <c r="GH34">
        <v>146385.370540956</v>
      </c>
      <c r="GI34">
        <v>181923.773763156</v>
      </c>
      <c r="GJ34">
        <v>41444.2123847723</v>
      </c>
      <c r="GK34">
        <v>2184.23675298691</v>
      </c>
      <c r="GL34">
        <v>243740.439222963</v>
      </c>
      <c r="GM34">
        <v>629816.569103937</v>
      </c>
      <c r="GN34">
        <v>354906.254682237</v>
      </c>
      <c r="GO34">
        <v>206699.726002336</v>
      </c>
      <c r="GP34">
        <v>136959.338324887</v>
      </c>
      <c r="GQ34">
        <v>0</v>
      </c>
      <c r="GR34">
        <v>0</v>
      </c>
      <c r="GS34">
        <v>0</v>
      </c>
      <c r="GT34">
        <v>0</v>
      </c>
      <c r="GU34">
        <v>0</v>
      </c>
      <c r="GV34">
        <v>198919.819669588</v>
      </c>
      <c r="GW34">
        <v>397464.125777016</v>
      </c>
      <c r="GX34">
        <v>309495.56814974</v>
      </c>
      <c r="GY34">
        <v>37866.69044559</v>
      </c>
      <c r="GZ34">
        <v>29340.3123791814</v>
      </c>
      <c r="HA34">
        <v>44820.6195533752</v>
      </c>
      <c r="HB34">
        <v>232352.443326921</v>
      </c>
      <c r="HC34">
        <v>45410.6865324974</v>
      </c>
      <c r="HD34">
        <v>168833.035556746</v>
      </c>
      <c r="HE34">
        <v>107619.025945705</v>
      </c>
      <c r="HF34">
        <v>36836.5311356139</v>
      </c>
      <c r="HG34">
        <v>232156.305738897</v>
      </c>
      <c r="HH34">
        <v>45087.8375333965</v>
      </c>
      <c r="HI34">
        <v>115650.281761336</v>
      </c>
      <c r="HJ34">
        <v>48519.4326735377</v>
      </c>
      <c r="HK34">
        <v>1840503.47665938</v>
      </c>
      <c r="HL34">
        <v>1950193.19787274</v>
      </c>
      <c r="HM34">
        <v>1482033.63200204</v>
      </c>
      <c r="HN34">
        <v>967982.685666203</v>
      </c>
      <c r="HO34">
        <v>734459.375902271</v>
      </c>
      <c r="HP34">
        <v>1358020.66079276</v>
      </c>
      <c r="HQ34">
        <v>748677.726497364</v>
      </c>
      <c r="HR34">
        <v>669140.276386523</v>
      </c>
      <c r="HS34">
        <v>106873.75065279</v>
      </c>
      <c r="HT34">
        <v>374869.289143574</v>
      </c>
      <c r="HU34">
        <v>55128.1652383804</v>
      </c>
      <c r="HV34">
        <v>58635.7463150024</v>
      </c>
      <c r="HW34">
        <v>67658.67193818089</v>
      </c>
      <c r="HX34">
        <v>65842.586274147</v>
      </c>
      <c r="HY34">
        <v>71336.1906731129</v>
      </c>
      <c r="HZ34">
        <v>1302892.49555438</v>
      </c>
      <c r="IA34">
        <v>690041.980182362</v>
      </c>
      <c r="IB34">
        <v>601481.604448342</v>
      </c>
      <c r="IC34">
        <v>41031.164378643</v>
      </c>
      <c r="ID34">
        <v>303533.098470461</v>
      </c>
      <c r="IE34">
        <v>301481.426417714</v>
      </c>
      <c r="IF34">
        <v>1048131.22548841</v>
      </c>
      <c r="IG34">
        <v>691816.448156768</v>
      </c>
      <c r="IH34">
        <v>799360.200506616</v>
      </c>
      <c r="II34">
        <v>248544.435103303</v>
      </c>
      <c r="IJ34">
        <v>301481.426417714</v>
      </c>
      <c r="IK34">
        <v>1048131.22548841</v>
      </c>
      <c r="IL34">
        <v>691816.448156768</v>
      </c>
      <c r="IM34">
        <v>799360.200506616</v>
      </c>
      <c r="IN34">
        <v>248544.435103303</v>
      </c>
      <c r="IO34">
        <v>0</v>
      </c>
      <c r="IP34">
        <v>0</v>
      </c>
      <c r="IQ34">
        <v>0</v>
      </c>
      <c r="IR34">
        <v>0</v>
      </c>
      <c r="IS34">
        <v>0</v>
      </c>
      <c r="IT34">
        <v>0</v>
      </c>
      <c r="IU34">
        <v>0</v>
      </c>
      <c r="IV34">
        <v>0</v>
      </c>
      <c r="IW34">
        <v>0</v>
      </c>
      <c r="IX34">
        <v>0</v>
      </c>
      <c r="IY34">
        <v>181001.389448899</v>
      </c>
      <c r="IZ34">
        <v>153384.245886965</v>
      </c>
      <c r="JA34">
        <v>121076.907458752</v>
      </c>
      <c r="JB34">
        <v>61748.7345067978</v>
      </c>
      <c r="JC34">
        <v>111045.651655394</v>
      </c>
      <c r="JD34">
        <v>0</v>
      </c>
      <c r="JE34">
        <v>105965.856856174</v>
      </c>
      <c r="JF34">
        <v>13481.7322036266</v>
      </c>
      <c r="JG34">
        <v>13782.352643466</v>
      </c>
      <c r="JH34">
        <v>6610.18759014607</v>
      </c>
      <c r="JI34">
        <v>290.289309718609</v>
      </c>
      <c r="JJ34">
        <v>308.803438587189</v>
      </c>
      <c r="JK34">
        <v>2335.18092160821</v>
      </c>
      <c r="JL34">
        <v>168.440317726135</v>
      </c>
      <c r="JM34">
        <v>17817.4818277359</v>
      </c>
      <c r="JN34">
        <v>180711.10013918</v>
      </c>
      <c r="JO34">
        <v>47109.5855922031</v>
      </c>
      <c r="JP34">
        <v>105259.993266918</v>
      </c>
      <c r="JQ34">
        <v>47797.9415456057</v>
      </c>
      <c r="JR34">
        <v>86617.9822375119</v>
      </c>
      <c r="JS34">
        <v>1840503.47665938</v>
      </c>
      <c r="JT34">
        <v>1950193.19787274</v>
      </c>
      <c r="JU34">
        <v>1482033.63200204</v>
      </c>
      <c r="JV34">
        <v>967982.685666203</v>
      </c>
      <c r="JW34">
        <v>734459.375902271</v>
      </c>
      <c r="JX34">
        <v>198629.530359869</v>
      </c>
      <c r="JY34">
        <v>397155.322338429</v>
      </c>
      <c r="JZ34">
        <v>307160.387228131</v>
      </c>
      <c r="KA34">
        <v>37698.2501278639</v>
      </c>
      <c r="KB34">
        <v>11522.8305514455</v>
      </c>
      <c r="KC34" t="s">
        <v>1900</v>
      </c>
      <c r="KD34" t="s">
        <v>1900</v>
      </c>
      <c r="KE34" t="s">
        <v>1900</v>
      </c>
      <c r="KF34" t="s">
        <v>1900</v>
      </c>
      <c r="KG34" t="s">
        <v>1900</v>
      </c>
      <c r="KH34" t="s">
        <v>1900</v>
      </c>
      <c r="KI34" t="s">
        <v>1900</v>
      </c>
      <c r="KJ34" t="s">
        <v>1900</v>
      </c>
      <c r="KK34" t="s">
        <v>1900</v>
      </c>
      <c r="KL34" t="s">
        <v>1900</v>
      </c>
      <c r="KM34">
        <v>19</v>
      </c>
      <c r="KN34">
        <v>15</v>
      </c>
      <c r="KO34">
        <v>15</v>
      </c>
      <c r="KP34">
        <v>12</v>
      </c>
      <c r="KQ34">
        <v>10</v>
      </c>
      <c r="KR34" t="s">
        <v>1900</v>
      </c>
      <c r="KS34" t="s">
        <v>1900</v>
      </c>
      <c r="KT34" t="s">
        <v>1900</v>
      </c>
      <c r="KU34" t="s">
        <v>1900</v>
      </c>
      <c r="KV34" t="s">
        <v>1900</v>
      </c>
      <c r="KW34" t="s">
        <v>1900</v>
      </c>
      <c r="KX34" t="s">
        <v>1900</v>
      </c>
      <c r="KY34" t="s">
        <v>1900</v>
      </c>
      <c r="KZ34" t="s">
        <v>1900</v>
      </c>
      <c r="LA34" t="s">
        <v>1900</v>
      </c>
      <c r="LB34" t="s">
        <v>1900</v>
      </c>
      <c r="LC34" t="s">
        <v>1900</v>
      </c>
      <c r="LD34" t="s">
        <v>1900</v>
      </c>
      <c r="LE34" t="s">
        <v>1900</v>
      </c>
      <c r="LF34" t="s">
        <v>1900</v>
      </c>
      <c r="LG34" t="s">
        <v>1900</v>
      </c>
      <c r="LH34" t="s">
        <v>1900</v>
      </c>
      <c r="LI34" t="s">
        <v>1900</v>
      </c>
      <c r="LJ34" t="s">
        <v>1900</v>
      </c>
      <c r="LK34" t="s">
        <v>1900</v>
      </c>
      <c r="LL34" t="s">
        <v>1900</v>
      </c>
      <c r="LM34" t="s">
        <v>1900</v>
      </c>
      <c r="LN34" t="s">
        <v>1900</v>
      </c>
      <c r="LO34" t="s">
        <v>1900</v>
      </c>
      <c r="LP34" t="s">
        <v>1900</v>
      </c>
      <c r="LQ34" t="s">
        <v>1900</v>
      </c>
      <c r="LR34" t="s">
        <v>1900</v>
      </c>
      <c r="LS34" t="s">
        <v>1900</v>
      </c>
      <c r="LT34" t="s">
        <v>1900</v>
      </c>
      <c r="LU34" t="s">
        <v>1900</v>
      </c>
      <c r="LV34" t="s">
        <v>1900</v>
      </c>
      <c r="LW34" t="s">
        <v>1900</v>
      </c>
      <c r="LX34" t="s">
        <v>1900</v>
      </c>
      <c r="LY34" t="s">
        <v>1900</v>
      </c>
      <c r="LZ34" t="s">
        <v>1900</v>
      </c>
      <c r="MA34" t="s">
        <v>1900</v>
      </c>
      <c r="MB34" t="s">
        <v>1900</v>
      </c>
      <c r="MC34" t="s">
        <v>1900</v>
      </c>
      <c r="MD34" t="s">
        <v>1900</v>
      </c>
      <c r="ME34" t="s">
        <v>1900</v>
      </c>
      <c r="MF34" t="s">
        <v>1900</v>
      </c>
      <c r="MG34" t="s">
        <v>1900</v>
      </c>
      <c r="MH34" t="s">
        <v>1900</v>
      </c>
      <c r="MI34" t="s">
        <v>1900</v>
      </c>
      <c r="MJ34" t="s">
        <v>1900</v>
      </c>
      <c r="MK34" t="s">
        <v>1900</v>
      </c>
      <c r="ML34" t="s">
        <v>1900</v>
      </c>
      <c r="MM34" t="s">
        <v>1900</v>
      </c>
      <c r="MN34" t="s">
        <v>1900</v>
      </c>
      <c r="MO34" t="s">
        <v>1900</v>
      </c>
      <c r="MP34">
        <v>44820.6195533752</v>
      </c>
      <c r="MQ34">
        <v>232352.443326921</v>
      </c>
      <c r="MR34">
        <v>45410.6865324974</v>
      </c>
      <c r="MS34">
        <v>168833.035556746</v>
      </c>
      <c r="MT34">
        <v>107619.025945705</v>
      </c>
      <c r="MU34" t="s">
        <v>1900</v>
      </c>
      <c r="MV34" t="s">
        <v>1900</v>
      </c>
      <c r="MW34" t="s">
        <v>1900</v>
      </c>
      <c r="MX34" t="s">
        <v>1900</v>
      </c>
      <c r="MY34" t="s">
        <v>1900</v>
      </c>
      <c r="MZ34" t="s">
        <v>1900</v>
      </c>
      <c r="NA34" t="s">
        <v>1900</v>
      </c>
      <c r="NB34" t="s">
        <v>1900</v>
      </c>
      <c r="NC34" t="s">
        <v>1900</v>
      </c>
      <c r="ND34" t="s">
        <v>1900</v>
      </c>
      <c r="NE34" t="s">
        <v>1900</v>
      </c>
      <c r="NF34" t="s">
        <v>1900</v>
      </c>
      <c r="NG34" t="s">
        <v>1900</v>
      </c>
      <c r="NH34" t="s">
        <v>1900</v>
      </c>
      <c r="NI34" t="s">
        <v>1900</v>
      </c>
      <c r="NJ34" t="s">
        <v>1900</v>
      </c>
      <c r="NK34" t="s">
        <v>1900</v>
      </c>
      <c r="NL34" t="s">
        <v>1900</v>
      </c>
      <c r="NM34" t="s">
        <v>1900</v>
      </c>
      <c r="NN34" t="s">
        <v>1900</v>
      </c>
      <c r="NO34" t="s">
        <v>1900</v>
      </c>
      <c r="NP34" t="s">
        <v>1900</v>
      </c>
      <c r="NQ34" t="s">
        <v>1900</v>
      </c>
      <c r="NR34" t="s">
        <v>1900</v>
      </c>
      <c r="NS34" t="s">
        <v>1900</v>
      </c>
      <c r="NT34">
        <v>1596763.03743641</v>
      </c>
      <c r="NU34">
        <v>1320376.62876881</v>
      </c>
      <c r="NV34">
        <v>1127127.37731981</v>
      </c>
      <c r="NW34">
        <v>761282.959663868</v>
      </c>
      <c r="NX34">
        <v>597500.037577385</v>
      </c>
      <c r="NY34" t="s">
        <v>1900</v>
      </c>
      <c r="NZ34" t="s">
        <v>1900</v>
      </c>
      <c r="OA34" t="s">
        <v>1900</v>
      </c>
      <c r="OB34" t="s">
        <v>1900</v>
      </c>
      <c r="OC34" t="s">
        <v>1900</v>
      </c>
      <c r="OD34" t="s">
        <v>1900</v>
      </c>
      <c r="OE34" t="s">
        <v>1900</v>
      </c>
      <c r="OF34" t="s">
        <v>1900</v>
      </c>
      <c r="OG34" t="s">
        <v>1900</v>
      </c>
      <c r="OH34" t="s">
        <v>1900</v>
      </c>
      <c r="OI34" t="s">
        <v>1900</v>
      </c>
      <c r="OJ34" t="s">
        <v>1900</v>
      </c>
      <c r="OK34" t="s">
        <v>1900</v>
      </c>
      <c r="OL34" t="s">
        <v>1900</v>
      </c>
      <c r="OM34" t="s">
        <v>1900</v>
      </c>
      <c r="ON34" t="s">
        <v>1900</v>
      </c>
      <c r="OO34" t="s">
        <v>1900</v>
      </c>
      <c r="OP34" t="s">
        <v>1900</v>
      </c>
      <c r="OQ34" t="s">
        <v>1900</v>
      </c>
      <c r="OR34" t="s">
        <v>1900</v>
      </c>
      <c r="OS34" t="s">
        <v>1900</v>
      </c>
      <c r="OT34" t="s">
        <v>1900</v>
      </c>
      <c r="OU34" t="s">
        <v>1900</v>
      </c>
      <c r="OV34" t="s">
        <v>1900</v>
      </c>
      <c r="OW34" t="s">
        <v>1900</v>
      </c>
      <c r="OX34" t="s">
        <v>1900</v>
      </c>
      <c r="OY34" t="s">
        <v>1900</v>
      </c>
      <c r="OZ34" t="s">
        <v>1900</v>
      </c>
      <c r="PA34" t="s">
        <v>1900</v>
      </c>
      <c r="PB34" t="s">
        <v>1900</v>
      </c>
      <c r="PC34" t="s">
        <v>1900</v>
      </c>
      <c r="PD34" t="s">
        <v>1900</v>
      </c>
      <c r="PE34" t="s">
        <v>1900</v>
      </c>
      <c r="PF34" t="s">
        <v>1900</v>
      </c>
      <c r="PG34" t="s">
        <v>1900</v>
      </c>
      <c r="PH34" t="s">
        <v>1900</v>
      </c>
      <c r="PI34" t="s">
        <v>1900</v>
      </c>
      <c r="PJ34" t="s">
        <v>1900</v>
      </c>
      <c r="PK34" t="s">
        <v>1900</v>
      </c>
      <c r="PL34" t="s">
        <v>1900</v>
      </c>
      <c r="PM34" t="s">
        <v>1900</v>
      </c>
      <c r="PN34" t="s">
        <v>1900</v>
      </c>
      <c r="PO34" t="s">
        <v>1900</v>
      </c>
      <c r="PP34" t="s">
        <v>1900</v>
      </c>
      <c r="PQ34" t="s">
        <v>1900</v>
      </c>
      <c r="PR34" t="s">
        <v>1900</v>
      </c>
      <c r="PS34" t="s">
        <v>1900</v>
      </c>
      <c r="PT34" t="s">
        <v>1900</v>
      </c>
      <c r="PU34" t="s">
        <v>1900</v>
      </c>
      <c r="PV34" t="s">
        <v>1900</v>
      </c>
      <c r="PW34" t="s">
        <v>1900</v>
      </c>
      <c r="PX34" t="s">
        <v>1900</v>
      </c>
      <c r="PY34" t="s">
        <v>1900</v>
      </c>
      <c r="PZ34" t="s">
        <v>1900</v>
      </c>
      <c r="QA34" t="s">
        <v>1900</v>
      </c>
      <c r="QB34" t="s">
        <v>1900</v>
      </c>
      <c r="QC34" t="s">
        <v>1900</v>
      </c>
      <c r="QD34" t="s">
        <v>1900</v>
      </c>
      <c r="QE34" t="s">
        <v>1900</v>
      </c>
      <c r="QF34" t="s">
        <v>1900</v>
      </c>
      <c r="QG34" t="s">
        <v>1900</v>
      </c>
      <c r="QH34" t="s">
        <v>1900</v>
      </c>
      <c r="QI34" t="s">
        <v>1900</v>
      </c>
      <c r="QJ34" t="s">
        <v>1900</v>
      </c>
      <c r="QK34" t="s">
        <v>1900</v>
      </c>
      <c r="QL34" t="s">
        <v>1900</v>
      </c>
      <c r="QM34" t="s">
        <v>1900</v>
      </c>
      <c r="QN34" t="s">
        <v>1900</v>
      </c>
      <c r="QO34" t="s">
        <v>1900</v>
      </c>
      <c r="QP34" t="s">
        <v>1900</v>
      </c>
      <c r="QQ34" t="s">
        <v>1900</v>
      </c>
      <c r="QR34" t="s">
        <v>1900</v>
      </c>
      <c r="QS34" t="s">
        <v>1900</v>
      </c>
      <c r="QT34" t="s">
        <v>1900</v>
      </c>
      <c r="QU34" t="s">
        <v>1900</v>
      </c>
      <c r="QV34" t="s">
        <v>1900</v>
      </c>
      <c r="QW34" t="s">
        <v>1900</v>
      </c>
      <c r="QX34" t="s">
        <v>1900</v>
      </c>
      <c r="QY34" t="s">
        <v>1900</v>
      </c>
      <c r="QZ34" t="s">
        <v>1900</v>
      </c>
      <c r="RA34" t="s">
        <v>1900</v>
      </c>
      <c r="RB34" t="s">
        <v>1900</v>
      </c>
      <c r="RC34" t="s">
        <v>1900</v>
      </c>
      <c r="RD34" t="s">
        <v>1900</v>
      </c>
      <c r="RE34" t="s">
        <v>1900</v>
      </c>
      <c r="RF34" t="s">
        <v>1900</v>
      </c>
      <c r="RG34" t="s">
        <v>1900</v>
      </c>
      <c r="RH34" t="s">
        <v>1900</v>
      </c>
      <c r="RI34" t="s">
        <v>1900</v>
      </c>
      <c r="RJ34" t="s">
        <v>1900</v>
      </c>
      <c r="RK34" t="s">
        <v>1900</v>
      </c>
      <c r="RL34" t="s">
        <v>1900</v>
      </c>
      <c r="RM34" t="s">
        <v>1900</v>
      </c>
      <c r="RN34" t="s">
        <v>1900</v>
      </c>
      <c r="RO34" t="s">
        <v>1900</v>
      </c>
      <c r="RP34" t="s">
        <v>1900</v>
      </c>
      <c r="RQ34" t="s">
        <v>1900</v>
      </c>
      <c r="RR34" t="s">
        <v>1900</v>
      </c>
      <c r="RS34" t="s">
        <v>1900</v>
      </c>
      <c r="RT34" t="s">
        <v>1900</v>
      </c>
      <c r="RU34" t="s">
        <v>1900</v>
      </c>
      <c r="RV34" t="s">
        <v>1900</v>
      </c>
      <c r="RW34" t="s">
        <v>1900</v>
      </c>
      <c r="RX34" t="s">
        <v>1900</v>
      </c>
      <c r="RY34" t="s">
        <v>1900</v>
      </c>
      <c r="RZ34" t="s">
        <v>1900</v>
      </c>
      <c r="SA34" t="s">
        <v>1900</v>
      </c>
      <c r="SB34" t="s">
        <v>1900</v>
      </c>
      <c r="SC34" t="s">
        <v>1900</v>
      </c>
      <c r="SD34" t="s">
        <v>1900</v>
      </c>
      <c r="SE34" t="s">
        <v>1900</v>
      </c>
      <c r="SF34" t="s">
        <v>1900</v>
      </c>
      <c r="SG34" t="s">
        <v>1900</v>
      </c>
      <c r="SH34" t="s">
        <v>1900</v>
      </c>
      <c r="SI34" t="s">
        <v>1900</v>
      </c>
      <c r="SJ34">
        <v>220740.5851238</v>
      </c>
      <c r="SK34">
        <v>146385.370540956</v>
      </c>
      <c r="SL34">
        <v>181923.773763156</v>
      </c>
      <c r="SM34">
        <v>41444.2123847723</v>
      </c>
      <c r="SN34">
        <v>2184.23675298691</v>
      </c>
      <c r="SO34" t="s">
        <v>1900</v>
      </c>
      <c r="SP34" t="s">
        <v>1900</v>
      </c>
      <c r="SQ34" t="s">
        <v>1900</v>
      </c>
      <c r="SR34" t="s">
        <v>1900</v>
      </c>
      <c r="SS34" t="s">
        <v>1900</v>
      </c>
      <c r="ST34" t="s">
        <v>1900</v>
      </c>
      <c r="SU34" t="s">
        <v>1900</v>
      </c>
      <c r="SV34" t="s">
        <v>1900</v>
      </c>
      <c r="SW34" t="s">
        <v>1900</v>
      </c>
      <c r="SX34" t="s">
        <v>1900</v>
      </c>
      <c r="SY34" t="s">
        <v>1900</v>
      </c>
      <c r="SZ34" t="s">
        <v>1900</v>
      </c>
      <c r="TA34" t="s">
        <v>1900</v>
      </c>
      <c r="TB34" t="s">
        <v>1900</v>
      </c>
      <c r="TC34" t="s">
        <v>1900</v>
      </c>
      <c r="TD34" t="s">
        <v>1900</v>
      </c>
      <c r="TE34" t="s">
        <v>1900</v>
      </c>
      <c r="TF34" t="s">
        <v>1900</v>
      </c>
      <c r="TG34" t="s">
        <v>1900</v>
      </c>
      <c r="TH34" t="s">
        <v>1900</v>
      </c>
      <c r="TI34" t="s">
        <v>1900</v>
      </c>
      <c r="TJ34" t="s">
        <v>1900</v>
      </c>
      <c r="TK34" t="s">
        <v>1900</v>
      </c>
      <c r="TL34" t="s">
        <v>1900</v>
      </c>
      <c r="TM34" t="s">
        <v>1900</v>
      </c>
      <c r="TN34" t="s">
        <v>1900</v>
      </c>
      <c r="TO34" t="s">
        <v>1900</v>
      </c>
      <c r="TP34" t="s">
        <v>1900</v>
      </c>
      <c r="TQ34" t="s">
        <v>1900</v>
      </c>
      <c r="TR34" t="s">
        <v>1900</v>
      </c>
      <c r="TS34">
        <v>1840503.47665938</v>
      </c>
      <c r="TT34">
        <v>1950193.19787274</v>
      </c>
      <c r="TU34">
        <v>1482033.63200204</v>
      </c>
      <c r="TV34">
        <v>967982.685666203</v>
      </c>
      <c r="TW34">
        <v>734459.375902271</v>
      </c>
      <c r="TX34" t="s">
        <v>1900</v>
      </c>
      <c r="TY34" t="s">
        <v>1900</v>
      </c>
      <c r="TZ34" t="s">
        <v>1900</v>
      </c>
      <c r="UA34" t="s">
        <v>1900</v>
      </c>
      <c r="UB34" t="s">
        <v>1900</v>
      </c>
      <c r="UC34">
        <v>0</v>
      </c>
      <c r="UD34">
        <v>105965.856856174</v>
      </c>
      <c r="UE34">
        <v>13481.7322036266</v>
      </c>
      <c r="UF34">
        <v>13782.352643466</v>
      </c>
      <c r="UG34">
        <v>6610.18759014607</v>
      </c>
      <c r="UH34" t="s">
        <v>1900</v>
      </c>
      <c r="UI34" t="s">
        <v>1900</v>
      </c>
      <c r="UJ34" t="s">
        <v>1900</v>
      </c>
      <c r="UK34" t="s">
        <v>1900</v>
      </c>
      <c r="UL34" t="s">
        <v>1900</v>
      </c>
      <c r="UM34" t="s">
        <v>1900</v>
      </c>
      <c r="UN34" t="s">
        <v>1900</v>
      </c>
      <c r="UO34" t="s">
        <v>1900</v>
      </c>
      <c r="UP34" t="s">
        <v>1900</v>
      </c>
      <c r="UQ34" t="s">
        <v>1900</v>
      </c>
      <c r="UR34" t="s">
        <v>1900</v>
      </c>
      <c r="US34" t="s">
        <v>1900</v>
      </c>
      <c r="UT34" t="s">
        <v>1900</v>
      </c>
      <c r="UU34" t="s">
        <v>1900</v>
      </c>
      <c r="UV34" t="s">
        <v>1900</v>
      </c>
      <c r="UW34" t="s">
        <v>1900</v>
      </c>
      <c r="UX34" t="s">
        <v>1900</v>
      </c>
      <c r="UY34" t="s">
        <v>1900</v>
      </c>
      <c r="UZ34" t="s">
        <v>1900</v>
      </c>
      <c r="VA34" t="s">
        <v>1900</v>
      </c>
      <c r="VB34" t="s">
        <v>1900</v>
      </c>
      <c r="VC34" t="s">
        <v>1900</v>
      </c>
      <c r="VD34" t="s">
        <v>1900</v>
      </c>
      <c r="VE34" t="s">
        <v>1900</v>
      </c>
      <c r="VF34" t="s">
        <v>1900</v>
      </c>
      <c r="VG34" t="s">
        <v>1900</v>
      </c>
      <c r="VH34" t="s">
        <v>1900</v>
      </c>
      <c r="VI34" t="s">
        <v>1900</v>
      </c>
      <c r="VJ34" t="s">
        <v>1900</v>
      </c>
      <c r="VK34" t="s">
        <v>1900</v>
      </c>
      <c r="VL34" t="s">
        <v>1900</v>
      </c>
      <c r="VM34" t="s">
        <v>1900</v>
      </c>
      <c r="VN34" t="s">
        <v>1900</v>
      </c>
      <c r="VO34" t="s">
        <v>1900</v>
      </c>
      <c r="VP34" t="s">
        <v>1900</v>
      </c>
      <c r="VQ34" t="s">
        <v>1900</v>
      </c>
      <c r="VR34" t="s">
        <v>1900</v>
      </c>
      <c r="VS34" t="s">
        <v>1900</v>
      </c>
      <c r="VT34" t="s">
        <v>1900</v>
      </c>
      <c r="VU34" t="s">
        <v>1900</v>
      </c>
      <c r="VV34" t="s">
        <v>1900</v>
      </c>
      <c r="VW34" t="s">
        <v>1900</v>
      </c>
      <c r="VX34" t="s">
        <v>1900</v>
      </c>
      <c r="VY34" t="s">
        <v>1900</v>
      </c>
      <c r="VZ34" t="s">
        <v>1900</v>
      </c>
      <c r="WA34">
        <v>180711.10013918</v>
      </c>
      <c r="WB34">
        <v>47109.5855922031</v>
      </c>
      <c r="WC34">
        <v>105259.993266918</v>
      </c>
      <c r="WD34">
        <v>47797.9415456057</v>
      </c>
      <c r="WE34">
        <v>86617.9822375119</v>
      </c>
      <c r="WF34" t="s">
        <v>1900</v>
      </c>
      <c r="WG34" t="s">
        <v>1900</v>
      </c>
      <c r="WH34" t="s">
        <v>1900</v>
      </c>
      <c r="WI34" t="s">
        <v>1900</v>
      </c>
      <c r="WJ34" t="s">
        <v>1900</v>
      </c>
      <c r="WK34" t="s">
        <v>1900</v>
      </c>
      <c r="WL34" t="s">
        <v>1900</v>
      </c>
      <c r="WM34" t="s">
        <v>1900</v>
      </c>
      <c r="WN34" t="s">
        <v>1900</v>
      </c>
      <c r="WO34" t="s">
        <v>1900</v>
      </c>
      <c r="WP34" t="s">
        <v>1900</v>
      </c>
      <c r="WQ34" t="s">
        <v>1900</v>
      </c>
      <c r="WR34" t="s">
        <v>1900</v>
      </c>
      <c r="WS34" t="s">
        <v>1900</v>
      </c>
      <c r="WT34" t="s">
        <v>1900</v>
      </c>
      <c r="WU34" t="s">
        <v>1900</v>
      </c>
      <c r="WV34" t="s">
        <v>1900</v>
      </c>
      <c r="WW34" t="s">
        <v>1900</v>
      </c>
      <c r="WX34" t="s">
        <v>1900</v>
      </c>
      <c r="WY34" t="s">
        <v>1900</v>
      </c>
      <c r="WZ34" t="s">
        <v>1900</v>
      </c>
      <c r="XA34" t="s">
        <v>1900</v>
      </c>
      <c r="XB34" t="s">
        <v>1900</v>
      </c>
      <c r="XC34" t="s">
        <v>1900</v>
      </c>
      <c r="XD34" t="s">
        <v>1900</v>
      </c>
      <c r="XE34" t="s">
        <v>1900</v>
      </c>
      <c r="XF34" t="s">
        <v>1900</v>
      </c>
      <c r="XG34" t="s">
        <v>1900</v>
      </c>
      <c r="XH34" t="s">
        <v>1900</v>
      </c>
      <c r="XI34" t="s">
        <v>1900</v>
      </c>
      <c r="XJ34">
        <v>0</v>
      </c>
      <c r="XK34">
        <v>0</v>
      </c>
      <c r="XL34">
        <v>0</v>
      </c>
      <c r="XM34">
        <v>0</v>
      </c>
      <c r="XN34">
        <v>0</v>
      </c>
      <c r="XO34" t="s">
        <v>1900</v>
      </c>
      <c r="XP34" t="s">
        <v>1900</v>
      </c>
      <c r="XQ34" t="s">
        <v>1900</v>
      </c>
      <c r="XR34" t="s">
        <v>1900</v>
      </c>
      <c r="XS34" t="s">
        <v>1900</v>
      </c>
      <c r="XT34" t="s">
        <v>1900</v>
      </c>
      <c r="XU34" t="s">
        <v>1900</v>
      </c>
      <c r="XV34" t="s">
        <v>1900</v>
      </c>
      <c r="XW34" t="s">
        <v>1900</v>
      </c>
      <c r="XX34" t="s">
        <v>1900</v>
      </c>
      <c r="XY34">
        <v>0</v>
      </c>
      <c r="XZ34">
        <v>0</v>
      </c>
      <c r="YA34">
        <v>0</v>
      </c>
      <c r="YB34">
        <v>0</v>
      </c>
      <c r="YC34">
        <v>0</v>
      </c>
      <c r="YD34" t="s">
        <v>1900</v>
      </c>
      <c r="YE34" t="s">
        <v>1900</v>
      </c>
      <c r="YF34" t="s">
        <v>1900</v>
      </c>
      <c r="YG34" t="s">
        <v>1900</v>
      </c>
      <c r="YH34" t="s">
        <v>1900</v>
      </c>
      <c r="YI34" t="s">
        <v>1900</v>
      </c>
      <c r="YJ34" t="s">
        <v>1900</v>
      </c>
      <c r="YK34" t="s">
        <v>1900</v>
      </c>
      <c r="YL34" t="s">
        <v>1900</v>
      </c>
      <c r="YM34" t="s">
        <v>1900</v>
      </c>
      <c r="YN34" t="s">
        <v>1900</v>
      </c>
      <c r="YO34" t="s">
        <v>1900</v>
      </c>
      <c r="YP34" t="s">
        <v>1900</v>
      </c>
      <c r="YQ34" t="s">
        <v>1900</v>
      </c>
      <c r="YR34" t="s">
        <v>1900</v>
      </c>
      <c r="YS34" t="s">
        <v>1900</v>
      </c>
      <c r="YT34" t="s">
        <v>1900</v>
      </c>
      <c r="YU34" t="s">
        <v>1900</v>
      </c>
      <c r="YV34" t="s">
        <v>1900</v>
      </c>
      <c r="YW34" t="s">
        <v>1900</v>
      </c>
      <c r="YX34" t="s">
        <v>1900</v>
      </c>
      <c r="YY34" t="s">
        <v>1900</v>
      </c>
      <c r="YZ34" t="s">
        <v>1900</v>
      </c>
      <c r="ZA34" t="s">
        <v>1900</v>
      </c>
      <c r="ZB34" t="s">
        <v>1900</v>
      </c>
      <c r="ZC34" t="s">
        <v>1900</v>
      </c>
      <c r="ZD34" t="s">
        <v>1900</v>
      </c>
      <c r="ZE34" t="s">
        <v>1900</v>
      </c>
      <c r="ZF34" t="s">
        <v>1900</v>
      </c>
      <c r="ZG34" t="s">
        <v>1900</v>
      </c>
      <c r="ZH34" t="s">
        <v>1900</v>
      </c>
      <c r="ZI34" t="s">
        <v>1900</v>
      </c>
      <c r="ZJ34" t="s">
        <v>1900</v>
      </c>
      <c r="ZK34" t="s">
        <v>1900</v>
      </c>
      <c r="ZL34" t="s">
        <v>1900</v>
      </c>
      <c r="ZM34" t="s">
        <v>1900</v>
      </c>
      <c r="ZN34" t="s">
        <v>1900</v>
      </c>
      <c r="ZO34" t="s">
        <v>1900</v>
      </c>
      <c r="ZP34" t="s">
        <v>1900</v>
      </c>
      <c r="ZQ34" t="s">
        <v>1900</v>
      </c>
      <c r="ZR34" t="s">
        <v>1900</v>
      </c>
      <c r="ZS34" t="s">
        <v>1900</v>
      </c>
      <c r="ZT34" t="s">
        <v>1900</v>
      </c>
      <c r="ZU34" t="s">
        <v>1900</v>
      </c>
      <c r="ZV34" t="s">
        <v>1900</v>
      </c>
      <c r="ZW34" t="s">
        <v>1900</v>
      </c>
      <c r="ZX34" t="s">
        <v>1900</v>
      </c>
      <c r="ZY34" t="s">
        <v>1900</v>
      </c>
      <c r="ZZ34" t="s">
        <v>1900</v>
      </c>
      <c r="AAA34" t="s">
        <v>1900</v>
      </c>
      <c r="AAB34" t="s">
        <v>1900</v>
      </c>
      <c r="AAC34" t="s">
        <v>1900</v>
      </c>
      <c r="AAD34" t="s">
        <v>1900</v>
      </c>
      <c r="AAE34" t="s">
        <v>1900</v>
      </c>
      <c r="AAF34" t="s">
        <v>1900</v>
      </c>
      <c r="AAG34" t="s">
        <v>1900</v>
      </c>
      <c r="AAH34" t="s">
        <v>1900</v>
      </c>
      <c r="AAI34" t="s">
        <v>1900</v>
      </c>
      <c r="AAJ34" t="s">
        <v>1900</v>
      </c>
      <c r="AAK34" t="s">
        <v>1900</v>
      </c>
      <c r="AAL34" t="s">
        <v>1900</v>
      </c>
      <c r="AAM34" t="s">
        <v>1900</v>
      </c>
      <c r="AAN34" t="s">
        <v>1900</v>
      </c>
      <c r="AAO34" t="s">
        <v>1900</v>
      </c>
      <c r="AAP34" t="s">
        <v>1900</v>
      </c>
      <c r="AAQ34" t="s">
        <v>1900</v>
      </c>
      <c r="AAR34" t="s">
        <v>1900</v>
      </c>
      <c r="AAS34" t="s">
        <v>1900</v>
      </c>
      <c r="AAT34" t="s">
        <v>1900</v>
      </c>
      <c r="AAU34" t="s">
        <v>1900</v>
      </c>
      <c r="AAV34" t="s">
        <v>1900</v>
      </c>
      <c r="AAW34" t="s">
        <v>1900</v>
      </c>
      <c r="AAX34" t="s">
        <v>1900</v>
      </c>
      <c r="AAY34" t="s">
        <v>1900</v>
      </c>
      <c r="AAZ34" t="s">
        <v>1900</v>
      </c>
      <c r="ABA34" t="s">
        <v>1900</v>
      </c>
      <c r="ABB34" t="s">
        <v>1900</v>
      </c>
      <c r="ABC34" t="s">
        <v>1900</v>
      </c>
      <c r="ABD34" t="s">
        <v>1900</v>
      </c>
      <c r="ABE34" t="s">
        <v>1900</v>
      </c>
      <c r="ABF34" t="s">
        <v>1900</v>
      </c>
      <c r="ABG34" t="s">
        <v>1900</v>
      </c>
      <c r="ABH34" t="s">
        <v>1900</v>
      </c>
      <c r="ABI34" t="s">
        <v>1900</v>
      </c>
      <c r="ABJ34" t="s">
        <v>1900</v>
      </c>
      <c r="ABK34" t="s">
        <v>1900</v>
      </c>
      <c r="ABL34" t="s">
        <v>1900</v>
      </c>
      <c r="ABM34" t="s">
        <v>1900</v>
      </c>
      <c r="ABN34" t="s">
        <v>1900</v>
      </c>
      <c r="ABO34" t="s">
        <v>1900</v>
      </c>
      <c r="ABP34" t="s">
        <v>1900</v>
      </c>
      <c r="ABQ34" t="s">
        <v>1900</v>
      </c>
      <c r="ABR34" t="s">
        <v>1900</v>
      </c>
      <c r="ABS34" t="s">
        <v>1900</v>
      </c>
      <c r="ABT34" t="s">
        <v>1900</v>
      </c>
      <c r="ABU34" t="s">
        <v>1900</v>
      </c>
      <c r="ABV34" t="s">
        <v>1900</v>
      </c>
      <c r="ABW34" t="s">
        <v>1900</v>
      </c>
      <c r="ABX34" t="s">
        <v>1900</v>
      </c>
      <c r="ABY34" t="s">
        <v>1900</v>
      </c>
      <c r="ABZ34" t="s">
        <v>1900</v>
      </c>
      <c r="ACA34" t="s">
        <v>1900</v>
      </c>
      <c r="ACB34" t="s">
        <v>1900</v>
      </c>
      <c r="ACC34" t="s">
        <v>1900</v>
      </c>
      <c r="ACD34" t="s">
        <v>1900</v>
      </c>
      <c r="ACE34">
        <v>-10.722</v>
      </c>
      <c r="ACF34">
        <v>-7.791</v>
      </c>
      <c r="ACG34">
        <v>-24.585</v>
      </c>
      <c r="ACH34">
        <v>-151.337</v>
      </c>
      <c r="ACI34">
        <v>-10.305</v>
      </c>
      <c r="ACJ34">
        <v>-7.352</v>
      </c>
      <c r="ACK34">
        <v>-2.636</v>
      </c>
      <c r="ACL34">
        <v>-11.441</v>
      </c>
      <c r="ACM34">
        <v>-16.789</v>
      </c>
      <c r="ACN34">
        <v>-4.694</v>
      </c>
      <c r="ACO34">
        <v>-7.911</v>
      </c>
      <c r="ACP34">
        <v>-2.991</v>
      </c>
      <c r="ACQ34">
        <v>-11.1</v>
      </c>
      <c r="ACR34">
        <v>-16.709</v>
      </c>
      <c r="ACS34">
        <v>-5.259</v>
      </c>
      <c r="ACT34">
        <v>-8.555</v>
      </c>
      <c r="ACU34">
        <v>-5.195</v>
      </c>
      <c r="ACV34">
        <v>-20.543</v>
      </c>
      <c r="ACW34">
        <v>-113.833</v>
      </c>
      <c r="ACX34">
        <v>-10.305</v>
      </c>
      <c r="ACY34">
        <v>-5.579</v>
      </c>
      <c r="ACZ34">
        <v>-1.554</v>
      </c>
      <c r="ADA34">
        <v>-9.454000000000001</v>
      </c>
      <c r="ADB34">
        <v>-12.366</v>
      </c>
      <c r="ADC34">
        <v>-4.694</v>
      </c>
      <c r="ADD34">
        <v>-6.313</v>
      </c>
      <c r="ADE34">
        <v>-1.995</v>
      </c>
      <c r="ADF34">
        <v>-9.275</v>
      </c>
      <c r="ADG34">
        <v>-12.568</v>
      </c>
      <c r="ADH34">
        <v>-5.259</v>
      </c>
      <c r="ADI34">
        <v>-24.117</v>
      </c>
      <c r="ADJ34">
        <v>-15.019</v>
      </c>
      <c r="ADK34" t="s">
        <v>1901</v>
      </c>
      <c r="ADL34" t="s">
        <v>1901</v>
      </c>
      <c r="ADM34">
        <v>-38.249</v>
      </c>
      <c r="ADN34" t="s">
        <v>1901</v>
      </c>
      <c r="ADO34">
        <v>98.349</v>
      </c>
      <c r="ADP34">
        <v>88.562</v>
      </c>
      <c r="ADQ34">
        <v>96.28</v>
      </c>
      <c r="ADR34">
        <v>78.197</v>
      </c>
      <c r="ADS34">
        <v>-20.208585835</v>
      </c>
      <c r="ADT34">
        <v>-12.202046127</v>
      </c>
      <c r="ADU34">
        <v>-108.209180741</v>
      </c>
      <c r="ADV34">
        <v>-160.685128441</v>
      </c>
      <c r="ADW34">
        <v>-28.97130797</v>
      </c>
      <c r="ADX34">
        <v>-11.726</v>
      </c>
      <c r="ADY34">
        <v>2.466</v>
      </c>
      <c r="ADZ34">
        <v>-77.94499999999999</v>
      </c>
      <c r="AEA34" t="s">
        <v>1901</v>
      </c>
      <c r="AEB34">
        <v>-3.72</v>
      </c>
      <c r="AEC34">
        <v>-20.209</v>
      </c>
      <c r="AED34">
        <v>-12.202</v>
      </c>
      <c r="AEE34" t="s">
        <v>1901</v>
      </c>
      <c r="AEF34" t="s">
        <v>1901</v>
      </c>
      <c r="AEG34">
        <v>-28.971</v>
      </c>
      <c r="AEH34">
        <v>-10.761</v>
      </c>
      <c r="AEI34">
        <v>4.652</v>
      </c>
      <c r="AEJ34">
        <v>-65.26300000000001</v>
      </c>
      <c r="AEK34">
        <v>-93.125</v>
      </c>
      <c r="AEL34">
        <v>-12.998</v>
      </c>
      <c r="AEM34">
        <v>-16.811266595</v>
      </c>
      <c r="AEN34">
        <v>-10.875065605</v>
      </c>
      <c r="AEO34">
        <v>-51.971378186</v>
      </c>
      <c r="AEP34">
        <v>-61.639545532</v>
      </c>
      <c r="AEQ34">
        <v>-22.463374549</v>
      </c>
      <c r="AER34">
        <v>0.83198279</v>
      </c>
      <c r="AES34">
        <v>0.889625635</v>
      </c>
      <c r="AET34">
        <v>0.450076646</v>
      </c>
      <c r="AEU34">
        <v>0.374682366</v>
      </c>
      <c r="AEV34">
        <v>0.729664875</v>
      </c>
      <c r="AEW34" t="s">
        <v>1900</v>
      </c>
      <c r="AEX34" t="s">
        <v>1900</v>
      </c>
      <c r="AEY34" t="s">
        <v>1900</v>
      </c>
      <c r="AEZ34" t="s">
        <v>1900</v>
      </c>
      <c r="AFA34" t="s">
        <v>1900</v>
      </c>
      <c r="AFB34" t="s">
        <v>1900</v>
      </c>
      <c r="AFC34" t="s">
        <v>1900</v>
      </c>
      <c r="AFD34" t="s">
        <v>1900</v>
      </c>
      <c r="AFE34" t="s">
        <v>1900</v>
      </c>
      <c r="AFF34" t="s">
        <v>1900</v>
      </c>
      <c r="AFG34">
        <v>0.364</v>
      </c>
      <c r="AFH34">
        <v>0.216</v>
      </c>
      <c r="AFI34">
        <v>0.106</v>
      </c>
      <c r="AFJ34">
        <v>0.104</v>
      </c>
      <c r="AFK34">
        <v>0.162</v>
      </c>
      <c r="AFL34">
        <v>-5.17</v>
      </c>
      <c r="AFM34">
        <v>-4.32</v>
      </c>
      <c r="AFN34">
        <v>-17.702</v>
      </c>
      <c r="AFO34">
        <v>-15.859</v>
      </c>
      <c r="AFP34">
        <v>-3.123</v>
      </c>
      <c r="AFQ34" t="s">
        <v>1901</v>
      </c>
      <c r="AFR34" t="s">
        <v>1901</v>
      </c>
      <c r="AFS34" t="s">
        <v>1901</v>
      </c>
      <c r="AFT34" t="s">
        <v>1901</v>
      </c>
      <c r="AFU34" t="s">
        <v>1901</v>
      </c>
      <c r="AFV34">
        <v>118.612</v>
      </c>
      <c r="AFW34">
        <v>368.434</v>
      </c>
      <c r="AFX34">
        <v>774.2809999999999</v>
      </c>
      <c r="AFY34">
        <v>143.953</v>
      </c>
      <c r="AFZ34">
        <v>104.587</v>
      </c>
      <c r="AGA34">
        <v>0.173</v>
      </c>
      <c r="AGB34">
        <v>0.286</v>
      </c>
      <c r="AGC34">
        <v>5.842</v>
      </c>
      <c r="AGD34">
        <v>0.64</v>
      </c>
      <c r="AGE34">
        <v>63.513</v>
      </c>
      <c r="AGF34" t="s">
        <v>1900</v>
      </c>
      <c r="AGG34" t="s">
        <v>1900</v>
      </c>
      <c r="AGH34" t="s">
        <v>1900</v>
      </c>
      <c r="AGI34" t="s">
        <v>1900</v>
      </c>
      <c r="AGJ34" t="s">
        <v>1900</v>
      </c>
      <c r="AGK34" t="s">
        <v>1900</v>
      </c>
      <c r="AGL34" t="s">
        <v>1900</v>
      </c>
      <c r="AGM34" t="s">
        <v>1900</v>
      </c>
      <c r="AGN34" t="s">
        <v>1900</v>
      </c>
      <c r="AGO34" t="s">
        <v>1900</v>
      </c>
      <c r="AGP34" t="s">
        <v>1900</v>
      </c>
      <c r="AGQ34" t="s">
        <v>1900</v>
      </c>
      <c r="AGR34" t="s">
        <v>1900</v>
      </c>
      <c r="AGS34" t="s">
        <v>1900</v>
      </c>
      <c r="AGT34" t="s">
        <v>1900</v>
      </c>
      <c r="AGU34">
        <v>0</v>
      </c>
      <c r="AGV34">
        <v>0</v>
      </c>
      <c r="AGW34">
        <v>0</v>
      </c>
      <c r="AGX34">
        <v>0</v>
      </c>
      <c r="AGY34">
        <v>0</v>
      </c>
      <c r="AGZ34">
        <v>1.347</v>
      </c>
      <c r="AHA34">
        <v>4.106</v>
      </c>
      <c r="AHB34">
        <v>2.931</v>
      </c>
      <c r="AHC34">
        <v>3.347</v>
      </c>
      <c r="AHD34">
        <v>1.233</v>
      </c>
      <c r="AHE34">
        <v>1.347</v>
      </c>
      <c r="AHF34">
        <v>4.106</v>
      </c>
      <c r="AHG34">
        <v>2.931</v>
      </c>
      <c r="AHH34">
        <v>3.347</v>
      </c>
      <c r="AHI34">
        <v>1.233</v>
      </c>
      <c r="AHJ34">
        <v>4.504</v>
      </c>
      <c r="AHK34">
        <v>0.714</v>
      </c>
      <c r="AHL34">
        <v>0.967</v>
      </c>
      <c r="AHM34">
        <v>0.134</v>
      </c>
      <c r="AHN34">
        <v>1.508</v>
      </c>
      <c r="AHO34">
        <v>73.785</v>
      </c>
      <c r="AHP34">
        <v>38.39</v>
      </c>
      <c r="AHQ34">
        <v>45.15</v>
      </c>
      <c r="AHR34">
        <v>11.041</v>
      </c>
      <c r="AHS34">
        <v>51.04</v>
      </c>
      <c r="AHT34" t="s">
        <v>1901</v>
      </c>
      <c r="AHU34">
        <v>62.311</v>
      </c>
      <c r="AHV34">
        <v>82.316</v>
      </c>
      <c r="AHW34">
        <v>12.411</v>
      </c>
      <c r="AHX34" t="s">
        <v>1901</v>
      </c>
      <c r="AHY34">
        <v>22.2</v>
      </c>
      <c r="AHZ34">
        <v>154.151</v>
      </c>
      <c r="AIA34">
        <v>105.404</v>
      </c>
      <c r="AIB34">
        <v>760.8440000000001</v>
      </c>
      <c r="AIC34">
        <v>68.065</v>
      </c>
      <c r="AID34">
        <v>11.993489169</v>
      </c>
      <c r="AIE34">
        <v>7.506198396</v>
      </c>
      <c r="AIF34">
        <v>12.275279713</v>
      </c>
      <c r="AIG34">
        <v>4.281503481</v>
      </c>
      <c r="AIH34">
        <v>0.297393814</v>
      </c>
      <c r="AII34">
        <v>2.435236886</v>
      </c>
      <c r="AIJ34">
        <v>11.914329492</v>
      </c>
      <c r="AIK34">
        <v>3.064079354</v>
      </c>
      <c r="AIL34">
        <v>17.441741268</v>
      </c>
      <c r="AIM34">
        <v>14.652822127</v>
      </c>
      <c r="AIN34">
        <v>9.818568801</v>
      </c>
      <c r="AIO34">
        <v>2.415636853</v>
      </c>
      <c r="AIP34">
        <v>7.102402469</v>
      </c>
      <c r="AIQ34">
        <v>4.937892201</v>
      </c>
      <c r="AIR34">
        <v>11.793434066</v>
      </c>
      <c r="AIS34">
        <v>0</v>
      </c>
      <c r="AIT34">
        <v>0</v>
      </c>
      <c r="AIU34">
        <v>0</v>
      </c>
      <c r="AIV34">
        <v>0</v>
      </c>
      <c r="AIW34">
        <v>0</v>
      </c>
      <c r="AIX34">
        <v>-7.66340090747595</v>
      </c>
      <c r="AIY34">
        <v>-3.88861166516113</v>
      </c>
      <c r="AIZ34">
        <v>-10.9672047112668</v>
      </c>
      <c r="AJA34">
        <v>-13.4783151517296</v>
      </c>
      <c r="AJB34">
        <v>-3.86284723964334</v>
      </c>
      <c r="AJC34">
        <v>31.7758021359944</v>
      </c>
      <c r="AJD34">
        <v>25.8910544595871</v>
      </c>
      <c r="AJE34">
        <v>9.59327631306112</v>
      </c>
      <c r="AJF34">
        <v>7.89144927227497</v>
      </c>
      <c r="AJG34">
        <v>10.0992235702038</v>
      </c>
      <c r="AJH34" t="s">
        <v>1901</v>
      </c>
      <c r="AJI34" t="s">
        <v>1901</v>
      </c>
      <c r="AJJ34" t="s">
        <v>1901</v>
      </c>
      <c r="AJK34" t="s">
        <v>1901</v>
      </c>
      <c r="AJL34" t="s">
        <v>1901</v>
      </c>
      <c r="AJM34">
        <v>39.3184174661466</v>
      </c>
      <c r="AJN34">
        <v>35.0680316431017</v>
      </c>
      <c r="AJO34">
        <v>28.2691592363966</v>
      </c>
      <c r="AJP34">
        <v>26.5620629365468</v>
      </c>
      <c r="AJQ34">
        <v>24.902775270437</v>
      </c>
      <c r="AJR34">
        <v>71.4747716206717</v>
      </c>
      <c r="AJS34">
        <v>49.9118480648241</v>
      </c>
      <c r="AJT34">
        <v>44.6093514035684</v>
      </c>
      <c r="AJU34">
        <v>8.90614588773251</v>
      </c>
      <c r="AJV34">
        <v>37.4869289143574</v>
      </c>
      <c r="AJW34">
        <v>10.4541853163038</v>
      </c>
      <c r="AJX34">
        <v>26.4770218575621</v>
      </c>
      <c r="AJY34">
        <v>20.4773587930089</v>
      </c>
      <c r="AJZ34">
        <v>3.14152065522194</v>
      </c>
      <c r="AKA34">
        <v>1.15228305514455</v>
      </c>
      <c r="AKB34">
        <v>96.86860452681439</v>
      </c>
      <c r="AKC34">
        <v>130.012879858183</v>
      </c>
      <c r="AKD34">
        <v>98.8022421334696</v>
      </c>
      <c r="AKE34">
        <v>80.6652243718171</v>
      </c>
      <c r="AKF34">
        <v>73.4459375902271</v>
      </c>
      <c r="AKG34">
        <v>0</v>
      </c>
      <c r="AKH34">
        <v>0</v>
      </c>
      <c r="AKI34">
        <v>0</v>
      </c>
      <c r="AKJ34">
        <v>0</v>
      </c>
      <c r="AKK34">
        <v>0</v>
      </c>
      <c r="AKL34">
        <v>0</v>
      </c>
      <c r="AKM34">
        <v>0</v>
      </c>
      <c r="AKN34">
        <v>0</v>
      </c>
      <c r="AKO34">
        <v>0</v>
      </c>
      <c r="AKP34">
        <v>0</v>
      </c>
      <c r="AKQ34">
        <v>0</v>
      </c>
      <c r="AKR34">
        <v>0</v>
      </c>
      <c r="AKS34">
        <v>0</v>
      </c>
      <c r="AKT34">
        <v>0</v>
      </c>
      <c r="AKU34">
        <v>0</v>
      </c>
      <c r="AKV34">
        <v>227.356171906</v>
      </c>
      <c r="AKW34">
        <v>301.263629776</v>
      </c>
      <c r="AKX34">
        <v>654.092916263</v>
      </c>
      <c r="AKY34">
        <v>754.879201919</v>
      </c>
      <c r="AKZ34">
        <v>586.5729220330001</v>
      </c>
      <c r="ALA34">
        <v>74.579630881</v>
      </c>
      <c r="ALB34">
        <v>59.994310208</v>
      </c>
      <c r="ALC34">
        <v>63.509634773</v>
      </c>
      <c r="ALD34">
        <v>73.84955557799999</v>
      </c>
      <c r="ALE34">
        <v>80.657028478</v>
      </c>
      <c r="ALF34">
        <v>0.560133785</v>
      </c>
      <c r="ALG34">
        <v>1.026429249</v>
      </c>
      <c r="ALH34">
        <v>2.758499028</v>
      </c>
      <c r="ALI34">
        <v>5.267131201</v>
      </c>
      <c r="ALJ34">
        <v>2.89397776</v>
      </c>
      <c r="ALK34">
        <v>0.183740651</v>
      </c>
      <c r="ALL34">
        <v>0.204405407</v>
      </c>
      <c r="ALM34">
        <v>0.2678385</v>
      </c>
      <c r="ALN34">
        <v>0.515281514</v>
      </c>
      <c r="ALO34">
        <v>0.397937985</v>
      </c>
      <c r="ALP34">
        <v>32.947914732</v>
      </c>
      <c r="ALQ34">
        <v>102.342716194</v>
      </c>
      <c r="ALR34">
        <v>215.078107194</v>
      </c>
      <c r="ALS34">
        <v>39.987047097</v>
      </c>
      <c r="ALT34">
        <v>29.052047591</v>
      </c>
      <c r="ALU34">
        <v>0.145932824</v>
      </c>
      <c r="ALV34">
        <v>0.077693411</v>
      </c>
      <c r="ALW34">
        <v>0.75451191</v>
      </c>
      <c r="ALX34">
        <v>0.444824503</v>
      </c>
      <c r="ALY34">
        <v>60.726967039</v>
      </c>
      <c r="ALZ34" t="s">
        <v>1901</v>
      </c>
      <c r="AMA34">
        <v>98.34940391300211</v>
      </c>
      <c r="AMB34">
        <v>88.5622057615243</v>
      </c>
      <c r="AMC34">
        <v>96.2804835750491</v>
      </c>
      <c r="AMD34">
        <v>78.196815128746</v>
      </c>
      <c r="AME34" t="s">
        <v>1901</v>
      </c>
      <c r="AMF34" t="s">
        <v>1901</v>
      </c>
      <c r="AMG34" t="s">
        <v>1901</v>
      </c>
      <c r="AMH34" t="s">
        <v>1901</v>
      </c>
      <c r="AMI34" t="s">
        <v>1901</v>
      </c>
      <c r="AMJ34" t="s">
        <v>1901</v>
      </c>
      <c r="AMK34">
        <v>5958.41736738134</v>
      </c>
      <c r="AML34">
        <v>774.294447994256</v>
      </c>
      <c r="AMM34">
        <v>2588.52153277748</v>
      </c>
      <c r="AMN34">
        <v>358.648590059166</v>
      </c>
      <c r="AMO34">
        <v>0.831982789540557</v>
      </c>
      <c r="AMP34">
        <v>0.889625634740678</v>
      </c>
      <c r="AMQ34">
        <v>0.45007664648689</v>
      </c>
      <c r="AMR34">
        <v>0.374682364584403</v>
      </c>
      <c r="AMS34">
        <v>0.729664874851872</v>
      </c>
      <c r="AMT34">
        <v>0.831982789540557</v>
      </c>
      <c r="AMU34">
        <v>0.889625634740679</v>
      </c>
      <c r="AMV34">
        <v>0.45007664648689</v>
      </c>
      <c r="AMW34">
        <v>0.374682369238802</v>
      </c>
      <c r="AMX34">
        <v>0.729664874851873</v>
      </c>
      <c r="AMY34">
        <v>0.831982789540557</v>
      </c>
      <c r="AMZ34">
        <v>0.889625634740678</v>
      </c>
      <c r="ANA34">
        <v>0.45007664648689</v>
      </c>
      <c r="ANB34">
        <v>0.374682366328324</v>
      </c>
      <c r="ANC34">
        <v>0.729664874851873</v>
      </c>
      <c r="AND34">
        <v>-20.2085858351729</v>
      </c>
      <c r="ANE34">
        <v>-12.202046126621</v>
      </c>
      <c r="ANF34" t="s">
        <v>1901</v>
      </c>
      <c r="ANG34" t="s">
        <v>1901</v>
      </c>
      <c r="ANH34">
        <v>-28.9713079697114</v>
      </c>
      <c r="ANI34">
        <v>-36.567869402566</v>
      </c>
      <c r="ANJ34">
        <v>-17.5854831336607</v>
      </c>
      <c r="ANK34" t="s">
        <v>1901</v>
      </c>
      <c r="ANL34" t="s">
        <v>1901</v>
      </c>
      <c r="ANM34" t="s">
        <v>1901</v>
      </c>
      <c r="ANN34">
        <v>-16.811266595285</v>
      </c>
      <c r="ANO34">
        <v>-10.875065605177</v>
      </c>
      <c r="ANP34">
        <v>-51.9713781860038</v>
      </c>
      <c r="ANQ34">
        <v>-61.6395455321242</v>
      </c>
      <c r="ANR34">
        <v>-22.4633745487913</v>
      </c>
      <c r="ANS34">
        <v>-7.35204647708294</v>
      </c>
      <c r="ANT34">
        <v>-2.63737422195266</v>
      </c>
      <c r="ANU34">
        <v>-11.4413697754762</v>
      </c>
      <c r="ANV34">
        <v>-16.7908766376644</v>
      </c>
      <c r="ANW34">
        <v>-4.69331528850774</v>
      </c>
      <c r="ANX34">
        <v>100.068294014889</v>
      </c>
      <c r="ANY34">
        <v>98.34940391300211</v>
      </c>
      <c r="ANZ34">
        <v>88.5622057615243</v>
      </c>
      <c r="AOA34">
        <v>96.2804835750491</v>
      </c>
      <c r="AOB34">
        <v>78.196815128746</v>
      </c>
      <c r="AOC34">
        <v>83.24554633069209</v>
      </c>
      <c r="AOD34">
        <v>87.6538417151626</v>
      </c>
      <c r="AOE34">
        <v>42.5352068753357</v>
      </c>
      <c r="AOF34">
        <v>36.9336310632574</v>
      </c>
      <c r="AOG34">
        <v>60.6311716611498</v>
      </c>
      <c r="AOH34">
        <v>32.8253962405037</v>
      </c>
      <c r="AOI34">
        <v>19.5855193389842</v>
      </c>
      <c r="AOJ34">
        <v>8.59901277446285</v>
      </c>
      <c r="AOK34">
        <v>9.419084410829329</v>
      </c>
      <c r="AOL34">
        <v>10.752495568498</v>
      </c>
      <c r="AOM34" t="s">
        <v>1901</v>
      </c>
      <c r="AON34">
        <v>-739.250881711088</v>
      </c>
      <c r="AOO34">
        <v>-946.066859436543</v>
      </c>
      <c r="AOP34">
        <v>-4320.05427809808</v>
      </c>
      <c r="AOQ34">
        <v>-132.87649552478</v>
      </c>
      <c r="AOR34">
        <v>-16.8017210459443</v>
      </c>
      <c r="AOS34">
        <v>-11.0374365259321</v>
      </c>
      <c r="AOT34">
        <v>-54.992335351311</v>
      </c>
      <c r="AOU34">
        <v>-62.5317630761198</v>
      </c>
      <c r="AOV34">
        <v>-27.0335125148127</v>
      </c>
      <c r="AOW34">
        <v>-6.62902115030646</v>
      </c>
      <c r="AOX34">
        <v>-2.42994264204704</v>
      </c>
      <c r="AOY34">
        <v>-10.5066503199971</v>
      </c>
      <c r="AOZ34">
        <v>-15.7197672066915</v>
      </c>
      <c r="APA34">
        <v>-3.98371544985593</v>
      </c>
      <c r="APB34">
        <v>-19.2439481897457</v>
      </c>
      <c r="APC34">
        <v>-10.0155200224707</v>
      </c>
      <c r="APD34">
        <v>-95.5272230929419</v>
      </c>
      <c r="APE34">
        <v>-128.469871045059</v>
      </c>
      <c r="APF34">
        <v>-38.2489526327556</v>
      </c>
      <c r="APG34">
        <v>-34.8223368983872</v>
      </c>
      <c r="APH34">
        <v>-14.4342806609905</v>
      </c>
      <c r="API34">
        <v>-132.837167738431</v>
      </c>
      <c r="APJ34">
        <v>-272.795088316339</v>
      </c>
      <c r="APK34">
        <v>-159.504959274413</v>
      </c>
      <c r="APL34" t="s">
        <v>1901</v>
      </c>
      <c r="APM34">
        <v>-606.782004474921</v>
      </c>
      <c r="APN34">
        <v>-835.1892078246771</v>
      </c>
      <c r="APO34">
        <v>-3453.94014617786</v>
      </c>
      <c r="APP34">
        <v>-175.428281962532</v>
      </c>
      <c r="APQ34">
        <v>-15.9997068544972</v>
      </c>
      <c r="APR34">
        <v>-9.059600773107009</v>
      </c>
      <c r="APS34">
        <v>-48.5473141146121</v>
      </c>
      <c r="APT34">
        <v>-49.9949660343108</v>
      </c>
      <c r="APU34">
        <v>-35.690606056071</v>
      </c>
      <c r="APV34">
        <v>-16.008796756109</v>
      </c>
      <c r="APW34">
        <v>-8.926325649327371</v>
      </c>
      <c r="APX34">
        <v>-45.8804087087215</v>
      </c>
      <c r="APY34">
        <v>-49.2816263871786</v>
      </c>
      <c r="APZ34">
        <v>-29.6569471418699</v>
      </c>
      <c r="AQA34">
        <v>-6.31259112367941</v>
      </c>
      <c r="AQB34">
        <v>-1.99451296383658</v>
      </c>
      <c r="AQC34">
        <v>-9.275286276146961</v>
      </c>
      <c r="AQD34">
        <v>-12.5681603860926</v>
      </c>
      <c r="AQE34">
        <v>-5.25944302215203</v>
      </c>
      <c r="AQF34">
        <v>-0.168017210459443</v>
      </c>
      <c r="AQG34">
        <v>-0.110374365259321</v>
      </c>
      <c r="AQH34">
        <v>-0.5499233535131099</v>
      </c>
      <c r="AQI34">
        <v>-0.625317633671676</v>
      </c>
      <c r="AQJ34">
        <v>-0.270335125148127</v>
      </c>
      <c r="AQK34">
        <v>1</v>
      </c>
      <c r="AQO34" t="s">
        <v>1902</v>
      </c>
      <c r="AQP34">
        <v>1</v>
      </c>
      <c r="AQQ34">
        <v>0</v>
      </c>
      <c r="AQS34" t="s">
        <v>1905</v>
      </c>
      <c r="AQU34" t="s">
        <v>1906</v>
      </c>
      <c r="AQV34">
        <v>603740.240583894</v>
      </c>
      <c r="AQW34">
        <v>388365.816893806</v>
      </c>
      <c r="AQX34">
        <v>143899.150028914</v>
      </c>
      <c r="AQY34">
        <v>-122007.364739876</v>
      </c>
      <c r="AQZ34">
        <v>-47388.5761174107</v>
      </c>
      <c r="ARA34">
        <v>-155712.091339207</v>
      </c>
      <c r="ARB34">
        <v>1136005.207506614</v>
      </c>
      <c r="ARC34">
        <v>-325108.0321964937</v>
      </c>
      <c r="ARD34">
        <v>-0.2225070743062696</v>
      </c>
      <c r="ARE34">
        <v>-0.2225070743062696</v>
      </c>
      <c r="ARF34">
        <v>-0.2225070743062696</v>
      </c>
      <c r="ARG34" t="s">
        <v>1907</v>
      </c>
      <c r="ARH34" t="s">
        <v>1907</v>
      </c>
      <c r="ARI34" t="s">
        <v>1907</v>
      </c>
      <c r="ARJ34" t="s">
        <v>1195</v>
      </c>
      <c r="ARK34" t="s">
        <v>1533</v>
      </c>
      <c r="ARL34" t="s">
        <v>1908</v>
      </c>
      <c r="ARM34" t="s">
        <v>1908</v>
      </c>
      <c r="ARN34" t="s">
        <v>1909</v>
      </c>
      <c r="ARO34" t="s">
        <v>1908</v>
      </c>
      <c r="ARP34" t="s">
        <v>1907</v>
      </c>
      <c r="ARQ34" t="s">
        <v>1936</v>
      </c>
      <c r="ARR34">
        <f>HYPERLINK("C:\Users\Usuario\Documents\Proyectos\llmthon\evidence\delectatech_com_233948.png", "Ver Evidencia")</f>
        <v>0</v>
      </c>
      <c r="ARS34">
        <v>95</v>
      </c>
    </row>
    <row r="35" spans="1:1163">
      <c r="A35">
        <v>414</v>
      </c>
      <c r="B35" t="s">
        <v>1196</v>
      </c>
      <c r="C35" t="s">
        <v>1319</v>
      </c>
      <c r="D35" t="s">
        <v>1414</v>
      </c>
      <c r="E35" s="2">
        <v>41376</v>
      </c>
      <c r="F35" t="s">
        <v>1431</v>
      </c>
      <c r="G35" t="s">
        <v>1433</v>
      </c>
      <c r="H35" t="s">
        <v>1434</v>
      </c>
      <c r="I35" t="s">
        <v>1444</v>
      </c>
      <c r="J35" t="s">
        <v>1469</v>
      </c>
      <c r="L35" t="s">
        <v>1534</v>
      </c>
      <c r="N35" t="s">
        <v>1630</v>
      </c>
      <c r="O35" t="s">
        <v>1654</v>
      </c>
      <c r="P35">
        <v>6209</v>
      </c>
      <c r="Q35">
        <v>6209</v>
      </c>
      <c r="R35" t="s">
        <v>1705</v>
      </c>
      <c r="S35" t="s">
        <v>1806</v>
      </c>
      <c r="T35" t="s">
        <v>1855</v>
      </c>
      <c r="U35" t="s">
        <v>1873</v>
      </c>
      <c r="X35" t="s">
        <v>1882</v>
      </c>
      <c r="Z35" t="s">
        <v>1899</v>
      </c>
      <c r="AA35" s="2">
        <v>45657</v>
      </c>
      <c r="AB35">
        <v>2024</v>
      </c>
      <c r="AC35">
        <v>1697777.70199015</v>
      </c>
      <c r="AD35">
        <v>1603756.75739633</v>
      </c>
      <c r="AE35">
        <v>1483938.65335004</v>
      </c>
      <c r="AF35">
        <v>1180762.76509316</v>
      </c>
      <c r="AG35">
        <v>1536208.202137</v>
      </c>
      <c r="AH35">
        <v>1693102.65405609</v>
      </c>
      <c r="AI35">
        <v>1603756.75739633</v>
      </c>
      <c r="AJ35">
        <v>1393825.34235532</v>
      </c>
      <c r="AK35">
        <v>1168304.16171105</v>
      </c>
      <c r="AL35">
        <v>1364126.54543096</v>
      </c>
      <c r="AM35">
        <v>227620.344107574</v>
      </c>
      <c r="AN35">
        <v>431195.13886508</v>
      </c>
      <c r="AO35">
        <v>407913.934727788</v>
      </c>
      <c r="AP35">
        <v>124502.866980529</v>
      </c>
      <c r="AQ35">
        <v>296162.501986444</v>
      </c>
      <c r="AR35">
        <v>1470157.35788257</v>
      </c>
      <c r="AS35">
        <v>1172561.61853125</v>
      </c>
      <c r="AT35">
        <v>1076024.71862225</v>
      </c>
      <c r="AU35">
        <v>1056259.89811263</v>
      </c>
      <c r="AV35">
        <v>1240045.70015056</v>
      </c>
      <c r="AW35">
        <v>1113376.61791611</v>
      </c>
      <c r="AX35">
        <v>1002475.02494847</v>
      </c>
      <c r="AY35">
        <v>1041234.41917822</v>
      </c>
      <c r="AZ35">
        <v>976529.582062411</v>
      </c>
      <c r="BA35">
        <v>923024.399806708</v>
      </c>
      <c r="BB35">
        <v>356780.739966463</v>
      </c>
      <c r="BC35">
        <v>170086.593582773</v>
      </c>
      <c r="BD35">
        <v>34790.2994440317</v>
      </c>
      <c r="BE35">
        <v>79730.3160502195</v>
      </c>
      <c r="BF35">
        <v>317021.300343847</v>
      </c>
      <c r="BG35">
        <v>13133.3316582656</v>
      </c>
      <c r="BH35">
        <v>3378.62741628647</v>
      </c>
      <c r="BI35">
        <v>-61.1161506772041</v>
      </c>
      <c r="BJ35">
        <v>-129.795995235443</v>
      </c>
      <c r="BK35">
        <v>-188.54380735755</v>
      </c>
      <c r="BL35">
        <v>13285.0109912372</v>
      </c>
      <c r="BM35">
        <v>3796.28445372582</v>
      </c>
      <c r="BN35" t="s">
        <v>1900</v>
      </c>
      <c r="BO35" t="s">
        <v>1900</v>
      </c>
      <c r="BP35" t="s">
        <v>1900</v>
      </c>
      <c r="BQ35">
        <v>151.679332971573</v>
      </c>
      <c r="BR35">
        <v>417.657037439346</v>
      </c>
      <c r="BS35">
        <v>61.1161506772041</v>
      </c>
      <c r="BT35">
        <v>129.795995235443</v>
      </c>
      <c r="BU35">
        <v>188.54380735755</v>
      </c>
      <c r="BV35">
        <v>369914.071624728</v>
      </c>
      <c r="BW35">
        <v>173465.22099906</v>
      </c>
      <c r="BX35">
        <v>34729.1832933545</v>
      </c>
      <c r="BY35">
        <v>79600.5200549841</v>
      </c>
      <c r="BZ35">
        <v>316832.75653649</v>
      </c>
      <c r="CA35">
        <v>24906.1308667624</v>
      </c>
      <c r="CB35">
        <v>44424.50068717</v>
      </c>
      <c r="CC35">
        <v>9783.89577380419</v>
      </c>
      <c r="CD35">
        <v>20567.1381553173</v>
      </c>
      <c r="CE35">
        <v>79998.49323467611</v>
      </c>
      <c r="CF35">
        <v>345007.940757966</v>
      </c>
      <c r="CG35">
        <v>129040.72031189</v>
      </c>
      <c r="CH35">
        <v>24945.2875195503</v>
      </c>
      <c r="CI35">
        <v>59033.3818996668</v>
      </c>
      <c r="CJ35">
        <v>236834.263301814</v>
      </c>
      <c r="CK35" t="s">
        <v>1900</v>
      </c>
      <c r="CL35" t="s">
        <v>1900</v>
      </c>
      <c r="CM35" t="s">
        <v>1900</v>
      </c>
      <c r="CN35" t="s">
        <v>1900</v>
      </c>
      <c r="CO35" t="s">
        <v>1900</v>
      </c>
      <c r="CP35" t="s">
        <v>1900</v>
      </c>
      <c r="CQ35" t="s">
        <v>1900</v>
      </c>
      <c r="CR35" t="s">
        <v>1900</v>
      </c>
      <c r="CS35" t="s">
        <v>1900</v>
      </c>
      <c r="CT35" t="s">
        <v>1900</v>
      </c>
      <c r="CU35" t="s">
        <v>1900</v>
      </c>
      <c r="CV35" t="s">
        <v>1900</v>
      </c>
      <c r="CW35" t="s">
        <v>1900</v>
      </c>
      <c r="CX35" t="s">
        <v>1900</v>
      </c>
      <c r="CY35" t="s">
        <v>1900</v>
      </c>
      <c r="CZ35">
        <v>345007.940757966</v>
      </c>
      <c r="DA35">
        <v>129040.72031189</v>
      </c>
      <c r="DB35">
        <v>24945.2875195503</v>
      </c>
      <c r="DC35">
        <v>59033.3818996668</v>
      </c>
      <c r="DD35">
        <v>236834.263301814</v>
      </c>
      <c r="DE35" t="s">
        <v>1900</v>
      </c>
      <c r="DF35" t="s">
        <v>1900</v>
      </c>
      <c r="DG35" t="s">
        <v>1900</v>
      </c>
      <c r="DH35" t="s">
        <v>1900</v>
      </c>
      <c r="DI35" t="s">
        <v>1900</v>
      </c>
      <c r="DJ35">
        <v>227620.344107574</v>
      </c>
      <c r="DK35">
        <v>431195.13886508</v>
      </c>
      <c r="DL35">
        <v>407913.934727788</v>
      </c>
      <c r="DM35">
        <v>124502.866980529</v>
      </c>
      <c r="DN35">
        <v>296162.501986444</v>
      </c>
      <c r="DO35">
        <v>909661.393800654</v>
      </c>
      <c r="DP35">
        <v>812281.9638921641</v>
      </c>
      <c r="DQ35">
        <v>855879.746839166</v>
      </c>
      <c r="DR35">
        <v>776517.724963617</v>
      </c>
      <c r="DS35">
        <v>725979.677987456</v>
      </c>
      <c r="DT35">
        <v>19651.4081558704</v>
      </c>
      <c r="DU35">
        <v>17680.9692850018</v>
      </c>
      <c r="DV35">
        <v>15158.4905951381</v>
      </c>
      <c r="DW35">
        <v>21135.7035096645</v>
      </c>
      <c r="DX35">
        <v>16461.5248308718</v>
      </c>
      <c r="DY35">
        <v>184063.815959586</v>
      </c>
      <c r="DZ35">
        <v>172512.091771307</v>
      </c>
      <c r="EA35">
        <v>170196.181743914</v>
      </c>
      <c r="EB35">
        <v>178876.153589129</v>
      </c>
      <c r="EC35">
        <v>180583.195761281</v>
      </c>
      <c r="ED35">
        <v>116.356748580933</v>
      </c>
      <c r="EE35">
        <v>123.760055541992</v>
      </c>
      <c r="EF35">
        <v>61.1161506772041</v>
      </c>
      <c r="EG35">
        <v>129.795995235443</v>
      </c>
      <c r="EH35">
        <v>188.54380735755</v>
      </c>
      <c r="EI35" t="s">
        <v>1900</v>
      </c>
      <c r="EJ35" t="s">
        <v>1900</v>
      </c>
      <c r="EK35" t="s">
        <v>1900</v>
      </c>
      <c r="EL35" t="s">
        <v>1900</v>
      </c>
      <c r="EM35" t="s">
        <v>1900</v>
      </c>
      <c r="EN35">
        <v>364659.347874937</v>
      </c>
      <c r="EO35">
        <v>146721.689596891</v>
      </c>
      <c r="EP35">
        <v>40103.7781146884</v>
      </c>
      <c r="EQ35">
        <v>80169.0854093313</v>
      </c>
      <c r="ER35">
        <v>253295.788132685</v>
      </c>
      <c r="ES35">
        <v>1299343.23032983</v>
      </c>
      <c r="ET35">
        <v>1003551.91423177</v>
      </c>
      <c r="EU35">
        <v>905828.536878336</v>
      </c>
      <c r="EV35">
        <v>877383.743390901</v>
      </c>
      <c r="EW35">
        <v>1059462.50316218</v>
      </c>
      <c r="EX35">
        <v>376432.147083434</v>
      </c>
      <c r="EY35">
        <v>187767.562867775</v>
      </c>
      <c r="EZ35">
        <v>49948.7900391698</v>
      </c>
      <c r="FA35">
        <v>100866.019559884</v>
      </c>
      <c r="FB35">
        <v>333482.825174719</v>
      </c>
      <c r="FC35">
        <v>537475.009933081</v>
      </c>
      <c r="FD35">
        <v>625725.625217972</v>
      </c>
      <c r="FE35">
        <v>207229.081273973</v>
      </c>
      <c r="FF35">
        <v>237307.830249453</v>
      </c>
      <c r="FG35">
        <v>259306.672695982</v>
      </c>
      <c r="FH35">
        <v>0</v>
      </c>
      <c r="FI35">
        <v>0</v>
      </c>
      <c r="FJ35">
        <v>0</v>
      </c>
      <c r="FK35">
        <v>0</v>
      </c>
      <c r="FL35">
        <v>64.7172170519829</v>
      </c>
      <c r="FM35">
        <v>86159.24262747529</v>
      </c>
      <c r="FN35">
        <v>56175.9931110954</v>
      </c>
      <c r="FO35">
        <v>40790.82817505</v>
      </c>
      <c r="FP35">
        <v>63248.7503540039</v>
      </c>
      <c r="FQ35">
        <v>70660.1816690564</v>
      </c>
      <c r="FR35">
        <v>451315.767305605</v>
      </c>
      <c r="FS35">
        <v>569549.632106876</v>
      </c>
      <c r="FT35">
        <v>166438.253098923</v>
      </c>
      <c r="FU35">
        <v>174059.079895449</v>
      </c>
      <c r="FV35">
        <v>188581.773809874</v>
      </c>
      <c r="FW35">
        <v>0</v>
      </c>
      <c r="FX35">
        <v>0</v>
      </c>
      <c r="FY35">
        <v>0</v>
      </c>
      <c r="FZ35">
        <v>0</v>
      </c>
      <c r="GA35">
        <v>64.7172170519829</v>
      </c>
      <c r="GB35">
        <v>86159.24262747529</v>
      </c>
      <c r="GC35">
        <v>56175.9931110954</v>
      </c>
      <c r="GD35">
        <v>40790.82817505</v>
      </c>
      <c r="GE35">
        <v>63248.7503540039</v>
      </c>
      <c r="GF35">
        <v>70660.1816690564</v>
      </c>
      <c r="GG35">
        <v>451315.767305605</v>
      </c>
      <c r="GH35">
        <v>569549.632106876</v>
      </c>
      <c r="GI35">
        <v>166438.253098923</v>
      </c>
      <c r="GJ35">
        <v>174059.079895449</v>
      </c>
      <c r="GK35">
        <v>188581.773809874</v>
      </c>
      <c r="GL35">
        <v>846869.360150005</v>
      </c>
      <c r="GM35">
        <v>870465.6103042701</v>
      </c>
      <c r="GN35">
        <v>1058398.62877904</v>
      </c>
      <c r="GO35">
        <v>1084128.20823798</v>
      </c>
      <c r="GP35">
        <v>1412885.66741066</v>
      </c>
      <c r="GQ35">
        <v>25453.038752079</v>
      </c>
      <c r="GR35">
        <v>16575.0074386597</v>
      </c>
      <c r="GS35">
        <v>174010.37351191</v>
      </c>
      <c r="GT35">
        <v>55652.0603117466</v>
      </c>
      <c r="GU35">
        <v>77248.49007869361</v>
      </c>
      <c r="GV35">
        <v>124336.172339755</v>
      </c>
      <c r="GW35">
        <v>196604.351283617</v>
      </c>
      <c r="GX35">
        <v>214623.868856043</v>
      </c>
      <c r="GY35">
        <v>405454.600627899</v>
      </c>
      <c r="GZ35">
        <v>503131.450744808</v>
      </c>
      <c r="HA35">
        <v>697080.14905817</v>
      </c>
      <c r="HB35">
        <v>657286.251581993</v>
      </c>
      <c r="HC35">
        <v>669764.386411083</v>
      </c>
      <c r="HD35">
        <v>623021.5472983361</v>
      </c>
      <c r="HE35">
        <v>832505.726587158</v>
      </c>
      <c r="HF35">
        <v>689266.824557947</v>
      </c>
      <c r="HG35">
        <v>648815.251480312</v>
      </c>
      <c r="HH35">
        <v>612275.815255409</v>
      </c>
      <c r="HI35">
        <v>622878.839659595</v>
      </c>
      <c r="HJ35">
        <v>832351.11207543</v>
      </c>
      <c r="HK35">
        <v>1384344.37008309</v>
      </c>
      <c r="HL35">
        <v>1496191.23552224</v>
      </c>
      <c r="HM35">
        <v>1265627.71005301</v>
      </c>
      <c r="HN35">
        <v>1321436.03848743</v>
      </c>
      <c r="HO35">
        <v>1672192.34010664</v>
      </c>
      <c r="HP35">
        <v>1201275.67443775</v>
      </c>
      <c r="HQ35">
        <v>1180907.04527157</v>
      </c>
      <c r="HR35">
        <v>1100639.79760623</v>
      </c>
      <c r="HS35">
        <v>1213335.48915961</v>
      </c>
      <c r="HT35">
        <v>1250676.51540827</v>
      </c>
      <c r="HU35">
        <v>103889.954090118</v>
      </c>
      <c r="HV35">
        <v>110500.049591064</v>
      </c>
      <c r="HW35">
        <v>106659.948825836</v>
      </c>
      <c r="HX35">
        <v>113260.03074646</v>
      </c>
      <c r="HY35">
        <v>122709.929943085</v>
      </c>
      <c r="HZ35">
        <v>1097385.72034763</v>
      </c>
      <c r="IA35">
        <v>1070406.99678551</v>
      </c>
      <c r="IB35">
        <v>993979.8487803939</v>
      </c>
      <c r="IC35">
        <v>1100075.45728055</v>
      </c>
      <c r="ID35">
        <v>1127966.58423808</v>
      </c>
      <c r="IE35">
        <v>0</v>
      </c>
      <c r="IF35">
        <v>0</v>
      </c>
      <c r="IG35">
        <v>0</v>
      </c>
      <c r="IH35">
        <v>0</v>
      </c>
      <c r="II35">
        <v>0</v>
      </c>
      <c r="IJ35" t="s">
        <v>1900</v>
      </c>
      <c r="IK35" t="s">
        <v>1900</v>
      </c>
      <c r="IL35" t="s">
        <v>1900</v>
      </c>
      <c r="IM35" t="s">
        <v>1900</v>
      </c>
      <c r="IN35" t="s">
        <v>1900</v>
      </c>
      <c r="IO35" t="s">
        <v>1900</v>
      </c>
      <c r="IP35" t="s">
        <v>1900</v>
      </c>
      <c r="IQ35" t="s">
        <v>1900</v>
      </c>
      <c r="IR35" t="s">
        <v>1900</v>
      </c>
      <c r="IS35" t="s">
        <v>1900</v>
      </c>
      <c r="IT35" t="s">
        <v>1900</v>
      </c>
      <c r="IU35" t="s">
        <v>1900</v>
      </c>
      <c r="IV35" t="s">
        <v>1900</v>
      </c>
      <c r="IW35" t="s">
        <v>1900</v>
      </c>
      <c r="IX35" t="s">
        <v>1900</v>
      </c>
      <c r="IY35">
        <v>183068.695645338</v>
      </c>
      <c r="IZ35">
        <v>315284.18914567</v>
      </c>
      <c r="JA35">
        <v>164987.912446779</v>
      </c>
      <c r="JB35">
        <v>108100.549327827</v>
      </c>
      <c r="JC35">
        <v>421515.824698377</v>
      </c>
      <c r="JD35">
        <v>0</v>
      </c>
      <c r="JE35">
        <v>0</v>
      </c>
      <c r="JF35">
        <v>0</v>
      </c>
      <c r="JG35">
        <v>0</v>
      </c>
      <c r="JH35">
        <v>0</v>
      </c>
      <c r="JI35">
        <v>25799.6675839007</v>
      </c>
      <c r="JJ35">
        <v>83355.2814588261</v>
      </c>
      <c r="JK35">
        <v>41874.6959090233</v>
      </c>
      <c r="JL35">
        <v>7977.36833159924</v>
      </c>
      <c r="JM35">
        <v>16035.7336449623</v>
      </c>
      <c r="JN35">
        <v>157269.028061438</v>
      </c>
      <c r="JO35">
        <v>231928.907686844</v>
      </c>
      <c r="JP35">
        <v>123113.216537756</v>
      </c>
      <c r="JQ35">
        <v>100123.180996227</v>
      </c>
      <c r="JR35">
        <v>405480.091053414</v>
      </c>
      <c r="JS35">
        <v>1384344.37008309</v>
      </c>
      <c r="JT35">
        <v>1496191.23552224</v>
      </c>
      <c r="JU35">
        <v>1265627.71005301</v>
      </c>
      <c r="JV35">
        <v>1321436.03848743</v>
      </c>
      <c r="JW35">
        <v>1672192.34010664</v>
      </c>
      <c r="JX35">
        <v>123989.543507934</v>
      </c>
      <c r="JY35">
        <v>129824.077263451</v>
      </c>
      <c r="JZ35">
        <v>346759.54645893</v>
      </c>
      <c r="KA35">
        <v>453129.292608047</v>
      </c>
      <c r="KB35">
        <v>564344.207178539</v>
      </c>
      <c r="KC35" t="s">
        <v>1900</v>
      </c>
      <c r="KD35" t="s">
        <v>1900</v>
      </c>
      <c r="KE35" t="s">
        <v>1900</v>
      </c>
      <c r="KF35" t="s">
        <v>1900</v>
      </c>
      <c r="KG35" t="s">
        <v>1900</v>
      </c>
      <c r="KH35" t="s">
        <v>1900</v>
      </c>
      <c r="KI35" t="s">
        <v>1900</v>
      </c>
      <c r="KJ35" t="s">
        <v>1900</v>
      </c>
      <c r="KK35" t="s">
        <v>1900</v>
      </c>
      <c r="KL35" t="s">
        <v>1900</v>
      </c>
      <c r="KM35">
        <v>21</v>
      </c>
      <c r="KN35">
        <v>18</v>
      </c>
      <c r="KO35">
        <v>18</v>
      </c>
      <c r="KP35">
        <v>18</v>
      </c>
      <c r="KQ35">
        <v>17</v>
      </c>
      <c r="KR35" t="s">
        <v>1900</v>
      </c>
      <c r="KS35" t="s">
        <v>1900</v>
      </c>
      <c r="KT35" t="s">
        <v>1900</v>
      </c>
      <c r="KU35" t="s">
        <v>1900</v>
      </c>
      <c r="KV35" t="s">
        <v>1900</v>
      </c>
      <c r="KW35" t="s">
        <v>1900</v>
      </c>
      <c r="KX35" t="s">
        <v>1900</v>
      </c>
      <c r="KY35" t="s">
        <v>1900</v>
      </c>
      <c r="KZ35" t="s">
        <v>1900</v>
      </c>
      <c r="LA35" t="s">
        <v>1900</v>
      </c>
      <c r="LB35" t="s">
        <v>1900</v>
      </c>
      <c r="LC35" t="s">
        <v>1900</v>
      </c>
      <c r="LD35" t="s">
        <v>1900</v>
      </c>
      <c r="LE35" t="s">
        <v>1900</v>
      </c>
      <c r="LF35" t="s">
        <v>1900</v>
      </c>
      <c r="LG35" t="s">
        <v>1900</v>
      </c>
      <c r="LH35" t="s">
        <v>1900</v>
      </c>
      <c r="LI35" t="s">
        <v>1900</v>
      </c>
      <c r="LJ35" t="s">
        <v>1900</v>
      </c>
      <c r="LK35" t="s">
        <v>1900</v>
      </c>
      <c r="LL35" t="s">
        <v>1900</v>
      </c>
      <c r="LM35" t="s">
        <v>1900</v>
      </c>
      <c r="LN35" t="s">
        <v>1900</v>
      </c>
      <c r="LO35" t="s">
        <v>1900</v>
      </c>
      <c r="LP35" t="s">
        <v>1900</v>
      </c>
      <c r="LQ35" t="s">
        <v>1900</v>
      </c>
      <c r="LR35" t="s">
        <v>1900</v>
      </c>
      <c r="LS35" t="s">
        <v>1900</v>
      </c>
      <c r="LT35" t="s">
        <v>1900</v>
      </c>
      <c r="LU35" t="s">
        <v>1900</v>
      </c>
      <c r="LV35" t="s">
        <v>1900</v>
      </c>
      <c r="LW35" t="s">
        <v>1900</v>
      </c>
      <c r="LX35" t="s">
        <v>1900</v>
      </c>
      <c r="LY35" t="s">
        <v>1900</v>
      </c>
      <c r="LZ35" t="s">
        <v>1900</v>
      </c>
      <c r="MA35" t="s">
        <v>1900</v>
      </c>
      <c r="MB35" t="s">
        <v>1900</v>
      </c>
      <c r="MC35" t="s">
        <v>1900</v>
      </c>
      <c r="MD35" t="s">
        <v>1900</v>
      </c>
      <c r="ME35" t="s">
        <v>1900</v>
      </c>
      <c r="MF35" t="s">
        <v>1900</v>
      </c>
      <c r="MG35" t="s">
        <v>1900</v>
      </c>
      <c r="MH35" t="s">
        <v>1900</v>
      </c>
      <c r="MI35" t="s">
        <v>1900</v>
      </c>
      <c r="MJ35" t="s">
        <v>1900</v>
      </c>
      <c r="MK35" t="s">
        <v>1900</v>
      </c>
      <c r="ML35" t="s">
        <v>1900</v>
      </c>
      <c r="MM35" t="s">
        <v>1900</v>
      </c>
      <c r="MN35" t="s">
        <v>1900</v>
      </c>
      <c r="MO35" t="s">
        <v>1900</v>
      </c>
      <c r="MP35">
        <v>697080.14905817</v>
      </c>
      <c r="MQ35">
        <v>657286.251581993</v>
      </c>
      <c r="MR35">
        <v>669764.386411083</v>
      </c>
      <c r="MS35">
        <v>623021.5472983361</v>
      </c>
      <c r="MT35">
        <v>832505.726587158</v>
      </c>
      <c r="MU35" t="s">
        <v>1900</v>
      </c>
      <c r="MV35" t="s">
        <v>1900</v>
      </c>
      <c r="MW35" t="s">
        <v>1900</v>
      </c>
      <c r="MX35" t="s">
        <v>1900</v>
      </c>
      <c r="MY35" t="s">
        <v>1900</v>
      </c>
      <c r="MZ35" t="s">
        <v>1900</v>
      </c>
      <c r="NA35" t="s">
        <v>1900</v>
      </c>
      <c r="NB35" t="s">
        <v>1900</v>
      </c>
      <c r="NC35" t="s">
        <v>1900</v>
      </c>
      <c r="ND35" t="s">
        <v>1900</v>
      </c>
      <c r="NE35" t="s">
        <v>1900</v>
      </c>
      <c r="NF35" t="s">
        <v>1900</v>
      </c>
      <c r="NG35" t="s">
        <v>1900</v>
      </c>
      <c r="NH35" t="s">
        <v>1900</v>
      </c>
      <c r="NI35" t="s">
        <v>1900</v>
      </c>
      <c r="NJ35" t="s">
        <v>1900</v>
      </c>
      <c r="NK35" t="s">
        <v>1900</v>
      </c>
      <c r="NL35" t="s">
        <v>1900</v>
      </c>
      <c r="NM35" t="s">
        <v>1900</v>
      </c>
      <c r="NN35" t="s">
        <v>1900</v>
      </c>
      <c r="NO35" t="s">
        <v>1900</v>
      </c>
      <c r="NP35" t="s">
        <v>1900</v>
      </c>
      <c r="NQ35" t="s">
        <v>1900</v>
      </c>
      <c r="NR35" t="s">
        <v>1900</v>
      </c>
      <c r="NS35" t="s">
        <v>1900</v>
      </c>
      <c r="NT35">
        <v>537475.009933081</v>
      </c>
      <c r="NU35">
        <v>625725.625217972</v>
      </c>
      <c r="NV35">
        <v>207229.081273973</v>
      </c>
      <c r="NW35">
        <v>237307.830249453</v>
      </c>
      <c r="NX35">
        <v>259306.672695982</v>
      </c>
      <c r="NY35" t="s">
        <v>1900</v>
      </c>
      <c r="NZ35" t="s">
        <v>1900</v>
      </c>
      <c r="OA35" t="s">
        <v>1900</v>
      </c>
      <c r="OB35" t="s">
        <v>1900</v>
      </c>
      <c r="OC35" t="s">
        <v>1900</v>
      </c>
      <c r="OD35" t="s">
        <v>1900</v>
      </c>
      <c r="OE35" t="s">
        <v>1900</v>
      </c>
      <c r="OF35" t="s">
        <v>1900</v>
      </c>
      <c r="OG35" t="s">
        <v>1900</v>
      </c>
      <c r="OH35" t="s">
        <v>1900</v>
      </c>
      <c r="OI35" t="s">
        <v>1900</v>
      </c>
      <c r="OJ35" t="s">
        <v>1900</v>
      </c>
      <c r="OK35" t="s">
        <v>1900</v>
      </c>
      <c r="OL35" t="s">
        <v>1900</v>
      </c>
      <c r="OM35" t="s">
        <v>1900</v>
      </c>
      <c r="ON35" t="s">
        <v>1900</v>
      </c>
      <c r="OO35" t="s">
        <v>1900</v>
      </c>
      <c r="OP35" t="s">
        <v>1900</v>
      </c>
      <c r="OQ35" t="s">
        <v>1900</v>
      </c>
      <c r="OR35" t="s">
        <v>1900</v>
      </c>
      <c r="OS35" t="s">
        <v>1900</v>
      </c>
      <c r="OT35" t="s">
        <v>1900</v>
      </c>
      <c r="OU35" t="s">
        <v>1900</v>
      </c>
      <c r="OV35" t="s">
        <v>1900</v>
      </c>
      <c r="OW35" t="s">
        <v>1900</v>
      </c>
      <c r="OX35" t="s">
        <v>1900</v>
      </c>
      <c r="OY35" t="s">
        <v>1900</v>
      </c>
      <c r="OZ35" t="s">
        <v>1900</v>
      </c>
      <c r="PA35" t="s">
        <v>1900</v>
      </c>
      <c r="PB35" t="s">
        <v>1900</v>
      </c>
      <c r="PC35" t="s">
        <v>1900</v>
      </c>
      <c r="PD35" t="s">
        <v>1900</v>
      </c>
      <c r="PE35" t="s">
        <v>1900</v>
      </c>
      <c r="PF35" t="s">
        <v>1900</v>
      </c>
      <c r="PG35" t="s">
        <v>1900</v>
      </c>
      <c r="PH35" t="s">
        <v>1900</v>
      </c>
      <c r="PI35" t="s">
        <v>1900</v>
      </c>
      <c r="PJ35" t="s">
        <v>1900</v>
      </c>
      <c r="PK35" t="s">
        <v>1900</v>
      </c>
      <c r="PL35" t="s">
        <v>1900</v>
      </c>
      <c r="PM35" t="s">
        <v>1900</v>
      </c>
      <c r="PN35" t="s">
        <v>1900</v>
      </c>
      <c r="PO35" t="s">
        <v>1900</v>
      </c>
      <c r="PP35" t="s">
        <v>1900</v>
      </c>
      <c r="PQ35" t="s">
        <v>1900</v>
      </c>
      <c r="PR35" t="s">
        <v>1900</v>
      </c>
      <c r="PS35" t="s">
        <v>1900</v>
      </c>
      <c r="PT35" t="s">
        <v>1900</v>
      </c>
      <c r="PU35" t="s">
        <v>1900</v>
      </c>
      <c r="PV35" t="s">
        <v>1900</v>
      </c>
      <c r="PW35" t="s">
        <v>1900</v>
      </c>
      <c r="PX35" t="s">
        <v>1900</v>
      </c>
      <c r="PY35" t="s">
        <v>1900</v>
      </c>
      <c r="PZ35" t="s">
        <v>1900</v>
      </c>
      <c r="QA35" t="s">
        <v>1900</v>
      </c>
      <c r="QB35" t="s">
        <v>1900</v>
      </c>
      <c r="QC35" t="s">
        <v>1900</v>
      </c>
      <c r="QD35" t="s">
        <v>1900</v>
      </c>
      <c r="QE35" t="s">
        <v>1900</v>
      </c>
      <c r="QF35" t="s">
        <v>1900</v>
      </c>
      <c r="QG35" t="s">
        <v>1900</v>
      </c>
      <c r="QH35" t="s">
        <v>1900</v>
      </c>
      <c r="QI35" t="s">
        <v>1900</v>
      </c>
      <c r="QJ35" t="s">
        <v>1900</v>
      </c>
      <c r="QK35" t="s">
        <v>1900</v>
      </c>
      <c r="QL35" t="s">
        <v>1900</v>
      </c>
      <c r="QM35" t="s">
        <v>1900</v>
      </c>
      <c r="QN35" t="s">
        <v>1900</v>
      </c>
      <c r="QO35" t="s">
        <v>1900</v>
      </c>
      <c r="QP35" t="s">
        <v>1900</v>
      </c>
      <c r="QQ35" t="s">
        <v>1900</v>
      </c>
      <c r="QR35" t="s">
        <v>1900</v>
      </c>
      <c r="QS35" t="s">
        <v>1900</v>
      </c>
      <c r="QT35" t="s">
        <v>1900</v>
      </c>
      <c r="QU35" t="s">
        <v>1900</v>
      </c>
      <c r="QV35" t="s">
        <v>1900</v>
      </c>
      <c r="QW35" t="s">
        <v>1900</v>
      </c>
      <c r="QX35" t="s">
        <v>1900</v>
      </c>
      <c r="QY35" t="s">
        <v>1900</v>
      </c>
      <c r="QZ35" t="s">
        <v>1900</v>
      </c>
      <c r="RA35" t="s">
        <v>1900</v>
      </c>
      <c r="RB35" t="s">
        <v>1900</v>
      </c>
      <c r="RC35" t="s">
        <v>1900</v>
      </c>
      <c r="RD35" t="s">
        <v>1900</v>
      </c>
      <c r="RE35" t="s">
        <v>1900</v>
      </c>
      <c r="RF35" t="s">
        <v>1900</v>
      </c>
      <c r="RG35" t="s">
        <v>1900</v>
      </c>
      <c r="RH35" t="s">
        <v>1900</v>
      </c>
      <c r="RI35" t="s">
        <v>1900</v>
      </c>
      <c r="RJ35" t="s">
        <v>1900</v>
      </c>
      <c r="RK35" t="s">
        <v>1900</v>
      </c>
      <c r="RL35" t="s">
        <v>1900</v>
      </c>
      <c r="RM35" t="s">
        <v>1900</v>
      </c>
      <c r="RN35" t="s">
        <v>1900</v>
      </c>
      <c r="RO35" t="s">
        <v>1900</v>
      </c>
      <c r="RP35" t="s">
        <v>1900</v>
      </c>
      <c r="RQ35" t="s">
        <v>1900</v>
      </c>
      <c r="RR35" t="s">
        <v>1900</v>
      </c>
      <c r="RS35" t="s">
        <v>1900</v>
      </c>
      <c r="RT35" t="s">
        <v>1900</v>
      </c>
      <c r="RU35" t="s">
        <v>1900</v>
      </c>
      <c r="RV35" t="s">
        <v>1900</v>
      </c>
      <c r="RW35" t="s">
        <v>1900</v>
      </c>
      <c r="RX35" t="s">
        <v>1900</v>
      </c>
      <c r="RY35" t="s">
        <v>1900</v>
      </c>
      <c r="RZ35" t="s">
        <v>1900</v>
      </c>
      <c r="SA35" t="s">
        <v>1900</v>
      </c>
      <c r="SB35" t="s">
        <v>1900</v>
      </c>
      <c r="SC35" t="s">
        <v>1900</v>
      </c>
      <c r="SD35" t="s">
        <v>1900</v>
      </c>
      <c r="SE35" t="s">
        <v>1900</v>
      </c>
      <c r="SF35" t="s">
        <v>1900</v>
      </c>
      <c r="SG35" t="s">
        <v>1900</v>
      </c>
      <c r="SH35" t="s">
        <v>1900</v>
      </c>
      <c r="SI35" t="s">
        <v>1900</v>
      </c>
      <c r="SJ35">
        <v>451315.767305605</v>
      </c>
      <c r="SK35">
        <v>569549.632106876</v>
      </c>
      <c r="SL35">
        <v>166438.253098923</v>
      </c>
      <c r="SM35">
        <v>174059.079895449</v>
      </c>
      <c r="SN35">
        <v>188581.773809874</v>
      </c>
      <c r="SO35" t="s">
        <v>1900</v>
      </c>
      <c r="SP35" t="s">
        <v>1900</v>
      </c>
      <c r="SQ35" t="s">
        <v>1900</v>
      </c>
      <c r="SR35" t="s">
        <v>1900</v>
      </c>
      <c r="SS35" t="s">
        <v>1900</v>
      </c>
      <c r="ST35" t="s">
        <v>1900</v>
      </c>
      <c r="SU35" t="s">
        <v>1900</v>
      </c>
      <c r="SV35" t="s">
        <v>1900</v>
      </c>
      <c r="SW35" t="s">
        <v>1900</v>
      </c>
      <c r="SX35" t="s">
        <v>1900</v>
      </c>
      <c r="SY35" t="s">
        <v>1900</v>
      </c>
      <c r="SZ35" t="s">
        <v>1900</v>
      </c>
      <c r="TA35" t="s">
        <v>1900</v>
      </c>
      <c r="TB35" t="s">
        <v>1900</v>
      </c>
      <c r="TC35" t="s">
        <v>1900</v>
      </c>
      <c r="TD35" t="s">
        <v>1900</v>
      </c>
      <c r="TE35" t="s">
        <v>1900</v>
      </c>
      <c r="TF35" t="s">
        <v>1900</v>
      </c>
      <c r="TG35" t="s">
        <v>1900</v>
      </c>
      <c r="TH35" t="s">
        <v>1900</v>
      </c>
      <c r="TI35" t="s">
        <v>1900</v>
      </c>
      <c r="TJ35" t="s">
        <v>1900</v>
      </c>
      <c r="TK35" t="s">
        <v>1900</v>
      </c>
      <c r="TL35" t="s">
        <v>1900</v>
      </c>
      <c r="TM35" t="s">
        <v>1900</v>
      </c>
      <c r="TN35" t="s">
        <v>1900</v>
      </c>
      <c r="TO35" t="s">
        <v>1900</v>
      </c>
      <c r="TP35" t="s">
        <v>1900</v>
      </c>
      <c r="TQ35" t="s">
        <v>1900</v>
      </c>
      <c r="TR35" t="s">
        <v>1900</v>
      </c>
      <c r="TS35">
        <v>1384344.37008309</v>
      </c>
      <c r="TT35">
        <v>1496191.23552224</v>
      </c>
      <c r="TU35">
        <v>1265627.71005301</v>
      </c>
      <c r="TV35">
        <v>1321436.03848743</v>
      </c>
      <c r="TW35">
        <v>1672192.34010664</v>
      </c>
      <c r="TX35" t="s">
        <v>1900</v>
      </c>
      <c r="TY35" t="s">
        <v>1900</v>
      </c>
      <c r="TZ35" t="s">
        <v>1900</v>
      </c>
      <c r="UA35" t="s">
        <v>1900</v>
      </c>
      <c r="UB35" t="s">
        <v>1900</v>
      </c>
      <c r="UC35">
        <v>0</v>
      </c>
      <c r="UD35">
        <v>0</v>
      </c>
      <c r="UE35">
        <v>0</v>
      </c>
      <c r="UF35">
        <v>0</v>
      </c>
      <c r="UG35">
        <v>0</v>
      </c>
      <c r="UH35" t="s">
        <v>1900</v>
      </c>
      <c r="UI35" t="s">
        <v>1900</v>
      </c>
      <c r="UJ35" t="s">
        <v>1900</v>
      </c>
      <c r="UK35" t="s">
        <v>1900</v>
      </c>
      <c r="UL35" t="s">
        <v>1900</v>
      </c>
      <c r="UM35" t="s">
        <v>1900</v>
      </c>
      <c r="UN35" t="s">
        <v>1900</v>
      </c>
      <c r="UO35" t="s">
        <v>1900</v>
      </c>
      <c r="UP35" t="s">
        <v>1900</v>
      </c>
      <c r="UQ35" t="s">
        <v>1900</v>
      </c>
      <c r="UR35" t="s">
        <v>1900</v>
      </c>
      <c r="US35" t="s">
        <v>1900</v>
      </c>
      <c r="UT35" t="s">
        <v>1900</v>
      </c>
      <c r="UU35" t="s">
        <v>1900</v>
      </c>
      <c r="UV35" t="s">
        <v>1900</v>
      </c>
      <c r="UW35" t="s">
        <v>1900</v>
      </c>
      <c r="UX35" t="s">
        <v>1900</v>
      </c>
      <c r="UY35" t="s">
        <v>1900</v>
      </c>
      <c r="UZ35" t="s">
        <v>1900</v>
      </c>
      <c r="VA35" t="s">
        <v>1900</v>
      </c>
      <c r="VB35" t="s">
        <v>1900</v>
      </c>
      <c r="VC35" t="s">
        <v>1900</v>
      </c>
      <c r="VD35" t="s">
        <v>1900</v>
      </c>
      <c r="VE35" t="s">
        <v>1900</v>
      </c>
      <c r="VF35" t="s">
        <v>1900</v>
      </c>
      <c r="VG35" t="s">
        <v>1900</v>
      </c>
      <c r="VH35" t="s">
        <v>1900</v>
      </c>
      <c r="VI35" t="s">
        <v>1900</v>
      </c>
      <c r="VJ35" t="s">
        <v>1900</v>
      </c>
      <c r="VK35" t="s">
        <v>1900</v>
      </c>
      <c r="VL35" t="s">
        <v>1900</v>
      </c>
      <c r="VM35" t="s">
        <v>1900</v>
      </c>
      <c r="VN35" t="s">
        <v>1900</v>
      </c>
      <c r="VO35" t="s">
        <v>1900</v>
      </c>
      <c r="VP35" t="s">
        <v>1900</v>
      </c>
      <c r="VQ35" t="s">
        <v>1900</v>
      </c>
      <c r="VR35" t="s">
        <v>1900</v>
      </c>
      <c r="VS35" t="s">
        <v>1900</v>
      </c>
      <c r="VT35" t="s">
        <v>1900</v>
      </c>
      <c r="VU35" t="s">
        <v>1900</v>
      </c>
      <c r="VV35" t="s">
        <v>1900</v>
      </c>
      <c r="VW35" t="s">
        <v>1900</v>
      </c>
      <c r="VX35" t="s">
        <v>1900</v>
      </c>
      <c r="VY35" t="s">
        <v>1900</v>
      </c>
      <c r="VZ35" t="s">
        <v>1900</v>
      </c>
      <c r="WA35">
        <v>157269.028061438</v>
      </c>
      <c r="WB35">
        <v>231928.907686844</v>
      </c>
      <c r="WC35">
        <v>123113.216537756</v>
      </c>
      <c r="WD35">
        <v>100123.180996227</v>
      </c>
      <c r="WE35">
        <v>405480.091053414</v>
      </c>
      <c r="WF35" t="s">
        <v>1900</v>
      </c>
      <c r="WG35" t="s">
        <v>1900</v>
      </c>
      <c r="WH35" t="s">
        <v>1900</v>
      </c>
      <c r="WI35" t="s">
        <v>1900</v>
      </c>
      <c r="WJ35" t="s">
        <v>1900</v>
      </c>
      <c r="WK35" t="s">
        <v>1900</v>
      </c>
      <c r="WL35" t="s">
        <v>1900</v>
      </c>
      <c r="WM35" t="s">
        <v>1900</v>
      </c>
      <c r="WN35" t="s">
        <v>1900</v>
      </c>
      <c r="WO35" t="s">
        <v>1900</v>
      </c>
      <c r="WP35" t="s">
        <v>1900</v>
      </c>
      <c r="WQ35" t="s">
        <v>1900</v>
      </c>
      <c r="WR35" t="s">
        <v>1900</v>
      </c>
      <c r="WS35" t="s">
        <v>1900</v>
      </c>
      <c r="WT35" t="s">
        <v>1900</v>
      </c>
      <c r="WU35" t="s">
        <v>1900</v>
      </c>
      <c r="WV35" t="s">
        <v>1900</v>
      </c>
      <c r="WW35" t="s">
        <v>1900</v>
      </c>
      <c r="WX35" t="s">
        <v>1900</v>
      </c>
      <c r="WY35" t="s">
        <v>1900</v>
      </c>
      <c r="WZ35" t="s">
        <v>1900</v>
      </c>
      <c r="XA35" t="s">
        <v>1900</v>
      </c>
      <c r="XB35" t="s">
        <v>1900</v>
      </c>
      <c r="XC35" t="s">
        <v>1900</v>
      </c>
      <c r="XD35" t="s">
        <v>1900</v>
      </c>
      <c r="XE35" t="s">
        <v>1900</v>
      </c>
      <c r="XF35" t="s">
        <v>1900</v>
      </c>
      <c r="XG35" t="s">
        <v>1900</v>
      </c>
      <c r="XH35" t="s">
        <v>1900</v>
      </c>
      <c r="XI35" t="s">
        <v>1900</v>
      </c>
      <c r="XJ35" t="s">
        <v>1900</v>
      </c>
      <c r="XK35" t="s">
        <v>1900</v>
      </c>
      <c r="XL35" t="s">
        <v>1900</v>
      </c>
      <c r="XM35" t="s">
        <v>1900</v>
      </c>
      <c r="XN35" t="s">
        <v>1900</v>
      </c>
      <c r="XO35" t="s">
        <v>1900</v>
      </c>
      <c r="XP35" t="s">
        <v>1900</v>
      </c>
      <c r="XQ35" t="s">
        <v>1900</v>
      </c>
      <c r="XR35" t="s">
        <v>1900</v>
      </c>
      <c r="XS35" t="s">
        <v>1900</v>
      </c>
      <c r="XT35" t="s">
        <v>1900</v>
      </c>
      <c r="XU35" t="s">
        <v>1900</v>
      </c>
      <c r="XV35" t="s">
        <v>1900</v>
      </c>
      <c r="XW35" t="s">
        <v>1900</v>
      </c>
      <c r="XX35" t="s">
        <v>1900</v>
      </c>
      <c r="XY35" t="s">
        <v>1900</v>
      </c>
      <c r="XZ35" t="s">
        <v>1900</v>
      </c>
      <c r="YA35" t="s">
        <v>1900</v>
      </c>
      <c r="YB35" t="s">
        <v>1900</v>
      </c>
      <c r="YC35" t="s">
        <v>1900</v>
      </c>
      <c r="YD35" t="s">
        <v>1900</v>
      </c>
      <c r="YE35" t="s">
        <v>1900</v>
      </c>
      <c r="YF35" t="s">
        <v>1900</v>
      </c>
      <c r="YG35" t="s">
        <v>1900</v>
      </c>
      <c r="YH35" t="s">
        <v>1900</v>
      </c>
      <c r="YI35" t="s">
        <v>1900</v>
      </c>
      <c r="YJ35" t="s">
        <v>1900</v>
      </c>
      <c r="YK35" t="s">
        <v>1900</v>
      </c>
      <c r="YL35" t="s">
        <v>1900</v>
      </c>
      <c r="YM35" t="s">
        <v>1900</v>
      </c>
      <c r="YN35" t="s">
        <v>1900</v>
      </c>
      <c r="YO35" t="s">
        <v>1900</v>
      </c>
      <c r="YP35" t="s">
        <v>1900</v>
      </c>
      <c r="YQ35" t="s">
        <v>1900</v>
      </c>
      <c r="YR35" t="s">
        <v>1900</v>
      </c>
      <c r="YS35" t="s">
        <v>1900</v>
      </c>
      <c r="YT35" t="s">
        <v>1900</v>
      </c>
      <c r="YU35" t="s">
        <v>1900</v>
      </c>
      <c r="YV35" t="s">
        <v>1900</v>
      </c>
      <c r="YW35" t="s">
        <v>1900</v>
      </c>
      <c r="YX35" t="s">
        <v>1900</v>
      </c>
      <c r="YY35" t="s">
        <v>1900</v>
      </c>
      <c r="YZ35" t="s">
        <v>1900</v>
      </c>
      <c r="ZA35" t="s">
        <v>1900</v>
      </c>
      <c r="ZB35" t="s">
        <v>1900</v>
      </c>
      <c r="ZC35" t="s">
        <v>1900</v>
      </c>
      <c r="ZD35" t="s">
        <v>1900</v>
      </c>
      <c r="ZE35" t="s">
        <v>1900</v>
      </c>
      <c r="ZF35" t="s">
        <v>1900</v>
      </c>
      <c r="ZG35" t="s">
        <v>1900</v>
      </c>
      <c r="ZH35" t="s">
        <v>1900</v>
      </c>
      <c r="ZI35" t="s">
        <v>1900</v>
      </c>
      <c r="ZJ35" t="s">
        <v>1900</v>
      </c>
      <c r="ZK35" t="s">
        <v>1900</v>
      </c>
      <c r="ZL35" t="s">
        <v>1900</v>
      </c>
      <c r="ZM35" t="s">
        <v>1900</v>
      </c>
      <c r="ZN35" t="s">
        <v>1900</v>
      </c>
      <c r="ZO35" t="s">
        <v>1900</v>
      </c>
      <c r="ZP35" t="s">
        <v>1900</v>
      </c>
      <c r="ZQ35" t="s">
        <v>1900</v>
      </c>
      <c r="ZR35" t="s">
        <v>1900</v>
      </c>
      <c r="ZS35" t="s">
        <v>1900</v>
      </c>
      <c r="ZT35" t="s">
        <v>1900</v>
      </c>
      <c r="ZU35" t="s">
        <v>1900</v>
      </c>
      <c r="ZV35" t="s">
        <v>1900</v>
      </c>
      <c r="ZW35" t="s">
        <v>1900</v>
      </c>
      <c r="ZX35" t="s">
        <v>1900</v>
      </c>
      <c r="ZY35" t="s">
        <v>1900</v>
      </c>
      <c r="ZZ35" t="s">
        <v>1900</v>
      </c>
      <c r="AAA35" t="s">
        <v>1900</v>
      </c>
      <c r="AAB35" t="s">
        <v>1900</v>
      </c>
      <c r="AAC35" t="s">
        <v>1900</v>
      </c>
      <c r="AAD35" t="s">
        <v>1900</v>
      </c>
      <c r="AAE35" t="s">
        <v>1900</v>
      </c>
      <c r="AAF35" t="s">
        <v>1900</v>
      </c>
      <c r="AAG35" t="s">
        <v>1900</v>
      </c>
      <c r="AAH35" t="s">
        <v>1900</v>
      </c>
      <c r="AAI35" t="s">
        <v>1900</v>
      </c>
      <c r="AAJ35" t="s">
        <v>1900</v>
      </c>
      <c r="AAK35" t="s">
        <v>1900</v>
      </c>
      <c r="AAL35" t="s">
        <v>1900</v>
      </c>
      <c r="AAM35" t="s">
        <v>1900</v>
      </c>
      <c r="AAN35" t="s">
        <v>1900</v>
      </c>
      <c r="AAO35" t="s">
        <v>1900</v>
      </c>
      <c r="AAP35" t="s">
        <v>1900</v>
      </c>
      <c r="AAQ35" t="s">
        <v>1900</v>
      </c>
      <c r="AAR35" t="s">
        <v>1900</v>
      </c>
      <c r="AAS35" t="s">
        <v>1900</v>
      </c>
      <c r="AAT35" t="s">
        <v>1900</v>
      </c>
      <c r="AAU35" t="s">
        <v>1900</v>
      </c>
      <c r="AAV35" t="s">
        <v>1900</v>
      </c>
      <c r="AAW35" t="s">
        <v>1900</v>
      </c>
      <c r="AAX35" t="s">
        <v>1900</v>
      </c>
      <c r="AAY35" t="s">
        <v>1900</v>
      </c>
      <c r="AAZ35" t="s">
        <v>1900</v>
      </c>
      <c r="ABA35" t="s">
        <v>1900</v>
      </c>
      <c r="ABB35" t="s">
        <v>1900</v>
      </c>
      <c r="ABC35" t="s">
        <v>1900</v>
      </c>
      <c r="ABD35" t="s">
        <v>1900</v>
      </c>
      <c r="ABE35" t="s">
        <v>1900</v>
      </c>
      <c r="ABF35" t="s">
        <v>1900</v>
      </c>
      <c r="ABG35" t="s">
        <v>1900</v>
      </c>
      <c r="ABH35" t="s">
        <v>1900</v>
      </c>
      <c r="ABI35" t="s">
        <v>1900</v>
      </c>
      <c r="ABJ35" t="s">
        <v>1900</v>
      </c>
      <c r="ABK35" t="s">
        <v>1900</v>
      </c>
      <c r="ABL35" t="s">
        <v>1900</v>
      </c>
      <c r="ABM35" t="s">
        <v>1900</v>
      </c>
      <c r="ABN35" t="s">
        <v>1900</v>
      </c>
      <c r="ABO35" t="s">
        <v>1900</v>
      </c>
      <c r="ABP35" t="s">
        <v>1900</v>
      </c>
      <c r="ABQ35" t="s">
        <v>1900</v>
      </c>
      <c r="ABR35" t="s">
        <v>1900</v>
      </c>
      <c r="ABS35" t="s">
        <v>1900</v>
      </c>
      <c r="ABT35" t="s">
        <v>1900</v>
      </c>
      <c r="ABU35" t="s">
        <v>1900</v>
      </c>
      <c r="ABV35" t="s">
        <v>1900</v>
      </c>
      <c r="ABW35" t="s">
        <v>1900</v>
      </c>
      <c r="ABX35" t="s">
        <v>1900</v>
      </c>
      <c r="ABY35" t="s">
        <v>1900</v>
      </c>
      <c r="ABZ35" t="s">
        <v>1900</v>
      </c>
      <c r="ACA35" t="s">
        <v>1900</v>
      </c>
      <c r="ACB35" t="s">
        <v>1900</v>
      </c>
      <c r="ACC35" t="s">
        <v>1900</v>
      </c>
      <c r="ACD35" t="s">
        <v>1900</v>
      </c>
      <c r="ACE35">
        <v>30.793</v>
      </c>
      <c r="ACF35">
        <v>14.689</v>
      </c>
      <c r="ACG35">
        <v>3.155</v>
      </c>
      <c r="ACH35">
        <v>6.56</v>
      </c>
      <c r="ACI35">
        <v>25.333</v>
      </c>
      <c r="ACJ35">
        <v>30.803</v>
      </c>
      <c r="ACK35">
        <v>14.7</v>
      </c>
      <c r="ACL35">
        <v>3.161</v>
      </c>
      <c r="ACM35">
        <v>6.571</v>
      </c>
      <c r="ACN35">
        <v>25.348</v>
      </c>
      <c r="ACO35">
        <v>26.721</v>
      </c>
      <c r="ACP35">
        <v>11.594</v>
      </c>
      <c r="ACQ35">
        <v>2.744</v>
      </c>
      <c r="ACR35">
        <v>6.024</v>
      </c>
      <c r="ACS35">
        <v>18.947</v>
      </c>
      <c r="ACT35">
        <v>28.72</v>
      </c>
      <c r="ACU35">
        <v>10.927</v>
      </c>
      <c r="ACV35">
        <v>2.266</v>
      </c>
      <c r="ACW35">
        <v>4.865</v>
      </c>
      <c r="ACX35">
        <v>18.936</v>
      </c>
      <c r="ACY35">
        <v>28.73</v>
      </c>
      <c r="ACZ35">
        <v>10.938</v>
      </c>
      <c r="ADA35">
        <v>2.272</v>
      </c>
      <c r="ADB35">
        <v>4.876</v>
      </c>
      <c r="ADC35">
        <v>18.952</v>
      </c>
      <c r="ADD35">
        <v>24.922</v>
      </c>
      <c r="ADE35">
        <v>8.625</v>
      </c>
      <c r="ADF35">
        <v>1.971</v>
      </c>
      <c r="ADG35">
        <v>4.467</v>
      </c>
      <c r="ADH35">
        <v>14.163</v>
      </c>
      <c r="ADI35">
        <v>21.788</v>
      </c>
      <c r="ADJ35">
        <v>10.816</v>
      </c>
      <c r="ADK35">
        <v>2.34</v>
      </c>
      <c r="ADL35">
        <v>6.741</v>
      </c>
      <c r="ADM35">
        <v>20.624</v>
      </c>
      <c r="ADN35">
        <v>86.593</v>
      </c>
      <c r="ADO35">
        <v>73.113</v>
      </c>
      <c r="ADP35">
        <v>72.511</v>
      </c>
      <c r="ADQ35">
        <v>89.456</v>
      </c>
      <c r="ADR35">
        <v>80.721</v>
      </c>
      <c r="ADS35">
        <v>21.014573318</v>
      </c>
      <c r="ADT35">
        <v>10.605510642</v>
      </c>
      <c r="ADU35">
        <v>2.344456718</v>
      </c>
      <c r="ADV35">
        <v>6.752441592</v>
      </c>
      <c r="ADW35">
        <v>20.636610318</v>
      </c>
      <c r="ADX35">
        <v>22.172</v>
      </c>
      <c r="ADY35">
        <v>11.708</v>
      </c>
      <c r="ADZ35">
        <v>3.366</v>
      </c>
      <c r="AEA35">
        <v>8.542</v>
      </c>
      <c r="AEB35">
        <v>21.708</v>
      </c>
      <c r="AEC35">
        <v>21.015</v>
      </c>
      <c r="AED35">
        <v>10.606</v>
      </c>
      <c r="AEE35">
        <v>2.344</v>
      </c>
      <c r="AEF35">
        <v>6.752</v>
      </c>
      <c r="AEG35">
        <v>20.637</v>
      </c>
      <c r="AEH35">
        <v>21.479</v>
      </c>
      <c r="AEI35">
        <v>9.148999999999999</v>
      </c>
      <c r="AEJ35">
        <v>2.703</v>
      </c>
      <c r="AEK35">
        <v>6.79</v>
      </c>
      <c r="AEL35">
        <v>16.488</v>
      </c>
      <c r="AEM35">
        <v>26.605633724</v>
      </c>
      <c r="AEN35">
        <v>11.863718579</v>
      </c>
      <c r="AEO35">
        <v>2.400741053</v>
      </c>
      <c r="AEP35">
        <v>7.241413831</v>
      </c>
      <c r="AEQ35">
        <v>26.002682598</v>
      </c>
      <c r="AER35">
        <v>1.320449284</v>
      </c>
      <c r="AES35">
        <v>1.169666664</v>
      </c>
      <c r="AET35">
        <v>1.033412552</v>
      </c>
      <c r="AEU35">
        <v>1.081646596</v>
      </c>
      <c r="AEV35">
        <v>1.343459285</v>
      </c>
      <c r="AEW35" t="s">
        <v>1900</v>
      </c>
      <c r="AEX35" t="s">
        <v>1900</v>
      </c>
      <c r="AEY35" t="s">
        <v>1900</v>
      </c>
      <c r="AEZ35" t="s">
        <v>1900</v>
      </c>
      <c r="AFA35" t="s">
        <v>1900</v>
      </c>
      <c r="AFB35" t="s">
        <v>1900</v>
      </c>
      <c r="AFC35" t="s">
        <v>1900</v>
      </c>
      <c r="AFD35" t="s">
        <v>1900</v>
      </c>
      <c r="AFE35" t="s">
        <v>1900</v>
      </c>
      <c r="AFF35" t="s">
        <v>1900</v>
      </c>
      <c r="AFG35">
        <v>1.413</v>
      </c>
      <c r="AFH35">
        <v>1.358</v>
      </c>
      <c r="AFI35">
        <v>1.348</v>
      </c>
      <c r="AFJ35">
        <v>0.973</v>
      </c>
      <c r="AFK35">
        <v>1.228</v>
      </c>
      <c r="AFL35" t="s">
        <v>1901</v>
      </c>
      <c r="AFM35" t="s">
        <v>1901</v>
      </c>
      <c r="AFN35">
        <v>569.249</v>
      </c>
      <c r="AFO35">
        <v>614.274</v>
      </c>
      <c r="AFP35" t="s">
        <v>1901</v>
      </c>
      <c r="AFQ35">
        <v>66.702</v>
      </c>
      <c r="AFR35">
        <v>96.758</v>
      </c>
      <c r="AFS35">
        <v>8.528</v>
      </c>
      <c r="AFT35">
        <v>21.217</v>
      </c>
      <c r="AFU35">
        <v>19.887</v>
      </c>
      <c r="AFV35">
        <v>26.364</v>
      </c>
      <c r="AFW35">
        <v>44.132</v>
      </c>
      <c r="AFX35">
        <v>52.067</v>
      </c>
      <c r="AFY35">
        <v>123.618</v>
      </c>
      <c r="AFZ35">
        <v>117.905</v>
      </c>
      <c r="AGA35">
        <v>5.471</v>
      </c>
      <c r="AGB35">
        <v>18.711</v>
      </c>
      <c r="AGC35">
        <v>10.159</v>
      </c>
      <c r="AGD35">
        <v>2.432</v>
      </c>
      <c r="AGE35">
        <v>3.758</v>
      </c>
      <c r="AGF35" t="s">
        <v>1900</v>
      </c>
      <c r="AGG35" t="s">
        <v>1900</v>
      </c>
      <c r="AGH35" t="s">
        <v>1900</v>
      </c>
      <c r="AGI35" t="s">
        <v>1900</v>
      </c>
      <c r="AGJ35" t="s">
        <v>1900</v>
      </c>
      <c r="AGK35" t="s">
        <v>1900</v>
      </c>
      <c r="AGL35" t="s">
        <v>1900</v>
      </c>
      <c r="AGM35" t="s">
        <v>1900</v>
      </c>
      <c r="AGN35" t="s">
        <v>1900</v>
      </c>
      <c r="AGO35" t="s">
        <v>1900</v>
      </c>
      <c r="AGP35" t="s">
        <v>1900</v>
      </c>
      <c r="AGQ35" t="s">
        <v>1900</v>
      </c>
      <c r="AGR35" t="s">
        <v>1900</v>
      </c>
      <c r="AGS35" t="s">
        <v>1900</v>
      </c>
      <c r="AGT35" t="s">
        <v>1900</v>
      </c>
      <c r="AGU35">
        <v>0</v>
      </c>
      <c r="AGV35">
        <v>0</v>
      </c>
      <c r="AGW35">
        <v>0</v>
      </c>
      <c r="AGX35">
        <v>0</v>
      </c>
      <c r="AGY35">
        <v>0</v>
      </c>
      <c r="AGZ35">
        <v>4.626</v>
      </c>
      <c r="AHA35">
        <v>2.761</v>
      </c>
      <c r="AHB35">
        <v>6.415</v>
      </c>
      <c r="AHC35">
        <v>10.029</v>
      </c>
      <c r="AHD35">
        <v>3.352</v>
      </c>
      <c r="AHE35">
        <v>4.487</v>
      </c>
      <c r="AHF35">
        <v>2.708</v>
      </c>
      <c r="AHG35">
        <v>5.36</v>
      </c>
      <c r="AHH35">
        <v>9.513999999999999</v>
      </c>
      <c r="AHI35">
        <v>3.169</v>
      </c>
      <c r="AHJ35" t="s">
        <v>1901</v>
      </c>
      <c r="AHK35" t="s">
        <v>1901</v>
      </c>
      <c r="AHL35" t="s">
        <v>1901</v>
      </c>
      <c r="AHM35" t="s">
        <v>1901</v>
      </c>
      <c r="AHN35" t="s">
        <v>1901</v>
      </c>
      <c r="AHO35">
        <v>86.776</v>
      </c>
      <c r="AHP35">
        <v>78.928</v>
      </c>
      <c r="AHQ35">
        <v>86.964</v>
      </c>
      <c r="AHR35">
        <v>91.819</v>
      </c>
      <c r="AHS35">
        <v>74.79300000000001</v>
      </c>
      <c r="AHT35" t="s">
        <v>1901</v>
      </c>
      <c r="AHU35" t="s">
        <v>1901</v>
      </c>
      <c r="AHV35" t="s">
        <v>1901</v>
      </c>
      <c r="AHW35" t="s">
        <v>1901</v>
      </c>
      <c r="AHX35" t="s">
        <v>1901</v>
      </c>
      <c r="AHY35">
        <v>0</v>
      </c>
      <c r="AHZ35">
        <v>0</v>
      </c>
      <c r="AIA35">
        <v>0</v>
      </c>
      <c r="AIB35">
        <v>0</v>
      </c>
      <c r="AIC35">
        <v>0</v>
      </c>
      <c r="AID35">
        <v>32.601408801</v>
      </c>
      <c r="AIE35">
        <v>38.066633368</v>
      </c>
      <c r="AIF35">
        <v>13.150648629</v>
      </c>
      <c r="AIG35">
        <v>13.171964047</v>
      </c>
      <c r="AIH35">
        <v>11.277516903</v>
      </c>
      <c r="AII35">
        <v>50.354533462</v>
      </c>
      <c r="AIJ35">
        <v>43.930631057</v>
      </c>
      <c r="AIK35">
        <v>52.919541907</v>
      </c>
      <c r="AIL35">
        <v>47.147310135</v>
      </c>
      <c r="AIM35">
        <v>49.785285258</v>
      </c>
      <c r="AIN35">
        <v>11.360542323</v>
      </c>
      <c r="AIO35">
        <v>15.501287682</v>
      </c>
      <c r="AIP35">
        <v>9.727443193999999</v>
      </c>
      <c r="AIQ35">
        <v>7.576846558</v>
      </c>
      <c r="AIR35">
        <v>24.248412179</v>
      </c>
      <c r="AIS35">
        <v>11.182233667</v>
      </c>
      <c r="AIT35">
        <v>3.843968993</v>
      </c>
      <c r="AIU35">
        <v>42.658599939</v>
      </c>
      <c r="AIV35">
        <v>44.699420713</v>
      </c>
      <c r="AIW35">
        <v>26.083143396</v>
      </c>
      <c r="AIX35">
        <v>17.6149562368964</v>
      </c>
      <c r="AIY35">
        <v>9.63695684494782</v>
      </c>
      <c r="AIZ35">
        <v>1.92939954589725</v>
      </c>
      <c r="AJA35">
        <v>4.42225149169922</v>
      </c>
      <c r="AJB35">
        <v>18.6372209727347</v>
      </c>
      <c r="AJC35">
        <v>80.8465576333973</v>
      </c>
      <c r="AJD35">
        <v>89.0975977559071</v>
      </c>
      <c r="AJE35">
        <v>82.4410358231801</v>
      </c>
      <c r="AJF35">
        <v>65.59793101653101</v>
      </c>
      <c r="AJG35">
        <v>90.3651888662761</v>
      </c>
      <c r="AJH35">
        <v>53.58</v>
      </c>
      <c r="AJI35">
        <v>50.649</v>
      </c>
      <c r="AJJ35">
        <v>57.676</v>
      </c>
      <c r="AJK35">
        <v>65.764</v>
      </c>
      <c r="AJL35">
        <v>47.258</v>
      </c>
      <c r="AJM35">
        <v>43.3172093275454</v>
      </c>
      <c r="AJN35">
        <v>45.1267760173426</v>
      </c>
      <c r="AJO35">
        <v>47.5488750614202</v>
      </c>
      <c r="AJP35">
        <v>43.1398736090898</v>
      </c>
      <c r="AJQ35">
        <v>42.7046864351624</v>
      </c>
      <c r="AJR35">
        <v>57.2036039404259</v>
      </c>
      <c r="AJS35">
        <v>65.6059468981428</v>
      </c>
      <c r="AJT35">
        <v>61.1466554225683</v>
      </c>
      <c r="AJU35">
        <v>67.4075273013782</v>
      </c>
      <c r="AJV35">
        <v>73.5692070774508</v>
      </c>
      <c r="AJW35">
        <v>5.9042634818542</v>
      </c>
      <c r="AJX35">
        <v>7.21244873685837</v>
      </c>
      <c r="AJY35">
        <v>19.2644197217625</v>
      </c>
      <c r="AJZ35">
        <v>25.1738494634914</v>
      </c>
      <c r="AKA35">
        <v>33.196718574602</v>
      </c>
      <c r="AKB35">
        <v>65.9211606285611</v>
      </c>
      <c r="AKC35">
        <v>83.1217351840134</v>
      </c>
      <c r="AKD35">
        <v>70.3126509140336</v>
      </c>
      <c r="AKE35">
        <v>73.4131132493019</v>
      </c>
      <c r="AKF35">
        <v>98.3642553003907</v>
      </c>
      <c r="AKG35">
        <v>11.182233667</v>
      </c>
      <c r="AKH35">
        <v>3.843968993</v>
      </c>
      <c r="AKI35">
        <v>42.658599939</v>
      </c>
      <c r="AKJ35">
        <v>44.699420713</v>
      </c>
      <c r="AKK35">
        <v>26.083143396</v>
      </c>
      <c r="AKL35">
        <v>1.499197376</v>
      </c>
      <c r="AKM35">
        <v>1.033511308</v>
      </c>
      <c r="AKN35">
        <v>11.726251157</v>
      </c>
      <c r="AKO35">
        <v>4.713229614</v>
      </c>
      <c r="AKP35">
        <v>5.028516966</v>
      </c>
      <c r="AKQ35">
        <v>1.838634902</v>
      </c>
      <c r="AKR35">
        <v>1.10781343</v>
      </c>
      <c r="AKS35">
        <v>13.748938343</v>
      </c>
      <c r="AKT35">
        <v>4.211483469</v>
      </c>
      <c r="AKU35">
        <v>4.619593585</v>
      </c>
      <c r="AKV35">
        <v>0</v>
      </c>
      <c r="AKW35">
        <v>0</v>
      </c>
      <c r="AKX35">
        <v>0</v>
      </c>
      <c r="AKY35">
        <v>0</v>
      </c>
      <c r="AKZ35">
        <v>0.004212789</v>
      </c>
      <c r="ALA35">
        <v>0</v>
      </c>
      <c r="ALB35">
        <v>0</v>
      </c>
      <c r="ALC35">
        <v>0</v>
      </c>
      <c r="ALD35">
        <v>0</v>
      </c>
      <c r="ALE35">
        <v>0.003870202</v>
      </c>
      <c r="ALF35">
        <v>5.074824727</v>
      </c>
      <c r="ALG35">
        <v>3.502775147</v>
      </c>
      <c r="ALH35">
        <v>2.748821731</v>
      </c>
      <c r="ALI35">
        <v>5.356601023</v>
      </c>
      <c r="ALJ35">
        <v>4.59964877</v>
      </c>
      <c r="ALK35">
        <v>6.223830175</v>
      </c>
      <c r="ALL35">
        <v>3.754599798</v>
      </c>
      <c r="ALM35">
        <v>3.222972115</v>
      </c>
      <c r="ALN35">
        <v>4.786364872</v>
      </c>
      <c r="ALO35">
        <v>4.225601324</v>
      </c>
      <c r="ALP35">
        <v>7.323465975</v>
      </c>
      <c r="ALQ35">
        <v>12.258988177</v>
      </c>
      <c r="ALR35">
        <v>14.463122742</v>
      </c>
      <c r="ALS35">
        <v>34.338362677</v>
      </c>
      <c r="ALT35">
        <v>32.751514414</v>
      </c>
      <c r="ALU35">
        <v>20.749929082</v>
      </c>
      <c r="ALV35">
        <v>42.397475394</v>
      </c>
      <c r="ALW35">
        <v>19.51073575</v>
      </c>
      <c r="ALX35">
        <v>1.967512101</v>
      </c>
      <c r="ALY35">
        <v>3.187185699</v>
      </c>
      <c r="ALZ35">
        <v>86.5930419606315</v>
      </c>
      <c r="AMA35">
        <v>73.113432764884</v>
      </c>
      <c r="AMB35">
        <v>72.5114017478479</v>
      </c>
      <c r="AMC35">
        <v>89.4557255139473</v>
      </c>
      <c r="AMD35">
        <v>80.7212003181303</v>
      </c>
      <c r="AME35">
        <v>86.83214537290939</v>
      </c>
      <c r="AMF35">
        <v>73.113432764884</v>
      </c>
      <c r="AMG35">
        <v>77.1993940649662</v>
      </c>
      <c r="AMH35">
        <v>90.4096666544162</v>
      </c>
      <c r="AMI35">
        <v>90.9040077186381</v>
      </c>
      <c r="AMJ35">
        <v>645.88135284945</v>
      </c>
      <c r="AMK35">
        <v>271.932940064554</v>
      </c>
      <c r="AML35">
        <v>263.787193085304</v>
      </c>
      <c r="AMM35">
        <v>848.381988085319</v>
      </c>
      <c r="AMN35">
        <v>418.704492240991</v>
      </c>
      <c r="AMO35">
        <v>1.32044928393974</v>
      </c>
      <c r="AMP35">
        <v>1.16966666435557</v>
      </c>
      <c r="AMQ35">
        <v>1.0334125522584</v>
      </c>
      <c r="AMR35">
        <v>1.08164659577627</v>
      </c>
      <c r="AMS35">
        <v>1.3434592849444</v>
      </c>
      <c r="AMT35">
        <v>1.32044928393974</v>
      </c>
      <c r="AMU35">
        <v>1.16966666435557</v>
      </c>
      <c r="AMV35">
        <v>1.0334125522584</v>
      </c>
      <c r="AMW35">
        <v>1.08164659577627</v>
      </c>
      <c r="AMX35">
        <v>1.3434592849444</v>
      </c>
      <c r="AMY35">
        <v>1.32044928393974</v>
      </c>
      <c r="AMZ35">
        <v>1.16966666435557</v>
      </c>
      <c r="ANA35">
        <v>1.0334125522584</v>
      </c>
      <c r="ANB35">
        <v>1.08164659577627</v>
      </c>
      <c r="ANC35">
        <v>1.3434592849444</v>
      </c>
      <c r="AND35">
        <v>21.0145733182997</v>
      </c>
      <c r="ANE35">
        <v>10.6055106423312</v>
      </c>
      <c r="ANF35">
        <v>2.34445671763395</v>
      </c>
      <c r="ANG35">
        <v>6.75244159176454</v>
      </c>
      <c r="ANH35">
        <v>20.6366103177189</v>
      </c>
      <c r="ANI35">
        <v>21.0725994145564</v>
      </c>
      <c r="ANJ35">
        <v>10.6055106423312</v>
      </c>
      <c r="ANK35">
        <v>2.49603005389773</v>
      </c>
      <c r="ANL35">
        <v>6.82444851805114</v>
      </c>
      <c r="ANM35">
        <v>23.2398747319804</v>
      </c>
      <c r="ANN35">
        <v>26.6056337240353</v>
      </c>
      <c r="ANO35">
        <v>11.8637185787799</v>
      </c>
      <c r="ANP35">
        <v>2.40074105251258</v>
      </c>
      <c r="ANQ35">
        <v>7.24141383112952</v>
      </c>
      <c r="ANR35">
        <v>26.002682597523</v>
      </c>
      <c r="ANS35">
        <v>29.7001552231925</v>
      </c>
      <c r="ANT35">
        <v>14.4030467177461</v>
      </c>
      <c r="ANU35">
        <v>3.16091599810372</v>
      </c>
      <c r="ANV35">
        <v>6.57116821872927</v>
      </c>
      <c r="ANW35">
        <v>25.3479853853624</v>
      </c>
      <c r="ANX35">
        <v>86.5930419606315</v>
      </c>
      <c r="ANY35">
        <v>73.113432764884</v>
      </c>
      <c r="ANZ35">
        <v>72.5114017478479</v>
      </c>
      <c r="AOA35">
        <v>89.4557255139473</v>
      </c>
      <c r="AOB35">
        <v>80.7212003181303</v>
      </c>
      <c r="AOC35">
        <v>109.631669535177</v>
      </c>
      <c r="AOD35">
        <v>81.78740467139529</v>
      </c>
      <c r="AOE35">
        <v>74.25221273736079</v>
      </c>
      <c r="AOF35">
        <v>95.9335847940515</v>
      </c>
      <c r="AOG35">
        <v>101.710877825764</v>
      </c>
      <c r="AOH35" t="s">
        <v>1901</v>
      </c>
      <c r="AOI35">
        <v>78.3697692308675</v>
      </c>
      <c r="AOJ35">
        <v>85.0190549776428</v>
      </c>
      <c r="AOK35">
        <v>79.9327297991408</v>
      </c>
      <c r="AOL35">
        <v>74.1568819811406</v>
      </c>
      <c r="AOM35">
        <v>156.743783762073</v>
      </c>
      <c r="AON35">
        <v>39.4453875408816</v>
      </c>
      <c r="AOO35">
        <v>8.52883328618039</v>
      </c>
      <c r="AOP35">
        <v>64.0389398122765</v>
      </c>
      <c r="AOQ35">
        <v>107.043024764276</v>
      </c>
      <c r="AOR35">
        <v>32.0449283939736</v>
      </c>
      <c r="AOS35">
        <v>16.9666664355569</v>
      </c>
      <c r="AOT35">
        <v>3.3412552258395</v>
      </c>
      <c r="AOU35">
        <v>8.164659577627001</v>
      </c>
      <c r="AOV35">
        <v>34.3459284944401</v>
      </c>
      <c r="AOW35">
        <v>25.7725424162378</v>
      </c>
      <c r="AOX35">
        <v>11.367971522932</v>
      </c>
      <c r="AOY35">
        <v>2.74885727988482</v>
      </c>
      <c r="AOZ35">
        <v>6.03361144452227</v>
      </c>
      <c r="APA35">
        <v>18.9584231873487</v>
      </c>
      <c r="APB35">
        <v>20.321149250196</v>
      </c>
      <c r="APC35">
        <v>8.04615286680913</v>
      </c>
      <c r="APD35">
        <v>1.68101878492319</v>
      </c>
      <c r="APE35">
        <v>4.99959717945621</v>
      </c>
      <c r="APF35">
        <v>15.4168076288329</v>
      </c>
      <c r="APG35">
        <v>20.3772606422561</v>
      </c>
      <c r="APH35">
        <v>8.04615286680913</v>
      </c>
      <c r="API35">
        <v>1.78969966763534</v>
      </c>
      <c r="APJ35">
        <v>5.05291206129138</v>
      </c>
      <c r="APK35">
        <v>17.3616050574686</v>
      </c>
      <c r="APL35">
        <v>151.571662941918</v>
      </c>
      <c r="APM35">
        <v>29.9262929196116</v>
      </c>
      <c r="APN35">
        <v>6.11533105290874</v>
      </c>
      <c r="APO35">
        <v>47.4152791267844</v>
      </c>
      <c r="APP35">
        <v>79.967673730908</v>
      </c>
      <c r="APQ35">
        <v>30.9875324491466</v>
      </c>
      <c r="APR35">
        <v>12.8722129829142</v>
      </c>
      <c r="APS35">
        <v>2.39574173309005</v>
      </c>
      <c r="APT35">
        <v>6.04522207867881</v>
      </c>
      <c r="APU35">
        <v>25.6585051653466</v>
      </c>
      <c r="APV35">
        <v>25.7277197882177</v>
      </c>
      <c r="APW35">
        <v>9.000725799345799</v>
      </c>
      <c r="APX35">
        <v>1.72137569299329</v>
      </c>
      <c r="APY35">
        <v>5.36163870111011</v>
      </c>
      <c r="APZ35">
        <v>19.425591183229</v>
      </c>
      <c r="AQA35">
        <v>24.9221182397888</v>
      </c>
      <c r="AQB35">
        <v>8.624614103346779</v>
      </c>
      <c r="AQC35">
        <v>1.97098146014088</v>
      </c>
      <c r="AQD35">
        <v>4.46736581872238</v>
      </c>
      <c r="AQE35">
        <v>14.1630994007968</v>
      </c>
      <c r="AQF35">
        <v>0.320449283939736</v>
      </c>
      <c r="AQG35">
        <v>0.169666664355569</v>
      </c>
      <c r="AQH35">
        <v>0.033412552258395</v>
      </c>
      <c r="AQI35">
        <v>0.08164659577627</v>
      </c>
      <c r="AQJ35">
        <v>0.343459284944401</v>
      </c>
      <c r="AQK35">
        <v>2</v>
      </c>
      <c r="AQO35" t="s">
        <v>1903</v>
      </c>
      <c r="AQP35">
        <v>5</v>
      </c>
      <c r="AQQ35">
        <v>0</v>
      </c>
      <c r="AQS35" t="s">
        <v>1905</v>
      </c>
      <c r="AQU35" t="s">
        <v>1906</v>
      </c>
      <c r="AQV35">
        <v>1697777.70199015</v>
      </c>
      <c r="AQW35">
        <v>1603756.75739633</v>
      </c>
      <c r="AQX35">
        <v>1483938.65335004</v>
      </c>
      <c r="AQY35">
        <v>356780.739966463</v>
      </c>
      <c r="AQZ35">
        <v>170086.593582773</v>
      </c>
      <c r="ARA35">
        <v>34790.2994440317</v>
      </c>
      <c r="ARB35">
        <v>4785473.11273652</v>
      </c>
      <c r="ARC35">
        <v>561657.6329932676</v>
      </c>
      <c r="ARD35">
        <v>0.1329739984350378</v>
      </c>
      <c r="ARE35">
        <v>0.1329739984350378</v>
      </c>
      <c r="ARF35">
        <v>0.1329739984350378</v>
      </c>
      <c r="ARG35">
        <v>0.1329739984350378</v>
      </c>
      <c r="ARH35">
        <v>0.1329739984350378</v>
      </c>
      <c r="ARI35">
        <v>0.1329739984350378</v>
      </c>
      <c r="ARJ35" t="s">
        <v>1196</v>
      </c>
      <c r="ARK35" t="s">
        <v>1534</v>
      </c>
      <c r="ARL35" t="s">
        <v>1908</v>
      </c>
      <c r="ARM35" t="s">
        <v>1908</v>
      </c>
      <c r="ARN35" t="s">
        <v>1909</v>
      </c>
      <c r="ARO35" t="s">
        <v>1908</v>
      </c>
      <c r="ARP35" t="s">
        <v>1907</v>
      </c>
      <c r="ARQ35" t="s">
        <v>1937</v>
      </c>
      <c r="ARR35">
        <f>HYPERLINK("C:\Users\Usuario\Documents\Proyectos\llmthon\evidence\datio_es_234003.png", "Ver Evidencia")</f>
        <v>0</v>
      </c>
      <c r="ARS35">
        <v>95</v>
      </c>
    </row>
    <row r="36" spans="1:1163">
      <c r="A36">
        <v>732</v>
      </c>
      <c r="B36" t="s">
        <v>1197</v>
      </c>
      <c r="C36" t="s">
        <v>1320</v>
      </c>
      <c r="E36" s="2">
        <v>44348</v>
      </c>
      <c r="F36" t="s">
        <v>1431</v>
      </c>
      <c r="G36" t="s">
        <v>1433</v>
      </c>
      <c r="H36" t="s">
        <v>1434</v>
      </c>
      <c r="I36" t="s">
        <v>1435</v>
      </c>
      <c r="J36" t="s">
        <v>1451</v>
      </c>
      <c r="L36" t="s">
        <v>1535</v>
      </c>
      <c r="N36" t="s">
        <v>1638</v>
      </c>
      <c r="O36" t="s">
        <v>1662</v>
      </c>
      <c r="P36">
        <v>8299</v>
      </c>
      <c r="Q36">
        <v>8299</v>
      </c>
      <c r="R36" t="s">
        <v>1706</v>
      </c>
      <c r="Z36" t="s">
        <v>1899</v>
      </c>
      <c r="AA36" s="2">
        <v>45291</v>
      </c>
      <c r="AB36">
        <v>2023</v>
      </c>
      <c r="AC36" t="s">
        <v>1900</v>
      </c>
      <c r="AD36">
        <v>168495.691218796</v>
      </c>
      <c r="AE36">
        <v>42050.8341485143</v>
      </c>
      <c r="AF36">
        <v>1143.92631053925</v>
      </c>
      <c r="AG36" t="s">
        <v>1900</v>
      </c>
      <c r="AH36" t="s">
        <v>1900</v>
      </c>
      <c r="AI36">
        <v>15373.6177494907</v>
      </c>
      <c r="AJ36">
        <v>31384.8392659307</v>
      </c>
      <c r="AK36" t="s">
        <v>1900</v>
      </c>
      <c r="AL36" t="s">
        <v>1900</v>
      </c>
      <c r="AM36" t="s">
        <v>1900</v>
      </c>
      <c r="AN36">
        <v>2685.6816053009</v>
      </c>
      <c r="AO36">
        <v>14771.6456267416</v>
      </c>
      <c r="AP36">
        <v>4071.21108720303</v>
      </c>
      <c r="AQ36" t="s">
        <v>1900</v>
      </c>
      <c r="AR36" t="s">
        <v>1900</v>
      </c>
      <c r="AS36">
        <v>165810.009613495</v>
      </c>
      <c r="AT36">
        <v>27279.1885217726</v>
      </c>
      <c r="AU36">
        <v>-2927.28477666378</v>
      </c>
      <c r="AV36" t="s">
        <v>1900</v>
      </c>
      <c r="AW36" t="s">
        <v>1900</v>
      </c>
      <c r="AX36">
        <v>468170.908559351</v>
      </c>
      <c r="AY36">
        <v>317319.470037925</v>
      </c>
      <c r="AZ36">
        <v>85331.1944606781</v>
      </c>
      <c r="BA36" t="s">
        <v>1900</v>
      </c>
      <c r="BB36" t="s">
        <v>1900</v>
      </c>
      <c r="BC36">
        <v>-302360.898945856</v>
      </c>
      <c r="BD36">
        <v>-290040.281516153</v>
      </c>
      <c r="BE36">
        <v>-88258.4792373419</v>
      </c>
      <c r="BF36" t="s">
        <v>1900</v>
      </c>
      <c r="BG36" t="s">
        <v>1900</v>
      </c>
      <c r="BH36">
        <v>-13320.3058279896</v>
      </c>
      <c r="BI36">
        <v>-5590.38922979832</v>
      </c>
      <c r="BJ36">
        <v>-408.857384991646</v>
      </c>
      <c r="BK36" t="s">
        <v>1900</v>
      </c>
      <c r="BL36" t="s">
        <v>1900</v>
      </c>
      <c r="BM36" t="s">
        <v>1900</v>
      </c>
      <c r="BN36" t="s">
        <v>1900</v>
      </c>
      <c r="BO36" t="s">
        <v>1900</v>
      </c>
      <c r="BP36" t="s">
        <v>1900</v>
      </c>
      <c r="BQ36" t="s">
        <v>1900</v>
      </c>
      <c r="BR36">
        <v>13320.3058279896</v>
      </c>
      <c r="BS36">
        <v>5590.38922979832</v>
      </c>
      <c r="BT36">
        <v>408.857384991646</v>
      </c>
      <c r="BU36" t="s">
        <v>1900</v>
      </c>
      <c r="BV36" t="s">
        <v>1900</v>
      </c>
      <c r="BW36">
        <v>-315681.204773846</v>
      </c>
      <c r="BX36">
        <v>-295630.670745951</v>
      </c>
      <c r="BY36">
        <v>-88667.3366223335</v>
      </c>
      <c r="BZ36" t="s">
        <v>1900</v>
      </c>
      <c r="CA36" t="s">
        <v>1900</v>
      </c>
      <c r="CB36" t="s">
        <v>1900</v>
      </c>
      <c r="CC36" t="s">
        <v>1900</v>
      </c>
      <c r="CD36" t="s">
        <v>1900</v>
      </c>
      <c r="CE36" t="s">
        <v>1900</v>
      </c>
      <c r="CF36" t="s">
        <v>1900</v>
      </c>
      <c r="CG36">
        <v>-315681.204773846</v>
      </c>
      <c r="CH36">
        <v>-295630.670745951</v>
      </c>
      <c r="CI36">
        <v>-88667.3366223335</v>
      </c>
      <c r="CJ36" t="s">
        <v>1900</v>
      </c>
      <c r="CK36" t="s">
        <v>1900</v>
      </c>
      <c r="CL36" t="s">
        <v>1900</v>
      </c>
      <c r="CM36" t="s">
        <v>1900</v>
      </c>
      <c r="CN36" t="s">
        <v>1900</v>
      </c>
      <c r="CO36" t="s">
        <v>1900</v>
      </c>
      <c r="CP36" t="s">
        <v>1900</v>
      </c>
      <c r="CQ36" t="s">
        <v>1900</v>
      </c>
      <c r="CR36" t="s">
        <v>1900</v>
      </c>
      <c r="CS36" t="s">
        <v>1900</v>
      </c>
      <c r="CT36" t="s">
        <v>1900</v>
      </c>
      <c r="CU36" t="s">
        <v>1900</v>
      </c>
      <c r="CV36" t="s">
        <v>1900</v>
      </c>
      <c r="CW36" t="s">
        <v>1900</v>
      </c>
      <c r="CX36" t="s">
        <v>1900</v>
      </c>
      <c r="CY36" t="s">
        <v>1900</v>
      </c>
      <c r="CZ36" t="s">
        <v>1900</v>
      </c>
      <c r="DA36">
        <v>-315681.204773846</v>
      </c>
      <c r="DB36">
        <v>-295630.670745951</v>
      </c>
      <c r="DC36">
        <v>-88667.3366223335</v>
      </c>
      <c r="DD36" t="s">
        <v>1900</v>
      </c>
      <c r="DE36" t="s">
        <v>1900</v>
      </c>
      <c r="DF36" t="s">
        <v>1900</v>
      </c>
      <c r="DG36" t="s">
        <v>1900</v>
      </c>
      <c r="DH36" t="s">
        <v>1900</v>
      </c>
      <c r="DI36" t="s">
        <v>1900</v>
      </c>
      <c r="DJ36" t="s">
        <v>1900</v>
      </c>
      <c r="DK36">
        <v>2685.6816053009</v>
      </c>
      <c r="DL36">
        <v>14771.6456267416</v>
      </c>
      <c r="DM36">
        <v>4071.21108720303</v>
      </c>
      <c r="DN36" t="s">
        <v>1900</v>
      </c>
      <c r="DO36" t="s">
        <v>1900</v>
      </c>
      <c r="DP36">
        <v>560570.409127111</v>
      </c>
      <c r="DQ36">
        <v>299344.879477918</v>
      </c>
      <c r="DR36">
        <v>102301.420559549</v>
      </c>
      <c r="DS36" t="s">
        <v>1900</v>
      </c>
      <c r="DT36" t="s">
        <v>1900</v>
      </c>
      <c r="DU36">
        <v>112190.446199694</v>
      </c>
      <c r="DV36">
        <v>37162.2567159951</v>
      </c>
      <c r="DW36">
        <v>9190.71171498299</v>
      </c>
      <c r="DX36" t="s">
        <v>1900</v>
      </c>
      <c r="DY36" t="s">
        <v>1900</v>
      </c>
      <c r="DZ36">
        <v>-204589.946767454</v>
      </c>
      <c r="EA36">
        <v>-19187.666155988</v>
      </c>
      <c r="EB36">
        <v>-26160.9378138542</v>
      </c>
      <c r="EC36" t="s">
        <v>1900</v>
      </c>
      <c r="ED36" t="s">
        <v>1900</v>
      </c>
      <c r="EE36">
        <v>13088.4325239277</v>
      </c>
      <c r="EF36">
        <v>5590.38922979832</v>
      </c>
      <c r="EG36">
        <v>377.121924376488</v>
      </c>
      <c r="EH36" t="s">
        <v>1900</v>
      </c>
      <c r="EI36" t="s">
        <v>1900</v>
      </c>
      <c r="EJ36" t="s">
        <v>1900</v>
      </c>
      <c r="EK36" t="s">
        <v>1900</v>
      </c>
      <c r="EL36" t="s">
        <v>1900</v>
      </c>
      <c r="EM36" t="s">
        <v>1900</v>
      </c>
      <c r="EN36" t="s">
        <v>1900</v>
      </c>
      <c r="EO36">
        <v>-203490.757469151</v>
      </c>
      <c r="EP36">
        <v>-258468.414029956</v>
      </c>
      <c r="EQ36">
        <v>-79476.6249073505</v>
      </c>
      <c r="ER36" t="s">
        <v>1900</v>
      </c>
      <c r="ES36" t="s">
        <v>1900</v>
      </c>
      <c r="ET36">
        <v>370168.083076887</v>
      </c>
      <c r="EU36">
        <v>46466.8536111611</v>
      </c>
      <c r="EV36">
        <v>23201.9175765753</v>
      </c>
      <c r="EW36" t="s">
        <v>1900</v>
      </c>
      <c r="EX36" t="s">
        <v>1900</v>
      </c>
      <c r="EY36">
        <v>-190170.452746162</v>
      </c>
      <c r="EZ36">
        <v>-252878.024800158</v>
      </c>
      <c r="FA36">
        <v>-79067.7675223589</v>
      </c>
      <c r="FB36" t="s">
        <v>1900</v>
      </c>
      <c r="FC36" t="s">
        <v>1900</v>
      </c>
      <c r="FD36">
        <v>321873.892753048</v>
      </c>
      <c r="FE36">
        <v>152516.164630574</v>
      </c>
      <c r="FF36">
        <v>39578.2194002151</v>
      </c>
      <c r="FG36" t="s">
        <v>1900</v>
      </c>
      <c r="FH36" t="s">
        <v>1900</v>
      </c>
      <c r="FI36">
        <v>298389.980213757</v>
      </c>
      <c r="FJ36">
        <v>149051.230865008</v>
      </c>
      <c r="FK36">
        <v>38030.407820034</v>
      </c>
      <c r="FL36" t="s">
        <v>1900</v>
      </c>
      <c r="FM36" t="s">
        <v>1900</v>
      </c>
      <c r="FN36">
        <v>6663.04249029159</v>
      </c>
      <c r="FO36">
        <v>3464.93376556635</v>
      </c>
      <c r="FP36">
        <v>1547.81158018112</v>
      </c>
      <c r="FQ36" t="s">
        <v>1900</v>
      </c>
      <c r="FR36" t="s">
        <v>1900</v>
      </c>
      <c r="FS36">
        <v>16820.8700489998</v>
      </c>
      <c r="FT36">
        <v>0</v>
      </c>
      <c r="FU36">
        <v>0</v>
      </c>
      <c r="FV36" t="s">
        <v>1900</v>
      </c>
      <c r="FW36" t="s">
        <v>1900</v>
      </c>
      <c r="FX36">
        <v>298389.980213757</v>
      </c>
      <c r="FY36">
        <v>149051.230865008</v>
      </c>
      <c r="FZ36">
        <v>38030.407820034</v>
      </c>
      <c r="GA36" t="s">
        <v>1900</v>
      </c>
      <c r="GB36" t="s">
        <v>1900</v>
      </c>
      <c r="GC36">
        <v>6663.04249029159</v>
      </c>
      <c r="GD36">
        <v>3464.93376556635</v>
      </c>
      <c r="GE36">
        <v>1547.81158018112</v>
      </c>
      <c r="GF36" t="s">
        <v>1900</v>
      </c>
      <c r="GG36" t="s">
        <v>1900</v>
      </c>
      <c r="GH36">
        <v>16820.8700489998</v>
      </c>
      <c r="GI36">
        <v>0</v>
      </c>
      <c r="GJ36">
        <v>0</v>
      </c>
      <c r="GK36" t="s">
        <v>1900</v>
      </c>
      <c r="GL36" t="s">
        <v>1900</v>
      </c>
      <c r="GM36">
        <v>360425.592054577</v>
      </c>
      <c r="GN36">
        <v>431962.830705416</v>
      </c>
      <c r="GO36">
        <v>128438.030118799</v>
      </c>
      <c r="GP36" t="s">
        <v>1900</v>
      </c>
      <c r="GQ36" t="s">
        <v>1900</v>
      </c>
      <c r="GR36">
        <v>0</v>
      </c>
      <c r="GS36">
        <v>0</v>
      </c>
      <c r="GT36">
        <v>0</v>
      </c>
      <c r="GU36" t="s">
        <v>1900</v>
      </c>
      <c r="GV36" t="s">
        <v>1900</v>
      </c>
      <c r="GW36">
        <v>38859.187789526</v>
      </c>
      <c r="GX36">
        <v>23876.416174382</v>
      </c>
      <c r="GY36">
        <v>5269.69475455284</v>
      </c>
      <c r="GZ36" t="s">
        <v>1900</v>
      </c>
      <c r="HA36" t="s">
        <v>1900</v>
      </c>
      <c r="HB36">
        <v>321566.404265051</v>
      </c>
      <c r="HC36">
        <v>408086.414531034</v>
      </c>
      <c r="HD36">
        <v>123168.335364246</v>
      </c>
      <c r="HE36" t="s">
        <v>1900</v>
      </c>
      <c r="HF36" t="s">
        <v>1900</v>
      </c>
      <c r="HG36">
        <v>310516.399305944</v>
      </c>
      <c r="HH36">
        <v>397420.419648451</v>
      </c>
      <c r="HI36">
        <v>111842.3322896</v>
      </c>
      <c r="HJ36" t="s">
        <v>1900</v>
      </c>
      <c r="HK36" t="s">
        <v>1900</v>
      </c>
      <c r="HL36">
        <v>682299.4848076249</v>
      </c>
      <c r="HM36">
        <v>584478.99533599</v>
      </c>
      <c r="HN36">
        <v>168016.249519014</v>
      </c>
      <c r="HO36" t="s">
        <v>1900</v>
      </c>
      <c r="HP36" t="s">
        <v>1900</v>
      </c>
      <c r="HQ36">
        <v>435745.011557007</v>
      </c>
      <c r="HR36">
        <v>351013.433199966</v>
      </c>
      <c r="HS36">
        <v>-83219.52914342879</v>
      </c>
      <c r="HT36" t="s">
        <v>1900</v>
      </c>
      <c r="HU36" t="s">
        <v>1900</v>
      </c>
      <c r="HV36">
        <v>2892.9907483387</v>
      </c>
      <c r="HW36">
        <v>4769.83291149139</v>
      </c>
      <c r="HX36">
        <v>4422.80420064926</v>
      </c>
      <c r="HY36" t="s">
        <v>1900</v>
      </c>
      <c r="HZ36" t="s">
        <v>1900</v>
      </c>
      <c r="IA36">
        <v>432852.020808668</v>
      </c>
      <c r="IB36">
        <v>346243.598155276</v>
      </c>
      <c r="IC36">
        <v>-87642.3333440781</v>
      </c>
      <c r="ID36" t="s">
        <v>1900</v>
      </c>
      <c r="IE36" t="s">
        <v>1900</v>
      </c>
      <c r="IF36">
        <v>199168.902734556</v>
      </c>
      <c r="IG36">
        <v>192247.379544014</v>
      </c>
      <c r="IH36">
        <v>226897.149439287</v>
      </c>
      <c r="II36" t="s">
        <v>1900</v>
      </c>
      <c r="IJ36" t="s">
        <v>1900</v>
      </c>
      <c r="IK36">
        <v>199168.902734556</v>
      </c>
      <c r="IL36">
        <v>192247.379544014</v>
      </c>
      <c r="IM36">
        <v>226897.149439287</v>
      </c>
      <c r="IN36" t="s">
        <v>1900</v>
      </c>
      <c r="IO36" t="s">
        <v>1900</v>
      </c>
      <c r="IP36">
        <v>0</v>
      </c>
      <c r="IQ36">
        <v>0</v>
      </c>
      <c r="IR36">
        <v>0</v>
      </c>
      <c r="IS36" t="s">
        <v>1900</v>
      </c>
      <c r="IT36" t="s">
        <v>1900</v>
      </c>
      <c r="IU36">
        <v>0</v>
      </c>
      <c r="IV36">
        <v>0</v>
      </c>
      <c r="IW36">
        <v>0</v>
      </c>
      <c r="IX36" t="s">
        <v>1900</v>
      </c>
      <c r="IY36" t="s">
        <v>1900</v>
      </c>
      <c r="IZ36">
        <v>47385.5705160618</v>
      </c>
      <c r="JA36">
        <v>41218.1825920105</v>
      </c>
      <c r="JB36">
        <v>24338.629223156</v>
      </c>
      <c r="JC36" t="s">
        <v>1900</v>
      </c>
      <c r="JD36" t="s">
        <v>1900</v>
      </c>
      <c r="JE36">
        <v>4930.7000628376</v>
      </c>
      <c r="JF36">
        <v>4304.03824897409</v>
      </c>
      <c r="JG36">
        <v>0</v>
      </c>
      <c r="JH36" t="s">
        <v>1900</v>
      </c>
      <c r="JI36" t="s">
        <v>1900</v>
      </c>
      <c r="JJ36">
        <v>13258.3816001987</v>
      </c>
      <c r="JK36">
        <v>14959.0898208082</v>
      </c>
      <c r="JL36">
        <v>0</v>
      </c>
      <c r="JM36" t="s">
        <v>1900</v>
      </c>
      <c r="JN36" t="s">
        <v>1900</v>
      </c>
      <c r="JO36">
        <v>29196.4888530254</v>
      </c>
      <c r="JP36">
        <v>21955.0545222282</v>
      </c>
      <c r="JQ36">
        <v>24338.629223156</v>
      </c>
      <c r="JR36" t="s">
        <v>1900</v>
      </c>
      <c r="JS36" t="s">
        <v>1900</v>
      </c>
      <c r="JT36">
        <v>682299.4848076249</v>
      </c>
      <c r="JU36">
        <v>584478.99533599</v>
      </c>
      <c r="JV36">
        <v>168016.249519014</v>
      </c>
      <c r="JW36" t="s">
        <v>1900</v>
      </c>
      <c r="JX36" t="s">
        <v>1900</v>
      </c>
      <c r="JY36">
        <v>25600.8061893272</v>
      </c>
      <c r="JZ36">
        <v>8917.32528697431</v>
      </c>
      <c r="KA36">
        <v>5269.69475455284</v>
      </c>
      <c r="KB36" t="s">
        <v>1900</v>
      </c>
      <c r="KC36" t="s">
        <v>1900</v>
      </c>
      <c r="KD36" t="s">
        <v>1900</v>
      </c>
      <c r="KE36" t="s">
        <v>1900</v>
      </c>
      <c r="KF36" t="s">
        <v>1900</v>
      </c>
      <c r="KG36" t="s">
        <v>1900</v>
      </c>
      <c r="KH36" t="s">
        <v>1900</v>
      </c>
      <c r="KI36" t="s">
        <v>1900</v>
      </c>
      <c r="KJ36" t="s">
        <v>1900</v>
      </c>
      <c r="KK36" t="s">
        <v>1900</v>
      </c>
      <c r="KL36" t="s">
        <v>1900</v>
      </c>
      <c r="KM36" t="s">
        <v>1900</v>
      </c>
      <c r="KN36">
        <v>17</v>
      </c>
      <c r="KO36">
        <v>5</v>
      </c>
      <c r="KP36">
        <v>3</v>
      </c>
      <c r="KQ36" t="s">
        <v>1900</v>
      </c>
      <c r="KR36" t="s">
        <v>1900</v>
      </c>
      <c r="KS36" t="s">
        <v>1900</v>
      </c>
      <c r="KT36" t="s">
        <v>1900</v>
      </c>
      <c r="KU36" t="s">
        <v>1900</v>
      </c>
      <c r="KV36" t="s">
        <v>1900</v>
      </c>
      <c r="KW36" t="s">
        <v>1900</v>
      </c>
      <c r="KX36" t="s">
        <v>1900</v>
      </c>
      <c r="KY36" t="s">
        <v>1900</v>
      </c>
      <c r="KZ36" t="s">
        <v>1900</v>
      </c>
      <c r="LA36" t="s">
        <v>1900</v>
      </c>
      <c r="LB36" t="s">
        <v>1900</v>
      </c>
      <c r="LC36" t="s">
        <v>1900</v>
      </c>
      <c r="LD36" t="s">
        <v>1900</v>
      </c>
      <c r="LE36" t="s">
        <v>1900</v>
      </c>
      <c r="LF36" t="s">
        <v>1900</v>
      </c>
      <c r="LG36" t="s">
        <v>1900</v>
      </c>
      <c r="LH36" t="s">
        <v>1900</v>
      </c>
      <c r="LI36" t="s">
        <v>1900</v>
      </c>
      <c r="LJ36" t="s">
        <v>1900</v>
      </c>
      <c r="LK36" t="s">
        <v>1900</v>
      </c>
      <c r="LL36" t="s">
        <v>1900</v>
      </c>
      <c r="LM36" t="s">
        <v>1900</v>
      </c>
      <c r="LN36" t="s">
        <v>1900</v>
      </c>
      <c r="LO36" t="s">
        <v>1900</v>
      </c>
      <c r="LP36" t="s">
        <v>1900</v>
      </c>
      <c r="LQ36" t="s">
        <v>1900</v>
      </c>
      <c r="LR36" t="s">
        <v>1900</v>
      </c>
      <c r="LS36" t="s">
        <v>1900</v>
      </c>
      <c r="LT36" t="s">
        <v>1900</v>
      </c>
      <c r="LU36" t="s">
        <v>1900</v>
      </c>
      <c r="LV36" t="s">
        <v>1900</v>
      </c>
      <c r="LW36" t="s">
        <v>1900</v>
      </c>
      <c r="LX36" t="s">
        <v>1900</v>
      </c>
      <c r="LY36" t="s">
        <v>1900</v>
      </c>
      <c r="LZ36" t="s">
        <v>1900</v>
      </c>
      <c r="MA36" t="s">
        <v>1900</v>
      </c>
      <c r="MB36" t="s">
        <v>1900</v>
      </c>
      <c r="MC36" t="s">
        <v>1900</v>
      </c>
      <c r="MD36" t="s">
        <v>1900</v>
      </c>
      <c r="ME36" t="s">
        <v>1900</v>
      </c>
      <c r="MF36" t="s">
        <v>1900</v>
      </c>
      <c r="MG36" t="s">
        <v>1900</v>
      </c>
      <c r="MH36" t="s">
        <v>1900</v>
      </c>
      <c r="MI36" t="s">
        <v>1900</v>
      </c>
      <c r="MJ36" t="s">
        <v>1900</v>
      </c>
      <c r="MK36" t="s">
        <v>1900</v>
      </c>
      <c r="ML36" t="s">
        <v>1900</v>
      </c>
      <c r="MM36" t="s">
        <v>1900</v>
      </c>
      <c r="MN36" t="s">
        <v>1900</v>
      </c>
      <c r="MO36" t="s">
        <v>1900</v>
      </c>
      <c r="MP36" t="s">
        <v>1900</v>
      </c>
      <c r="MQ36">
        <v>321566.404265051</v>
      </c>
      <c r="MR36">
        <v>408086.414531034</v>
      </c>
      <c r="MS36">
        <v>123168.335364246</v>
      </c>
      <c r="MT36" t="s">
        <v>1900</v>
      </c>
      <c r="MU36" t="s">
        <v>1900</v>
      </c>
      <c r="MV36" t="s">
        <v>1900</v>
      </c>
      <c r="MW36" t="s">
        <v>1900</v>
      </c>
      <c r="MX36" t="s">
        <v>1900</v>
      </c>
      <c r="MY36" t="s">
        <v>1900</v>
      </c>
      <c r="MZ36" t="s">
        <v>1900</v>
      </c>
      <c r="NA36" t="s">
        <v>1900</v>
      </c>
      <c r="NB36" t="s">
        <v>1900</v>
      </c>
      <c r="NC36" t="s">
        <v>1900</v>
      </c>
      <c r="ND36" t="s">
        <v>1900</v>
      </c>
      <c r="NE36" t="s">
        <v>1900</v>
      </c>
      <c r="NF36" t="s">
        <v>1900</v>
      </c>
      <c r="NG36" t="s">
        <v>1900</v>
      </c>
      <c r="NH36" t="s">
        <v>1900</v>
      </c>
      <c r="NI36" t="s">
        <v>1900</v>
      </c>
      <c r="NJ36" t="s">
        <v>1900</v>
      </c>
      <c r="NK36" t="s">
        <v>1900</v>
      </c>
      <c r="NL36" t="s">
        <v>1900</v>
      </c>
      <c r="NM36" t="s">
        <v>1900</v>
      </c>
      <c r="NN36" t="s">
        <v>1900</v>
      </c>
      <c r="NO36" t="s">
        <v>1900</v>
      </c>
      <c r="NP36" t="s">
        <v>1900</v>
      </c>
      <c r="NQ36" t="s">
        <v>1900</v>
      </c>
      <c r="NR36" t="s">
        <v>1900</v>
      </c>
      <c r="NS36" t="s">
        <v>1900</v>
      </c>
      <c r="NT36" t="s">
        <v>1900</v>
      </c>
      <c r="NU36">
        <v>321873.892753048</v>
      </c>
      <c r="NV36">
        <v>152516.164630574</v>
      </c>
      <c r="NW36">
        <v>39578.2194002151</v>
      </c>
      <c r="NX36" t="s">
        <v>1900</v>
      </c>
      <c r="NY36" t="s">
        <v>1900</v>
      </c>
      <c r="NZ36" t="s">
        <v>1900</v>
      </c>
      <c r="OA36" t="s">
        <v>1900</v>
      </c>
      <c r="OB36" t="s">
        <v>1900</v>
      </c>
      <c r="OC36" t="s">
        <v>1900</v>
      </c>
      <c r="OD36" t="s">
        <v>1900</v>
      </c>
      <c r="OE36" t="s">
        <v>1900</v>
      </c>
      <c r="OF36" t="s">
        <v>1900</v>
      </c>
      <c r="OG36" t="s">
        <v>1900</v>
      </c>
      <c r="OH36" t="s">
        <v>1900</v>
      </c>
      <c r="OI36" t="s">
        <v>1900</v>
      </c>
      <c r="OJ36" t="s">
        <v>1900</v>
      </c>
      <c r="OK36" t="s">
        <v>1900</v>
      </c>
      <c r="OL36" t="s">
        <v>1900</v>
      </c>
      <c r="OM36" t="s">
        <v>1900</v>
      </c>
      <c r="ON36" t="s">
        <v>1900</v>
      </c>
      <c r="OO36" t="s">
        <v>1900</v>
      </c>
      <c r="OP36" t="s">
        <v>1900</v>
      </c>
      <c r="OQ36" t="s">
        <v>1900</v>
      </c>
      <c r="OR36" t="s">
        <v>1900</v>
      </c>
      <c r="OS36" t="s">
        <v>1900</v>
      </c>
      <c r="OT36" t="s">
        <v>1900</v>
      </c>
      <c r="OU36" t="s">
        <v>1900</v>
      </c>
      <c r="OV36" t="s">
        <v>1900</v>
      </c>
      <c r="OW36" t="s">
        <v>1900</v>
      </c>
      <c r="OX36" t="s">
        <v>1900</v>
      </c>
      <c r="OY36" t="s">
        <v>1900</v>
      </c>
      <c r="OZ36" t="s">
        <v>1900</v>
      </c>
      <c r="PA36" t="s">
        <v>1900</v>
      </c>
      <c r="PB36" t="s">
        <v>1900</v>
      </c>
      <c r="PC36" t="s">
        <v>1900</v>
      </c>
      <c r="PD36" t="s">
        <v>1900</v>
      </c>
      <c r="PE36" t="s">
        <v>1900</v>
      </c>
      <c r="PF36" t="s">
        <v>1900</v>
      </c>
      <c r="PG36" t="s">
        <v>1900</v>
      </c>
      <c r="PH36" t="s">
        <v>1900</v>
      </c>
      <c r="PI36" t="s">
        <v>1900</v>
      </c>
      <c r="PJ36" t="s">
        <v>1900</v>
      </c>
      <c r="PK36" t="s">
        <v>1900</v>
      </c>
      <c r="PL36" t="s">
        <v>1900</v>
      </c>
      <c r="PM36" t="s">
        <v>1900</v>
      </c>
      <c r="PN36" t="s">
        <v>1900</v>
      </c>
      <c r="PO36" t="s">
        <v>1900</v>
      </c>
      <c r="PP36" t="s">
        <v>1900</v>
      </c>
      <c r="PQ36" t="s">
        <v>1900</v>
      </c>
      <c r="PR36" t="s">
        <v>1900</v>
      </c>
      <c r="PS36" t="s">
        <v>1900</v>
      </c>
      <c r="PT36" t="s">
        <v>1900</v>
      </c>
      <c r="PU36" t="s">
        <v>1900</v>
      </c>
      <c r="PV36" t="s">
        <v>1900</v>
      </c>
      <c r="PW36" t="s">
        <v>1900</v>
      </c>
      <c r="PX36" t="s">
        <v>1900</v>
      </c>
      <c r="PY36" t="s">
        <v>1900</v>
      </c>
      <c r="PZ36" t="s">
        <v>1900</v>
      </c>
      <c r="QA36" t="s">
        <v>1900</v>
      </c>
      <c r="QB36" t="s">
        <v>1900</v>
      </c>
      <c r="QC36" t="s">
        <v>1900</v>
      </c>
      <c r="QD36" t="s">
        <v>1900</v>
      </c>
      <c r="QE36" t="s">
        <v>1900</v>
      </c>
      <c r="QF36" t="s">
        <v>1900</v>
      </c>
      <c r="QG36" t="s">
        <v>1900</v>
      </c>
      <c r="QH36" t="s">
        <v>1900</v>
      </c>
      <c r="QI36" t="s">
        <v>1900</v>
      </c>
      <c r="QJ36" t="s">
        <v>1900</v>
      </c>
      <c r="QK36" t="s">
        <v>1900</v>
      </c>
      <c r="QL36" t="s">
        <v>1900</v>
      </c>
      <c r="QM36" t="s">
        <v>1900</v>
      </c>
      <c r="QN36" t="s">
        <v>1900</v>
      </c>
      <c r="QO36" t="s">
        <v>1900</v>
      </c>
      <c r="QP36" t="s">
        <v>1900</v>
      </c>
      <c r="QQ36" t="s">
        <v>1900</v>
      </c>
      <c r="QR36" t="s">
        <v>1900</v>
      </c>
      <c r="QS36" t="s">
        <v>1900</v>
      </c>
      <c r="QT36" t="s">
        <v>1900</v>
      </c>
      <c r="QU36" t="s">
        <v>1900</v>
      </c>
      <c r="QV36" t="s">
        <v>1900</v>
      </c>
      <c r="QW36" t="s">
        <v>1900</v>
      </c>
      <c r="QX36" t="s">
        <v>1900</v>
      </c>
      <c r="QY36" t="s">
        <v>1900</v>
      </c>
      <c r="QZ36" t="s">
        <v>1900</v>
      </c>
      <c r="RA36" t="s">
        <v>1900</v>
      </c>
      <c r="RB36" t="s">
        <v>1900</v>
      </c>
      <c r="RC36" t="s">
        <v>1900</v>
      </c>
      <c r="RD36" t="s">
        <v>1900</v>
      </c>
      <c r="RE36" t="s">
        <v>1900</v>
      </c>
      <c r="RF36" t="s">
        <v>1900</v>
      </c>
      <c r="RG36" t="s">
        <v>1900</v>
      </c>
      <c r="RH36" t="s">
        <v>1900</v>
      </c>
      <c r="RI36" t="s">
        <v>1900</v>
      </c>
      <c r="RJ36" t="s">
        <v>1900</v>
      </c>
      <c r="RK36" t="s">
        <v>1900</v>
      </c>
      <c r="RL36" t="s">
        <v>1900</v>
      </c>
      <c r="RM36" t="s">
        <v>1900</v>
      </c>
      <c r="RN36" t="s">
        <v>1900</v>
      </c>
      <c r="RO36" t="s">
        <v>1900</v>
      </c>
      <c r="RP36" t="s">
        <v>1900</v>
      </c>
      <c r="RQ36" t="s">
        <v>1900</v>
      </c>
      <c r="RR36" t="s">
        <v>1900</v>
      </c>
      <c r="RS36" t="s">
        <v>1900</v>
      </c>
      <c r="RT36" t="s">
        <v>1900</v>
      </c>
      <c r="RU36" t="s">
        <v>1900</v>
      </c>
      <c r="RV36" t="s">
        <v>1900</v>
      </c>
      <c r="RW36" t="s">
        <v>1900</v>
      </c>
      <c r="RX36" t="s">
        <v>1900</v>
      </c>
      <c r="RY36" t="s">
        <v>1900</v>
      </c>
      <c r="RZ36" t="s">
        <v>1900</v>
      </c>
      <c r="SA36" t="s">
        <v>1900</v>
      </c>
      <c r="SB36" t="s">
        <v>1900</v>
      </c>
      <c r="SC36" t="s">
        <v>1900</v>
      </c>
      <c r="SD36" t="s">
        <v>1900</v>
      </c>
      <c r="SE36" t="s">
        <v>1900</v>
      </c>
      <c r="SF36" t="s">
        <v>1900</v>
      </c>
      <c r="SG36" t="s">
        <v>1900</v>
      </c>
      <c r="SH36" t="s">
        <v>1900</v>
      </c>
      <c r="SI36" t="s">
        <v>1900</v>
      </c>
      <c r="SJ36" t="s">
        <v>1900</v>
      </c>
      <c r="SK36">
        <v>16820.8700489998</v>
      </c>
      <c r="SL36">
        <v>0</v>
      </c>
      <c r="SM36">
        <v>0</v>
      </c>
      <c r="SN36" t="s">
        <v>1900</v>
      </c>
      <c r="SO36" t="s">
        <v>1900</v>
      </c>
      <c r="SP36" t="s">
        <v>1900</v>
      </c>
      <c r="SQ36" t="s">
        <v>1900</v>
      </c>
      <c r="SR36" t="s">
        <v>1900</v>
      </c>
      <c r="SS36" t="s">
        <v>1900</v>
      </c>
      <c r="ST36" t="s">
        <v>1900</v>
      </c>
      <c r="SU36" t="s">
        <v>1900</v>
      </c>
      <c r="SV36" t="s">
        <v>1900</v>
      </c>
      <c r="SW36" t="s">
        <v>1900</v>
      </c>
      <c r="SX36" t="s">
        <v>1900</v>
      </c>
      <c r="SY36" t="s">
        <v>1900</v>
      </c>
      <c r="SZ36" t="s">
        <v>1900</v>
      </c>
      <c r="TA36" t="s">
        <v>1900</v>
      </c>
      <c r="TB36" t="s">
        <v>1900</v>
      </c>
      <c r="TC36" t="s">
        <v>1900</v>
      </c>
      <c r="TD36" t="s">
        <v>1900</v>
      </c>
      <c r="TE36" t="s">
        <v>1900</v>
      </c>
      <c r="TF36" t="s">
        <v>1900</v>
      </c>
      <c r="TG36" t="s">
        <v>1900</v>
      </c>
      <c r="TH36" t="s">
        <v>1900</v>
      </c>
      <c r="TI36" t="s">
        <v>1900</v>
      </c>
      <c r="TJ36" t="s">
        <v>1900</v>
      </c>
      <c r="TK36" t="s">
        <v>1900</v>
      </c>
      <c r="TL36" t="s">
        <v>1900</v>
      </c>
      <c r="TM36" t="s">
        <v>1900</v>
      </c>
      <c r="TN36" t="s">
        <v>1900</v>
      </c>
      <c r="TO36" t="s">
        <v>1900</v>
      </c>
      <c r="TP36" t="s">
        <v>1900</v>
      </c>
      <c r="TQ36" t="s">
        <v>1900</v>
      </c>
      <c r="TR36" t="s">
        <v>1900</v>
      </c>
      <c r="TS36" t="s">
        <v>1900</v>
      </c>
      <c r="TT36">
        <v>682299.4848076249</v>
      </c>
      <c r="TU36">
        <v>584478.99533599</v>
      </c>
      <c r="TV36">
        <v>168016.249519014</v>
      </c>
      <c r="TW36" t="s">
        <v>1900</v>
      </c>
      <c r="TX36" t="s">
        <v>1900</v>
      </c>
      <c r="TY36" t="s">
        <v>1900</v>
      </c>
      <c r="TZ36" t="s">
        <v>1900</v>
      </c>
      <c r="UA36" t="s">
        <v>1900</v>
      </c>
      <c r="UB36" t="s">
        <v>1900</v>
      </c>
      <c r="UC36" t="s">
        <v>1900</v>
      </c>
      <c r="UD36">
        <v>4930.7000628376</v>
      </c>
      <c r="UE36">
        <v>4304.03824897409</v>
      </c>
      <c r="UF36">
        <v>0</v>
      </c>
      <c r="UG36" t="s">
        <v>1900</v>
      </c>
      <c r="UH36" t="s">
        <v>1900</v>
      </c>
      <c r="UI36" t="s">
        <v>1900</v>
      </c>
      <c r="UJ36" t="s">
        <v>1900</v>
      </c>
      <c r="UK36" t="s">
        <v>1900</v>
      </c>
      <c r="UL36" t="s">
        <v>1900</v>
      </c>
      <c r="UM36" t="s">
        <v>1900</v>
      </c>
      <c r="UN36" t="s">
        <v>1900</v>
      </c>
      <c r="UO36" t="s">
        <v>1900</v>
      </c>
      <c r="UP36" t="s">
        <v>1900</v>
      </c>
      <c r="UQ36" t="s">
        <v>1900</v>
      </c>
      <c r="UR36" t="s">
        <v>1900</v>
      </c>
      <c r="US36" t="s">
        <v>1900</v>
      </c>
      <c r="UT36" t="s">
        <v>1900</v>
      </c>
      <c r="UU36" t="s">
        <v>1900</v>
      </c>
      <c r="UV36" t="s">
        <v>1900</v>
      </c>
      <c r="UW36" t="s">
        <v>1900</v>
      </c>
      <c r="UX36" t="s">
        <v>1900</v>
      </c>
      <c r="UY36" t="s">
        <v>1900</v>
      </c>
      <c r="UZ36" t="s">
        <v>1900</v>
      </c>
      <c r="VA36" t="s">
        <v>1900</v>
      </c>
      <c r="VB36" t="s">
        <v>1900</v>
      </c>
      <c r="VC36" t="s">
        <v>1900</v>
      </c>
      <c r="VD36" t="s">
        <v>1900</v>
      </c>
      <c r="VE36" t="s">
        <v>1900</v>
      </c>
      <c r="VF36" t="s">
        <v>1900</v>
      </c>
      <c r="VG36" t="s">
        <v>1900</v>
      </c>
      <c r="VH36" t="s">
        <v>1900</v>
      </c>
      <c r="VI36" t="s">
        <v>1900</v>
      </c>
      <c r="VJ36" t="s">
        <v>1900</v>
      </c>
      <c r="VK36" t="s">
        <v>1900</v>
      </c>
      <c r="VL36" t="s">
        <v>1900</v>
      </c>
      <c r="VM36" t="s">
        <v>1900</v>
      </c>
      <c r="VN36" t="s">
        <v>1900</v>
      </c>
      <c r="VO36" t="s">
        <v>1900</v>
      </c>
      <c r="VP36" t="s">
        <v>1900</v>
      </c>
      <c r="VQ36" t="s">
        <v>1900</v>
      </c>
      <c r="VR36" t="s">
        <v>1900</v>
      </c>
      <c r="VS36" t="s">
        <v>1900</v>
      </c>
      <c r="VT36" t="s">
        <v>1900</v>
      </c>
      <c r="VU36" t="s">
        <v>1900</v>
      </c>
      <c r="VV36" t="s">
        <v>1900</v>
      </c>
      <c r="VW36" t="s">
        <v>1900</v>
      </c>
      <c r="VX36" t="s">
        <v>1900</v>
      </c>
      <c r="VY36" t="s">
        <v>1900</v>
      </c>
      <c r="VZ36" t="s">
        <v>1900</v>
      </c>
      <c r="WA36" t="s">
        <v>1900</v>
      </c>
      <c r="WB36">
        <v>29196.4888530254</v>
      </c>
      <c r="WC36">
        <v>21955.0545222282</v>
      </c>
      <c r="WD36">
        <v>24338.629223156</v>
      </c>
      <c r="WE36" t="s">
        <v>1900</v>
      </c>
      <c r="WF36" t="s">
        <v>1900</v>
      </c>
      <c r="WG36" t="s">
        <v>1900</v>
      </c>
      <c r="WH36" t="s">
        <v>1900</v>
      </c>
      <c r="WI36" t="s">
        <v>1900</v>
      </c>
      <c r="WJ36" t="s">
        <v>1900</v>
      </c>
      <c r="WK36" t="s">
        <v>1900</v>
      </c>
      <c r="WL36" t="s">
        <v>1900</v>
      </c>
      <c r="WM36" t="s">
        <v>1900</v>
      </c>
      <c r="WN36" t="s">
        <v>1900</v>
      </c>
      <c r="WO36" t="s">
        <v>1900</v>
      </c>
      <c r="WP36" t="s">
        <v>1900</v>
      </c>
      <c r="WQ36" t="s">
        <v>1900</v>
      </c>
      <c r="WR36" t="s">
        <v>1900</v>
      </c>
      <c r="WS36" t="s">
        <v>1900</v>
      </c>
      <c r="WT36" t="s">
        <v>1900</v>
      </c>
      <c r="WU36" t="s">
        <v>1900</v>
      </c>
      <c r="WV36" t="s">
        <v>1900</v>
      </c>
      <c r="WW36" t="s">
        <v>1900</v>
      </c>
      <c r="WX36" t="s">
        <v>1900</v>
      </c>
      <c r="WY36" t="s">
        <v>1900</v>
      </c>
      <c r="WZ36" t="s">
        <v>1900</v>
      </c>
      <c r="XA36" t="s">
        <v>1900</v>
      </c>
      <c r="XB36" t="s">
        <v>1900</v>
      </c>
      <c r="XC36" t="s">
        <v>1900</v>
      </c>
      <c r="XD36" t="s">
        <v>1900</v>
      </c>
      <c r="XE36" t="s">
        <v>1900</v>
      </c>
      <c r="XF36" t="s">
        <v>1900</v>
      </c>
      <c r="XG36" t="s">
        <v>1900</v>
      </c>
      <c r="XH36" t="s">
        <v>1900</v>
      </c>
      <c r="XI36" t="s">
        <v>1900</v>
      </c>
      <c r="XJ36" t="s">
        <v>1900</v>
      </c>
      <c r="XK36">
        <v>0</v>
      </c>
      <c r="XL36">
        <v>0</v>
      </c>
      <c r="XM36">
        <v>0</v>
      </c>
      <c r="XN36" t="s">
        <v>1900</v>
      </c>
      <c r="XO36" t="s">
        <v>1900</v>
      </c>
      <c r="XP36" t="s">
        <v>1900</v>
      </c>
      <c r="XQ36" t="s">
        <v>1900</v>
      </c>
      <c r="XR36" t="s">
        <v>1900</v>
      </c>
      <c r="XS36" t="s">
        <v>1900</v>
      </c>
      <c r="XT36" t="s">
        <v>1900</v>
      </c>
      <c r="XU36" t="s">
        <v>1900</v>
      </c>
      <c r="XV36" t="s">
        <v>1900</v>
      </c>
      <c r="XW36" t="s">
        <v>1900</v>
      </c>
      <c r="XX36" t="s">
        <v>1900</v>
      </c>
      <c r="XY36" t="s">
        <v>1900</v>
      </c>
      <c r="XZ36">
        <v>0</v>
      </c>
      <c r="YA36">
        <v>0</v>
      </c>
      <c r="YB36">
        <v>0</v>
      </c>
      <c r="YC36" t="s">
        <v>1900</v>
      </c>
      <c r="YD36" t="s">
        <v>1900</v>
      </c>
      <c r="YE36" t="s">
        <v>1900</v>
      </c>
      <c r="YF36" t="s">
        <v>1900</v>
      </c>
      <c r="YG36" t="s">
        <v>1900</v>
      </c>
      <c r="YH36" t="s">
        <v>1900</v>
      </c>
      <c r="YI36" t="s">
        <v>1900</v>
      </c>
      <c r="YJ36" t="s">
        <v>1900</v>
      </c>
      <c r="YK36" t="s">
        <v>1900</v>
      </c>
      <c r="YL36" t="s">
        <v>1900</v>
      </c>
      <c r="YM36" t="s">
        <v>1900</v>
      </c>
      <c r="YN36" t="s">
        <v>1900</v>
      </c>
      <c r="YO36" t="s">
        <v>1900</v>
      </c>
      <c r="YP36" t="s">
        <v>1900</v>
      </c>
      <c r="YQ36" t="s">
        <v>1900</v>
      </c>
      <c r="YR36" t="s">
        <v>1900</v>
      </c>
      <c r="YS36" t="s">
        <v>1900</v>
      </c>
      <c r="YT36" t="s">
        <v>1900</v>
      </c>
      <c r="YU36" t="s">
        <v>1900</v>
      </c>
      <c r="YV36" t="s">
        <v>1900</v>
      </c>
      <c r="YW36" t="s">
        <v>1900</v>
      </c>
      <c r="YX36" t="s">
        <v>1900</v>
      </c>
      <c r="YY36" t="s">
        <v>1900</v>
      </c>
      <c r="YZ36" t="s">
        <v>1900</v>
      </c>
      <c r="ZA36" t="s">
        <v>1900</v>
      </c>
      <c r="ZB36" t="s">
        <v>1900</v>
      </c>
      <c r="ZC36" t="s">
        <v>1900</v>
      </c>
      <c r="ZD36" t="s">
        <v>1900</v>
      </c>
      <c r="ZE36" t="s">
        <v>1900</v>
      </c>
      <c r="ZF36" t="s">
        <v>1900</v>
      </c>
      <c r="ZG36" t="s">
        <v>1900</v>
      </c>
      <c r="ZH36" t="s">
        <v>1900</v>
      </c>
      <c r="ZI36" t="s">
        <v>1900</v>
      </c>
      <c r="ZJ36" t="s">
        <v>1900</v>
      </c>
      <c r="ZK36" t="s">
        <v>1900</v>
      </c>
      <c r="ZL36" t="s">
        <v>1900</v>
      </c>
      <c r="ZM36" t="s">
        <v>1900</v>
      </c>
      <c r="ZN36" t="s">
        <v>1900</v>
      </c>
      <c r="ZO36" t="s">
        <v>1900</v>
      </c>
      <c r="ZP36" t="s">
        <v>1900</v>
      </c>
      <c r="ZQ36" t="s">
        <v>1900</v>
      </c>
      <c r="ZR36" t="s">
        <v>1900</v>
      </c>
      <c r="ZS36" t="s">
        <v>1900</v>
      </c>
      <c r="ZT36" t="s">
        <v>1900</v>
      </c>
      <c r="ZU36" t="s">
        <v>1900</v>
      </c>
      <c r="ZV36" t="s">
        <v>1900</v>
      </c>
      <c r="ZW36" t="s">
        <v>1900</v>
      </c>
      <c r="ZX36" t="s">
        <v>1900</v>
      </c>
      <c r="ZY36" t="s">
        <v>1900</v>
      </c>
      <c r="ZZ36" t="s">
        <v>1900</v>
      </c>
      <c r="AAA36" t="s">
        <v>1900</v>
      </c>
      <c r="AAB36" t="s">
        <v>1900</v>
      </c>
      <c r="AAC36" t="s">
        <v>1900</v>
      </c>
      <c r="AAD36" t="s">
        <v>1900</v>
      </c>
      <c r="AAE36" t="s">
        <v>1900</v>
      </c>
      <c r="AAF36" t="s">
        <v>1900</v>
      </c>
      <c r="AAG36" t="s">
        <v>1900</v>
      </c>
      <c r="AAH36" t="s">
        <v>1900</v>
      </c>
      <c r="AAI36" t="s">
        <v>1900</v>
      </c>
      <c r="AAJ36" t="s">
        <v>1900</v>
      </c>
      <c r="AAK36" t="s">
        <v>1900</v>
      </c>
      <c r="AAL36" t="s">
        <v>1900</v>
      </c>
      <c r="AAM36" t="s">
        <v>1900</v>
      </c>
      <c r="AAN36" t="s">
        <v>1900</v>
      </c>
      <c r="AAO36" t="s">
        <v>1900</v>
      </c>
      <c r="AAP36" t="s">
        <v>1900</v>
      </c>
      <c r="AAQ36" t="s">
        <v>1900</v>
      </c>
      <c r="AAR36" t="s">
        <v>1900</v>
      </c>
      <c r="AAS36" t="s">
        <v>1900</v>
      </c>
      <c r="AAT36" t="s">
        <v>1900</v>
      </c>
      <c r="AAU36" t="s">
        <v>1900</v>
      </c>
      <c r="AAV36" t="s">
        <v>1900</v>
      </c>
      <c r="AAW36" t="s">
        <v>1900</v>
      </c>
      <c r="AAX36" t="s">
        <v>1900</v>
      </c>
      <c r="AAY36" t="s">
        <v>1900</v>
      </c>
      <c r="AAZ36" t="s">
        <v>1900</v>
      </c>
      <c r="ABA36" t="s">
        <v>1900</v>
      </c>
      <c r="ABB36" t="s">
        <v>1900</v>
      </c>
      <c r="ABC36" t="s">
        <v>1900</v>
      </c>
      <c r="ABD36" t="s">
        <v>1900</v>
      </c>
      <c r="ABE36" t="s">
        <v>1900</v>
      </c>
      <c r="ABF36" t="s">
        <v>1900</v>
      </c>
      <c r="ABG36" t="s">
        <v>1900</v>
      </c>
      <c r="ABH36" t="s">
        <v>1900</v>
      </c>
      <c r="ABI36" t="s">
        <v>1900</v>
      </c>
      <c r="ABJ36" t="s">
        <v>1900</v>
      </c>
      <c r="ABK36" t="s">
        <v>1900</v>
      </c>
      <c r="ABL36" t="s">
        <v>1900</v>
      </c>
      <c r="ABM36" t="s">
        <v>1900</v>
      </c>
      <c r="ABN36" t="s">
        <v>1900</v>
      </c>
      <c r="ABO36" t="s">
        <v>1900</v>
      </c>
      <c r="ABP36" t="s">
        <v>1900</v>
      </c>
      <c r="ABQ36" t="s">
        <v>1900</v>
      </c>
      <c r="ABR36" t="s">
        <v>1900</v>
      </c>
      <c r="ABS36" t="s">
        <v>1900</v>
      </c>
      <c r="ABT36" t="s">
        <v>1900</v>
      </c>
      <c r="ABU36" t="s">
        <v>1900</v>
      </c>
      <c r="ABV36" t="s">
        <v>1900</v>
      </c>
      <c r="ABW36" t="s">
        <v>1900</v>
      </c>
      <c r="ABX36" t="s">
        <v>1900</v>
      </c>
      <c r="ABY36" t="s">
        <v>1900</v>
      </c>
      <c r="ABZ36" t="s">
        <v>1900</v>
      </c>
      <c r="ACA36" t="s">
        <v>1900</v>
      </c>
      <c r="ACB36" t="s">
        <v>1900</v>
      </c>
      <c r="ACC36" t="s">
        <v>1900</v>
      </c>
      <c r="ACD36" t="s">
        <v>1900</v>
      </c>
      <c r="ACE36" t="s">
        <v>1900</v>
      </c>
      <c r="ACF36">
        <v>-72.446</v>
      </c>
      <c r="ACG36">
        <v>-84.22199999999999</v>
      </c>
      <c r="ACH36" t="s">
        <v>1901</v>
      </c>
      <c r="ACI36" t="s">
        <v>1900</v>
      </c>
      <c r="ACJ36" t="s">
        <v>1900</v>
      </c>
      <c r="ACK36">
        <v>-47.659</v>
      </c>
      <c r="ACL36">
        <v>-53.389</v>
      </c>
      <c r="ACM36">
        <v>-105.343</v>
      </c>
      <c r="ACN36" t="s">
        <v>1900</v>
      </c>
      <c r="ACO36" t="s">
        <v>1900</v>
      </c>
      <c r="ACP36">
        <v>-46.267</v>
      </c>
      <c r="ACQ36">
        <v>-50.58</v>
      </c>
      <c r="ACR36">
        <v>-90.468</v>
      </c>
      <c r="ACS36" t="s">
        <v>1900</v>
      </c>
      <c r="ACT36" t="s">
        <v>1900</v>
      </c>
      <c r="ACU36">
        <v>-72.446</v>
      </c>
      <c r="ACV36">
        <v>-84.22199999999999</v>
      </c>
      <c r="ACW36" t="s">
        <v>1901</v>
      </c>
      <c r="ACX36" t="s">
        <v>1900</v>
      </c>
      <c r="ACY36" t="s">
        <v>1900</v>
      </c>
      <c r="ACZ36">
        <v>-47.659</v>
      </c>
      <c r="ADA36">
        <v>-53.389</v>
      </c>
      <c r="ADB36">
        <v>-105.343</v>
      </c>
      <c r="ADC36" t="s">
        <v>1900</v>
      </c>
      <c r="ADD36" t="s">
        <v>1900</v>
      </c>
      <c r="ADE36">
        <v>-46.267</v>
      </c>
      <c r="ADF36">
        <v>-50.58</v>
      </c>
      <c r="ADG36">
        <v>-90.468</v>
      </c>
      <c r="ADH36" t="s">
        <v>1900</v>
      </c>
      <c r="ADI36" t="s">
        <v>1900</v>
      </c>
      <c r="ADJ36" t="s">
        <v>1901</v>
      </c>
      <c r="ADK36" t="s">
        <v>1901</v>
      </c>
      <c r="ADL36" t="s">
        <v>1901</v>
      </c>
      <c r="ADM36" t="s">
        <v>1900</v>
      </c>
      <c r="ADN36" t="s">
        <v>1900</v>
      </c>
      <c r="ADO36">
        <v>98.40600000000001</v>
      </c>
      <c r="ADP36">
        <v>64.872</v>
      </c>
      <c r="ADQ36" t="s">
        <v>1901</v>
      </c>
      <c r="ADR36" t="s">
        <v>1900</v>
      </c>
      <c r="ADS36" t="s">
        <v>1900</v>
      </c>
      <c r="ADT36">
        <v>-179.447258715</v>
      </c>
      <c r="ADU36">
        <v>-689.737284383</v>
      </c>
      <c r="ADV36" t="s">
        <v>1901</v>
      </c>
      <c r="ADW36" t="s">
        <v>1900</v>
      </c>
      <c r="ADX36" t="s">
        <v>1900</v>
      </c>
      <c r="ADY36" t="s">
        <v>1901</v>
      </c>
      <c r="ADZ36" t="s">
        <v>1901</v>
      </c>
      <c r="AEA36" t="s">
        <v>1901</v>
      </c>
      <c r="AEB36" t="s">
        <v>1900</v>
      </c>
      <c r="AEC36" t="s">
        <v>1900</v>
      </c>
      <c r="AED36" t="s">
        <v>1901</v>
      </c>
      <c r="AEE36" t="s">
        <v>1901</v>
      </c>
      <c r="AEF36" t="s">
        <v>1901</v>
      </c>
      <c r="AEG36" t="s">
        <v>1900</v>
      </c>
      <c r="AEH36" t="s">
        <v>1900</v>
      </c>
      <c r="AEI36" t="s">
        <v>1901</v>
      </c>
      <c r="AEJ36" t="s">
        <v>1901</v>
      </c>
      <c r="AEK36" t="s">
        <v>1901</v>
      </c>
      <c r="AEL36" t="s">
        <v>1900</v>
      </c>
      <c r="AEM36" t="s">
        <v>1900</v>
      </c>
      <c r="AEN36">
        <v>-64.21507211799999</v>
      </c>
      <c r="AEO36">
        <v>-87.33756124</v>
      </c>
      <c r="AEP36">
        <v>-98.720474798</v>
      </c>
      <c r="AEQ36" t="s">
        <v>1900</v>
      </c>
      <c r="AER36" t="s">
        <v>1900</v>
      </c>
      <c r="AES36">
        <v>0.354165555</v>
      </c>
      <c r="AET36">
        <v>0.085967585</v>
      </c>
      <c r="AEU36">
        <v>-0.034304978</v>
      </c>
      <c r="AEV36" t="s">
        <v>1900</v>
      </c>
      <c r="AEW36" t="s">
        <v>1900</v>
      </c>
      <c r="AEX36" t="s">
        <v>1900</v>
      </c>
      <c r="AEY36" t="s">
        <v>1900</v>
      </c>
      <c r="AEZ36" t="s">
        <v>1900</v>
      </c>
      <c r="AFA36" t="s">
        <v>1900</v>
      </c>
      <c r="AFB36" t="s">
        <v>1900</v>
      </c>
      <c r="AFC36" t="s">
        <v>1900</v>
      </c>
      <c r="AFD36" t="s">
        <v>1900</v>
      </c>
      <c r="AFE36" t="s">
        <v>1900</v>
      </c>
      <c r="AFF36" t="s">
        <v>1900</v>
      </c>
      <c r="AFG36" t="s">
        <v>1900</v>
      </c>
      <c r="AFH36">
        <v>0.265</v>
      </c>
      <c r="AFI36">
        <v>0.077</v>
      </c>
      <c r="AFJ36">
        <v>0.014</v>
      </c>
      <c r="AFK36" t="s">
        <v>1900</v>
      </c>
      <c r="AFL36" t="s">
        <v>1900</v>
      </c>
      <c r="AFM36">
        <v>-23.101</v>
      </c>
      <c r="AFN36">
        <v>-51.882</v>
      </c>
      <c r="AFO36" t="s">
        <v>1901</v>
      </c>
      <c r="AFP36" t="s">
        <v>1900</v>
      </c>
      <c r="AFQ36" t="s">
        <v>1900</v>
      </c>
      <c r="AFR36" t="s">
        <v>1901</v>
      </c>
      <c r="AFS36" t="s">
        <v>1901</v>
      </c>
      <c r="AFT36" t="s">
        <v>1901</v>
      </c>
      <c r="AFU36" t="s">
        <v>1900</v>
      </c>
      <c r="AFV36" t="s">
        <v>1900</v>
      </c>
      <c r="AFW36">
        <v>83.02500000000001</v>
      </c>
      <c r="AFX36">
        <v>204.408</v>
      </c>
      <c r="AFY36">
        <v>967.401</v>
      </c>
      <c r="AFZ36" t="s">
        <v>1900</v>
      </c>
      <c r="AGA36" t="s">
        <v>1900</v>
      </c>
      <c r="AGB36">
        <v>28.327</v>
      </c>
      <c r="AGC36">
        <v>128.066</v>
      </c>
      <c r="AGD36">
        <v>0</v>
      </c>
      <c r="AGE36" t="s">
        <v>1900</v>
      </c>
      <c r="AGF36" t="s">
        <v>1900</v>
      </c>
      <c r="AGG36" t="s">
        <v>1900</v>
      </c>
      <c r="AGH36" t="s">
        <v>1900</v>
      </c>
      <c r="AGI36" t="s">
        <v>1900</v>
      </c>
      <c r="AGJ36" t="s">
        <v>1900</v>
      </c>
      <c r="AGK36" t="s">
        <v>1900</v>
      </c>
      <c r="AGL36" t="s">
        <v>1900</v>
      </c>
      <c r="AGM36" t="s">
        <v>1900</v>
      </c>
      <c r="AGN36" t="s">
        <v>1900</v>
      </c>
      <c r="AGO36" t="s">
        <v>1900</v>
      </c>
      <c r="AGP36" t="s">
        <v>1900</v>
      </c>
      <c r="AGQ36" t="s">
        <v>1900</v>
      </c>
      <c r="AGR36" t="s">
        <v>1900</v>
      </c>
      <c r="AGS36" t="s">
        <v>1900</v>
      </c>
      <c r="AGT36" t="s">
        <v>1900</v>
      </c>
      <c r="AGU36">
        <v>0</v>
      </c>
      <c r="AGV36">
        <v>0</v>
      </c>
      <c r="AGW36">
        <v>0</v>
      </c>
      <c r="AGX36">
        <v>0</v>
      </c>
      <c r="AGY36">
        <v>0</v>
      </c>
      <c r="AGZ36" t="s">
        <v>1900</v>
      </c>
      <c r="AHA36">
        <v>7.606</v>
      </c>
      <c r="AHB36">
        <v>10.48</v>
      </c>
      <c r="AHC36">
        <v>5.277</v>
      </c>
      <c r="AHD36" t="s">
        <v>1900</v>
      </c>
      <c r="AHE36" t="s">
        <v>1900</v>
      </c>
      <c r="AHF36">
        <v>7.606</v>
      </c>
      <c r="AHG36">
        <v>10.48</v>
      </c>
      <c r="AHH36">
        <v>5.277</v>
      </c>
      <c r="AHI36" t="s">
        <v>1900</v>
      </c>
      <c r="AHJ36" t="s">
        <v>1900</v>
      </c>
      <c r="AHK36">
        <v>2.188</v>
      </c>
      <c r="AHL36">
        <v>1.826</v>
      </c>
      <c r="AHM36">
        <v>-0.367</v>
      </c>
      <c r="AHN36" t="s">
        <v>1900</v>
      </c>
      <c r="AHO36" t="s">
        <v>1900</v>
      </c>
      <c r="AHP36">
        <v>63.864</v>
      </c>
      <c r="AHQ36">
        <v>60.056</v>
      </c>
      <c r="AHR36">
        <v>-49.531</v>
      </c>
      <c r="AHS36" t="s">
        <v>1900</v>
      </c>
      <c r="AHT36" t="s">
        <v>1900</v>
      </c>
      <c r="AHU36" t="s">
        <v>1901</v>
      </c>
      <c r="AHV36" t="s">
        <v>1901</v>
      </c>
      <c r="AHW36" t="s">
        <v>1901</v>
      </c>
      <c r="AHX36" t="s">
        <v>1900</v>
      </c>
      <c r="AHY36" t="s">
        <v>1900</v>
      </c>
      <c r="AHZ36">
        <v>46.839</v>
      </c>
      <c r="AIA36">
        <v>55.995</v>
      </c>
      <c r="AIB36" t="s">
        <v>1901</v>
      </c>
      <c r="AIC36" t="s">
        <v>1900</v>
      </c>
      <c r="AID36" t="s">
        <v>1900</v>
      </c>
      <c r="AIE36">
        <v>2.465320643</v>
      </c>
      <c r="AIF36">
        <v>0</v>
      </c>
      <c r="AIG36">
        <v>0</v>
      </c>
      <c r="AIH36" t="s">
        <v>1900</v>
      </c>
      <c r="AII36" t="s">
        <v>1900</v>
      </c>
      <c r="AIJ36">
        <v>47.129803177</v>
      </c>
      <c r="AIK36">
        <v>69.820544072</v>
      </c>
      <c r="AIL36">
        <v>73.307394801</v>
      </c>
      <c r="AIM36" t="s">
        <v>1900</v>
      </c>
      <c r="AIN36" t="s">
        <v>1900</v>
      </c>
      <c r="AIO36">
        <v>4.279131013</v>
      </c>
      <c r="AIP36">
        <v>3.756346198</v>
      </c>
      <c r="AIQ36">
        <v>14.485878177</v>
      </c>
      <c r="AIR36" t="s">
        <v>1900</v>
      </c>
      <c r="AIS36" t="s">
        <v>1900</v>
      </c>
      <c r="AIT36">
        <v>0</v>
      </c>
      <c r="AIU36">
        <v>0</v>
      </c>
      <c r="AIV36">
        <v>0</v>
      </c>
      <c r="AIW36" t="s">
        <v>1900</v>
      </c>
      <c r="AIX36" t="s">
        <v>1900</v>
      </c>
      <c r="AIY36">
        <v>-18.5694825037556</v>
      </c>
      <c r="AIZ36">
        <v>-59.1261341491902</v>
      </c>
      <c r="AJA36">
        <v>-50.6670491748762</v>
      </c>
      <c r="AJB36" t="s">
        <v>1900</v>
      </c>
      <c r="AJC36" t="s">
        <v>1900</v>
      </c>
      <c r="AJD36">
        <v>9.911510793164251</v>
      </c>
      <c r="AJE36">
        <v>8.410166829702851</v>
      </c>
      <c r="AJF36">
        <v>0.653672339251041</v>
      </c>
      <c r="AJG36" t="s">
        <v>1900</v>
      </c>
      <c r="AJH36" t="s">
        <v>1900</v>
      </c>
      <c r="AJI36" t="s">
        <v>1901</v>
      </c>
      <c r="AJJ36" t="s">
        <v>1901</v>
      </c>
      <c r="AJK36" t="s">
        <v>1901</v>
      </c>
      <c r="AJL36" t="s">
        <v>1900</v>
      </c>
      <c r="AJM36" t="s">
        <v>1900</v>
      </c>
      <c r="AJN36">
        <v>32.9747297536535</v>
      </c>
      <c r="AJO36">
        <v>59.8689758955836</v>
      </c>
      <c r="AJP36">
        <v>58.4579541200566</v>
      </c>
      <c r="AJQ36" t="s">
        <v>1900</v>
      </c>
      <c r="AJR36" t="s">
        <v>1900</v>
      </c>
      <c r="AJS36">
        <v>25.6320600233536</v>
      </c>
      <c r="AJT36">
        <v>70.2026866399932</v>
      </c>
      <c r="AJU36" t="s">
        <v>1901</v>
      </c>
      <c r="AJV36" t="s">
        <v>1900</v>
      </c>
      <c r="AJW36" t="s">
        <v>1900</v>
      </c>
      <c r="AJX36">
        <v>1.5059300358429</v>
      </c>
      <c r="AJY36">
        <v>1.78346527071476</v>
      </c>
      <c r="AJZ36">
        <v>1.75656454065084</v>
      </c>
      <c r="AKA36" t="s">
        <v>1900</v>
      </c>
      <c r="AKB36" t="s">
        <v>1900</v>
      </c>
      <c r="AKC36">
        <v>40.135263357213</v>
      </c>
      <c r="AKD36">
        <v>116.895799067198</v>
      </c>
      <c r="AKE36">
        <v>56.0054168838715</v>
      </c>
      <c r="AKF36" t="s">
        <v>1900</v>
      </c>
      <c r="AKG36" t="s">
        <v>1900</v>
      </c>
      <c r="AKH36">
        <v>0</v>
      </c>
      <c r="AKI36">
        <v>0</v>
      </c>
      <c r="AKJ36">
        <v>0</v>
      </c>
      <c r="AKK36" t="s">
        <v>1900</v>
      </c>
      <c r="AKL36" t="s">
        <v>1900</v>
      </c>
      <c r="AKM36">
        <v>0</v>
      </c>
      <c r="AKN36">
        <v>0</v>
      </c>
      <c r="AKO36">
        <v>0</v>
      </c>
      <c r="AKP36" t="s">
        <v>1900</v>
      </c>
      <c r="AKQ36" t="s">
        <v>1900</v>
      </c>
      <c r="AKR36">
        <v>0</v>
      </c>
      <c r="AKS36">
        <v>0</v>
      </c>
      <c r="AKT36">
        <v>0</v>
      </c>
      <c r="AKU36" t="s">
        <v>1900</v>
      </c>
      <c r="AKV36" t="s">
        <v>1900</v>
      </c>
      <c r="AKW36">
        <v>177.090570124</v>
      </c>
      <c r="AKX36">
        <v>354.45487321</v>
      </c>
      <c r="AKY36" t="s">
        <v>1901</v>
      </c>
      <c r="AKZ36" t="s">
        <v>1900</v>
      </c>
      <c r="ALA36" t="s">
        <v>1900</v>
      </c>
      <c r="ALB36">
        <v>43.732992162</v>
      </c>
      <c r="ALC36">
        <v>25.501554727</v>
      </c>
      <c r="ALD36">
        <v>22.634958183</v>
      </c>
      <c r="ALE36" t="s">
        <v>1900</v>
      </c>
      <c r="ALF36" t="s">
        <v>1900</v>
      </c>
      <c r="ALG36">
        <v>3.954429008</v>
      </c>
      <c r="ALH36">
        <v>8.239869281000001</v>
      </c>
      <c r="ALI36">
        <v>135.306930693</v>
      </c>
      <c r="ALJ36" t="s">
        <v>1900</v>
      </c>
      <c r="ALK36" t="s">
        <v>1900</v>
      </c>
      <c r="ALL36">
        <v>0.97655687</v>
      </c>
      <c r="ALM36">
        <v>0.592824343</v>
      </c>
      <c r="ALN36">
        <v>0.921227313</v>
      </c>
      <c r="ALO36" t="s">
        <v>1900</v>
      </c>
      <c r="ALP36" t="s">
        <v>1900</v>
      </c>
      <c r="ALQ36">
        <v>23.062422255</v>
      </c>
      <c r="ALR36">
        <v>56.779887148</v>
      </c>
      <c r="ALS36">
        <v>460.667326733</v>
      </c>
      <c r="ALT36" t="s">
        <v>1900</v>
      </c>
      <c r="ALU36" t="s">
        <v>1900</v>
      </c>
      <c r="ALV36">
        <v>34.11903942</v>
      </c>
      <c r="ALW36">
        <v>62.652157307</v>
      </c>
      <c r="ALX36">
        <v>0</v>
      </c>
      <c r="ALY36" t="s">
        <v>1900</v>
      </c>
      <c r="ALZ36" t="s">
        <v>1900</v>
      </c>
      <c r="AMA36">
        <v>98.4060829176851</v>
      </c>
      <c r="AMB36">
        <v>64.87193197031129</v>
      </c>
      <c r="AMC36" t="s">
        <v>1901</v>
      </c>
      <c r="AMD36" t="s">
        <v>1900</v>
      </c>
      <c r="AME36" t="s">
        <v>1900</v>
      </c>
      <c r="AMF36" t="s">
        <v>1901</v>
      </c>
      <c r="AMG36">
        <v>86.9183630052397</v>
      </c>
      <c r="AMH36" t="s">
        <v>1900</v>
      </c>
      <c r="AMI36" t="s">
        <v>1900</v>
      </c>
      <c r="AMJ36" t="s">
        <v>1900</v>
      </c>
      <c r="AMK36">
        <v>6173.85207860176</v>
      </c>
      <c r="AML36">
        <v>184.672643868386</v>
      </c>
      <c r="AMM36">
        <v>-71.9020633900578</v>
      </c>
      <c r="AMN36" t="s">
        <v>1900</v>
      </c>
      <c r="AMO36" t="s">
        <v>1900</v>
      </c>
      <c r="AMP36">
        <v>0.354165554890463</v>
      </c>
      <c r="AMQ36">
        <v>0.0859675850287796</v>
      </c>
      <c r="AMR36">
        <v>-0.0343049783278578</v>
      </c>
      <c r="AMS36" t="s">
        <v>1900</v>
      </c>
      <c r="AMT36" t="s">
        <v>1900</v>
      </c>
      <c r="AMU36">
        <v>0.354165554890463</v>
      </c>
      <c r="AMV36">
        <v>0.08596758502877951</v>
      </c>
      <c r="AMW36">
        <v>-0.0343049783278579</v>
      </c>
      <c r="AMX36" t="s">
        <v>1900</v>
      </c>
      <c r="AMY36" t="s">
        <v>1900</v>
      </c>
      <c r="AMZ36">
        <v>0.354165554890463</v>
      </c>
      <c r="ANA36">
        <v>0.0859675850287796</v>
      </c>
      <c r="ANB36">
        <v>-0.0343049783278578</v>
      </c>
      <c r="ANC36" t="s">
        <v>1900</v>
      </c>
      <c r="AND36" t="s">
        <v>1900</v>
      </c>
      <c r="ANE36" t="s">
        <v>1901</v>
      </c>
      <c r="ANF36" t="s">
        <v>1901</v>
      </c>
      <c r="ANG36" t="s">
        <v>1901</v>
      </c>
      <c r="ANH36" t="s">
        <v>1900</v>
      </c>
      <c r="ANI36" t="s">
        <v>1900</v>
      </c>
      <c r="ANJ36" t="s">
        <v>1901</v>
      </c>
      <c r="ANK36" t="s">
        <v>1901</v>
      </c>
      <c r="ANL36" t="s">
        <v>1900</v>
      </c>
      <c r="ANM36" t="s">
        <v>1900</v>
      </c>
      <c r="ANN36" t="s">
        <v>1900</v>
      </c>
      <c r="ANO36">
        <v>-64.2150721178448</v>
      </c>
      <c r="ANP36">
        <v>-87.3375612399774</v>
      </c>
      <c r="ANQ36">
        <v>-98.7204747975975</v>
      </c>
      <c r="ANR36" t="s">
        <v>1900</v>
      </c>
      <c r="ANS36" t="s">
        <v>1900</v>
      </c>
      <c r="ANT36">
        <v>-47.6223456660625</v>
      </c>
      <c r="ANU36">
        <v>-53.3887728899818</v>
      </c>
      <c r="ANV36">
        <v>-61.4281326873327</v>
      </c>
      <c r="ANW36" t="s">
        <v>1900</v>
      </c>
      <c r="ANX36" t="s">
        <v>1900</v>
      </c>
      <c r="ANY36">
        <v>98.4060829176851</v>
      </c>
      <c r="ANZ36">
        <v>64.87193197031129</v>
      </c>
      <c r="AOA36">
        <v>-255.89801980198</v>
      </c>
      <c r="AOB36" t="s">
        <v>1900</v>
      </c>
      <c r="AOC36" t="s">
        <v>1900</v>
      </c>
      <c r="AOD36">
        <v>35.2145458037475</v>
      </c>
      <c r="AOE36">
        <v>8.21436865818419</v>
      </c>
      <c r="AOF36">
        <v>-3.27427965581532</v>
      </c>
      <c r="AOG36" t="s">
        <v>1900</v>
      </c>
      <c r="AOH36" t="s">
        <v>1900</v>
      </c>
      <c r="AOI36">
        <v>24.301646609076</v>
      </c>
      <c r="AOJ36">
        <v>4.66726584521503</v>
      </c>
      <c r="AOK36">
        <v>-1.74226289721608</v>
      </c>
      <c r="AOL36" t="s">
        <v>1900</v>
      </c>
      <c r="AOM36" t="s">
        <v>1900</v>
      </c>
      <c r="AON36">
        <v>-11258.255570916</v>
      </c>
      <c r="AOO36">
        <v>-1963.49336319768</v>
      </c>
      <c r="AOP36">
        <v>-2167.86792300609</v>
      </c>
      <c r="AOQ36" t="s">
        <v>1900</v>
      </c>
      <c r="AOR36" t="s">
        <v>1900</v>
      </c>
      <c r="AOS36">
        <v>-64.5834445109537</v>
      </c>
      <c r="AOT36">
        <v>-91.403241497122</v>
      </c>
      <c r="AOU36">
        <v>-103.430497832786</v>
      </c>
      <c r="AOV36" t="s">
        <v>1900</v>
      </c>
      <c r="AOW36" t="s">
        <v>1900</v>
      </c>
      <c r="AOX36">
        <v>-44.3149827426745</v>
      </c>
      <c r="AOY36">
        <v>-49.6237305071026</v>
      </c>
      <c r="AOZ36">
        <v>-52.529728219742</v>
      </c>
      <c r="APA36" t="s">
        <v>1900</v>
      </c>
      <c r="APB36" t="s">
        <v>1900</v>
      </c>
      <c r="APC36">
        <v>-187.352686879053</v>
      </c>
      <c r="APD36">
        <v>-703.031644275708</v>
      </c>
      <c r="APE36">
        <v>-7751.14059405941</v>
      </c>
      <c r="APF36" t="s">
        <v>1900</v>
      </c>
      <c r="APG36" t="s">
        <v>1900</v>
      </c>
      <c r="APH36">
        <v>-2053.3956933091</v>
      </c>
      <c r="API36">
        <v>-941.953751112144</v>
      </c>
      <c r="APJ36" t="s">
        <v>1900</v>
      </c>
      <c r="APK36" t="s">
        <v>1900</v>
      </c>
      <c r="APL36" t="s">
        <v>1900</v>
      </c>
      <c r="APM36">
        <v>-11754.2304400777</v>
      </c>
      <c r="APN36">
        <v>-2001.33876899105</v>
      </c>
      <c r="APO36">
        <v>-2177.91057066631</v>
      </c>
      <c r="APP36" t="s">
        <v>1900</v>
      </c>
      <c r="APQ36" t="s">
        <v>1900</v>
      </c>
      <c r="APR36">
        <v>-67.42862467581671</v>
      </c>
      <c r="APS36">
        <v>-93.16499574092251</v>
      </c>
      <c r="APT36">
        <v>-103.90963959047</v>
      </c>
      <c r="APU36" t="s">
        <v>1900</v>
      </c>
      <c r="APV36" t="s">
        <v>1900</v>
      </c>
      <c r="APW36">
        <v>-67.044023884949</v>
      </c>
      <c r="APX36">
        <v>-89.0209514199915</v>
      </c>
      <c r="APY36">
        <v>-99.1777973746423</v>
      </c>
      <c r="APZ36" t="s">
        <v>1900</v>
      </c>
      <c r="AQA36" t="s">
        <v>1900</v>
      </c>
      <c r="AQB36">
        <v>-46.2672494707881</v>
      </c>
      <c r="AQC36">
        <v>-50.5802044393411</v>
      </c>
      <c r="AQD36">
        <v>-52.7730721737716</v>
      </c>
      <c r="AQE36" t="s">
        <v>1900</v>
      </c>
      <c r="AQF36" t="s">
        <v>1900</v>
      </c>
      <c r="AQG36">
        <v>-0.645834445109537</v>
      </c>
      <c r="AQH36">
        <v>-0.91403241497122</v>
      </c>
      <c r="AQI36">
        <v>-1.03430497832786</v>
      </c>
      <c r="AQJ36" t="s">
        <v>1900</v>
      </c>
      <c r="AQK36">
        <v>6</v>
      </c>
      <c r="AQO36" t="s">
        <v>1902</v>
      </c>
      <c r="AQP36">
        <v>3</v>
      </c>
      <c r="AQQ36">
        <v>0</v>
      </c>
      <c r="AQS36" t="s">
        <v>1905</v>
      </c>
      <c r="AQU36" t="s">
        <v>1906</v>
      </c>
      <c r="AQV36" t="s">
        <v>1900</v>
      </c>
      <c r="AQW36">
        <v>168495.691218796</v>
      </c>
      <c r="AQX36">
        <v>42050.8341485143</v>
      </c>
      <c r="AQY36" t="s">
        <v>1900</v>
      </c>
      <c r="AQZ36">
        <v>-302360.898945856</v>
      </c>
      <c r="ARA36">
        <v>-290040.281516153</v>
      </c>
      <c r="ARB36">
        <v>210546.5253673103</v>
      </c>
      <c r="ARC36">
        <v>-592401.180462009</v>
      </c>
      <c r="ARD36">
        <v>-0.7377830164545415</v>
      </c>
      <c r="ARE36">
        <v>-0.7377830164545415</v>
      </c>
      <c r="ARF36">
        <v>-0.7377830164545415</v>
      </c>
      <c r="ARG36" t="s">
        <v>1907</v>
      </c>
      <c r="ARH36" t="s">
        <v>1907</v>
      </c>
      <c r="ARI36" t="s">
        <v>1907</v>
      </c>
      <c r="ARJ36" t="s">
        <v>1197</v>
      </c>
      <c r="ARK36" t="s">
        <v>1535</v>
      </c>
      <c r="ARL36" t="s">
        <v>1908</v>
      </c>
      <c r="ARM36" t="s">
        <v>1909</v>
      </c>
      <c r="ARN36" t="s">
        <v>1909</v>
      </c>
      <c r="ARO36" t="s">
        <v>1908</v>
      </c>
      <c r="ARP36" t="s">
        <v>1907</v>
      </c>
      <c r="ARQ36" t="s">
        <v>1938</v>
      </c>
      <c r="ARR36">
        <f>HYPERLINK("C:\Users\Usuario\Documents\Proyectos\llmthon\evidence\doctomatic_com_234027.png", "Ver Evidencia")</f>
        <v>0</v>
      </c>
      <c r="ARS36">
        <v>100</v>
      </c>
    </row>
    <row r="37" spans="1:1163">
      <c r="A37">
        <v>136</v>
      </c>
      <c r="B37" t="s">
        <v>1198</v>
      </c>
      <c r="C37" t="s">
        <v>1321</v>
      </c>
      <c r="E37" s="2">
        <v>40472</v>
      </c>
      <c r="F37" t="s">
        <v>1431</v>
      </c>
      <c r="G37" t="s">
        <v>1433</v>
      </c>
      <c r="H37" t="s">
        <v>1434</v>
      </c>
      <c r="I37" t="s">
        <v>1435</v>
      </c>
      <c r="J37" t="s">
        <v>1451</v>
      </c>
      <c r="L37" t="s">
        <v>1536</v>
      </c>
      <c r="N37" t="s">
        <v>1627</v>
      </c>
      <c r="O37" t="s">
        <v>1651</v>
      </c>
      <c r="P37">
        <v>6910</v>
      </c>
      <c r="Q37">
        <v>6910</v>
      </c>
      <c r="R37" t="s">
        <v>1707</v>
      </c>
      <c r="Z37" t="s">
        <v>1899</v>
      </c>
      <c r="AA37" s="2">
        <v>45291</v>
      </c>
      <c r="AB37">
        <v>2023</v>
      </c>
      <c r="AC37" t="s">
        <v>1900</v>
      </c>
      <c r="AD37">
        <v>6656741.20175865</v>
      </c>
      <c r="AE37">
        <v>5849577.13984507</v>
      </c>
      <c r="AF37">
        <v>5393980.34349039</v>
      </c>
      <c r="AG37">
        <v>5295907.68222182</v>
      </c>
      <c r="AH37" t="s">
        <v>1900</v>
      </c>
      <c r="AI37">
        <v>6639854.38638506</v>
      </c>
      <c r="AJ37">
        <v>5782952.78142864</v>
      </c>
      <c r="AK37">
        <v>5359782.14544067</v>
      </c>
      <c r="AL37">
        <v>5284805.63751824</v>
      </c>
      <c r="AM37" t="s">
        <v>1900</v>
      </c>
      <c r="AN37">
        <v>2746738.59555253</v>
      </c>
      <c r="AO37">
        <v>2384850.64655727</v>
      </c>
      <c r="AP37">
        <v>2256647.90829341</v>
      </c>
      <c r="AQ37">
        <v>2095869.47934309</v>
      </c>
      <c r="AR37" t="s">
        <v>1900</v>
      </c>
      <c r="AS37">
        <v>3910002.60620612</v>
      </c>
      <c r="AT37">
        <v>3464726.4932878</v>
      </c>
      <c r="AU37">
        <v>3137332.43519697</v>
      </c>
      <c r="AV37">
        <v>3200038.20287873</v>
      </c>
      <c r="AW37" t="s">
        <v>1900</v>
      </c>
      <c r="AX37">
        <v>3359031.73529217</v>
      </c>
      <c r="AY37">
        <v>2678018.37909491</v>
      </c>
      <c r="AZ37">
        <v>2312593.06291273</v>
      </c>
      <c r="BA37">
        <v>2469983.21890602</v>
      </c>
      <c r="BB37" t="s">
        <v>1900</v>
      </c>
      <c r="BC37">
        <v>550970.872018957</v>
      </c>
      <c r="BD37">
        <v>786708.114192885</v>
      </c>
      <c r="BE37">
        <v>824739.372284245</v>
      </c>
      <c r="BF37">
        <v>730054.985199803</v>
      </c>
      <c r="BG37" t="s">
        <v>1900</v>
      </c>
      <c r="BH37">
        <v>-21597.2678425884</v>
      </c>
      <c r="BI37">
        <v>-29414.3927053273</v>
      </c>
      <c r="BJ37">
        <v>-7654.5432659626</v>
      </c>
      <c r="BK37">
        <v>-8539.261314809321</v>
      </c>
      <c r="BL37" t="s">
        <v>1900</v>
      </c>
      <c r="BM37">
        <v>771.4229462051391</v>
      </c>
      <c r="BN37" t="s">
        <v>1900</v>
      </c>
      <c r="BO37">
        <v>313.503765106201</v>
      </c>
      <c r="BP37" t="s">
        <v>1900</v>
      </c>
      <c r="BQ37" t="s">
        <v>1900</v>
      </c>
      <c r="BR37">
        <v>22368.6907887936</v>
      </c>
      <c r="BS37">
        <v>29414.3927053273</v>
      </c>
      <c r="BT37">
        <v>7968.0470310688</v>
      </c>
      <c r="BU37">
        <v>8539.261314809321</v>
      </c>
      <c r="BV37" t="s">
        <v>1900</v>
      </c>
      <c r="BW37">
        <v>529373.604176369</v>
      </c>
      <c r="BX37">
        <v>757293.721487558</v>
      </c>
      <c r="BY37">
        <v>817084.8290182831</v>
      </c>
      <c r="BZ37">
        <v>721515.723884994</v>
      </c>
      <c r="CA37" t="s">
        <v>1900</v>
      </c>
      <c r="CB37">
        <v>148619.980998821</v>
      </c>
      <c r="CC37">
        <v>182546.945180166</v>
      </c>
      <c r="CD37">
        <v>204272.223763347</v>
      </c>
      <c r="CE37">
        <v>184376.823556542</v>
      </c>
      <c r="CF37" t="s">
        <v>1900</v>
      </c>
      <c r="CG37">
        <v>380753.623177547</v>
      </c>
      <c r="CH37">
        <v>574746.775240793</v>
      </c>
      <c r="CI37">
        <v>612812.605254936</v>
      </c>
      <c r="CJ37">
        <v>537138.900328451</v>
      </c>
      <c r="CK37" t="s">
        <v>1900</v>
      </c>
      <c r="CL37" t="s">
        <v>1900</v>
      </c>
      <c r="CM37" t="s">
        <v>1900</v>
      </c>
      <c r="CN37" t="s">
        <v>1900</v>
      </c>
      <c r="CO37" t="s">
        <v>1900</v>
      </c>
      <c r="CP37" t="s">
        <v>1900</v>
      </c>
      <c r="CQ37" t="s">
        <v>1900</v>
      </c>
      <c r="CR37" t="s">
        <v>1900</v>
      </c>
      <c r="CS37" t="s">
        <v>1900</v>
      </c>
      <c r="CT37" t="s">
        <v>1900</v>
      </c>
      <c r="CU37" t="s">
        <v>1900</v>
      </c>
      <c r="CV37" t="s">
        <v>1900</v>
      </c>
      <c r="CW37" t="s">
        <v>1900</v>
      </c>
      <c r="CX37" t="s">
        <v>1900</v>
      </c>
      <c r="CY37" t="s">
        <v>1900</v>
      </c>
      <c r="CZ37" t="s">
        <v>1900</v>
      </c>
      <c r="DA37">
        <v>380753.623177547</v>
      </c>
      <c r="DB37">
        <v>574746.775240793</v>
      </c>
      <c r="DC37">
        <v>612812.605254936</v>
      </c>
      <c r="DD37">
        <v>537138.900328451</v>
      </c>
      <c r="DE37" t="s">
        <v>1900</v>
      </c>
      <c r="DF37" t="s">
        <v>1900</v>
      </c>
      <c r="DG37" t="s">
        <v>1900</v>
      </c>
      <c r="DH37" t="s">
        <v>1900</v>
      </c>
      <c r="DI37" t="s">
        <v>1900</v>
      </c>
      <c r="DJ37" t="s">
        <v>1900</v>
      </c>
      <c r="DK37">
        <v>2746738.59555253</v>
      </c>
      <c r="DL37">
        <v>2384850.64655727</v>
      </c>
      <c r="DM37">
        <v>2256647.90829341</v>
      </c>
      <c r="DN37">
        <v>2095869.47934309</v>
      </c>
      <c r="DO37" t="s">
        <v>1900</v>
      </c>
      <c r="DP37">
        <v>2430392.00368007</v>
      </c>
      <c r="DQ37">
        <v>1915438.22789972</v>
      </c>
      <c r="DR37">
        <v>1657239.25391922</v>
      </c>
      <c r="DS37">
        <v>1793399.8219385</v>
      </c>
      <c r="DT37" t="s">
        <v>1900</v>
      </c>
      <c r="DU37">
        <v>29913.4463247871</v>
      </c>
      <c r="DV37">
        <v>24836.0463999629</v>
      </c>
      <c r="DW37">
        <v>27195.7607367754</v>
      </c>
      <c r="DX37">
        <v>40923.5775711238</v>
      </c>
      <c r="DY37" t="s">
        <v>1900</v>
      </c>
      <c r="DZ37">
        <v>898726.285287313</v>
      </c>
      <c r="EA37">
        <v>737744.10479523</v>
      </c>
      <c r="EB37">
        <v>628158.048256731</v>
      </c>
      <c r="EC37">
        <v>635659.8193964</v>
      </c>
      <c r="ED37" t="s">
        <v>1900</v>
      </c>
      <c r="EE37">
        <v>20298.8480598736</v>
      </c>
      <c r="EF37">
        <v>28615.0403848469</v>
      </c>
      <c r="EG37">
        <v>6953.52030565739</v>
      </c>
      <c r="EH37">
        <v>6219.90865796208</v>
      </c>
      <c r="EI37" t="s">
        <v>1900</v>
      </c>
      <c r="EJ37" t="s">
        <v>1900</v>
      </c>
      <c r="EK37" t="s">
        <v>1900</v>
      </c>
      <c r="EL37" t="s">
        <v>1900</v>
      </c>
      <c r="EM37" t="s">
        <v>1900</v>
      </c>
      <c r="EN37" t="s">
        <v>1900</v>
      </c>
      <c r="EO37">
        <v>410667.069502335</v>
      </c>
      <c r="EP37">
        <v>599582.821640755</v>
      </c>
      <c r="EQ37">
        <v>640008.365991712</v>
      </c>
      <c r="ER37">
        <v>578062.477899575</v>
      </c>
      <c r="ES37" t="s">
        <v>1900</v>
      </c>
      <c r="ET37">
        <v>3009977.9022411</v>
      </c>
      <c r="EU37">
        <v>2726183.03617209</v>
      </c>
      <c r="EV37">
        <v>2508473.36397994</v>
      </c>
      <c r="EW37">
        <v>2562059.03205258</v>
      </c>
      <c r="EX37" t="s">
        <v>1900</v>
      </c>
      <c r="EY37">
        <v>580884.318343744</v>
      </c>
      <c r="EZ37">
        <v>811544.160592848</v>
      </c>
      <c r="FA37">
        <v>851935.133021021</v>
      </c>
      <c r="FB37">
        <v>770978.561543828</v>
      </c>
      <c r="FC37" t="s">
        <v>1900</v>
      </c>
      <c r="FD37">
        <v>160997.809803839</v>
      </c>
      <c r="FE37">
        <v>153706.51099146</v>
      </c>
      <c r="FF37">
        <v>88452.21051993369</v>
      </c>
      <c r="FG37">
        <v>109706.935403687</v>
      </c>
      <c r="FH37" t="s">
        <v>1900</v>
      </c>
      <c r="FI37">
        <v>1650.63869078636</v>
      </c>
      <c r="FJ37">
        <v>4100.02976485491</v>
      </c>
      <c r="FK37">
        <v>5442.26906340122</v>
      </c>
      <c r="FL37">
        <v>442.467465388775</v>
      </c>
      <c r="FM37" t="s">
        <v>1900</v>
      </c>
      <c r="FN37">
        <v>101000.050927582</v>
      </c>
      <c r="FO37">
        <v>93993.8879148603</v>
      </c>
      <c r="FP37">
        <v>38301.3371395826</v>
      </c>
      <c r="FQ37">
        <v>60073.3211082518</v>
      </c>
      <c r="FR37" t="s">
        <v>1900</v>
      </c>
      <c r="FS37">
        <v>58347.1190804701</v>
      </c>
      <c r="FT37">
        <v>55612.5933117449</v>
      </c>
      <c r="FU37">
        <v>44708.6031843495</v>
      </c>
      <c r="FV37">
        <v>49191.1468300462</v>
      </c>
      <c r="FW37" t="s">
        <v>1900</v>
      </c>
      <c r="FX37">
        <v>1650.63869078636</v>
      </c>
      <c r="FY37">
        <v>4100.02976485491</v>
      </c>
      <c r="FZ37">
        <v>5442.26906340122</v>
      </c>
      <c r="GA37">
        <v>442.467465388775</v>
      </c>
      <c r="GB37" t="s">
        <v>1900</v>
      </c>
      <c r="GC37">
        <v>101000.050927582</v>
      </c>
      <c r="GD37">
        <v>93993.8879148603</v>
      </c>
      <c r="GE37">
        <v>38301.3371395826</v>
      </c>
      <c r="GF37">
        <v>60073.3211082518</v>
      </c>
      <c r="GG37" t="s">
        <v>1900</v>
      </c>
      <c r="GH37">
        <v>58347.1190804701</v>
      </c>
      <c r="GI37">
        <v>55612.5933117449</v>
      </c>
      <c r="GJ37">
        <v>44708.6031843495</v>
      </c>
      <c r="GK37">
        <v>49191.1468300462</v>
      </c>
      <c r="GL37" t="s">
        <v>1900</v>
      </c>
      <c r="GM37">
        <v>3369283.60944308</v>
      </c>
      <c r="GN37">
        <v>3556085.3791649</v>
      </c>
      <c r="GO37">
        <v>3651060.97493377</v>
      </c>
      <c r="GP37">
        <v>3351922.78802267</v>
      </c>
      <c r="GQ37" t="s">
        <v>1900</v>
      </c>
      <c r="GR37">
        <v>0</v>
      </c>
      <c r="GS37">
        <v>0</v>
      </c>
      <c r="GT37">
        <v>0</v>
      </c>
      <c r="GU37">
        <v>0</v>
      </c>
      <c r="GV37" t="s">
        <v>1900</v>
      </c>
      <c r="GW37">
        <v>2007671.01416808</v>
      </c>
      <c r="GX37">
        <v>1633913.49537591</v>
      </c>
      <c r="GY37">
        <v>1577100.65811017</v>
      </c>
      <c r="GZ37">
        <v>1474924.93657752</v>
      </c>
      <c r="HA37" t="s">
        <v>1900</v>
      </c>
      <c r="HB37">
        <v>1361612.595275</v>
      </c>
      <c r="HC37">
        <v>1922171.88378899</v>
      </c>
      <c r="HD37">
        <v>2073960.3168236</v>
      </c>
      <c r="HE37">
        <v>1876997.85144514</v>
      </c>
      <c r="HF37" t="s">
        <v>1900</v>
      </c>
      <c r="HG37">
        <v>1318866.28094098</v>
      </c>
      <c r="HH37">
        <v>1861560.11734379</v>
      </c>
      <c r="HI37">
        <v>1950753.21255083</v>
      </c>
      <c r="HJ37">
        <v>910956.626727378</v>
      </c>
      <c r="HK37" t="s">
        <v>1900</v>
      </c>
      <c r="HL37">
        <v>3530281.41924692</v>
      </c>
      <c r="HM37">
        <v>3709791.89015636</v>
      </c>
      <c r="HN37">
        <v>3739513.1854537</v>
      </c>
      <c r="HO37">
        <v>3461629.72342635</v>
      </c>
      <c r="HP37" t="s">
        <v>1900</v>
      </c>
      <c r="HQ37">
        <v>1922717.99039221</v>
      </c>
      <c r="HR37">
        <v>2021677.72320728</v>
      </c>
      <c r="HS37">
        <v>1536466.54942131</v>
      </c>
      <c r="HT37">
        <v>1017047.06734678</v>
      </c>
      <c r="HU37" t="s">
        <v>1900</v>
      </c>
      <c r="HV37">
        <v>11050.0049591064</v>
      </c>
      <c r="HW37">
        <v>10665.9948825836</v>
      </c>
      <c r="HX37">
        <v>11326.003074646</v>
      </c>
      <c r="HY37">
        <v>12270.9929943085</v>
      </c>
      <c r="HZ37" t="s">
        <v>1900</v>
      </c>
      <c r="IA37">
        <v>1911667.9854331</v>
      </c>
      <c r="IB37">
        <v>2011011.7283247</v>
      </c>
      <c r="IC37">
        <v>1525140.54634666</v>
      </c>
      <c r="ID37">
        <v>1004776.07435247</v>
      </c>
      <c r="IE37" t="s">
        <v>1900</v>
      </c>
      <c r="IF37">
        <v>43914.1451581287</v>
      </c>
      <c r="IG37">
        <v>197239.811768705</v>
      </c>
      <c r="IH37">
        <v>569411.5766669509</v>
      </c>
      <c r="II37">
        <v>911492.022422713</v>
      </c>
      <c r="IJ37" t="s">
        <v>1900</v>
      </c>
      <c r="IK37">
        <v>43884.9068450069</v>
      </c>
      <c r="IL37">
        <v>197211.589546245</v>
      </c>
      <c r="IM37">
        <v>569381.608062816</v>
      </c>
      <c r="IN37">
        <v>910019.061507648</v>
      </c>
      <c r="IO37" t="s">
        <v>1900</v>
      </c>
      <c r="IP37">
        <v>29.2383131217957</v>
      </c>
      <c r="IQ37">
        <v>28.2222224593162</v>
      </c>
      <c r="IR37">
        <v>29.9686041355133</v>
      </c>
      <c r="IS37">
        <v>1472.96091506481</v>
      </c>
      <c r="IT37" t="s">
        <v>1900</v>
      </c>
      <c r="IU37" t="s">
        <v>1900</v>
      </c>
      <c r="IV37" t="s">
        <v>1900</v>
      </c>
      <c r="IW37" t="s">
        <v>1900</v>
      </c>
      <c r="IX37" t="s">
        <v>1900</v>
      </c>
      <c r="IY37" t="s">
        <v>1900</v>
      </c>
      <c r="IZ37">
        <v>1563649.28369658</v>
      </c>
      <c r="JA37">
        <v>1490874.35518037</v>
      </c>
      <c r="JB37">
        <v>1633635.05936544</v>
      </c>
      <c r="JC37">
        <v>1533090.63365687</v>
      </c>
      <c r="JD37" t="s">
        <v>1900</v>
      </c>
      <c r="JE37">
        <v>83670.99115051269</v>
      </c>
      <c r="JF37">
        <v>71252.02321553409</v>
      </c>
      <c r="JG37">
        <v>39046.1124497652</v>
      </c>
      <c r="JH37">
        <v>17385.3956224203</v>
      </c>
      <c r="JI37" t="s">
        <v>1900</v>
      </c>
      <c r="JJ37">
        <v>6612.57711764336</v>
      </c>
      <c r="JK37">
        <v>1608.24004038572</v>
      </c>
      <c r="JL37">
        <v>3767.17586066723</v>
      </c>
      <c r="JM37">
        <v>3008.51616539359</v>
      </c>
      <c r="JN37" t="s">
        <v>1900</v>
      </c>
      <c r="JO37">
        <v>1473365.71542843</v>
      </c>
      <c r="JP37">
        <v>1418014.09085785</v>
      </c>
      <c r="JQ37">
        <v>1590821.77105501</v>
      </c>
      <c r="JR37">
        <v>1512696.72186905</v>
      </c>
      <c r="JS37" t="s">
        <v>1900</v>
      </c>
      <c r="JT37">
        <v>3530281.41924692</v>
      </c>
      <c r="JU37">
        <v>3709791.89015636</v>
      </c>
      <c r="JV37">
        <v>3739513.1854537</v>
      </c>
      <c r="JW37">
        <v>3461629.72342635</v>
      </c>
      <c r="JX37" t="s">
        <v>1900</v>
      </c>
      <c r="JY37">
        <v>2001058.43705044</v>
      </c>
      <c r="JZ37">
        <v>1632305.25426892</v>
      </c>
      <c r="KA37">
        <v>1573333.4822495</v>
      </c>
      <c r="KB37">
        <v>1471916.42041213</v>
      </c>
      <c r="KC37" t="s">
        <v>1900</v>
      </c>
      <c r="KD37" t="s">
        <v>1900</v>
      </c>
      <c r="KE37" t="s">
        <v>1900</v>
      </c>
      <c r="KF37" t="s">
        <v>1900</v>
      </c>
      <c r="KG37" t="s">
        <v>1900</v>
      </c>
      <c r="KH37" t="s">
        <v>1900</v>
      </c>
      <c r="KI37" t="s">
        <v>1900</v>
      </c>
      <c r="KJ37" t="s">
        <v>1900</v>
      </c>
      <c r="KK37" t="s">
        <v>1900</v>
      </c>
      <c r="KL37" t="s">
        <v>1900</v>
      </c>
      <c r="KM37" t="s">
        <v>1900</v>
      </c>
      <c r="KN37">
        <v>43</v>
      </c>
      <c r="KO37">
        <v>40</v>
      </c>
      <c r="KP37">
        <v>35</v>
      </c>
      <c r="KQ37">
        <v>34</v>
      </c>
      <c r="KR37" t="s">
        <v>1900</v>
      </c>
      <c r="KS37" t="s">
        <v>1900</v>
      </c>
      <c r="KT37" t="s">
        <v>1900</v>
      </c>
      <c r="KU37" t="s">
        <v>1900</v>
      </c>
      <c r="KV37" t="s">
        <v>1900</v>
      </c>
      <c r="KW37" t="s">
        <v>1900</v>
      </c>
      <c r="KX37" t="s">
        <v>1900</v>
      </c>
      <c r="KY37" t="s">
        <v>1900</v>
      </c>
      <c r="KZ37" t="s">
        <v>1900</v>
      </c>
      <c r="LA37" t="s">
        <v>1900</v>
      </c>
      <c r="LB37" t="s">
        <v>1900</v>
      </c>
      <c r="LC37" t="s">
        <v>1900</v>
      </c>
      <c r="LD37" t="s">
        <v>1900</v>
      </c>
      <c r="LE37" t="s">
        <v>1900</v>
      </c>
      <c r="LF37" t="s">
        <v>1900</v>
      </c>
      <c r="LG37" t="s">
        <v>1900</v>
      </c>
      <c r="LH37" t="s">
        <v>1900</v>
      </c>
      <c r="LI37" t="s">
        <v>1900</v>
      </c>
      <c r="LJ37" t="s">
        <v>1900</v>
      </c>
      <c r="LK37" t="s">
        <v>1900</v>
      </c>
      <c r="LL37" t="s">
        <v>1900</v>
      </c>
      <c r="LM37" t="s">
        <v>1900</v>
      </c>
      <c r="LN37" t="s">
        <v>1900</v>
      </c>
      <c r="LO37" t="s">
        <v>1900</v>
      </c>
      <c r="LP37" t="s">
        <v>1900</v>
      </c>
      <c r="LQ37" t="s">
        <v>1900</v>
      </c>
      <c r="LR37" t="s">
        <v>1900</v>
      </c>
      <c r="LS37" t="s">
        <v>1900</v>
      </c>
      <c r="LT37" t="s">
        <v>1900</v>
      </c>
      <c r="LU37" t="s">
        <v>1900</v>
      </c>
      <c r="LV37" t="s">
        <v>1900</v>
      </c>
      <c r="LW37" t="s">
        <v>1900</v>
      </c>
      <c r="LX37" t="s">
        <v>1900</v>
      </c>
      <c r="LY37" t="s">
        <v>1900</v>
      </c>
      <c r="LZ37" t="s">
        <v>1900</v>
      </c>
      <c r="MA37" t="s">
        <v>1900</v>
      </c>
      <c r="MB37" t="s">
        <v>1900</v>
      </c>
      <c r="MC37" t="s">
        <v>1900</v>
      </c>
      <c r="MD37" t="s">
        <v>1900</v>
      </c>
      <c r="ME37" t="s">
        <v>1900</v>
      </c>
      <c r="MF37" t="s">
        <v>1900</v>
      </c>
      <c r="MG37" t="s">
        <v>1900</v>
      </c>
      <c r="MH37" t="s">
        <v>1900</v>
      </c>
      <c r="MI37" t="s">
        <v>1900</v>
      </c>
      <c r="MJ37" t="s">
        <v>1900</v>
      </c>
      <c r="MK37" t="s">
        <v>1900</v>
      </c>
      <c r="ML37" t="s">
        <v>1900</v>
      </c>
      <c r="MM37" t="s">
        <v>1900</v>
      </c>
      <c r="MN37" t="s">
        <v>1900</v>
      </c>
      <c r="MO37" t="s">
        <v>1900</v>
      </c>
      <c r="MP37" t="s">
        <v>1900</v>
      </c>
      <c r="MQ37">
        <v>1361612.595275</v>
      </c>
      <c r="MR37">
        <v>1922171.88378899</v>
      </c>
      <c r="MS37">
        <v>2073960.3168236</v>
      </c>
      <c r="MT37">
        <v>1876997.85144514</v>
      </c>
      <c r="MU37" t="s">
        <v>1900</v>
      </c>
      <c r="MV37" t="s">
        <v>1900</v>
      </c>
      <c r="MW37" t="s">
        <v>1900</v>
      </c>
      <c r="MX37" t="s">
        <v>1900</v>
      </c>
      <c r="MY37" t="s">
        <v>1900</v>
      </c>
      <c r="MZ37" t="s">
        <v>1900</v>
      </c>
      <c r="NA37" t="s">
        <v>1900</v>
      </c>
      <c r="NB37" t="s">
        <v>1900</v>
      </c>
      <c r="NC37" t="s">
        <v>1900</v>
      </c>
      <c r="ND37" t="s">
        <v>1900</v>
      </c>
      <c r="NE37" t="s">
        <v>1900</v>
      </c>
      <c r="NF37" t="s">
        <v>1900</v>
      </c>
      <c r="NG37" t="s">
        <v>1900</v>
      </c>
      <c r="NH37" t="s">
        <v>1900</v>
      </c>
      <c r="NI37" t="s">
        <v>1900</v>
      </c>
      <c r="NJ37" t="s">
        <v>1900</v>
      </c>
      <c r="NK37" t="s">
        <v>1900</v>
      </c>
      <c r="NL37" t="s">
        <v>1900</v>
      </c>
      <c r="NM37" t="s">
        <v>1900</v>
      </c>
      <c r="NN37" t="s">
        <v>1900</v>
      </c>
      <c r="NO37" t="s">
        <v>1900</v>
      </c>
      <c r="NP37" t="s">
        <v>1900</v>
      </c>
      <c r="NQ37" t="s">
        <v>1900</v>
      </c>
      <c r="NR37" t="s">
        <v>1900</v>
      </c>
      <c r="NS37" t="s">
        <v>1900</v>
      </c>
      <c r="NT37" t="s">
        <v>1900</v>
      </c>
      <c r="NU37">
        <v>160997.809803839</v>
      </c>
      <c r="NV37">
        <v>153706.51099146</v>
      </c>
      <c r="NW37">
        <v>88452.21051993369</v>
      </c>
      <c r="NX37">
        <v>109706.935403687</v>
      </c>
      <c r="NY37" t="s">
        <v>1900</v>
      </c>
      <c r="NZ37" t="s">
        <v>1900</v>
      </c>
      <c r="OA37" t="s">
        <v>1900</v>
      </c>
      <c r="OB37" t="s">
        <v>1900</v>
      </c>
      <c r="OC37" t="s">
        <v>1900</v>
      </c>
      <c r="OD37" t="s">
        <v>1900</v>
      </c>
      <c r="OE37" t="s">
        <v>1900</v>
      </c>
      <c r="OF37" t="s">
        <v>1900</v>
      </c>
      <c r="OG37" t="s">
        <v>1900</v>
      </c>
      <c r="OH37" t="s">
        <v>1900</v>
      </c>
      <c r="OI37" t="s">
        <v>1900</v>
      </c>
      <c r="OJ37" t="s">
        <v>1900</v>
      </c>
      <c r="OK37" t="s">
        <v>1900</v>
      </c>
      <c r="OL37" t="s">
        <v>1900</v>
      </c>
      <c r="OM37" t="s">
        <v>1900</v>
      </c>
      <c r="ON37" t="s">
        <v>1900</v>
      </c>
      <c r="OO37" t="s">
        <v>1900</v>
      </c>
      <c r="OP37" t="s">
        <v>1900</v>
      </c>
      <c r="OQ37" t="s">
        <v>1900</v>
      </c>
      <c r="OR37" t="s">
        <v>1900</v>
      </c>
      <c r="OS37" t="s">
        <v>1900</v>
      </c>
      <c r="OT37" t="s">
        <v>1900</v>
      </c>
      <c r="OU37" t="s">
        <v>1900</v>
      </c>
      <c r="OV37" t="s">
        <v>1900</v>
      </c>
      <c r="OW37" t="s">
        <v>1900</v>
      </c>
      <c r="OX37" t="s">
        <v>1900</v>
      </c>
      <c r="OY37" t="s">
        <v>1900</v>
      </c>
      <c r="OZ37" t="s">
        <v>1900</v>
      </c>
      <c r="PA37" t="s">
        <v>1900</v>
      </c>
      <c r="PB37" t="s">
        <v>1900</v>
      </c>
      <c r="PC37" t="s">
        <v>1900</v>
      </c>
      <c r="PD37" t="s">
        <v>1900</v>
      </c>
      <c r="PE37" t="s">
        <v>1900</v>
      </c>
      <c r="PF37" t="s">
        <v>1900</v>
      </c>
      <c r="PG37" t="s">
        <v>1900</v>
      </c>
      <c r="PH37" t="s">
        <v>1900</v>
      </c>
      <c r="PI37" t="s">
        <v>1900</v>
      </c>
      <c r="PJ37" t="s">
        <v>1900</v>
      </c>
      <c r="PK37" t="s">
        <v>1900</v>
      </c>
      <c r="PL37" t="s">
        <v>1900</v>
      </c>
      <c r="PM37" t="s">
        <v>1900</v>
      </c>
      <c r="PN37" t="s">
        <v>1900</v>
      </c>
      <c r="PO37" t="s">
        <v>1900</v>
      </c>
      <c r="PP37" t="s">
        <v>1900</v>
      </c>
      <c r="PQ37" t="s">
        <v>1900</v>
      </c>
      <c r="PR37" t="s">
        <v>1900</v>
      </c>
      <c r="PS37" t="s">
        <v>1900</v>
      </c>
      <c r="PT37" t="s">
        <v>1900</v>
      </c>
      <c r="PU37" t="s">
        <v>1900</v>
      </c>
      <c r="PV37" t="s">
        <v>1900</v>
      </c>
      <c r="PW37" t="s">
        <v>1900</v>
      </c>
      <c r="PX37" t="s">
        <v>1900</v>
      </c>
      <c r="PY37" t="s">
        <v>1900</v>
      </c>
      <c r="PZ37" t="s">
        <v>1900</v>
      </c>
      <c r="QA37" t="s">
        <v>1900</v>
      </c>
      <c r="QB37" t="s">
        <v>1900</v>
      </c>
      <c r="QC37" t="s">
        <v>1900</v>
      </c>
      <c r="QD37" t="s">
        <v>1900</v>
      </c>
      <c r="QE37" t="s">
        <v>1900</v>
      </c>
      <c r="QF37" t="s">
        <v>1900</v>
      </c>
      <c r="QG37" t="s">
        <v>1900</v>
      </c>
      <c r="QH37" t="s">
        <v>1900</v>
      </c>
      <c r="QI37" t="s">
        <v>1900</v>
      </c>
      <c r="QJ37" t="s">
        <v>1900</v>
      </c>
      <c r="QK37" t="s">
        <v>1900</v>
      </c>
      <c r="QL37" t="s">
        <v>1900</v>
      </c>
      <c r="QM37" t="s">
        <v>1900</v>
      </c>
      <c r="QN37" t="s">
        <v>1900</v>
      </c>
      <c r="QO37" t="s">
        <v>1900</v>
      </c>
      <c r="QP37" t="s">
        <v>1900</v>
      </c>
      <c r="QQ37" t="s">
        <v>1900</v>
      </c>
      <c r="QR37" t="s">
        <v>1900</v>
      </c>
      <c r="QS37" t="s">
        <v>1900</v>
      </c>
      <c r="QT37" t="s">
        <v>1900</v>
      </c>
      <c r="QU37" t="s">
        <v>1900</v>
      </c>
      <c r="QV37" t="s">
        <v>1900</v>
      </c>
      <c r="QW37" t="s">
        <v>1900</v>
      </c>
      <c r="QX37" t="s">
        <v>1900</v>
      </c>
      <c r="QY37" t="s">
        <v>1900</v>
      </c>
      <c r="QZ37" t="s">
        <v>1900</v>
      </c>
      <c r="RA37" t="s">
        <v>1900</v>
      </c>
      <c r="RB37" t="s">
        <v>1900</v>
      </c>
      <c r="RC37" t="s">
        <v>1900</v>
      </c>
      <c r="RD37" t="s">
        <v>1900</v>
      </c>
      <c r="RE37" t="s">
        <v>1900</v>
      </c>
      <c r="RF37" t="s">
        <v>1900</v>
      </c>
      <c r="RG37" t="s">
        <v>1900</v>
      </c>
      <c r="RH37" t="s">
        <v>1900</v>
      </c>
      <c r="RI37" t="s">
        <v>1900</v>
      </c>
      <c r="RJ37" t="s">
        <v>1900</v>
      </c>
      <c r="RK37" t="s">
        <v>1900</v>
      </c>
      <c r="RL37" t="s">
        <v>1900</v>
      </c>
      <c r="RM37" t="s">
        <v>1900</v>
      </c>
      <c r="RN37" t="s">
        <v>1900</v>
      </c>
      <c r="RO37" t="s">
        <v>1900</v>
      </c>
      <c r="RP37" t="s">
        <v>1900</v>
      </c>
      <c r="RQ37" t="s">
        <v>1900</v>
      </c>
      <c r="RR37" t="s">
        <v>1900</v>
      </c>
      <c r="RS37" t="s">
        <v>1900</v>
      </c>
      <c r="RT37" t="s">
        <v>1900</v>
      </c>
      <c r="RU37" t="s">
        <v>1900</v>
      </c>
      <c r="RV37" t="s">
        <v>1900</v>
      </c>
      <c r="RW37" t="s">
        <v>1900</v>
      </c>
      <c r="RX37" t="s">
        <v>1900</v>
      </c>
      <c r="RY37" t="s">
        <v>1900</v>
      </c>
      <c r="RZ37" t="s">
        <v>1900</v>
      </c>
      <c r="SA37" t="s">
        <v>1900</v>
      </c>
      <c r="SB37" t="s">
        <v>1900</v>
      </c>
      <c r="SC37" t="s">
        <v>1900</v>
      </c>
      <c r="SD37" t="s">
        <v>1900</v>
      </c>
      <c r="SE37" t="s">
        <v>1900</v>
      </c>
      <c r="SF37" t="s">
        <v>1900</v>
      </c>
      <c r="SG37" t="s">
        <v>1900</v>
      </c>
      <c r="SH37" t="s">
        <v>1900</v>
      </c>
      <c r="SI37" t="s">
        <v>1900</v>
      </c>
      <c r="SJ37" t="s">
        <v>1900</v>
      </c>
      <c r="SK37">
        <v>58347.1190804701</v>
      </c>
      <c r="SL37">
        <v>55612.5933117449</v>
      </c>
      <c r="SM37">
        <v>44708.6031843495</v>
      </c>
      <c r="SN37">
        <v>49191.1468300462</v>
      </c>
      <c r="SO37" t="s">
        <v>1900</v>
      </c>
      <c r="SP37" t="s">
        <v>1900</v>
      </c>
      <c r="SQ37" t="s">
        <v>1900</v>
      </c>
      <c r="SR37" t="s">
        <v>1900</v>
      </c>
      <c r="SS37" t="s">
        <v>1900</v>
      </c>
      <c r="ST37" t="s">
        <v>1900</v>
      </c>
      <c r="SU37" t="s">
        <v>1900</v>
      </c>
      <c r="SV37" t="s">
        <v>1900</v>
      </c>
      <c r="SW37" t="s">
        <v>1900</v>
      </c>
      <c r="SX37" t="s">
        <v>1900</v>
      </c>
      <c r="SY37" t="s">
        <v>1900</v>
      </c>
      <c r="SZ37" t="s">
        <v>1900</v>
      </c>
      <c r="TA37" t="s">
        <v>1900</v>
      </c>
      <c r="TB37" t="s">
        <v>1900</v>
      </c>
      <c r="TC37" t="s">
        <v>1900</v>
      </c>
      <c r="TD37" t="s">
        <v>1900</v>
      </c>
      <c r="TE37" t="s">
        <v>1900</v>
      </c>
      <c r="TF37" t="s">
        <v>1900</v>
      </c>
      <c r="TG37" t="s">
        <v>1900</v>
      </c>
      <c r="TH37" t="s">
        <v>1900</v>
      </c>
      <c r="TI37" t="s">
        <v>1900</v>
      </c>
      <c r="TJ37" t="s">
        <v>1900</v>
      </c>
      <c r="TK37" t="s">
        <v>1900</v>
      </c>
      <c r="TL37" t="s">
        <v>1900</v>
      </c>
      <c r="TM37" t="s">
        <v>1900</v>
      </c>
      <c r="TN37" t="s">
        <v>1900</v>
      </c>
      <c r="TO37" t="s">
        <v>1900</v>
      </c>
      <c r="TP37" t="s">
        <v>1900</v>
      </c>
      <c r="TQ37" t="s">
        <v>1900</v>
      </c>
      <c r="TR37" t="s">
        <v>1900</v>
      </c>
      <c r="TS37" t="s">
        <v>1900</v>
      </c>
      <c r="TT37">
        <v>3530281.41924692</v>
      </c>
      <c r="TU37">
        <v>3709791.89015636</v>
      </c>
      <c r="TV37">
        <v>3739513.1854537</v>
      </c>
      <c r="TW37">
        <v>3461629.72342635</v>
      </c>
      <c r="TX37" t="s">
        <v>1900</v>
      </c>
      <c r="TY37" t="s">
        <v>1900</v>
      </c>
      <c r="TZ37" t="s">
        <v>1900</v>
      </c>
      <c r="UA37" t="s">
        <v>1900</v>
      </c>
      <c r="UB37" t="s">
        <v>1900</v>
      </c>
      <c r="UC37" t="s">
        <v>1900</v>
      </c>
      <c r="UD37">
        <v>83670.99115051269</v>
      </c>
      <c r="UE37">
        <v>71252.02321553409</v>
      </c>
      <c r="UF37">
        <v>39046.1124497652</v>
      </c>
      <c r="UG37">
        <v>17385.3956224203</v>
      </c>
      <c r="UH37" t="s">
        <v>1900</v>
      </c>
      <c r="UI37" t="s">
        <v>1900</v>
      </c>
      <c r="UJ37" t="s">
        <v>1900</v>
      </c>
      <c r="UK37" t="s">
        <v>1900</v>
      </c>
      <c r="UL37" t="s">
        <v>1900</v>
      </c>
      <c r="UM37" t="s">
        <v>1900</v>
      </c>
      <c r="UN37" t="s">
        <v>1900</v>
      </c>
      <c r="UO37" t="s">
        <v>1900</v>
      </c>
      <c r="UP37" t="s">
        <v>1900</v>
      </c>
      <c r="UQ37" t="s">
        <v>1900</v>
      </c>
      <c r="UR37" t="s">
        <v>1900</v>
      </c>
      <c r="US37" t="s">
        <v>1900</v>
      </c>
      <c r="UT37" t="s">
        <v>1900</v>
      </c>
      <c r="UU37" t="s">
        <v>1900</v>
      </c>
      <c r="UV37" t="s">
        <v>1900</v>
      </c>
      <c r="UW37" t="s">
        <v>1900</v>
      </c>
      <c r="UX37" t="s">
        <v>1900</v>
      </c>
      <c r="UY37" t="s">
        <v>1900</v>
      </c>
      <c r="UZ37" t="s">
        <v>1900</v>
      </c>
      <c r="VA37" t="s">
        <v>1900</v>
      </c>
      <c r="VB37" t="s">
        <v>1900</v>
      </c>
      <c r="VC37" t="s">
        <v>1900</v>
      </c>
      <c r="VD37" t="s">
        <v>1900</v>
      </c>
      <c r="VE37" t="s">
        <v>1900</v>
      </c>
      <c r="VF37" t="s">
        <v>1900</v>
      </c>
      <c r="VG37" t="s">
        <v>1900</v>
      </c>
      <c r="VH37" t="s">
        <v>1900</v>
      </c>
      <c r="VI37" t="s">
        <v>1900</v>
      </c>
      <c r="VJ37" t="s">
        <v>1900</v>
      </c>
      <c r="VK37" t="s">
        <v>1900</v>
      </c>
      <c r="VL37" t="s">
        <v>1900</v>
      </c>
      <c r="VM37" t="s">
        <v>1900</v>
      </c>
      <c r="VN37" t="s">
        <v>1900</v>
      </c>
      <c r="VO37" t="s">
        <v>1900</v>
      </c>
      <c r="VP37" t="s">
        <v>1900</v>
      </c>
      <c r="VQ37" t="s">
        <v>1900</v>
      </c>
      <c r="VR37" t="s">
        <v>1900</v>
      </c>
      <c r="VS37" t="s">
        <v>1900</v>
      </c>
      <c r="VT37" t="s">
        <v>1900</v>
      </c>
      <c r="VU37" t="s">
        <v>1900</v>
      </c>
      <c r="VV37" t="s">
        <v>1900</v>
      </c>
      <c r="VW37" t="s">
        <v>1900</v>
      </c>
      <c r="VX37" t="s">
        <v>1900</v>
      </c>
      <c r="VY37" t="s">
        <v>1900</v>
      </c>
      <c r="VZ37" t="s">
        <v>1900</v>
      </c>
      <c r="WA37" t="s">
        <v>1900</v>
      </c>
      <c r="WB37">
        <v>1473365.71542843</v>
      </c>
      <c r="WC37">
        <v>1418014.09085785</v>
      </c>
      <c r="WD37">
        <v>1590821.77105501</v>
      </c>
      <c r="WE37">
        <v>1512696.72186905</v>
      </c>
      <c r="WF37" t="s">
        <v>1900</v>
      </c>
      <c r="WG37" t="s">
        <v>1900</v>
      </c>
      <c r="WH37" t="s">
        <v>1900</v>
      </c>
      <c r="WI37" t="s">
        <v>1900</v>
      </c>
      <c r="WJ37" t="s">
        <v>1900</v>
      </c>
      <c r="WK37" t="s">
        <v>1900</v>
      </c>
      <c r="WL37" t="s">
        <v>1900</v>
      </c>
      <c r="WM37" t="s">
        <v>1900</v>
      </c>
      <c r="WN37" t="s">
        <v>1900</v>
      </c>
      <c r="WO37" t="s">
        <v>1900</v>
      </c>
      <c r="WP37" t="s">
        <v>1900</v>
      </c>
      <c r="WQ37" t="s">
        <v>1900</v>
      </c>
      <c r="WR37" t="s">
        <v>1900</v>
      </c>
      <c r="WS37" t="s">
        <v>1900</v>
      </c>
      <c r="WT37" t="s">
        <v>1900</v>
      </c>
      <c r="WU37" t="s">
        <v>1900</v>
      </c>
      <c r="WV37" t="s">
        <v>1900</v>
      </c>
      <c r="WW37" t="s">
        <v>1900</v>
      </c>
      <c r="WX37" t="s">
        <v>1900</v>
      </c>
      <c r="WY37" t="s">
        <v>1900</v>
      </c>
      <c r="WZ37" t="s">
        <v>1900</v>
      </c>
      <c r="XA37" t="s">
        <v>1900</v>
      </c>
      <c r="XB37" t="s">
        <v>1900</v>
      </c>
      <c r="XC37" t="s">
        <v>1900</v>
      </c>
      <c r="XD37" t="s">
        <v>1900</v>
      </c>
      <c r="XE37" t="s">
        <v>1900</v>
      </c>
      <c r="XF37" t="s">
        <v>1900</v>
      </c>
      <c r="XG37" t="s">
        <v>1900</v>
      </c>
      <c r="XH37" t="s">
        <v>1900</v>
      </c>
      <c r="XI37" t="s">
        <v>1900</v>
      </c>
      <c r="XJ37" t="s">
        <v>1900</v>
      </c>
      <c r="XK37">
        <v>29.2383131217957</v>
      </c>
      <c r="XL37">
        <v>28.2222224593162</v>
      </c>
      <c r="XM37">
        <v>29.9686041355133</v>
      </c>
      <c r="XN37">
        <v>1472.96091506481</v>
      </c>
      <c r="XO37" t="s">
        <v>1900</v>
      </c>
      <c r="XP37" t="s">
        <v>1900</v>
      </c>
      <c r="XQ37" t="s">
        <v>1900</v>
      </c>
      <c r="XR37" t="s">
        <v>1900</v>
      </c>
      <c r="XS37" t="s">
        <v>1900</v>
      </c>
      <c r="XT37" t="s">
        <v>1900</v>
      </c>
      <c r="XU37" t="s">
        <v>1900</v>
      </c>
      <c r="XV37" t="s">
        <v>1900</v>
      </c>
      <c r="XW37" t="s">
        <v>1900</v>
      </c>
      <c r="XX37" t="s">
        <v>1900</v>
      </c>
      <c r="XY37" t="s">
        <v>1900</v>
      </c>
      <c r="XZ37" t="s">
        <v>1900</v>
      </c>
      <c r="YA37" t="s">
        <v>1900</v>
      </c>
      <c r="YB37" t="s">
        <v>1900</v>
      </c>
      <c r="YC37" t="s">
        <v>1900</v>
      </c>
      <c r="YD37" t="s">
        <v>1900</v>
      </c>
      <c r="YE37" t="s">
        <v>1900</v>
      </c>
      <c r="YF37" t="s">
        <v>1900</v>
      </c>
      <c r="YG37" t="s">
        <v>1900</v>
      </c>
      <c r="YH37" t="s">
        <v>1900</v>
      </c>
      <c r="YI37" t="s">
        <v>1900</v>
      </c>
      <c r="YJ37" t="s">
        <v>1900</v>
      </c>
      <c r="YK37" t="s">
        <v>1900</v>
      </c>
      <c r="YL37" t="s">
        <v>1900</v>
      </c>
      <c r="YM37" t="s">
        <v>1900</v>
      </c>
      <c r="YN37" t="s">
        <v>1900</v>
      </c>
      <c r="YO37" t="s">
        <v>1900</v>
      </c>
      <c r="YP37" t="s">
        <v>1900</v>
      </c>
      <c r="YQ37" t="s">
        <v>1900</v>
      </c>
      <c r="YR37" t="s">
        <v>1900</v>
      </c>
      <c r="YS37" t="s">
        <v>1900</v>
      </c>
      <c r="YT37" t="s">
        <v>1900</v>
      </c>
      <c r="YU37" t="s">
        <v>1900</v>
      </c>
      <c r="YV37" t="s">
        <v>1900</v>
      </c>
      <c r="YW37" t="s">
        <v>1900</v>
      </c>
      <c r="YX37" t="s">
        <v>1900</v>
      </c>
      <c r="YY37" t="s">
        <v>1900</v>
      </c>
      <c r="YZ37" t="s">
        <v>1900</v>
      </c>
      <c r="ZA37" t="s">
        <v>1900</v>
      </c>
      <c r="ZB37" t="s">
        <v>1900</v>
      </c>
      <c r="ZC37" t="s">
        <v>1900</v>
      </c>
      <c r="ZD37" t="s">
        <v>1900</v>
      </c>
      <c r="ZE37" t="s">
        <v>1900</v>
      </c>
      <c r="ZF37" t="s">
        <v>1900</v>
      </c>
      <c r="ZG37" t="s">
        <v>1900</v>
      </c>
      <c r="ZH37" t="s">
        <v>1900</v>
      </c>
      <c r="ZI37" t="s">
        <v>1900</v>
      </c>
      <c r="ZJ37" t="s">
        <v>1900</v>
      </c>
      <c r="ZK37" t="s">
        <v>1900</v>
      </c>
      <c r="ZL37" t="s">
        <v>1900</v>
      </c>
      <c r="ZM37" t="s">
        <v>1900</v>
      </c>
      <c r="ZN37" t="s">
        <v>1900</v>
      </c>
      <c r="ZO37" t="s">
        <v>1900</v>
      </c>
      <c r="ZP37" t="s">
        <v>1900</v>
      </c>
      <c r="ZQ37" t="s">
        <v>1900</v>
      </c>
      <c r="ZR37" t="s">
        <v>1900</v>
      </c>
      <c r="ZS37" t="s">
        <v>1900</v>
      </c>
      <c r="ZT37" t="s">
        <v>1900</v>
      </c>
      <c r="ZU37" t="s">
        <v>1900</v>
      </c>
      <c r="ZV37" t="s">
        <v>1900</v>
      </c>
      <c r="ZW37" t="s">
        <v>1900</v>
      </c>
      <c r="ZX37" t="s">
        <v>1900</v>
      </c>
      <c r="ZY37" t="s">
        <v>1900</v>
      </c>
      <c r="ZZ37" t="s">
        <v>1900</v>
      </c>
      <c r="AAA37" t="s">
        <v>1900</v>
      </c>
      <c r="AAB37" t="s">
        <v>1900</v>
      </c>
      <c r="AAC37" t="s">
        <v>1900</v>
      </c>
      <c r="AAD37" t="s">
        <v>1900</v>
      </c>
      <c r="AAE37" t="s">
        <v>1900</v>
      </c>
      <c r="AAF37" t="s">
        <v>1900</v>
      </c>
      <c r="AAG37" t="s">
        <v>1900</v>
      </c>
      <c r="AAH37" t="s">
        <v>1900</v>
      </c>
      <c r="AAI37" t="s">
        <v>1900</v>
      </c>
      <c r="AAJ37" t="s">
        <v>1900</v>
      </c>
      <c r="AAK37" t="s">
        <v>1900</v>
      </c>
      <c r="AAL37" t="s">
        <v>1900</v>
      </c>
      <c r="AAM37" t="s">
        <v>1900</v>
      </c>
      <c r="AAN37" t="s">
        <v>1900</v>
      </c>
      <c r="AAO37" t="s">
        <v>1900</v>
      </c>
      <c r="AAP37" t="s">
        <v>1900</v>
      </c>
      <c r="AAQ37" t="s">
        <v>1900</v>
      </c>
      <c r="AAR37" t="s">
        <v>1900</v>
      </c>
      <c r="AAS37" t="s">
        <v>1900</v>
      </c>
      <c r="AAT37" t="s">
        <v>1900</v>
      </c>
      <c r="AAU37" t="s">
        <v>1900</v>
      </c>
      <c r="AAV37" t="s">
        <v>1900</v>
      </c>
      <c r="AAW37" t="s">
        <v>1900</v>
      </c>
      <c r="AAX37" t="s">
        <v>1900</v>
      </c>
      <c r="AAY37" t="s">
        <v>1900</v>
      </c>
      <c r="AAZ37" t="s">
        <v>1900</v>
      </c>
      <c r="ABA37" t="s">
        <v>1900</v>
      </c>
      <c r="ABB37" t="s">
        <v>1900</v>
      </c>
      <c r="ABC37" t="s">
        <v>1900</v>
      </c>
      <c r="ABD37" t="s">
        <v>1900</v>
      </c>
      <c r="ABE37" t="s">
        <v>1900</v>
      </c>
      <c r="ABF37" t="s">
        <v>1900</v>
      </c>
      <c r="ABG37" t="s">
        <v>1900</v>
      </c>
      <c r="ABH37" t="s">
        <v>1900</v>
      </c>
      <c r="ABI37" t="s">
        <v>1900</v>
      </c>
      <c r="ABJ37" t="s">
        <v>1900</v>
      </c>
      <c r="ABK37" t="s">
        <v>1900</v>
      </c>
      <c r="ABL37" t="s">
        <v>1900</v>
      </c>
      <c r="ABM37" t="s">
        <v>1900</v>
      </c>
      <c r="ABN37" t="s">
        <v>1900</v>
      </c>
      <c r="ABO37" t="s">
        <v>1900</v>
      </c>
      <c r="ABP37" t="s">
        <v>1900</v>
      </c>
      <c r="ABQ37" t="s">
        <v>1900</v>
      </c>
      <c r="ABR37" t="s">
        <v>1900</v>
      </c>
      <c r="ABS37" t="s">
        <v>1900</v>
      </c>
      <c r="ABT37" t="s">
        <v>1900</v>
      </c>
      <c r="ABU37" t="s">
        <v>1900</v>
      </c>
      <c r="ABV37" t="s">
        <v>1900</v>
      </c>
      <c r="ABW37" t="s">
        <v>1900</v>
      </c>
      <c r="ABX37" t="s">
        <v>1900</v>
      </c>
      <c r="ABY37" t="s">
        <v>1900</v>
      </c>
      <c r="ABZ37" t="s">
        <v>1900</v>
      </c>
      <c r="ACA37" t="s">
        <v>1900</v>
      </c>
      <c r="ACB37" t="s">
        <v>1900</v>
      </c>
      <c r="ACC37" t="s">
        <v>1900</v>
      </c>
      <c r="ACD37" t="s">
        <v>1900</v>
      </c>
      <c r="ACE37" t="s">
        <v>1900</v>
      </c>
      <c r="ACF37">
        <v>27.533</v>
      </c>
      <c r="ACG37">
        <v>37.459</v>
      </c>
      <c r="ACH37">
        <v>53.179</v>
      </c>
      <c r="ACI37">
        <v>70.94199999999999</v>
      </c>
      <c r="ACJ37" t="s">
        <v>1900</v>
      </c>
      <c r="ACK37">
        <v>27.95</v>
      </c>
      <c r="ACL37">
        <v>35.419</v>
      </c>
      <c r="ACM37">
        <v>39.13</v>
      </c>
      <c r="ACN37">
        <v>37.735</v>
      </c>
      <c r="ACO37" t="s">
        <v>1900</v>
      </c>
      <c r="ACP37">
        <v>14.995</v>
      </c>
      <c r="ACQ37">
        <v>20.413</v>
      </c>
      <c r="ACR37">
        <v>21.85</v>
      </c>
      <c r="ACS37">
        <v>20.843</v>
      </c>
      <c r="ACT37" t="s">
        <v>1900</v>
      </c>
      <c r="ACU37">
        <v>19.803</v>
      </c>
      <c r="ACV37">
        <v>28.429</v>
      </c>
      <c r="ACW37">
        <v>39.885</v>
      </c>
      <c r="ACX37">
        <v>52.814</v>
      </c>
      <c r="ACY37" t="s">
        <v>1900</v>
      </c>
      <c r="ACZ37">
        <v>20.393</v>
      </c>
      <c r="ADA37">
        <v>27.192</v>
      </c>
      <c r="ADB37">
        <v>29.43</v>
      </c>
      <c r="ADC37">
        <v>28.175</v>
      </c>
      <c r="ADD37" t="s">
        <v>1900</v>
      </c>
      <c r="ADE37">
        <v>10.785</v>
      </c>
      <c r="ADF37">
        <v>15.493</v>
      </c>
      <c r="ADG37">
        <v>16.387</v>
      </c>
      <c r="ADH37">
        <v>15.517</v>
      </c>
      <c r="ADI37" t="s">
        <v>1900</v>
      </c>
      <c r="ADJ37">
        <v>7.952</v>
      </c>
      <c r="ADK37">
        <v>12.946</v>
      </c>
      <c r="ADL37">
        <v>15.148</v>
      </c>
      <c r="ADM37">
        <v>13.624</v>
      </c>
      <c r="ADN37" t="s">
        <v>1900</v>
      </c>
      <c r="ADO37">
        <v>58.737</v>
      </c>
      <c r="ADP37">
        <v>59.23</v>
      </c>
      <c r="ADQ37">
        <v>58.164</v>
      </c>
      <c r="ADR37">
        <v>60.425</v>
      </c>
      <c r="ADS37" t="s">
        <v>1900</v>
      </c>
      <c r="ADT37">
        <v>8.276885870999999</v>
      </c>
      <c r="ADU37">
        <v>13.448974095</v>
      </c>
      <c r="ADV37">
        <v>15.28999588</v>
      </c>
      <c r="ADW37">
        <v>13.785266455</v>
      </c>
      <c r="ADX37" t="s">
        <v>1900</v>
      </c>
      <c r="ADY37">
        <v>8.726000000000001</v>
      </c>
      <c r="ADZ37">
        <v>13.874</v>
      </c>
      <c r="AEA37">
        <v>15.794</v>
      </c>
      <c r="AEB37">
        <v>14.558</v>
      </c>
      <c r="AEC37" t="s">
        <v>1900</v>
      </c>
      <c r="AED37">
        <v>8.276999999999999</v>
      </c>
      <c r="AEE37">
        <v>13.449</v>
      </c>
      <c r="AEF37">
        <v>15.29</v>
      </c>
      <c r="AEG37">
        <v>13.785</v>
      </c>
      <c r="AEH37" t="s">
        <v>1900</v>
      </c>
      <c r="AEI37">
        <v>6.169</v>
      </c>
      <c r="AEJ37">
        <v>10.25</v>
      </c>
      <c r="AEK37">
        <v>11.865</v>
      </c>
      <c r="AEL37">
        <v>10.915</v>
      </c>
      <c r="AEM37" t="s">
        <v>1900</v>
      </c>
      <c r="AEN37">
        <v>9.023773287999999</v>
      </c>
      <c r="AEO37">
        <v>15.538780684</v>
      </c>
      <c r="AEP37">
        <v>18.049811281</v>
      </c>
      <c r="AEQ37">
        <v>15.9894555</v>
      </c>
      <c r="AER37" t="s">
        <v>1900</v>
      </c>
      <c r="AES37">
        <v>1.164026694</v>
      </c>
      <c r="AET37">
        <v>1.293765017</v>
      </c>
      <c r="AEU37">
        <v>1.356629701</v>
      </c>
      <c r="AEV37">
        <v>1.295570828</v>
      </c>
      <c r="AEW37" t="s">
        <v>1900</v>
      </c>
      <c r="AEX37" t="s">
        <v>1900</v>
      </c>
      <c r="AEY37" t="s">
        <v>1900</v>
      </c>
      <c r="AEZ37" t="s">
        <v>1900</v>
      </c>
      <c r="AFA37" t="s">
        <v>1900</v>
      </c>
      <c r="AFB37" t="s">
        <v>1900</v>
      </c>
      <c r="AFC37" t="s">
        <v>1900</v>
      </c>
      <c r="AFD37" t="s">
        <v>1900</v>
      </c>
      <c r="AFE37" t="s">
        <v>1900</v>
      </c>
      <c r="AFF37" t="s">
        <v>1900</v>
      </c>
      <c r="AFG37" t="s">
        <v>1900</v>
      </c>
      <c r="AFH37">
        <v>3.385</v>
      </c>
      <c r="AFI37">
        <v>2.636</v>
      </c>
      <c r="AFJ37">
        <v>2.561</v>
      </c>
      <c r="AFK37">
        <v>2.746</v>
      </c>
      <c r="AFL37" t="s">
        <v>1900</v>
      </c>
      <c r="AFM37">
        <v>27.143</v>
      </c>
      <c r="AFN37">
        <v>27.493</v>
      </c>
      <c r="AFO37">
        <v>118.607</v>
      </c>
      <c r="AFP37">
        <v>117.374</v>
      </c>
      <c r="AFQ37" t="s">
        <v>1900</v>
      </c>
      <c r="AFR37" t="s">
        <v>1901</v>
      </c>
      <c r="AFS37" t="s">
        <v>1901</v>
      </c>
      <c r="AFT37" t="s">
        <v>1901</v>
      </c>
      <c r="AFU37" t="s">
        <v>1901</v>
      </c>
      <c r="AFV37" t="s">
        <v>1900</v>
      </c>
      <c r="AFW37">
        <v>108.576</v>
      </c>
      <c r="AFX37">
        <v>100.556</v>
      </c>
      <c r="AFY37">
        <v>105.257</v>
      </c>
      <c r="AFZ37">
        <v>100.261</v>
      </c>
      <c r="AGA37" t="s">
        <v>1900</v>
      </c>
      <c r="AGB37">
        <v>0.358</v>
      </c>
      <c r="AGC37">
        <v>0.099</v>
      </c>
      <c r="AGD37">
        <v>0.251</v>
      </c>
      <c r="AGE37">
        <v>0.205</v>
      </c>
      <c r="AGF37" t="s">
        <v>1900</v>
      </c>
      <c r="AGG37" t="s">
        <v>1900</v>
      </c>
      <c r="AGH37" t="s">
        <v>1900</v>
      </c>
      <c r="AGI37" t="s">
        <v>1900</v>
      </c>
      <c r="AGJ37" t="s">
        <v>1900</v>
      </c>
      <c r="AGK37" t="s">
        <v>1900</v>
      </c>
      <c r="AGL37" t="s">
        <v>1900</v>
      </c>
      <c r="AGM37" t="s">
        <v>1900</v>
      </c>
      <c r="AGN37" t="s">
        <v>1900</v>
      </c>
      <c r="AGO37" t="s">
        <v>1900</v>
      </c>
      <c r="AGP37" t="s">
        <v>1900</v>
      </c>
      <c r="AGQ37" t="s">
        <v>1900</v>
      </c>
      <c r="AGR37" t="s">
        <v>1900</v>
      </c>
      <c r="AGS37" t="s">
        <v>1900</v>
      </c>
      <c r="AGT37" t="s">
        <v>1900</v>
      </c>
      <c r="AGU37">
        <v>0</v>
      </c>
      <c r="AGV37">
        <v>0</v>
      </c>
      <c r="AGW37">
        <v>0</v>
      </c>
      <c r="AGX37">
        <v>0</v>
      </c>
      <c r="AGY37">
        <v>0</v>
      </c>
      <c r="AGZ37" t="s">
        <v>1900</v>
      </c>
      <c r="AHA37">
        <v>2.155</v>
      </c>
      <c r="AHB37">
        <v>2.385</v>
      </c>
      <c r="AHC37">
        <v>2.235</v>
      </c>
      <c r="AHD37">
        <v>2.186</v>
      </c>
      <c r="AHE37" t="s">
        <v>1900</v>
      </c>
      <c r="AHF37">
        <v>2.155</v>
      </c>
      <c r="AHG37">
        <v>2.385</v>
      </c>
      <c r="AHH37">
        <v>2.235</v>
      </c>
      <c r="AHI37">
        <v>2.186</v>
      </c>
      <c r="AHJ37" t="s">
        <v>1900</v>
      </c>
      <c r="AHK37">
        <v>43.784</v>
      </c>
      <c r="AHL37">
        <v>10.25</v>
      </c>
      <c r="AHM37">
        <v>2.698</v>
      </c>
      <c r="AHN37">
        <v>1.116</v>
      </c>
      <c r="AHO37" t="s">
        <v>1900</v>
      </c>
      <c r="AHP37">
        <v>54.464</v>
      </c>
      <c r="AHQ37">
        <v>54.496</v>
      </c>
      <c r="AHR37">
        <v>41.087</v>
      </c>
      <c r="AHS37">
        <v>29.381</v>
      </c>
      <c r="AHT37" t="s">
        <v>1900</v>
      </c>
      <c r="AHU37" t="s">
        <v>1901</v>
      </c>
      <c r="AHV37" t="s">
        <v>1901</v>
      </c>
      <c r="AHW37">
        <v>69.74299999999999</v>
      </c>
      <c r="AHX37">
        <v>41.604</v>
      </c>
      <c r="AHY37" t="s">
        <v>1900</v>
      </c>
      <c r="AHZ37">
        <v>6.636</v>
      </c>
      <c r="AIA37">
        <v>13.281</v>
      </c>
      <c r="AIB37">
        <v>39.601</v>
      </c>
      <c r="AIC37">
        <v>91.331</v>
      </c>
      <c r="AID37" t="s">
        <v>1900</v>
      </c>
      <c r="AIE37">
        <v>1.65276113</v>
      </c>
      <c r="AIF37">
        <v>1.499075823</v>
      </c>
      <c r="AIG37">
        <v>1.195572818</v>
      </c>
      <c r="AIH37">
        <v>1.42104011</v>
      </c>
      <c r="AII37" t="s">
        <v>1900</v>
      </c>
      <c r="AIJ37">
        <v>38.569519921</v>
      </c>
      <c r="AIK37">
        <v>51.813469346</v>
      </c>
      <c r="AIL37">
        <v>55.460703412</v>
      </c>
      <c r="AIM37">
        <v>54.222952812</v>
      </c>
      <c r="AIN37" t="s">
        <v>1900</v>
      </c>
      <c r="AIO37">
        <v>41.735078325</v>
      </c>
      <c r="AIP37">
        <v>38.223548189</v>
      </c>
      <c r="AIQ37">
        <v>42.540878776</v>
      </c>
      <c r="AIR37">
        <v>43.698975417</v>
      </c>
      <c r="AIS37" t="s">
        <v>1900</v>
      </c>
      <c r="AIT37">
        <v>0</v>
      </c>
      <c r="AIU37">
        <v>0</v>
      </c>
      <c r="AIV37">
        <v>0</v>
      </c>
      <c r="AIW37">
        <v>0</v>
      </c>
      <c r="AIX37" t="s">
        <v>1900</v>
      </c>
      <c r="AIY37">
        <v>12.3110138450317</v>
      </c>
      <c r="AIZ37">
        <v>18.9323435704887</v>
      </c>
      <c r="AJA37">
        <v>23.3452809908938</v>
      </c>
      <c r="AJB37">
        <v>21.2210503415883</v>
      </c>
      <c r="AJC37" t="s">
        <v>1900</v>
      </c>
      <c r="AJD37">
        <v>154.807935155899</v>
      </c>
      <c r="AJE37">
        <v>146.239428229477</v>
      </c>
      <c r="AJF37">
        <v>154.113724585125</v>
      </c>
      <c r="AJG37">
        <v>155.761990689674</v>
      </c>
      <c r="AJH37" t="s">
        <v>1900</v>
      </c>
      <c r="AJI37">
        <v>36.51</v>
      </c>
      <c r="AJJ37">
        <v>32.745</v>
      </c>
      <c r="AJK37">
        <v>30.724</v>
      </c>
      <c r="AJL37">
        <v>33.864</v>
      </c>
      <c r="AJM37" t="s">
        <v>1900</v>
      </c>
      <c r="AJN37">
        <v>56.5207444258156</v>
      </c>
      <c r="AJO37">
        <v>47.885955697493</v>
      </c>
      <c r="AJP37">
        <v>47.3496934545207</v>
      </c>
      <c r="AJQ37">
        <v>52.7470535864264</v>
      </c>
      <c r="AJR37" t="s">
        <v>1900</v>
      </c>
      <c r="AJS37">
        <v>44.7143721522608</v>
      </c>
      <c r="AJT37">
        <v>50.5419430801821</v>
      </c>
      <c r="AJU37">
        <v>43.8990442691803</v>
      </c>
      <c r="AJV37">
        <v>29.9131493283403</v>
      </c>
      <c r="AJW37" t="s">
        <v>1900</v>
      </c>
      <c r="AJX37">
        <v>46.5362428248939</v>
      </c>
      <c r="AJY37">
        <v>40.807631383388</v>
      </c>
      <c r="AJZ37">
        <v>44.9523852071285</v>
      </c>
      <c r="AKA37">
        <v>43.2916595682508</v>
      </c>
      <c r="AKB37" t="s">
        <v>1900</v>
      </c>
      <c r="AKC37">
        <v>82.0995677352772</v>
      </c>
      <c r="AKD37">
        <v>92.74479752055881</v>
      </c>
      <c r="AKE37">
        <v>106.843233870106</v>
      </c>
      <c r="AKF37">
        <v>101.812638707758</v>
      </c>
      <c r="AKG37" t="s">
        <v>1900</v>
      </c>
      <c r="AKH37">
        <v>0</v>
      </c>
      <c r="AKI37">
        <v>0</v>
      </c>
      <c r="AKJ37">
        <v>0</v>
      </c>
      <c r="AKK37">
        <v>0</v>
      </c>
      <c r="AKL37" t="s">
        <v>1900</v>
      </c>
      <c r="AKM37">
        <v>0</v>
      </c>
      <c r="AKN37">
        <v>0</v>
      </c>
      <c r="AKO37">
        <v>0</v>
      </c>
      <c r="AKP37">
        <v>0</v>
      </c>
      <c r="AKQ37" t="s">
        <v>1900</v>
      </c>
      <c r="AKR37">
        <v>0</v>
      </c>
      <c r="AKS37">
        <v>0</v>
      </c>
      <c r="AKT37">
        <v>0</v>
      </c>
      <c r="AKU37">
        <v>0</v>
      </c>
      <c r="AKV37" t="s">
        <v>1900</v>
      </c>
      <c r="AKW37">
        <v>0.024796498</v>
      </c>
      <c r="AKX37">
        <v>0.070091045</v>
      </c>
      <c r="AKY37">
        <v>0.100895234</v>
      </c>
      <c r="AKZ37">
        <v>0.008354894</v>
      </c>
      <c r="ALA37" t="s">
        <v>1900</v>
      </c>
      <c r="ALB37">
        <v>0.046756575</v>
      </c>
      <c r="ALC37">
        <v>0.110519131</v>
      </c>
      <c r="ALD37">
        <v>0.145534159</v>
      </c>
      <c r="ALE37">
        <v>0.012782056</v>
      </c>
      <c r="ALF37" t="s">
        <v>1900</v>
      </c>
      <c r="ALG37">
        <v>1.51725969</v>
      </c>
      <c r="ALH37">
        <v>1.606849276</v>
      </c>
      <c r="ALI37">
        <v>0.710075579</v>
      </c>
      <c r="ALJ37">
        <v>1.134334749</v>
      </c>
      <c r="ALK37" t="s">
        <v>1900</v>
      </c>
      <c r="ALL37">
        <v>2.860963162</v>
      </c>
      <c r="ALM37">
        <v>2.533670101</v>
      </c>
      <c r="ALN37">
        <v>1.024233242</v>
      </c>
      <c r="ALO37">
        <v>1.735405745</v>
      </c>
      <c r="ALP37" t="s">
        <v>1900</v>
      </c>
      <c r="ALQ37">
        <v>30.159967968</v>
      </c>
      <c r="ALR37">
        <v>27.932164263</v>
      </c>
      <c r="ALS37">
        <v>29.238161018</v>
      </c>
      <c r="ALT37">
        <v>27.850276574</v>
      </c>
      <c r="ALU37" t="s">
        <v>1900</v>
      </c>
      <c r="ALV37">
        <v>0.329365572</v>
      </c>
      <c r="ALW37">
        <v>0.098428714</v>
      </c>
      <c r="ALX37">
        <v>0.23886718</v>
      </c>
      <c r="ALY37">
        <v>0.203977578</v>
      </c>
      <c r="ALZ37" t="s">
        <v>1900</v>
      </c>
      <c r="AMA37">
        <v>58.7374886254123</v>
      </c>
      <c r="AMB37">
        <v>59.2303752981974</v>
      </c>
      <c r="AMC37">
        <v>58.1635867283646</v>
      </c>
      <c r="AMD37">
        <v>60.4247353786235</v>
      </c>
      <c r="AME37" t="s">
        <v>1900</v>
      </c>
      <c r="AMF37">
        <v>58.8868727938302</v>
      </c>
      <c r="AMG37">
        <v>59.9127577941569</v>
      </c>
      <c r="AMH37">
        <v>58.534700666253</v>
      </c>
      <c r="AMI37">
        <v>60.5516725186789</v>
      </c>
      <c r="AMJ37" t="s">
        <v>1900</v>
      </c>
      <c r="AMK37">
        <v>142.35073597965</v>
      </c>
      <c r="AML37">
        <v>145.28064884438</v>
      </c>
      <c r="AMM37">
        <v>139.026226628751</v>
      </c>
      <c r="AMN37">
        <v>152.683086156764</v>
      </c>
      <c r="AMO37" t="s">
        <v>1900</v>
      </c>
      <c r="AMP37">
        <v>1.16402669409911</v>
      </c>
      <c r="AMQ37">
        <v>1.29376501682515</v>
      </c>
      <c r="AMR37">
        <v>1.35662970088022</v>
      </c>
      <c r="AMS37">
        <v>1.29557082752006</v>
      </c>
      <c r="AMT37" t="s">
        <v>1900</v>
      </c>
      <c r="AMU37">
        <v>1.16402669442807</v>
      </c>
      <c r="AMV37">
        <v>1.29376501682515</v>
      </c>
      <c r="AMW37">
        <v>1.35662970088022</v>
      </c>
      <c r="AMX37">
        <v>1.29557082801686</v>
      </c>
      <c r="AMY37" t="s">
        <v>1900</v>
      </c>
      <c r="AMZ37">
        <v>1.16402669448203</v>
      </c>
      <c r="ANA37">
        <v>1.29376501682515</v>
      </c>
      <c r="ANB37">
        <v>1.35662970088022</v>
      </c>
      <c r="ANC37">
        <v>1.2955708281637</v>
      </c>
      <c r="AND37" t="s">
        <v>1900</v>
      </c>
      <c r="ANE37">
        <v>8.27688587132387</v>
      </c>
      <c r="ANF37">
        <v>13.4489740947962</v>
      </c>
      <c r="ANG37">
        <v>15.2899958799361</v>
      </c>
      <c r="ANH37">
        <v>13.7852664549001</v>
      </c>
      <c r="ANI37" t="s">
        <v>1900</v>
      </c>
      <c r="ANJ37">
        <v>8.297936068428189</v>
      </c>
      <c r="ANK37">
        <v>13.6039173053482</v>
      </c>
      <c r="ANL37">
        <v>15.3875540069444</v>
      </c>
      <c r="ANM37">
        <v>13.8142258253917</v>
      </c>
      <c r="ANN37" t="s">
        <v>1900</v>
      </c>
      <c r="ANO37">
        <v>9.02377328762784</v>
      </c>
      <c r="ANP37">
        <v>15.5387806835778</v>
      </c>
      <c r="ANQ37">
        <v>18.0498112811621</v>
      </c>
      <c r="ANR37">
        <v>15.9894555003048</v>
      </c>
      <c r="ANS37" t="s">
        <v>1900</v>
      </c>
      <c r="ANT37">
        <v>28.0159599784418</v>
      </c>
      <c r="ANU37">
        <v>35.4545899877887</v>
      </c>
      <c r="ANV37">
        <v>39.1636800851446</v>
      </c>
      <c r="ANW37">
        <v>37.8553377047216</v>
      </c>
      <c r="ANX37" t="s">
        <v>1900</v>
      </c>
      <c r="ANY37">
        <v>58.7374886254123</v>
      </c>
      <c r="ANZ37">
        <v>59.2303752981974</v>
      </c>
      <c r="AOA37">
        <v>58.1635867283646</v>
      </c>
      <c r="AOB37">
        <v>60.4247353786235</v>
      </c>
      <c r="AOC37" t="s">
        <v>1900</v>
      </c>
      <c r="AOD37">
        <v>64.0378264338157</v>
      </c>
      <c r="AOE37">
        <v>68.4340534138444</v>
      </c>
      <c r="AOF37">
        <v>68.6620043671895</v>
      </c>
      <c r="AOG37">
        <v>70.0863215531654</v>
      </c>
      <c r="AOH37" t="s">
        <v>1900</v>
      </c>
      <c r="AOI37" t="s">
        <v>1901</v>
      </c>
      <c r="AOJ37">
        <v>93.39409314256081</v>
      </c>
      <c r="AOK37">
        <v>83.8968143607797</v>
      </c>
      <c r="AOL37">
        <v>92.44311086257071</v>
      </c>
      <c r="AOM37" t="s">
        <v>1900</v>
      </c>
      <c r="AON37">
        <v>20.0590938253491</v>
      </c>
      <c r="AOO37">
        <v>32.9877309226288</v>
      </c>
      <c r="AOP37">
        <v>36.5471002035029</v>
      </c>
      <c r="AOQ37">
        <v>34.8330367131747</v>
      </c>
      <c r="AOR37" t="s">
        <v>1900</v>
      </c>
      <c r="AOS37">
        <v>16.402669442807</v>
      </c>
      <c r="AOT37">
        <v>29.3765016825153</v>
      </c>
      <c r="AOU37">
        <v>35.6629700880223</v>
      </c>
      <c r="AOV37">
        <v>29.557082801686</v>
      </c>
      <c r="AOW37" t="s">
        <v>1900</v>
      </c>
      <c r="AOX37">
        <v>15.6069957770248</v>
      </c>
      <c r="AOY37">
        <v>21.2062600136777</v>
      </c>
      <c r="AOZ37">
        <v>22.0547256122105</v>
      </c>
      <c r="APA37">
        <v>21.0899213240285</v>
      </c>
      <c r="APB37" t="s">
        <v>1900</v>
      </c>
      <c r="APC37">
        <v>5.71982012875843</v>
      </c>
      <c r="APD37">
        <v>9.825441420813799</v>
      </c>
      <c r="APE37">
        <v>11.3610463188746</v>
      </c>
      <c r="APF37">
        <v>10.1425276375494</v>
      </c>
      <c r="APG37" t="s">
        <v>1900</v>
      </c>
      <c r="APH37">
        <v>5.73436706621576</v>
      </c>
      <c r="API37">
        <v>9.93863856344346</v>
      </c>
      <c r="APJ37">
        <v>11.4335357039881</v>
      </c>
      <c r="APK37">
        <v>10.163834531873</v>
      </c>
      <c r="APL37" t="s">
        <v>1900</v>
      </c>
      <c r="APM37">
        <v>13.8620261787582</v>
      </c>
      <c r="APN37">
        <v>24.0999064687966</v>
      </c>
      <c r="APO37">
        <v>27.1558803215507</v>
      </c>
      <c r="APP37">
        <v>25.6284518488626</v>
      </c>
      <c r="APQ37" t="s">
        <v>1900</v>
      </c>
      <c r="APR37">
        <v>11.3352195865583</v>
      </c>
      <c r="APS37">
        <v>21.461644166723</v>
      </c>
      <c r="APT37">
        <v>26.498938143622</v>
      </c>
      <c r="APU37">
        <v>21.7466619294019</v>
      </c>
      <c r="APV37" t="s">
        <v>1900</v>
      </c>
      <c r="APW37">
        <v>6.2359637296377</v>
      </c>
      <c r="APX37">
        <v>11.3521952143875</v>
      </c>
      <c r="APY37">
        <v>13.4116937389969</v>
      </c>
      <c r="APZ37">
        <v>11.7642625807615</v>
      </c>
      <c r="AQA37" t="s">
        <v>1900</v>
      </c>
      <c r="AQB37">
        <v>10.7853617873549</v>
      </c>
      <c r="AQC37">
        <v>15.4926958777887</v>
      </c>
      <c r="AQD37">
        <v>16.3874968442072</v>
      </c>
      <c r="AQE37">
        <v>15.516936912501</v>
      </c>
      <c r="AQF37" t="s">
        <v>1900</v>
      </c>
      <c r="AQG37">
        <v>0.164026694482029</v>
      </c>
      <c r="AQH37">
        <v>0.293765016825153</v>
      </c>
      <c r="AQI37">
        <v>0.356629700880223</v>
      </c>
      <c r="AQJ37">
        <v>0.295570828163702</v>
      </c>
      <c r="AQK37">
        <v>2</v>
      </c>
      <c r="AQO37" t="s">
        <v>1902</v>
      </c>
      <c r="AQP37">
        <v>3</v>
      </c>
      <c r="AQQ37">
        <v>0</v>
      </c>
      <c r="AQS37" t="s">
        <v>1905</v>
      </c>
      <c r="AQU37" t="s">
        <v>1906</v>
      </c>
      <c r="AQV37" t="s">
        <v>1900</v>
      </c>
      <c r="AQW37">
        <v>6656741.20175865</v>
      </c>
      <c r="AQX37">
        <v>5849577.13984507</v>
      </c>
      <c r="AQY37" t="s">
        <v>1900</v>
      </c>
      <c r="AQZ37">
        <v>550970.872018957</v>
      </c>
      <c r="ARA37">
        <v>786708.114192885</v>
      </c>
      <c r="ARB37">
        <v>12506318.34160372</v>
      </c>
      <c r="ARC37">
        <v>1337678.986211842</v>
      </c>
      <c r="ARD37">
        <v>0.119770989432661</v>
      </c>
      <c r="ARE37">
        <v>0.119770989432661</v>
      </c>
      <c r="ARF37">
        <v>0.119770989432661</v>
      </c>
      <c r="ARG37">
        <v>0.119770989432661</v>
      </c>
      <c r="ARH37">
        <v>0.119770989432661</v>
      </c>
      <c r="ARI37">
        <v>0.119770989432661</v>
      </c>
      <c r="ARJ37" t="s">
        <v>1198</v>
      </c>
      <c r="ARK37" t="s">
        <v>1536</v>
      </c>
      <c r="ARL37" t="s">
        <v>1908</v>
      </c>
      <c r="ARM37" t="s">
        <v>1908</v>
      </c>
      <c r="ARN37" t="s">
        <v>1909</v>
      </c>
      <c r="ARO37" t="s">
        <v>1908</v>
      </c>
      <c r="ARP37" t="s">
        <v>1907</v>
      </c>
      <c r="ARQ37" t="s">
        <v>1939</v>
      </c>
      <c r="ARR37">
        <f>HYPERLINK("C:\Users\Usuario\Documents\Proyectos\llmthon\evidence\ecija_com_234047.png", "Ver Evidencia")</f>
        <v>0</v>
      </c>
      <c r="ARS37">
        <v>100</v>
      </c>
    </row>
    <row r="38" spans="1:1163">
      <c r="A38">
        <v>569</v>
      </c>
      <c r="B38" t="s">
        <v>1199</v>
      </c>
      <c r="C38" t="s">
        <v>1322</v>
      </c>
      <c r="D38" t="s">
        <v>1415</v>
      </c>
      <c r="E38" s="2">
        <v>40648</v>
      </c>
      <c r="F38" t="s">
        <v>1431</v>
      </c>
      <c r="G38" t="s">
        <v>1433</v>
      </c>
      <c r="H38" t="s">
        <v>1434</v>
      </c>
      <c r="I38" t="s">
        <v>1439</v>
      </c>
      <c r="J38" t="s">
        <v>1470</v>
      </c>
      <c r="L38" t="s">
        <v>1537</v>
      </c>
      <c r="N38" t="s">
        <v>1629</v>
      </c>
      <c r="O38" t="s">
        <v>1653</v>
      </c>
      <c r="P38">
        <v>7022</v>
      </c>
      <c r="Q38">
        <v>7022</v>
      </c>
      <c r="R38" t="s">
        <v>1708</v>
      </c>
      <c r="Z38" t="s">
        <v>1899</v>
      </c>
      <c r="AA38" s="2">
        <v>45291</v>
      </c>
      <c r="AB38">
        <v>2023</v>
      </c>
      <c r="AC38" t="s">
        <v>1900</v>
      </c>
      <c r="AD38">
        <v>1177884.294315</v>
      </c>
      <c r="AE38">
        <v>1300890.1706919</v>
      </c>
      <c r="AF38">
        <v>1488201.94257102</v>
      </c>
      <c r="AG38">
        <v>1539159.84224986</v>
      </c>
      <c r="AH38" t="s">
        <v>1900</v>
      </c>
      <c r="AI38">
        <v>1176214.76122073</v>
      </c>
      <c r="AJ38">
        <v>1300885.15874091</v>
      </c>
      <c r="AK38">
        <v>1488193.98039086</v>
      </c>
      <c r="AL38">
        <v>1538129.07883834</v>
      </c>
      <c r="AM38" t="s">
        <v>1900</v>
      </c>
      <c r="AN38">
        <v>539145.521361885</v>
      </c>
      <c r="AO38">
        <v>571459.442022616</v>
      </c>
      <c r="AP38">
        <v>541608.900729418</v>
      </c>
      <c r="AQ38">
        <v>647467.643760139</v>
      </c>
      <c r="AR38" t="s">
        <v>1900</v>
      </c>
      <c r="AS38">
        <v>638738.772953113</v>
      </c>
      <c r="AT38">
        <v>729430.728669288</v>
      </c>
      <c r="AU38">
        <v>946593.041841602</v>
      </c>
      <c r="AV38">
        <v>891692.1984897261</v>
      </c>
      <c r="AW38" t="s">
        <v>1900</v>
      </c>
      <c r="AX38">
        <v>505240.780095854</v>
      </c>
      <c r="AY38">
        <v>656639.869042069</v>
      </c>
      <c r="AZ38">
        <v>749705.31545291</v>
      </c>
      <c r="BA38">
        <v>656064.529658049</v>
      </c>
      <c r="BB38" t="s">
        <v>1900</v>
      </c>
      <c r="BC38">
        <v>133497.993962259</v>
      </c>
      <c r="BD38">
        <v>72790.86069381829</v>
      </c>
      <c r="BE38">
        <v>196887.726388693</v>
      </c>
      <c r="BF38">
        <v>235627.668831676</v>
      </c>
      <c r="BG38" t="s">
        <v>1900</v>
      </c>
      <c r="BH38">
        <v>-14666.3290320683</v>
      </c>
      <c r="BI38">
        <v>-11535.4441214323</v>
      </c>
      <c r="BJ38">
        <v>-10171.1698231459</v>
      </c>
      <c r="BK38">
        <v>-8175.31593359113</v>
      </c>
      <c r="BL38" t="s">
        <v>1900</v>
      </c>
      <c r="BM38">
        <v>15.3374068832397</v>
      </c>
      <c r="BN38" t="s">
        <v>1900</v>
      </c>
      <c r="BO38" t="s">
        <v>1900</v>
      </c>
      <c r="BP38" t="s">
        <v>1900</v>
      </c>
      <c r="BQ38" t="s">
        <v>1900</v>
      </c>
      <c r="BR38">
        <v>14681.6664389515</v>
      </c>
      <c r="BS38">
        <v>11535.4441214323</v>
      </c>
      <c r="BT38">
        <v>10171.1698231459</v>
      </c>
      <c r="BU38">
        <v>8175.31593359113</v>
      </c>
      <c r="BV38" t="s">
        <v>1900</v>
      </c>
      <c r="BW38">
        <v>118831.664930191</v>
      </c>
      <c r="BX38">
        <v>61255.416572386</v>
      </c>
      <c r="BY38">
        <v>186716.556565547</v>
      </c>
      <c r="BZ38">
        <v>227452.352898085</v>
      </c>
      <c r="CA38" t="s">
        <v>1900</v>
      </c>
      <c r="CB38">
        <v>30843.3926421356</v>
      </c>
      <c r="CC38">
        <v>16246.752719003</v>
      </c>
      <c r="CD38">
        <v>49197.9940896749</v>
      </c>
      <c r="CE38">
        <v>60209.3205236077</v>
      </c>
      <c r="CF38" t="s">
        <v>1900</v>
      </c>
      <c r="CG38">
        <v>87988.27228805541</v>
      </c>
      <c r="CH38">
        <v>45008.6638533831</v>
      </c>
      <c r="CI38">
        <v>137518.562475872</v>
      </c>
      <c r="CJ38">
        <v>167243.032374477</v>
      </c>
      <c r="CK38" t="s">
        <v>1900</v>
      </c>
      <c r="CL38" t="s">
        <v>1900</v>
      </c>
      <c r="CM38" t="s">
        <v>1900</v>
      </c>
      <c r="CN38" t="s">
        <v>1900</v>
      </c>
      <c r="CO38" t="s">
        <v>1900</v>
      </c>
      <c r="CP38" t="s">
        <v>1900</v>
      </c>
      <c r="CQ38" t="s">
        <v>1900</v>
      </c>
      <c r="CR38" t="s">
        <v>1900</v>
      </c>
      <c r="CS38" t="s">
        <v>1900</v>
      </c>
      <c r="CT38" t="s">
        <v>1900</v>
      </c>
      <c r="CU38" t="s">
        <v>1900</v>
      </c>
      <c r="CV38" t="s">
        <v>1900</v>
      </c>
      <c r="CW38" t="s">
        <v>1900</v>
      </c>
      <c r="CX38" t="s">
        <v>1900</v>
      </c>
      <c r="CY38" t="s">
        <v>1900</v>
      </c>
      <c r="CZ38" t="s">
        <v>1900</v>
      </c>
      <c r="DA38">
        <v>87988.27228805541</v>
      </c>
      <c r="DB38">
        <v>45008.6638533831</v>
      </c>
      <c r="DC38">
        <v>137518.562475872</v>
      </c>
      <c r="DD38">
        <v>167243.032374477</v>
      </c>
      <c r="DE38" t="s">
        <v>1900</v>
      </c>
      <c r="DF38" t="s">
        <v>1900</v>
      </c>
      <c r="DG38" t="s">
        <v>1900</v>
      </c>
      <c r="DH38" t="s">
        <v>1900</v>
      </c>
      <c r="DI38" t="s">
        <v>1900</v>
      </c>
      <c r="DJ38" t="s">
        <v>1900</v>
      </c>
      <c r="DK38">
        <v>539145.521361885</v>
      </c>
      <c r="DL38">
        <v>571459.442022616</v>
      </c>
      <c r="DM38">
        <v>541608.900729418</v>
      </c>
      <c r="DN38">
        <v>647467.643760139</v>
      </c>
      <c r="DO38" t="s">
        <v>1900</v>
      </c>
      <c r="DP38">
        <v>244639.982541418</v>
      </c>
      <c r="DQ38">
        <v>324417.252326494</v>
      </c>
      <c r="DR38">
        <v>266688.014547229</v>
      </c>
      <c r="DS38">
        <v>170502.269468731</v>
      </c>
      <c r="DT38" t="s">
        <v>1900</v>
      </c>
      <c r="DU38" t="s">
        <v>1900</v>
      </c>
      <c r="DV38">
        <v>662.870249962807</v>
      </c>
      <c r="DW38">
        <v>1028.80881528854</v>
      </c>
      <c r="DX38">
        <v>1470.33492256403</v>
      </c>
      <c r="DY38" t="s">
        <v>1900</v>
      </c>
      <c r="DZ38">
        <v>260600.797554436</v>
      </c>
      <c r="EA38">
        <v>331559.746465611</v>
      </c>
      <c r="EB38">
        <v>481988.492090392</v>
      </c>
      <c r="EC38">
        <v>484091.925266755</v>
      </c>
      <c r="ED38" t="s">
        <v>1900</v>
      </c>
      <c r="EE38">
        <v>14681.6664389515</v>
      </c>
      <c r="EF38">
        <v>11535.4441214323</v>
      </c>
      <c r="EG38">
        <v>10171.1698231459</v>
      </c>
      <c r="EH38">
        <v>8175.31593359113</v>
      </c>
      <c r="EI38" t="s">
        <v>1900</v>
      </c>
      <c r="EJ38" t="s">
        <v>1900</v>
      </c>
      <c r="EK38" t="s">
        <v>1900</v>
      </c>
      <c r="EL38" t="s">
        <v>1900</v>
      </c>
      <c r="EM38" t="s">
        <v>1900</v>
      </c>
      <c r="EN38" t="s">
        <v>1900</v>
      </c>
      <c r="EO38" t="s">
        <v>1900</v>
      </c>
      <c r="EP38">
        <v>45671.5341033459</v>
      </c>
      <c r="EQ38">
        <v>138547.371291161</v>
      </c>
      <c r="ER38">
        <v>168713.367297041</v>
      </c>
      <c r="ES38" t="s">
        <v>1900</v>
      </c>
      <c r="ET38">
        <v>378153.313910561</v>
      </c>
      <c r="EU38">
        <v>397870.983270276</v>
      </c>
      <c r="EV38">
        <v>464604.54975121</v>
      </c>
      <c r="EW38">
        <v>407600.273222971</v>
      </c>
      <c r="EX38" t="s">
        <v>1900</v>
      </c>
      <c r="EY38">
        <v>133497.993962259</v>
      </c>
      <c r="EZ38">
        <v>73453.7298771817</v>
      </c>
      <c r="FA38">
        <v>197916.534071381</v>
      </c>
      <c r="FB38">
        <v>237098.00375424</v>
      </c>
      <c r="FC38" t="s">
        <v>1900</v>
      </c>
      <c r="FD38">
        <v>0</v>
      </c>
      <c r="FE38">
        <v>0</v>
      </c>
      <c r="FF38">
        <v>703.888439083099</v>
      </c>
      <c r="FG38">
        <v>1877.26559224129</v>
      </c>
      <c r="FH38" t="s">
        <v>1900</v>
      </c>
      <c r="FI38" t="s">
        <v>1900</v>
      </c>
      <c r="FJ38" t="s">
        <v>1900</v>
      </c>
      <c r="FK38">
        <v>703.888439083099</v>
      </c>
      <c r="FL38">
        <v>1877.26559224129</v>
      </c>
      <c r="FM38" t="s">
        <v>1900</v>
      </c>
      <c r="FN38" t="s">
        <v>1900</v>
      </c>
      <c r="FO38" t="s">
        <v>1900</v>
      </c>
      <c r="FP38">
        <v>0</v>
      </c>
      <c r="FQ38">
        <v>0</v>
      </c>
      <c r="FR38" t="s">
        <v>1900</v>
      </c>
      <c r="FS38" t="s">
        <v>1900</v>
      </c>
      <c r="FT38" t="s">
        <v>1900</v>
      </c>
      <c r="FU38">
        <v>0</v>
      </c>
      <c r="FV38">
        <v>0</v>
      </c>
      <c r="FW38" t="s">
        <v>1900</v>
      </c>
      <c r="FX38" t="s">
        <v>1900</v>
      </c>
      <c r="FY38" t="s">
        <v>1900</v>
      </c>
      <c r="FZ38">
        <v>703.888439083099</v>
      </c>
      <c r="GA38">
        <v>1877.26559224129</v>
      </c>
      <c r="GB38" t="s">
        <v>1900</v>
      </c>
      <c r="GC38" t="s">
        <v>1900</v>
      </c>
      <c r="GD38" t="s">
        <v>1900</v>
      </c>
      <c r="GE38">
        <v>0</v>
      </c>
      <c r="GF38">
        <v>0</v>
      </c>
      <c r="GG38" t="s">
        <v>1900</v>
      </c>
      <c r="GH38" t="s">
        <v>1900</v>
      </c>
      <c r="GI38" t="s">
        <v>1900</v>
      </c>
      <c r="GJ38">
        <v>0</v>
      </c>
      <c r="GK38">
        <v>0</v>
      </c>
      <c r="GL38" t="s">
        <v>1900</v>
      </c>
      <c r="GM38">
        <v>890155.315790768</v>
      </c>
      <c r="GN38">
        <v>933699.538792163</v>
      </c>
      <c r="GO38">
        <v>999753.551366973</v>
      </c>
      <c r="GP38">
        <v>750575.779055178</v>
      </c>
      <c r="GQ38" t="s">
        <v>1900</v>
      </c>
      <c r="GR38">
        <v>0</v>
      </c>
      <c r="GS38">
        <v>0</v>
      </c>
      <c r="GT38">
        <v>0</v>
      </c>
      <c r="GU38">
        <v>0</v>
      </c>
      <c r="GV38" t="s">
        <v>1900</v>
      </c>
      <c r="GW38">
        <v>44621.8206257248</v>
      </c>
      <c r="GX38">
        <v>98228.2985492408</v>
      </c>
      <c r="GY38">
        <v>167547.364317727</v>
      </c>
      <c r="GZ38">
        <v>101707.941368431</v>
      </c>
      <c r="HA38" t="s">
        <v>1900</v>
      </c>
      <c r="HB38">
        <v>845533.495165043</v>
      </c>
      <c r="HC38">
        <v>835471.2391763231</v>
      </c>
      <c r="HD38">
        <v>832206.187049246</v>
      </c>
      <c r="HE38">
        <v>648867.837686747</v>
      </c>
      <c r="HF38" t="s">
        <v>1900</v>
      </c>
      <c r="HG38">
        <v>433372.420792217</v>
      </c>
      <c r="HH38">
        <v>184176.602538276</v>
      </c>
      <c r="HI38">
        <v>176588.538814116</v>
      </c>
      <c r="HJ38">
        <v>192107.450975013</v>
      </c>
      <c r="HK38" t="s">
        <v>1900</v>
      </c>
      <c r="HL38">
        <v>890155.315790768</v>
      </c>
      <c r="HM38">
        <v>933699.538792163</v>
      </c>
      <c r="HN38">
        <v>1000457.43980606</v>
      </c>
      <c r="HO38">
        <v>752453.044647419</v>
      </c>
      <c r="HP38" t="s">
        <v>1900</v>
      </c>
      <c r="HQ38">
        <v>154570.143469181</v>
      </c>
      <c r="HR38">
        <v>44131.2897803366</v>
      </c>
      <c r="HS38">
        <v>-931.665686917305</v>
      </c>
      <c r="HT38">
        <v>-150001.882274705</v>
      </c>
      <c r="HU38" t="s">
        <v>1900</v>
      </c>
      <c r="HV38">
        <v>3315.00148773193</v>
      </c>
      <c r="HW38">
        <v>3199.79846477509</v>
      </c>
      <c r="HX38">
        <v>3397.8009223938</v>
      </c>
      <c r="HY38">
        <v>3681.29789829254</v>
      </c>
      <c r="HZ38" t="s">
        <v>1900</v>
      </c>
      <c r="IA38">
        <v>151255.140876449</v>
      </c>
      <c r="IB38">
        <v>40931.4913155615</v>
      </c>
      <c r="IC38">
        <v>-4329.4654767108</v>
      </c>
      <c r="ID38">
        <v>-153683.180172998</v>
      </c>
      <c r="IE38" t="s">
        <v>1900</v>
      </c>
      <c r="IF38">
        <v>111083.920803099</v>
      </c>
      <c r="IG38">
        <v>165877.456419986</v>
      </c>
      <c r="IH38">
        <v>195939.853191376</v>
      </c>
      <c r="II38">
        <v>212288.178801537</v>
      </c>
      <c r="IJ38" t="s">
        <v>1900</v>
      </c>
      <c r="IK38">
        <v>111083.920803099</v>
      </c>
      <c r="IL38">
        <v>165877.456419986</v>
      </c>
      <c r="IM38">
        <v>195939.853191376</v>
      </c>
      <c r="IN38">
        <v>212288.178801537</v>
      </c>
      <c r="IO38" t="s">
        <v>1900</v>
      </c>
      <c r="IP38">
        <v>0</v>
      </c>
      <c r="IQ38">
        <v>0</v>
      </c>
      <c r="IR38">
        <v>0</v>
      </c>
      <c r="IS38">
        <v>0</v>
      </c>
      <c r="IT38" t="s">
        <v>1900</v>
      </c>
      <c r="IU38">
        <v>0</v>
      </c>
      <c r="IV38">
        <v>0</v>
      </c>
      <c r="IW38">
        <v>0</v>
      </c>
      <c r="IX38">
        <v>0</v>
      </c>
      <c r="IY38" t="s">
        <v>1900</v>
      </c>
      <c r="IZ38">
        <v>624501.251518488</v>
      </c>
      <c r="JA38">
        <v>723690.79259184</v>
      </c>
      <c r="JB38">
        <v>805449.252301598</v>
      </c>
      <c r="JC38">
        <v>690166.748120588</v>
      </c>
      <c r="JD38" t="s">
        <v>1900</v>
      </c>
      <c r="JE38">
        <v>96967.48421781541</v>
      </c>
      <c r="JF38">
        <v>132580.673575383</v>
      </c>
      <c r="JG38">
        <v>112750.926908255</v>
      </c>
      <c r="JH38">
        <v>23773.8586401522</v>
      </c>
      <c r="JI38" t="s">
        <v>1900</v>
      </c>
      <c r="JJ38">
        <v>449648.238296604</v>
      </c>
      <c r="JK38">
        <v>518975.313001871</v>
      </c>
      <c r="JL38">
        <v>590350.230375123</v>
      </c>
      <c r="JM38">
        <v>560170.008033651</v>
      </c>
      <c r="JN38" t="s">
        <v>1900</v>
      </c>
      <c r="JO38">
        <v>77885.5290040684</v>
      </c>
      <c r="JP38">
        <v>72134.8060145855</v>
      </c>
      <c r="JQ38">
        <v>102348.09501822</v>
      </c>
      <c r="JR38">
        <v>106222.881446785</v>
      </c>
      <c r="JS38" t="s">
        <v>1900</v>
      </c>
      <c r="JT38">
        <v>890155.315790768</v>
      </c>
      <c r="JU38">
        <v>933699.538792163</v>
      </c>
      <c r="JV38">
        <v>1000457.43980606</v>
      </c>
      <c r="JW38">
        <v>752453.044647419</v>
      </c>
      <c r="JX38" t="s">
        <v>1900</v>
      </c>
      <c r="JY38">
        <v>-405026.416565879</v>
      </c>
      <c r="JZ38">
        <v>-420747.01445263</v>
      </c>
      <c r="KA38">
        <v>-422802.866057396</v>
      </c>
      <c r="KB38">
        <v>-458462.06666522</v>
      </c>
      <c r="KC38" t="s">
        <v>1900</v>
      </c>
      <c r="KD38" t="s">
        <v>1900</v>
      </c>
      <c r="KE38" t="s">
        <v>1900</v>
      </c>
      <c r="KF38" t="s">
        <v>1900</v>
      </c>
      <c r="KG38" t="s">
        <v>1900</v>
      </c>
      <c r="KH38" t="s">
        <v>1900</v>
      </c>
      <c r="KI38" t="s">
        <v>1900</v>
      </c>
      <c r="KJ38" t="s">
        <v>1900</v>
      </c>
      <c r="KK38" t="s">
        <v>1900</v>
      </c>
      <c r="KL38" t="s">
        <v>1900</v>
      </c>
      <c r="KM38" t="s">
        <v>1900</v>
      </c>
      <c r="KN38">
        <v>6</v>
      </c>
      <c r="KO38">
        <v>5</v>
      </c>
      <c r="KP38">
        <v>8</v>
      </c>
      <c r="KQ38">
        <v>5</v>
      </c>
      <c r="KR38" t="s">
        <v>1900</v>
      </c>
      <c r="KS38" t="s">
        <v>1900</v>
      </c>
      <c r="KT38" t="s">
        <v>1900</v>
      </c>
      <c r="KU38" t="s">
        <v>1900</v>
      </c>
      <c r="KV38" t="s">
        <v>1900</v>
      </c>
      <c r="KW38" t="s">
        <v>1900</v>
      </c>
      <c r="KX38" t="s">
        <v>1900</v>
      </c>
      <c r="KY38" t="s">
        <v>1900</v>
      </c>
      <c r="KZ38" t="s">
        <v>1900</v>
      </c>
      <c r="LA38" t="s">
        <v>1900</v>
      </c>
      <c r="LB38" t="s">
        <v>1900</v>
      </c>
      <c r="LC38" t="s">
        <v>1900</v>
      </c>
      <c r="LD38" t="s">
        <v>1900</v>
      </c>
      <c r="LE38" t="s">
        <v>1900</v>
      </c>
      <c r="LF38" t="s">
        <v>1900</v>
      </c>
      <c r="LG38" t="s">
        <v>1900</v>
      </c>
      <c r="LH38" t="s">
        <v>1900</v>
      </c>
      <c r="LI38" t="s">
        <v>1900</v>
      </c>
      <c r="LJ38" t="s">
        <v>1900</v>
      </c>
      <c r="LK38" t="s">
        <v>1900</v>
      </c>
      <c r="LL38" t="s">
        <v>1900</v>
      </c>
      <c r="LM38" t="s">
        <v>1900</v>
      </c>
      <c r="LN38" t="s">
        <v>1900</v>
      </c>
      <c r="LO38" t="s">
        <v>1900</v>
      </c>
      <c r="LP38" t="s">
        <v>1900</v>
      </c>
      <c r="LQ38" t="s">
        <v>1900</v>
      </c>
      <c r="LR38" t="s">
        <v>1900</v>
      </c>
      <c r="LS38" t="s">
        <v>1900</v>
      </c>
      <c r="LT38" t="s">
        <v>1900</v>
      </c>
      <c r="LU38" t="s">
        <v>1900</v>
      </c>
      <c r="LV38" t="s">
        <v>1900</v>
      </c>
      <c r="LW38" t="s">
        <v>1900</v>
      </c>
      <c r="LX38" t="s">
        <v>1900</v>
      </c>
      <c r="LY38" t="s">
        <v>1900</v>
      </c>
      <c r="LZ38" t="s">
        <v>1900</v>
      </c>
      <c r="MA38" t="s">
        <v>1900</v>
      </c>
      <c r="MB38" t="s">
        <v>1900</v>
      </c>
      <c r="MC38" t="s">
        <v>1900</v>
      </c>
      <c r="MD38" t="s">
        <v>1900</v>
      </c>
      <c r="ME38" t="s">
        <v>1900</v>
      </c>
      <c r="MF38" t="s">
        <v>1900</v>
      </c>
      <c r="MG38" t="s">
        <v>1900</v>
      </c>
      <c r="MH38" t="s">
        <v>1900</v>
      </c>
      <c r="MI38" t="s">
        <v>1900</v>
      </c>
      <c r="MJ38" t="s">
        <v>1900</v>
      </c>
      <c r="MK38" t="s">
        <v>1900</v>
      </c>
      <c r="ML38" t="s">
        <v>1900</v>
      </c>
      <c r="MM38" t="s">
        <v>1900</v>
      </c>
      <c r="MN38" t="s">
        <v>1900</v>
      </c>
      <c r="MO38" t="s">
        <v>1900</v>
      </c>
      <c r="MP38" t="s">
        <v>1900</v>
      </c>
      <c r="MQ38">
        <v>845533.495165043</v>
      </c>
      <c r="MR38">
        <v>835471.2391763231</v>
      </c>
      <c r="MS38">
        <v>832206.187049246</v>
      </c>
      <c r="MT38">
        <v>648867.837686747</v>
      </c>
      <c r="MU38" t="s">
        <v>1900</v>
      </c>
      <c r="MV38" t="s">
        <v>1900</v>
      </c>
      <c r="MW38" t="s">
        <v>1900</v>
      </c>
      <c r="MX38" t="s">
        <v>1900</v>
      </c>
      <c r="MY38" t="s">
        <v>1900</v>
      </c>
      <c r="MZ38" t="s">
        <v>1900</v>
      </c>
      <c r="NA38" t="s">
        <v>1900</v>
      </c>
      <c r="NB38" t="s">
        <v>1900</v>
      </c>
      <c r="NC38" t="s">
        <v>1900</v>
      </c>
      <c r="ND38" t="s">
        <v>1900</v>
      </c>
      <c r="NE38" t="s">
        <v>1900</v>
      </c>
      <c r="NF38" t="s">
        <v>1900</v>
      </c>
      <c r="NG38" t="s">
        <v>1900</v>
      </c>
      <c r="NH38" t="s">
        <v>1900</v>
      </c>
      <c r="NI38" t="s">
        <v>1900</v>
      </c>
      <c r="NJ38" t="s">
        <v>1900</v>
      </c>
      <c r="NK38" t="s">
        <v>1900</v>
      </c>
      <c r="NL38" t="s">
        <v>1900</v>
      </c>
      <c r="NM38" t="s">
        <v>1900</v>
      </c>
      <c r="NN38" t="s">
        <v>1900</v>
      </c>
      <c r="NO38" t="s">
        <v>1900</v>
      </c>
      <c r="NP38" t="s">
        <v>1900</v>
      </c>
      <c r="NQ38" t="s">
        <v>1900</v>
      </c>
      <c r="NR38" t="s">
        <v>1900</v>
      </c>
      <c r="NS38" t="s">
        <v>1900</v>
      </c>
      <c r="NT38" t="s">
        <v>1900</v>
      </c>
      <c r="NU38">
        <v>0</v>
      </c>
      <c r="NV38">
        <v>0</v>
      </c>
      <c r="NW38">
        <v>703.888439083099</v>
      </c>
      <c r="NX38">
        <v>1877.26559224129</v>
      </c>
      <c r="NY38" t="s">
        <v>1900</v>
      </c>
      <c r="NZ38" t="s">
        <v>1900</v>
      </c>
      <c r="OA38" t="s">
        <v>1900</v>
      </c>
      <c r="OB38" t="s">
        <v>1900</v>
      </c>
      <c r="OC38" t="s">
        <v>1900</v>
      </c>
      <c r="OD38" t="s">
        <v>1900</v>
      </c>
      <c r="OE38" t="s">
        <v>1900</v>
      </c>
      <c r="OF38" t="s">
        <v>1900</v>
      </c>
      <c r="OG38" t="s">
        <v>1900</v>
      </c>
      <c r="OH38" t="s">
        <v>1900</v>
      </c>
      <c r="OI38" t="s">
        <v>1900</v>
      </c>
      <c r="OJ38" t="s">
        <v>1900</v>
      </c>
      <c r="OK38" t="s">
        <v>1900</v>
      </c>
      <c r="OL38" t="s">
        <v>1900</v>
      </c>
      <c r="OM38" t="s">
        <v>1900</v>
      </c>
      <c r="ON38" t="s">
        <v>1900</v>
      </c>
      <c r="OO38" t="s">
        <v>1900</v>
      </c>
      <c r="OP38" t="s">
        <v>1900</v>
      </c>
      <c r="OQ38" t="s">
        <v>1900</v>
      </c>
      <c r="OR38" t="s">
        <v>1900</v>
      </c>
      <c r="OS38" t="s">
        <v>1900</v>
      </c>
      <c r="OT38" t="s">
        <v>1900</v>
      </c>
      <c r="OU38" t="s">
        <v>1900</v>
      </c>
      <c r="OV38" t="s">
        <v>1900</v>
      </c>
      <c r="OW38" t="s">
        <v>1900</v>
      </c>
      <c r="OX38" t="s">
        <v>1900</v>
      </c>
      <c r="OY38" t="s">
        <v>1900</v>
      </c>
      <c r="OZ38" t="s">
        <v>1900</v>
      </c>
      <c r="PA38" t="s">
        <v>1900</v>
      </c>
      <c r="PB38" t="s">
        <v>1900</v>
      </c>
      <c r="PC38" t="s">
        <v>1900</v>
      </c>
      <c r="PD38" t="s">
        <v>1900</v>
      </c>
      <c r="PE38" t="s">
        <v>1900</v>
      </c>
      <c r="PF38" t="s">
        <v>1900</v>
      </c>
      <c r="PG38" t="s">
        <v>1900</v>
      </c>
      <c r="PH38" t="s">
        <v>1900</v>
      </c>
      <c r="PI38" t="s">
        <v>1900</v>
      </c>
      <c r="PJ38" t="s">
        <v>1900</v>
      </c>
      <c r="PK38" t="s">
        <v>1900</v>
      </c>
      <c r="PL38" t="s">
        <v>1900</v>
      </c>
      <c r="PM38" t="s">
        <v>1900</v>
      </c>
      <c r="PN38" t="s">
        <v>1900</v>
      </c>
      <c r="PO38" t="s">
        <v>1900</v>
      </c>
      <c r="PP38" t="s">
        <v>1900</v>
      </c>
      <c r="PQ38" t="s">
        <v>1900</v>
      </c>
      <c r="PR38" t="s">
        <v>1900</v>
      </c>
      <c r="PS38" t="s">
        <v>1900</v>
      </c>
      <c r="PT38" t="s">
        <v>1900</v>
      </c>
      <c r="PU38" t="s">
        <v>1900</v>
      </c>
      <c r="PV38" t="s">
        <v>1900</v>
      </c>
      <c r="PW38" t="s">
        <v>1900</v>
      </c>
      <c r="PX38" t="s">
        <v>1900</v>
      </c>
      <c r="PY38" t="s">
        <v>1900</v>
      </c>
      <c r="PZ38" t="s">
        <v>1900</v>
      </c>
      <c r="QA38" t="s">
        <v>1900</v>
      </c>
      <c r="QB38" t="s">
        <v>1900</v>
      </c>
      <c r="QC38" t="s">
        <v>1900</v>
      </c>
      <c r="QD38" t="s">
        <v>1900</v>
      </c>
      <c r="QE38" t="s">
        <v>1900</v>
      </c>
      <c r="QF38" t="s">
        <v>1900</v>
      </c>
      <c r="QG38" t="s">
        <v>1900</v>
      </c>
      <c r="QH38" t="s">
        <v>1900</v>
      </c>
      <c r="QI38" t="s">
        <v>1900</v>
      </c>
      <c r="QJ38" t="s">
        <v>1900</v>
      </c>
      <c r="QK38" t="s">
        <v>1900</v>
      </c>
      <c r="QL38" t="s">
        <v>1900</v>
      </c>
      <c r="QM38" t="s">
        <v>1900</v>
      </c>
      <c r="QN38" t="s">
        <v>1900</v>
      </c>
      <c r="QO38" t="s">
        <v>1900</v>
      </c>
      <c r="QP38" t="s">
        <v>1900</v>
      </c>
      <c r="QQ38" t="s">
        <v>1900</v>
      </c>
      <c r="QR38" t="s">
        <v>1900</v>
      </c>
      <c r="QS38" t="s">
        <v>1900</v>
      </c>
      <c r="QT38" t="s">
        <v>1900</v>
      </c>
      <c r="QU38" t="s">
        <v>1900</v>
      </c>
      <c r="QV38" t="s">
        <v>1900</v>
      </c>
      <c r="QW38" t="s">
        <v>1900</v>
      </c>
      <c r="QX38" t="s">
        <v>1900</v>
      </c>
      <c r="QY38" t="s">
        <v>1900</v>
      </c>
      <c r="QZ38" t="s">
        <v>1900</v>
      </c>
      <c r="RA38" t="s">
        <v>1900</v>
      </c>
      <c r="RB38" t="s">
        <v>1900</v>
      </c>
      <c r="RC38" t="s">
        <v>1900</v>
      </c>
      <c r="RD38" t="s">
        <v>1900</v>
      </c>
      <c r="RE38" t="s">
        <v>1900</v>
      </c>
      <c r="RF38" t="s">
        <v>1900</v>
      </c>
      <c r="RG38" t="s">
        <v>1900</v>
      </c>
      <c r="RH38" t="s">
        <v>1900</v>
      </c>
      <c r="RI38" t="s">
        <v>1900</v>
      </c>
      <c r="RJ38" t="s">
        <v>1900</v>
      </c>
      <c r="RK38" t="s">
        <v>1900</v>
      </c>
      <c r="RL38" t="s">
        <v>1900</v>
      </c>
      <c r="RM38" t="s">
        <v>1900</v>
      </c>
      <c r="RN38" t="s">
        <v>1900</v>
      </c>
      <c r="RO38" t="s">
        <v>1900</v>
      </c>
      <c r="RP38" t="s">
        <v>1900</v>
      </c>
      <c r="RQ38" t="s">
        <v>1900</v>
      </c>
      <c r="RR38" t="s">
        <v>1900</v>
      </c>
      <c r="RS38" t="s">
        <v>1900</v>
      </c>
      <c r="RT38" t="s">
        <v>1900</v>
      </c>
      <c r="RU38" t="s">
        <v>1900</v>
      </c>
      <c r="RV38" t="s">
        <v>1900</v>
      </c>
      <c r="RW38" t="s">
        <v>1900</v>
      </c>
      <c r="RX38" t="s">
        <v>1900</v>
      </c>
      <c r="RY38" t="s">
        <v>1900</v>
      </c>
      <c r="RZ38" t="s">
        <v>1900</v>
      </c>
      <c r="SA38" t="s">
        <v>1900</v>
      </c>
      <c r="SB38" t="s">
        <v>1900</v>
      </c>
      <c r="SC38" t="s">
        <v>1900</v>
      </c>
      <c r="SD38" t="s">
        <v>1900</v>
      </c>
      <c r="SE38" t="s">
        <v>1900</v>
      </c>
      <c r="SF38" t="s">
        <v>1900</v>
      </c>
      <c r="SG38" t="s">
        <v>1900</v>
      </c>
      <c r="SH38" t="s">
        <v>1900</v>
      </c>
      <c r="SI38" t="s">
        <v>1900</v>
      </c>
      <c r="SJ38" t="s">
        <v>1900</v>
      </c>
      <c r="SK38" t="s">
        <v>1900</v>
      </c>
      <c r="SL38" t="s">
        <v>1900</v>
      </c>
      <c r="SM38">
        <v>0</v>
      </c>
      <c r="SN38">
        <v>0</v>
      </c>
      <c r="SO38" t="s">
        <v>1900</v>
      </c>
      <c r="SP38" t="s">
        <v>1900</v>
      </c>
      <c r="SQ38" t="s">
        <v>1900</v>
      </c>
      <c r="SR38" t="s">
        <v>1900</v>
      </c>
      <c r="SS38" t="s">
        <v>1900</v>
      </c>
      <c r="ST38" t="s">
        <v>1900</v>
      </c>
      <c r="SU38" t="s">
        <v>1900</v>
      </c>
      <c r="SV38" t="s">
        <v>1900</v>
      </c>
      <c r="SW38" t="s">
        <v>1900</v>
      </c>
      <c r="SX38" t="s">
        <v>1900</v>
      </c>
      <c r="SY38" t="s">
        <v>1900</v>
      </c>
      <c r="SZ38" t="s">
        <v>1900</v>
      </c>
      <c r="TA38" t="s">
        <v>1900</v>
      </c>
      <c r="TB38" t="s">
        <v>1900</v>
      </c>
      <c r="TC38" t="s">
        <v>1900</v>
      </c>
      <c r="TD38" t="s">
        <v>1900</v>
      </c>
      <c r="TE38" t="s">
        <v>1900</v>
      </c>
      <c r="TF38" t="s">
        <v>1900</v>
      </c>
      <c r="TG38" t="s">
        <v>1900</v>
      </c>
      <c r="TH38" t="s">
        <v>1900</v>
      </c>
      <c r="TI38" t="s">
        <v>1900</v>
      </c>
      <c r="TJ38" t="s">
        <v>1900</v>
      </c>
      <c r="TK38" t="s">
        <v>1900</v>
      </c>
      <c r="TL38" t="s">
        <v>1900</v>
      </c>
      <c r="TM38" t="s">
        <v>1900</v>
      </c>
      <c r="TN38" t="s">
        <v>1900</v>
      </c>
      <c r="TO38" t="s">
        <v>1900</v>
      </c>
      <c r="TP38" t="s">
        <v>1900</v>
      </c>
      <c r="TQ38" t="s">
        <v>1900</v>
      </c>
      <c r="TR38" t="s">
        <v>1900</v>
      </c>
      <c r="TS38" t="s">
        <v>1900</v>
      </c>
      <c r="TT38">
        <v>890155.315790768</v>
      </c>
      <c r="TU38">
        <v>933699.538792163</v>
      </c>
      <c r="TV38">
        <v>1000457.43980606</v>
      </c>
      <c r="TW38">
        <v>752453.044647419</v>
      </c>
      <c r="TX38" t="s">
        <v>1900</v>
      </c>
      <c r="TY38" t="s">
        <v>1900</v>
      </c>
      <c r="TZ38" t="s">
        <v>1900</v>
      </c>
      <c r="UA38" t="s">
        <v>1900</v>
      </c>
      <c r="UB38" t="s">
        <v>1900</v>
      </c>
      <c r="UC38" t="s">
        <v>1900</v>
      </c>
      <c r="UD38">
        <v>96967.48421781541</v>
      </c>
      <c r="UE38">
        <v>132580.673575383</v>
      </c>
      <c r="UF38">
        <v>112750.926908255</v>
      </c>
      <c r="UG38">
        <v>23773.8586401522</v>
      </c>
      <c r="UH38" t="s">
        <v>1900</v>
      </c>
      <c r="UI38" t="s">
        <v>1900</v>
      </c>
      <c r="UJ38" t="s">
        <v>1900</v>
      </c>
      <c r="UK38" t="s">
        <v>1900</v>
      </c>
      <c r="UL38" t="s">
        <v>1900</v>
      </c>
      <c r="UM38" t="s">
        <v>1900</v>
      </c>
      <c r="UN38" t="s">
        <v>1900</v>
      </c>
      <c r="UO38" t="s">
        <v>1900</v>
      </c>
      <c r="UP38" t="s">
        <v>1900</v>
      </c>
      <c r="UQ38" t="s">
        <v>1900</v>
      </c>
      <c r="UR38" t="s">
        <v>1900</v>
      </c>
      <c r="US38" t="s">
        <v>1900</v>
      </c>
      <c r="UT38" t="s">
        <v>1900</v>
      </c>
      <c r="UU38" t="s">
        <v>1900</v>
      </c>
      <c r="UV38" t="s">
        <v>1900</v>
      </c>
      <c r="UW38" t="s">
        <v>1900</v>
      </c>
      <c r="UX38" t="s">
        <v>1900</v>
      </c>
      <c r="UY38" t="s">
        <v>1900</v>
      </c>
      <c r="UZ38" t="s">
        <v>1900</v>
      </c>
      <c r="VA38" t="s">
        <v>1900</v>
      </c>
      <c r="VB38" t="s">
        <v>1900</v>
      </c>
      <c r="VC38" t="s">
        <v>1900</v>
      </c>
      <c r="VD38" t="s">
        <v>1900</v>
      </c>
      <c r="VE38" t="s">
        <v>1900</v>
      </c>
      <c r="VF38" t="s">
        <v>1900</v>
      </c>
      <c r="VG38" t="s">
        <v>1900</v>
      </c>
      <c r="VH38" t="s">
        <v>1900</v>
      </c>
      <c r="VI38" t="s">
        <v>1900</v>
      </c>
      <c r="VJ38" t="s">
        <v>1900</v>
      </c>
      <c r="VK38" t="s">
        <v>1900</v>
      </c>
      <c r="VL38" t="s">
        <v>1900</v>
      </c>
      <c r="VM38" t="s">
        <v>1900</v>
      </c>
      <c r="VN38" t="s">
        <v>1900</v>
      </c>
      <c r="VO38" t="s">
        <v>1900</v>
      </c>
      <c r="VP38" t="s">
        <v>1900</v>
      </c>
      <c r="VQ38" t="s">
        <v>1900</v>
      </c>
      <c r="VR38" t="s">
        <v>1900</v>
      </c>
      <c r="VS38" t="s">
        <v>1900</v>
      </c>
      <c r="VT38" t="s">
        <v>1900</v>
      </c>
      <c r="VU38" t="s">
        <v>1900</v>
      </c>
      <c r="VV38" t="s">
        <v>1900</v>
      </c>
      <c r="VW38" t="s">
        <v>1900</v>
      </c>
      <c r="VX38" t="s">
        <v>1900</v>
      </c>
      <c r="VY38" t="s">
        <v>1900</v>
      </c>
      <c r="VZ38" t="s">
        <v>1900</v>
      </c>
      <c r="WA38" t="s">
        <v>1900</v>
      </c>
      <c r="WB38">
        <v>77885.5290040684</v>
      </c>
      <c r="WC38">
        <v>72134.8060145855</v>
      </c>
      <c r="WD38">
        <v>102348.09501822</v>
      </c>
      <c r="WE38">
        <v>106222.881446785</v>
      </c>
      <c r="WF38" t="s">
        <v>1900</v>
      </c>
      <c r="WG38" t="s">
        <v>1900</v>
      </c>
      <c r="WH38" t="s">
        <v>1900</v>
      </c>
      <c r="WI38" t="s">
        <v>1900</v>
      </c>
      <c r="WJ38" t="s">
        <v>1900</v>
      </c>
      <c r="WK38" t="s">
        <v>1900</v>
      </c>
      <c r="WL38" t="s">
        <v>1900</v>
      </c>
      <c r="WM38" t="s">
        <v>1900</v>
      </c>
      <c r="WN38" t="s">
        <v>1900</v>
      </c>
      <c r="WO38" t="s">
        <v>1900</v>
      </c>
      <c r="WP38" t="s">
        <v>1900</v>
      </c>
      <c r="WQ38" t="s">
        <v>1900</v>
      </c>
      <c r="WR38" t="s">
        <v>1900</v>
      </c>
      <c r="WS38" t="s">
        <v>1900</v>
      </c>
      <c r="WT38" t="s">
        <v>1900</v>
      </c>
      <c r="WU38" t="s">
        <v>1900</v>
      </c>
      <c r="WV38" t="s">
        <v>1900</v>
      </c>
      <c r="WW38" t="s">
        <v>1900</v>
      </c>
      <c r="WX38" t="s">
        <v>1900</v>
      </c>
      <c r="WY38" t="s">
        <v>1900</v>
      </c>
      <c r="WZ38" t="s">
        <v>1900</v>
      </c>
      <c r="XA38" t="s">
        <v>1900</v>
      </c>
      <c r="XB38" t="s">
        <v>1900</v>
      </c>
      <c r="XC38" t="s">
        <v>1900</v>
      </c>
      <c r="XD38" t="s">
        <v>1900</v>
      </c>
      <c r="XE38" t="s">
        <v>1900</v>
      </c>
      <c r="XF38" t="s">
        <v>1900</v>
      </c>
      <c r="XG38" t="s">
        <v>1900</v>
      </c>
      <c r="XH38" t="s">
        <v>1900</v>
      </c>
      <c r="XI38" t="s">
        <v>1900</v>
      </c>
      <c r="XJ38" t="s">
        <v>1900</v>
      </c>
      <c r="XK38">
        <v>0</v>
      </c>
      <c r="XL38">
        <v>0</v>
      </c>
      <c r="XM38">
        <v>0</v>
      </c>
      <c r="XN38">
        <v>0</v>
      </c>
      <c r="XO38" t="s">
        <v>1900</v>
      </c>
      <c r="XP38" t="s">
        <v>1900</v>
      </c>
      <c r="XQ38" t="s">
        <v>1900</v>
      </c>
      <c r="XR38" t="s">
        <v>1900</v>
      </c>
      <c r="XS38" t="s">
        <v>1900</v>
      </c>
      <c r="XT38" t="s">
        <v>1900</v>
      </c>
      <c r="XU38" t="s">
        <v>1900</v>
      </c>
      <c r="XV38" t="s">
        <v>1900</v>
      </c>
      <c r="XW38" t="s">
        <v>1900</v>
      </c>
      <c r="XX38" t="s">
        <v>1900</v>
      </c>
      <c r="XY38" t="s">
        <v>1900</v>
      </c>
      <c r="XZ38">
        <v>0</v>
      </c>
      <c r="YA38">
        <v>0</v>
      </c>
      <c r="YB38">
        <v>0</v>
      </c>
      <c r="YC38">
        <v>0</v>
      </c>
      <c r="YD38" t="s">
        <v>1900</v>
      </c>
      <c r="YE38" t="s">
        <v>1900</v>
      </c>
      <c r="YF38" t="s">
        <v>1900</v>
      </c>
      <c r="YG38" t="s">
        <v>1900</v>
      </c>
      <c r="YH38" t="s">
        <v>1900</v>
      </c>
      <c r="YI38" t="s">
        <v>1900</v>
      </c>
      <c r="YJ38" t="s">
        <v>1900</v>
      </c>
      <c r="YK38" t="s">
        <v>1900</v>
      </c>
      <c r="YL38" t="s">
        <v>1900</v>
      </c>
      <c r="YM38" t="s">
        <v>1900</v>
      </c>
      <c r="YN38" t="s">
        <v>1900</v>
      </c>
      <c r="YO38" t="s">
        <v>1900</v>
      </c>
      <c r="YP38" t="s">
        <v>1900</v>
      </c>
      <c r="YQ38" t="s">
        <v>1900</v>
      </c>
      <c r="YR38" t="s">
        <v>1900</v>
      </c>
      <c r="YS38" t="s">
        <v>1900</v>
      </c>
      <c r="YT38" t="s">
        <v>1900</v>
      </c>
      <c r="YU38" t="s">
        <v>1900</v>
      </c>
      <c r="YV38" t="s">
        <v>1900</v>
      </c>
      <c r="YW38" t="s">
        <v>1900</v>
      </c>
      <c r="YX38" t="s">
        <v>1900</v>
      </c>
      <c r="YY38" t="s">
        <v>1900</v>
      </c>
      <c r="YZ38" t="s">
        <v>1900</v>
      </c>
      <c r="ZA38" t="s">
        <v>1900</v>
      </c>
      <c r="ZB38" t="s">
        <v>1900</v>
      </c>
      <c r="ZC38" t="s">
        <v>1900</v>
      </c>
      <c r="ZD38" t="s">
        <v>1900</v>
      </c>
      <c r="ZE38" t="s">
        <v>1900</v>
      </c>
      <c r="ZF38" t="s">
        <v>1900</v>
      </c>
      <c r="ZG38" t="s">
        <v>1900</v>
      </c>
      <c r="ZH38" t="s">
        <v>1900</v>
      </c>
      <c r="ZI38" t="s">
        <v>1900</v>
      </c>
      <c r="ZJ38" t="s">
        <v>1900</v>
      </c>
      <c r="ZK38" t="s">
        <v>1900</v>
      </c>
      <c r="ZL38" t="s">
        <v>1900</v>
      </c>
      <c r="ZM38" t="s">
        <v>1900</v>
      </c>
      <c r="ZN38" t="s">
        <v>1900</v>
      </c>
      <c r="ZO38" t="s">
        <v>1900</v>
      </c>
      <c r="ZP38" t="s">
        <v>1900</v>
      </c>
      <c r="ZQ38" t="s">
        <v>1900</v>
      </c>
      <c r="ZR38" t="s">
        <v>1900</v>
      </c>
      <c r="ZS38" t="s">
        <v>1900</v>
      </c>
      <c r="ZT38" t="s">
        <v>1900</v>
      </c>
      <c r="ZU38" t="s">
        <v>1900</v>
      </c>
      <c r="ZV38" t="s">
        <v>1900</v>
      </c>
      <c r="ZW38" t="s">
        <v>1900</v>
      </c>
      <c r="ZX38" t="s">
        <v>1900</v>
      </c>
      <c r="ZY38" t="s">
        <v>1900</v>
      </c>
      <c r="ZZ38" t="s">
        <v>1900</v>
      </c>
      <c r="AAA38" t="s">
        <v>1900</v>
      </c>
      <c r="AAB38" t="s">
        <v>1900</v>
      </c>
      <c r="AAC38" t="s">
        <v>1900</v>
      </c>
      <c r="AAD38" t="s">
        <v>1900</v>
      </c>
      <c r="AAE38" t="s">
        <v>1900</v>
      </c>
      <c r="AAF38" t="s">
        <v>1900</v>
      </c>
      <c r="AAG38" t="s">
        <v>1900</v>
      </c>
      <c r="AAH38" t="s">
        <v>1900</v>
      </c>
      <c r="AAI38" t="s">
        <v>1900</v>
      </c>
      <c r="AAJ38" t="s">
        <v>1900</v>
      </c>
      <c r="AAK38" t="s">
        <v>1900</v>
      </c>
      <c r="AAL38" t="s">
        <v>1900</v>
      </c>
      <c r="AAM38" t="s">
        <v>1900</v>
      </c>
      <c r="AAN38" t="s">
        <v>1900</v>
      </c>
      <c r="AAO38" t="s">
        <v>1900</v>
      </c>
      <c r="AAP38" t="s">
        <v>1900</v>
      </c>
      <c r="AAQ38" t="s">
        <v>1900</v>
      </c>
      <c r="AAR38" t="s">
        <v>1900</v>
      </c>
      <c r="AAS38" t="s">
        <v>1900</v>
      </c>
      <c r="AAT38" t="s">
        <v>1900</v>
      </c>
      <c r="AAU38" t="s">
        <v>1900</v>
      </c>
      <c r="AAV38" t="s">
        <v>1900</v>
      </c>
      <c r="AAW38" t="s">
        <v>1900</v>
      </c>
      <c r="AAX38" t="s">
        <v>1900</v>
      </c>
      <c r="AAY38" t="s">
        <v>1900</v>
      </c>
      <c r="AAZ38" t="s">
        <v>1900</v>
      </c>
      <c r="ABA38" t="s">
        <v>1900</v>
      </c>
      <c r="ABB38" t="s">
        <v>1900</v>
      </c>
      <c r="ABC38" t="s">
        <v>1900</v>
      </c>
      <c r="ABD38" t="s">
        <v>1900</v>
      </c>
      <c r="ABE38" t="s">
        <v>1900</v>
      </c>
      <c r="ABF38" t="s">
        <v>1900</v>
      </c>
      <c r="ABG38" t="s">
        <v>1900</v>
      </c>
      <c r="ABH38" t="s">
        <v>1900</v>
      </c>
      <c r="ABI38" t="s">
        <v>1900</v>
      </c>
      <c r="ABJ38" t="s">
        <v>1900</v>
      </c>
      <c r="ABK38" t="s">
        <v>1900</v>
      </c>
      <c r="ABL38" t="s">
        <v>1900</v>
      </c>
      <c r="ABM38" t="s">
        <v>1900</v>
      </c>
      <c r="ABN38" t="s">
        <v>1900</v>
      </c>
      <c r="ABO38" t="s">
        <v>1900</v>
      </c>
      <c r="ABP38" t="s">
        <v>1900</v>
      </c>
      <c r="ABQ38" t="s">
        <v>1900</v>
      </c>
      <c r="ABR38" t="s">
        <v>1900</v>
      </c>
      <c r="ABS38" t="s">
        <v>1900</v>
      </c>
      <c r="ABT38" t="s">
        <v>1900</v>
      </c>
      <c r="ABU38" t="s">
        <v>1900</v>
      </c>
      <c r="ABV38" t="s">
        <v>1900</v>
      </c>
      <c r="ABW38" t="s">
        <v>1900</v>
      </c>
      <c r="ABX38" t="s">
        <v>1900</v>
      </c>
      <c r="ABY38" t="s">
        <v>1900</v>
      </c>
      <c r="ABZ38" t="s">
        <v>1900</v>
      </c>
      <c r="ACA38" t="s">
        <v>1900</v>
      </c>
      <c r="ACB38" t="s">
        <v>1900</v>
      </c>
      <c r="ACC38" t="s">
        <v>1900</v>
      </c>
      <c r="ACD38" t="s">
        <v>1900</v>
      </c>
      <c r="ACE38" t="s">
        <v>1900</v>
      </c>
      <c r="ACF38">
        <v>76.879</v>
      </c>
      <c r="ACG38">
        <v>138.803</v>
      </c>
      <c r="ACH38" t="s">
        <v>1901</v>
      </c>
      <c r="ACI38" t="s">
        <v>1901</v>
      </c>
      <c r="ACJ38" t="s">
        <v>1900</v>
      </c>
      <c r="ACK38">
        <v>50.258</v>
      </c>
      <c r="ACL38">
        <v>34.661</v>
      </c>
      <c r="ACM38">
        <v>100.964</v>
      </c>
      <c r="ACN38">
        <v>378.298</v>
      </c>
      <c r="ACO38" t="s">
        <v>1900</v>
      </c>
      <c r="ACP38">
        <v>13.35</v>
      </c>
      <c r="ACQ38">
        <v>6.561</v>
      </c>
      <c r="ACR38">
        <v>18.663</v>
      </c>
      <c r="ACS38">
        <v>30.228</v>
      </c>
      <c r="ACT38" t="s">
        <v>1900</v>
      </c>
      <c r="ACU38">
        <v>56.924</v>
      </c>
      <c r="ACV38">
        <v>101.988</v>
      </c>
      <c r="ACW38" t="s">
        <v>1901</v>
      </c>
      <c r="ACX38" t="s">
        <v>1901</v>
      </c>
      <c r="ACY38" t="s">
        <v>1900</v>
      </c>
      <c r="ACZ38">
        <v>38.648</v>
      </c>
      <c r="ADA38">
        <v>26.925</v>
      </c>
      <c r="ADB38">
        <v>75.735</v>
      </c>
      <c r="ADC38">
        <v>281.632</v>
      </c>
      <c r="ADD38" t="s">
        <v>1900</v>
      </c>
      <c r="ADE38">
        <v>9.885</v>
      </c>
      <c r="ADF38">
        <v>4.82</v>
      </c>
      <c r="ADG38">
        <v>13.746</v>
      </c>
      <c r="ADH38">
        <v>22.226</v>
      </c>
      <c r="ADI38" t="s">
        <v>1900</v>
      </c>
      <c r="ADJ38">
        <v>10.089</v>
      </c>
      <c r="ADK38">
        <v>4.709</v>
      </c>
      <c r="ADL38">
        <v>12.546</v>
      </c>
      <c r="ADM38">
        <v>14.778</v>
      </c>
      <c r="ADN38" t="s">
        <v>1900</v>
      </c>
      <c r="ADO38">
        <v>54.228</v>
      </c>
      <c r="ADP38">
        <v>56.072</v>
      </c>
      <c r="ADQ38">
        <v>63.606</v>
      </c>
      <c r="ADR38">
        <v>57.934</v>
      </c>
      <c r="ADS38" t="s">
        <v>1900</v>
      </c>
      <c r="ADT38">
        <v>11.333710332</v>
      </c>
      <c r="ADU38">
        <v>5.5954655</v>
      </c>
      <c r="ADV38">
        <v>13.229906557</v>
      </c>
      <c r="ADW38">
        <v>15.308849826</v>
      </c>
      <c r="ADX38" t="s">
        <v>1900</v>
      </c>
      <c r="ADY38">
        <v>11.334</v>
      </c>
      <c r="ADZ38">
        <v>5.646</v>
      </c>
      <c r="AEA38">
        <v>13.299</v>
      </c>
      <c r="AEB38">
        <v>15.404</v>
      </c>
      <c r="AEC38" t="s">
        <v>1900</v>
      </c>
      <c r="AED38">
        <v>11.334</v>
      </c>
      <c r="AEE38">
        <v>5.595</v>
      </c>
      <c r="AEF38">
        <v>13.23</v>
      </c>
      <c r="AEG38">
        <v>15.309</v>
      </c>
      <c r="AEH38" t="s">
        <v>1900</v>
      </c>
      <c r="AEI38" t="s">
        <v>1900</v>
      </c>
      <c r="AEJ38">
        <v>3.511</v>
      </c>
      <c r="AEK38">
        <v>9.31</v>
      </c>
      <c r="AEL38">
        <v>10.961</v>
      </c>
      <c r="AEM38" t="s">
        <v>1900</v>
      </c>
      <c r="AEN38">
        <v>12.782434423</v>
      </c>
      <c r="AEO38">
        <v>5.927115185</v>
      </c>
      <c r="AEP38">
        <v>15.247081146</v>
      </c>
      <c r="AEQ38">
        <v>18.076091533</v>
      </c>
      <c r="AER38" t="s">
        <v>1900</v>
      </c>
      <c r="AES38">
        <v>1.264226483</v>
      </c>
      <c r="AET38">
        <v>1.11085355</v>
      </c>
      <c r="AEU38">
        <v>1.262620155</v>
      </c>
      <c r="AEV38">
        <v>1.35915319</v>
      </c>
      <c r="AEW38" t="s">
        <v>1900</v>
      </c>
      <c r="AEX38" t="s">
        <v>1900</v>
      </c>
      <c r="AEY38" t="s">
        <v>1900</v>
      </c>
      <c r="AEZ38" t="s">
        <v>1900</v>
      </c>
      <c r="AFA38" t="s">
        <v>1900</v>
      </c>
      <c r="AFB38" t="s">
        <v>1900</v>
      </c>
      <c r="AFC38" t="s">
        <v>1900</v>
      </c>
      <c r="AFD38" t="s">
        <v>1900</v>
      </c>
      <c r="AFE38" t="s">
        <v>1900</v>
      </c>
      <c r="AFF38" t="s">
        <v>1900</v>
      </c>
      <c r="AFG38" t="s">
        <v>1900</v>
      </c>
      <c r="AFH38">
        <v>4.434</v>
      </c>
      <c r="AFI38">
        <v>6.194</v>
      </c>
      <c r="AFJ38">
        <v>7.631</v>
      </c>
      <c r="AFK38">
        <v>24.711</v>
      </c>
      <c r="AFL38" t="s">
        <v>1900</v>
      </c>
      <c r="AFM38">
        <v>9.093</v>
      </c>
      <c r="AFN38">
        <v>6.31</v>
      </c>
      <c r="AFO38">
        <v>19.357</v>
      </c>
      <c r="AFP38">
        <v>28.822</v>
      </c>
      <c r="AFQ38" t="s">
        <v>1900</v>
      </c>
      <c r="AFR38" t="s">
        <v>1901</v>
      </c>
      <c r="AFS38" t="s">
        <v>1901</v>
      </c>
      <c r="AFT38" t="s">
        <v>1901</v>
      </c>
      <c r="AFU38" t="s">
        <v>1901</v>
      </c>
      <c r="AFV38" t="s">
        <v>1900</v>
      </c>
      <c r="AFW38">
        <v>13.638</v>
      </c>
      <c r="AFX38">
        <v>27.183</v>
      </c>
      <c r="AFY38">
        <v>40.53</v>
      </c>
      <c r="AFZ38">
        <v>23.789</v>
      </c>
      <c r="AGA38" t="s">
        <v>1900</v>
      </c>
      <c r="AGB38">
        <v>137.427</v>
      </c>
      <c r="AGC38">
        <v>143.618</v>
      </c>
      <c r="AGD38">
        <v>142.807</v>
      </c>
      <c r="AGE38">
        <v>131.02</v>
      </c>
      <c r="AGF38" t="s">
        <v>1900</v>
      </c>
      <c r="AGG38" t="s">
        <v>1900</v>
      </c>
      <c r="AGH38" t="s">
        <v>1900</v>
      </c>
      <c r="AGI38" t="s">
        <v>1900</v>
      </c>
      <c r="AGJ38" t="s">
        <v>1900</v>
      </c>
      <c r="AGK38" t="s">
        <v>1900</v>
      </c>
      <c r="AGL38" t="s">
        <v>1900</v>
      </c>
      <c r="AGM38" t="s">
        <v>1900</v>
      </c>
      <c r="AGN38" t="s">
        <v>1900</v>
      </c>
      <c r="AGO38" t="s">
        <v>1900</v>
      </c>
      <c r="AGP38" t="s">
        <v>1900</v>
      </c>
      <c r="AGQ38" t="s">
        <v>1900</v>
      </c>
      <c r="AGR38" t="s">
        <v>1900</v>
      </c>
      <c r="AGS38" t="s">
        <v>1900</v>
      </c>
      <c r="AGT38" t="s">
        <v>1900</v>
      </c>
      <c r="AGU38">
        <v>0</v>
      </c>
      <c r="AGV38">
        <v>0</v>
      </c>
      <c r="AGW38">
        <v>0</v>
      </c>
      <c r="AGX38">
        <v>0</v>
      </c>
      <c r="AGY38">
        <v>0</v>
      </c>
      <c r="AGZ38" t="s">
        <v>1900</v>
      </c>
      <c r="AHA38">
        <v>1.425</v>
      </c>
      <c r="AHB38">
        <v>1.29</v>
      </c>
      <c r="AHC38">
        <v>1.241</v>
      </c>
      <c r="AHD38">
        <v>1.088</v>
      </c>
      <c r="AHE38" t="s">
        <v>1900</v>
      </c>
      <c r="AHF38">
        <v>1.425</v>
      </c>
      <c r="AHG38">
        <v>1.29</v>
      </c>
      <c r="AHH38">
        <v>1.241</v>
      </c>
      <c r="AHI38">
        <v>1.088</v>
      </c>
      <c r="AHJ38" t="s">
        <v>1900</v>
      </c>
      <c r="AHK38">
        <v>1.391</v>
      </c>
      <c r="AHL38">
        <v>0.266</v>
      </c>
      <c r="AHM38">
        <v>-0.005</v>
      </c>
      <c r="AHN38">
        <v>-0.707</v>
      </c>
      <c r="AHO38" t="s">
        <v>1900</v>
      </c>
      <c r="AHP38">
        <v>17.364</v>
      </c>
      <c r="AHQ38">
        <v>4.726</v>
      </c>
      <c r="AHR38">
        <v>-0.093</v>
      </c>
      <c r="AHS38">
        <v>-19.935</v>
      </c>
      <c r="AHT38" t="s">
        <v>1900</v>
      </c>
      <c r="AHU38">
        <v>21.013</v>
      </c>
      <c r="AHV38">
        <v>4.961</v>
      </c>
      <c r="AHW38" t="s">
        <v>1901</v>
      </c>
      <c r="AHX38" t="s">
        <v>1901</v>
      </c>
      <c r="AHY38" t="s">
        <v>1900</v>
      </c>
      <c r="AHZ38">
        <v>134.6</v>
      </c>
      <c r="AIA38">
        <v>676.296</v>
      </c>
      <c r="AIB38" t="s">
        <v>1901</v>
      </c>
      <c r="AIC38" t="s">
        <v>1901</v>
      </c>
      <c r="AID38" t="s">
        <v>1900</v>
      </c>
      <c r="AIE38" t="s">
        <v>1900</v>
      </c>
      <c r="AIF38" t="s">
        <v>1900</v>
      </c>
      <c r="AIG38">
        <v>0</v>
      </c>
      <c r="AIH38">
        <v>0</v>
      </c>
      <c r="AII38" t="s">
        <v>1900</v>
      </c>
      <c r="AIJ38">
        <v>94.98718708600001</v>
      </c>
      <c r="AIK38">
        <v>89.479667116</v>
      </c>
      <c r="AIL38">
        <v>83.182567687</v>
      </c>
      <c r="AIM38">
        <v>86.233664984</v>
      </c>
      <c r="AIN38" t="s">
        <v>1900</v>
      </c>
      <c r="AIO38">
        <v>8.749656113</v>
      </c>
      <c r="AIP38">
        <v>7.725697938</v>
      </c>
      <c r="AIQ38">
        <v>10.230129833</v>
      </c>
      <c r="AIR38">
        <v>14.116878416</v>
      </c>
      <c r="AIS38" t="s">
        <v>1900</v>
      </c>
      <c r="AIT38">
        <v>0</v>
      </c>
      <c r="AIU38">
        <v>0</v>
      </c>
      <c r="AIV38">
        <v>0</v>
      </c>
      <c r="AIW38">
        <v>0</v>
      </c>
      <c r="AIX38" t="s">
        <v>1900</v>
      </c>
      <c r="AIY38">
        <v>19.8052774883652</v>
      </c>
      <c r="AIZ38">
        <v>12.2510833144772</v>
      </c>
      <c r="AJA38">
        <v>23.3395692875433</v>
      </c>
      <c r="AJB38">
        <v>45.490470579617</v>
      </c>
      <c r="AJC38" t="s">
        <v>1900</v>
      </c>
      <c r="AJD38">
        <v>196.314048868333</v>
      </c>
      <c r="AJE38">
        <v>260.178034351701</v>
      </c>
      <c r="AJF38">
        <v>186.025243387678</v>
      </c>
      <c r="AJG38">
        <v>307.831968449973</v>
      </c>
      <c r="AJH38" t="s">
        <v>1900</v>
      </c>
      <c r="AJI38">
        <v>20.769</v>
      </c>
      <c r="AJJ38">
        <v>24.938</v>
      </c>
      <c r="AJK38">
        <v>17.92</v>
      </c>
      <c r="AJL38">
        <v>11.078</v>
      </c>
      <c r="AJM38" t="s">
        <v>1900</v>
      </c>
      <c r="AJN38">
        <v>40.7733304235697</v>
      </c>
      <c r="AJO38">
        <v>64.88345046529891</v>
      </c>
      <c r="AJP38">
        <v>33.3360015352535</v>
      </c>
      <c r="AJQ38">
        <v>34.1004538937461</v>
      </c>
      <c r="AJR38" t="s">
        <v>1900</v>
      </c>
      <c r="AJS38">
        <v>25.7616909465303</v>
      </c>
      <c r="AJT38">
        <v>8.82625795606732</v>
      </c>
      <c r="AJU38" t="s">
        <v>1901</v>
      </c>
      <c r="AJV38" t="s">
        <v>1901</v>
      </c>
      <c r="AJW38" t="s">
        <v>1900</v>
      </c>
      <c r="AJX38">
        <v>-67.50440294514659</v>
      </c>
      <c r="AJY38">
        <v>-84.14940289052601</v>
      </c>
      <c r="AJZ38">
        <v>-52.8503582571745</v>
      </c>
      <c r="AKA38">
        <v>-91.692413333044</v>
      </c>
      <c r="AKB38" t="s">
        <v>1900</v>
      </c>
      <c r="AKC38">
        <v>148.359219666795</v>
      </c>
      <c r="AKD38">
        <v>186.739907758433</v>
      </c>
      <c r="AKE38">
        <v>125.057179692607</v>
      </c>
      <c r="AKF38">
        <v>150.490608929484</v>
      </c>
      <c r="AKG38" t="s">
        <v>1900</v>
      </c>
      <c r="AKH38">
        <v>0</v>
      </c>
      <c r="AKI38">
        <v>0</v>
      </c>
      <c r="AKJ38">
        <v>0</v>
      </c>
      <c r="AKK38">
        <v>0</v>
      </c>
      <c r="AKL38" t="s">
        <v>1900</v>
      </c>
      <c r="AKM38">
        <v>0</v>
      </c>
      <c r="AKN38">
        <v>0</v>
      </c>
      <c r="AKO38">
        <v>0</v>
      </c>
      <c r="AKP38">
        <v>0</v>
      </c>
      <c r="AKQ38" t="s">
        <v>1900</v>
      </c>
      <c r="AKR38">
        <v>0</v>
      </c>
      <c r="AKS38">
        <v>0</v>
      </c>
      <c r="AKT38">
        <v>0</v>
      </c>
      <c r="AKU38">
        <v>0</v>
      </c>
      <c r="AKV38" t="s">
        <v>1900</v>
      </c>
      <c r="AKW38" t="s">
        <v>1900</v>
      </c>
      <c r="AKX38" t="s">
        <v>1900</v>
      </c>
      <c r="AKY38">
        <v>0.047297912</v>
      </c>
      <c r="AKZ38">
        <v>0.121966903</v>
      </c>
      <c r="ALA38" t="s">
        <v>1900</v>
      </c>
      <c r="ALB38" t="s">
        <v>1900</v>
      </c>
      <c r="ALC38" t="s">
        <v>1900</v>
      </c>
      <c r="ALD38">
        <v>0.07035666</v>
      </c>
      <c r="ALE38">
        <v>0.249486078</v>
      </c>
      <c r="ALF38" t="s">
        <v>1900</v>
      </c>
      <c r="ALG38" t="s">
        <v>1900</v>
      </c>
      <c r="ALH38" t="s">
        <v>1900</v>
      </c>
      <c r="ALI38">
        <v>0</v>
      </c>
      <c r="ALJ38">
        <v>0</v>
      </c>
      <c r="ALK38" t="s">
        <v>1900</v>
      </c>
      <c r="ALL38" t="s">
        <v>1900</v>
      </c>
      <c r="ALM38" t="s">
        <v>1900</v>
      </c>
      <c r="ALN38">
        <v>0</v>
      </c>
      <c r="ALO38">
        <v>0</v>
      </c>
      <c r="ALP38" t="s">
        <v>1900</v>
      </c>
      <c r="ALQ38">
        <v>3.788302539</v>
      </c>
      <c r="ALR38">
        <v>7.550852544</v>
      </c>
      <c r="ALS38">
        <v>11.258375596</v>
      </c>
      <c r="ALT38">
        <v>6.608016827</v>
      </c>
      <c r="ALU38" t="s">
        <v>1900</v>
      </c>
      <c r="ALV38" t="s">
        <v>1901</v>
      </c>
      <c r="ALW38">
        <v>528.335846866</v>
      </c>
      <c r="ALX38">
        <v>352.348264492</v>
      </c>
      <c r="ALY38">
        <v>550.7632938949999</v>
      </c>
      <c r="ALZ38" t="s">
        <v>1900</v>
      </c>
      <c r="AMA38">
        <v>54.2276330566554</v>
      </c>
      <c r="AMB38">
        <v>56.0716611673164</v>
      </c>
      <c r="AMC38">
        <v>63.6064914823499</v>
      </c>
      <c r="AMD38">
        <v>57.9336969438012</v>
      </c>
      <c r="AME38" t="s">
        <v>1900</v>
      </c>
      <c r="AMF38">
        <v>54.3046043981117</v>
      </c>
      <c r="AMG38">
        <v>56.0718771959305</v>
      </c>
      <c r="AMH38">
        <v>63.6068317917123</v>
      </c>
      <c r="AMI38">
        <v>57.9725206913823</v>
      </c>
      <c r="AMJ38" t="s">
        <v>1900</v>
      </c>
      <c r="AMK38">
        <v>118.472424910376</v>
      </c>
      <c r="AML38">
        <v>127.643481764436</v>
      </c>
      <c r="AMM38">
        <v>174.774277262941</v>
      </c>
      <c r="AMN38">
        <v>137.719962855791</v>
      </c>
      <c r="AMO38" t="s">
        <v>1900</v>
      </c>
      <c r="AMP38">
        <v>1.26422647996057</v>
      </c>
      <c r="AMQ38">
        <v>1.11085354858731</v>
      </c>
      <c r="AMR38">
        <v>1.26262015532029</v>
      </c>
      <c r="AMS38">
        <v>1.35915319024256</v>
      </c>
      <c r="AMT38" t="s">
        <v>1900</v>
      </c>
      <c r="AMU38">
        <v>1.26422648214764</v>
      </c>
      <c r="AMV38">
        <v>1.11085355021164</v>
      </c>
      <c r="AMW38">
        <v>1.26262015532029</v>
      </c>
      <c r="AMX38">
        <v>1.35915319024256</v>
      </c>
      <c r="AMY38" t="s">
        <v>1900</v>
      </c>
      <c r="AMZ38">
        <v>1.26422648272553</v>
      </c>
      <c r="ANA38">
        <v>1.1108535503917</v>
      </c>
      <c r="ANB38">
        <v>1.26262015532029</v>
      </c>
      <c r="ANC38">
        <v>1.35915319024256</v>
      </c>
      <c r="AND38" t="s">
        <v>1900</v>
      </c>
      <c r="ANE38">
        <v>11.3337103318705</v>
      </c>
      <c r="ANF38">
        <v>5.59546549998937</v>
      </c>
      <c r="ANG38">
        <v>13.2299065574763</v>
      </c>
      <c r="ANH38">
        <v>15.3088498259705</v>
      </c>
      <c r="ANI38" t="s">
        <v>1900</v>
      </c>
      <c r="ANJ38">
        <v>11.3497975338882</v>
      </c>
      <c r="ANK38">
        <v>5.59548705777155</v>
      </c>
      <c r="ANL38">
        <v>13.22997734052</v>
      </c>
      <c r="ANM38">
        <v>15.3191089144243</v>
      </c>
      <c r="ANN38" t="s">
        <v>1900</v>
      </c>
      <c r="ANO38">
        <v>12.7824344227007</v>
      </c>
      <c r="ANP38">
        <v>5.92711518532909</v>
      </c>
      <c r="ANQ38">
        <v>15.2470811458095</v>
      </c>
      <c r="ANR38">
        <v>18.0760915331918</v>
      </c>
      <c r="ANS38" t="s">
        <v>1900</v>
      </c>
      <c r="ANT38">
        <v>50.2525697575745</v>
      </c>
      <c r="ANU38">
        <v>34.6608710402873</v>
      </c>
      <c r="ANV38">
        <v>100.963825626138</v>
      </c>
      <c r="ANW38">
        <v>378.29776687746</v>
      </c>
      <c r="ANX38" t="s">
        <v>1900</v>
      </c>
      <c r="ANY38">
        <v>54.2276330566555</v>
      </c>
      <c r="ANZ38">
        <v>56.0716611673164</v>
      </c>
      <c r="AOA38">
        <v>63.6064914823499</v>
      </c>
      <c r="AOB38">
        <v>57.9336969438012</v>
      </c>
      <c r="AOC38" t="s">
        <v>1900</v>
      </c>
      <c r="AOD38">
        <v>61.1592446911052</v>
      </c>
      <c r="AOE38">
        <v>59.3950931110306</v>
      </c>
      <c r="AOF38">
        <v>73.30462485266619</v>
      </c>
      <c r="AOG38">
        <v>68.4058450319247</v>
      </c>
      <c r="AOH38" t="s">
        <v>1900</v>
      </c>
      <c r="AOI38">
        <v>71.7558791844871</v>
      </c>
      <c r="AOJ38">
        <v>78.1226399247109</v>
      </c>
      <c r="AOK38">
        <v>94.61602304892691</v>
      </c>
      <c r="AOL38" t="s">
        <v>1901</v>
      </c>
      <c r="AOM38" t="s">
        <v>1900</v>
      </c>
      <c r="AON38">
        <v>24.7610317943554</v>
      </c>
      <c r="AOO38">
        <v>12.7377124851036</v>
      </c>
      <c r="AOP38">
        <v>36.352380125868</v>
      </c>
      <c r="AOQ38">
        <v>36.3921921199458</v>
      </c>
      <c r="AOR38" t="s">
        <v>1900</v>
      </c>
      <c r="AOS38">
        <v>26.4226482147645</v>
      </c>
      <c r="AOT38">
        <v>11.0853550211638</v>
      </c>
      <c r="AOU38">
        <v>26.2620155320294</v>
      </c>
      <c r="AOV38">
        <v>35.9153190242565</v>
      </c>
      <c r="AOW38" t="s">
        <v>1900</v>
      </c>
      <c r="AOX38">
        <v>14.9971574166994</v>
      </c>
      <c r="AOY38">
        <v>7.79596194167353</v>
      </c>
      <c r="AOZ38">
        <v>19.679770328547</v>
      </c>
      <c r="APA38">
        <v>31.3146010249829</v>
      </c>
      <c r="APB38" t="s">
        <v>1900</v>
      </c>
      <c r="APC38">
        <v>7.47002678554478</v>
      </c>
      <c r="APD38">
        <v>3.45983580069979</v>
      </c>
      <c r="APE38">
        <v>9.240584798478</v>
      </c>
      <c r="APF38">
        <v>10.8658651157381</v>
      </c>
      <c r="APG38" t="s">
        <v>1900</v>
      </c>
      <c r="APH38">
        <v>7.48062982960161</v>
      </c>
      <c r="API38">
        <v>3.45984913049095</v>
      </c>
      <c r="APJ38">
        <v>9.24063423773252</v>
      </c>
      <c r="APK38">
        <v>10.8731467778235</v>
      </c>
      <c r="APL38" t="s">
        <v>1900</v>
      </c>
      <c r="APM38">
        <v>16.3199486598343</v>
      </c>
      <c r="APN38">
        <v>7.87609068004547</v>
      </c>
      <c r="APO38">
        <v>25.3907500948872</v>
      </c>
      <c r="APP38">
        <v>25.8303305170929</v>
      </c>
      <c r="APQ38" t="s">
        <v>1900</v>
      </c>
      <c r="APR38">
        <v>17.4151168619767</v>
      </c>
      <c r="APS38">
        <v>6.85439096456988</v>
      </c>
      <c r="APT38">
        <v>18.3430155344163</v>
      </c>
      <c r="APU38">
        <v>25.4918570985154</v>
      </c>
      <c r="APV38" t="s">
        <v>1900</v>
      </c>
      <c r="APW38">
        <v>8.42487806076522</v>
      </c>
      <c r="APX38">
        <v>3.66490425383052</v>
      </c>
      <c r="APY38">
        <v>10.6495042610493</v>
      </c>
      <c r="APZ38">
        <v>12.8299888399321</v>
      </c>
      <c r="AQA38" t="s">
        <v>1900</v>
      </c>
      <c r="AQB38">
        <v>9.884597746842781</v>
      </c>
      <c r="AQC38">
        <v>4.82046546918149</v>
      </c>
      <c r="AQD38">
        <v>13.7455684774088</v>
      </c>
      <c r="AQE38">
        <v>22.2263745976127</v>
      </c>
      <c r="AQF38" t="s">
        <v>1900</v>
      </c>
      <c r="AQG38">
        <v>0.264226482725528</v>
      </c>
      <c r="AQH38">
        <v>0.110853550391701</v>
      </c>
      <c r="AQI38">
        <v>0.262620155320294</v>
      </c>
      <c r="AQJ38">
        <v>0.359153190242565</v>
      </c>
      <c r="AQK38">
        <v>1</v>
      </c>
      <c r="AQO38" t="s">
        <v>1902</v>
      </c>
      <c r="AQP38">
        <v>1</v>
      </c>
      <c r="AQQ38">
        <v>0</v>
      </c>
      <c r="AQS38" t="s">
        <v>1905</v>
      </c>
      <c r="AQU38" t="s">
        <v>1906</v>
      </c>
      <c r="AQV38" t="s">
        <v>1900</v>
      </c>
      <c r="AQW38">
        <v>1177884.294315</v>
      </c>
      <c r="AQX38">
        <v>1300890.1706919</v>
      </c>
      <c r="AQY38" t="s">
        <v>1900</v>
      </c>
      <c r="AQZ38">
        <v>133497.993962259</v>
      </c>
      <c r="ARA38">
        <v>72790.86069381829</v>
      </c>
      <c r="ARB38">
        <v>2478774.4650069</v>
      </c>
      <c r="ARC38">
        <v>206288.8546560773</v>
      </c>
      <c r="ARD38">
        <v>0.09077674847156932</v>
      </c>
      <c r="ARE38">
        <v>0.09077674847156932</v>
      </c>
      <c r="ARF38">
        <v>0.09077674847156932</v>
      </c>
      <c r="ARG38">
        <v>0.09077674847156932</v>
      </c>
      <c r="ARH38">
        <v>0.09077674847156932</v>
      </c>
      <c r="ARI38">
        <v>0.09077674847156932</v>
      </c>
      <c r="ARJ38" t="s">
        <v>1199</v>
      </c>
      <c r="ARK38" t="s">
        <v>1537</v>
      </c>
      <c r="ARL38" t="s">
        <v>1909</v>
      </c>
      <c r="ARP38" t="s">
        <v>1907</v>
      </c>
      <c r="ARQ38" t="s">
        <v>1926</v>
      </c>
    </row>
    <row r="39" spans="1:1163">
      <c r="A39">
        <v>504</v>
      </c>
      <c r="B39" t="s">
        <v>1200</v>
      </c>
      <c r="C39" t="s">
        <v>1323</v>
      </c>
      <c r="E39" s="2">
        <v>36136</v>
      </c>
      <c r="F39" t="s">
        <v>1431</v>
      </c>
      <c r="G39" t="s">
        <v>1433</v>
      </c>
      <c r="H39" t="s">
        <v>1434</v>
      </c>
      <c r="I39" t="s">
        <v>1436</v>
      </c>
      <c r="J39" t="s">
        <v>1471</v>
      </c>
      <c r="L39" t="s">
        <v>1538</v>
      </c>
      <c r="N39" t="s">
        <v>1629</v>
      </c>
      <c r="O39" t="s">
        <v>1653</v>
      </c>
      <c r="P39">
        <v>7022</v>
      </c>
      <c r="Q39">
        <v>7022</v>
      </c>
      <c r="R39" t="s">
        <v>1709</v>
      </c>
      <c r="Z39" t="s">
        <v>1899</v>
      </c>
      <c r="AA39" s="2">
        <v>45657</v>
      </c>
      <c r="AB39">
        <v>2024</v>
      </c>
      <c r="AC39">
        <v>1347288.07013859</v>
      </c>
      <c r="AD39">
        <v>1416796.77309098</v>
      </c>
      <c r="AE39">
        <v>1362910.68147581</v>
      </c>
      <c r="AF39">
        <v>1386570.76089542</v>
      </c>
      <c r="AG39">
        <v>1342540.01583403</v>
      </c>
      <c r="AH39">
        <v>1347288.07013859</v>
      </c>
      <c r="AI39">
        <v>1366168.98746985</v>
      </c>
      <c r="AJ39">
        <v>1331172.23248153</v>
      </c>
      <c r="AK39">
        <v>1380701.62610214</v>
      </c>
      <c r="AL39">
        <v>1317661.80463737</v>
      </c>
      <c r="AM39">
        <v>71276.2275294101</v>
      </c>
      <c r="AN39">
        <v>87243.9660540199</v>
      </c>
      <c r="AO39">
        <v>136179.54023869</v>
      </c>
      <c r="AP39">
        <v>93545.7859266758</v>
      </c>
      <c r="AQ39">
        <v>110380.784712976</v>
      </c>
      <c r="AR39">
        <v>1276011.84260918</v>
      </c>
      <c r="AS39">
        <v>1329552.80703696</v>
      </c>
      <c r="AT39">
        <v>1226731.14123712</v>
      </c>
      <c r="AU39">
        <v>1293024.97496874</v>
      </c>
      <c r="AV39">
        <v>1232159.23112106</v>
      </c>
      <c r="AW39">
        <v>1132181.93589688</v>
      </c>
      <c r="AX39">
        <v>1184386.75813322</v>
      </c>
      <c r="AY39">
        <v>1116146.59693025</v>
      </c>
      <c r="AZ39">
        <v>1072815.50075835</v>
      </c>
      <c r="BA39">
        <v>1077713.27375254</v>
      </c>
      <c r="BB39">
        <v>143829.906712303</v>
      </c>
      <c r="BC39">
        <v>145166.047798738</v>
      </c>
      <c r="BD39">
        <v>110584.544306862</v>
      </c>
      <c r="BE39">
        <v>220209.473077798</v>
      </c>
      <c r="BF39">
        <v>154445.957368517</v>
      </c>
      <c r="BG39">
        <v>79.0799941538572</v>
      </c>
      <c r="BH39">
        <v>-6152.28916107178</v>
      </c>
      <c r="BI39">
        <v>-2039.94618325829</v>
      </c>
      <c r="BJ39">
        <v>-3979.35720226765</v>
      </c>
      <c r="BK39">
        <v>-1928.42336203456</v>
      </c>
      <c r="BL39">
        <v>6982.2568124795</v>
      </c>
      <c r="BM39" t="s">
        <v>1900</v>
      </c>
      <c r="BN39">
        <v>1750.92971992493</v>
      </c>
      <c r="BO39" t="s">
        <v>1900</v>
      </c>
      <c r="BP39" t="s">
        <v>1900</v>
      </c>
      <c r="BQ39">
        <v>6903.1757794261</v>
      </c>
      <c r="BR39">
        <v>6152.28916107178</v>
      </c>
      <c r="BS39">
        <v>3790.87590318322</v>
      </c>
      <c r="BT39">
        <v>3979.35720226765</v>
      </c>
      <c r="BU39">
        <v>1928.42336203456</v>
      </c>
      <c r="BV39">
        <v>143908.987745357</v>
      </c>
      <c r="BW39">
        <v>139013.758637667</v>
      </c>
      <c r="BX39">
        <v>108544.598123604</v>
      </c>
      <c r="BY39">
        <v>216230.11587553</v>
      </c>
      <c r="BZ39">
        <v>152517.534006482</v>
      </c>
      <c r="CA39">
        <v>29647.0658097017</v>
      </c>
      <c r="CB39">
        <v>28613.9325915813</v>
      </c>
      <c r="CC39">
        <v>22180.3949961126</v>
      </c>
      <c r="CD39">
        <v>44566.7461284399</v>
      </c>
      <c r="CE39">
        <v>30080.2777987242</v>
      </c>
      <c r="CF39">
        <v>114261.921935655</v>
      </c>
      <c r="CG39">
        <v>110399.826046085</v>
      </c>
      <c r="CH39">
        <v>86364.20312749151</v>
      </c>
      <c r="CI39">
        <v>171663.36974709</v>
      </c>
      <c r="CJ39">
        <v>122437.256207758</v>
      </c>
      <c r="CK39" t="s">
        <v>1900</v>
      </c>
      <c r="CL39" t="s">
        <v>1900</v>
      </c>
      <c r="CM39" t="s">
        <v>1900</v>
      </c>
      <c r="CN39" t="s">
        <v>1900</v>
      </c>
      <c r="CO39" t="s">
        <v>1900</v>
      </c>
      <c r="CP39" t="s">
        <v>1900</v>
      </c>
      <c r="CQ39" t="s">
        <v>1900</v>
      </c>
      <c r="CR39" t="s">
        <v>1900</v>
      </c>
      <c r="CS39" t="s">
        <v>1900</v>
      </c>
      <c r="CT39" t="s">
        <v>1900</v>
      </c>
      <c r="CU39" t="s">
        <v>1900</v>
      </c>
      <c r="CV39" t="s">
        <v>1900</v>
      </c>
      <c r="CW39" t="s">
        <v>1900</v>
      </c>
      <c r="CX39" t="s">
        <v>1900</v>
      </c>
      <c r="CY39" t="s">
        <v>1900</v>
      </c>
      <c r="CZ39">
        <v>114261.921935655</v>
      </c>
      <c r="DA39">
        <v>110399.826046085</v>
      </c>
      <c r="DB39">
        <v>86364.20312749151</v>
      </c>
      <c r="DC39">
        <v>171663.36974709</v>
      </c>
      <c r="DD39">
        <v>122437.256207758</v>
      </c>
      <c r="DE39" t="s">
        <v>1900</v>
      </c>
      <c r="DF39" t="s">
        <v>1900</v>
      </c>
      <c r="DG39" t="s">
        <v>1900</v>
      </c>
      <c r="DH39" t="s">
        <v>1900</v>
      </c>
      <c r="DI39" t="s">
        <v>1900</v>
      </c>
      <c r="DJ39">
        <v>71276.2275294101</v>
      </c>
      <c r="DK39">
        <v>87243.9660540199</v>
      </c>
      <c r="DL39">
        <v>136179.54023869</v>
      </c>
      <c r="DM39">
        <v>93545.7859266758</v>
      </c>
      <c r="DN39">
        <v>110380.784712976</v>
      </c>
      <c r="DO39">
        <v>980922.775455625</v>
      </c>
      <c r="DP39">
        <v>990515.969231396</v>
      </c>
      <c r="DQ39">
        <v>951746.487461454</v>
      </c>
      <c r="DR39">
        <v>948297.661934352</v>
      </c>
      <c r="DS39">
        <v>938775.06601342</v>
      </c>
      <c r="DT39">
        <v>5784.42641981125</v>
      </c>
      <c r="DU39">
        <v>5296.47732699394</v>
      </c>
      <c r="DV39">
        <v>2569.64082111716</v>
      </c>
      <c r="DW39">
        <v>1085.82391476631</v>
      </c>
      <c r="DX39">
        <v>1629.31790779829</v>
      </c>
      <c r="DY39">
        <v>145474.73402144</v>
      </c>
      <c r="DZ39">
        <v>188574.312679834</v>
      </c>
      <c r="EA39">
        <v>161830.468647683</v>
      </c>
      <c r="EB39">
        <v>123432.016041827</v>
      </c>
      <c r="EC39">
        <v>137308.889831322</v>
      </c>
      <c r="ED39">
        <v>6903.1757794261</v>
      </c>
      <c r="EE39">
        <v>6152.28916107178</v>
      </c>
      <c r="EF39">
        <v>3790.87590318322</v>
      </c>
      <c r="EG39">
        <v>3979.35720226765</v>
      </c>
      <c r="EH39">
        <v>1928.42336203456</v>
      </c>
      <c r="EI39" t="s">
        <v>1900</v>
      </c>
      <c r="EJ39" t="s">
        <v>1900</v>
      </c>
      <c r="EK39" t="s">
        <v>1900</v>
      </c>
      <c r="EL39" t="s">
        <v>1900</v>
      </c>
      <c r="EM39" t="s">
        <v>1900</v>
      </c>
      <c r="EN39">
        <v>120046.348355466</v>
      </c>
      <c r="EO39">
        <v>115696.303373079</v>
      </c>
      <c r="EP39">
        <v>88933.8439486086</v>
      </c>
      <c r="EQ39">
        <v>172749.193661857</v>
      </c>
      <c r="ER39">
        <v>124066.574115556</v>
      </c>
      <c r="ES39">
        <v>1137519.36540022</v>
      </c>
      <c r="ET39">
        <v>1140978.49435713</v>
      </c>
      <c r="EU39">
        <v>1066651.60230936</v>
      </c>
      <c r="EV39">
        <v>1169592.95892692</v>
      </c>
      <c r="EW39">
        <v>1094850.34128973</v>
      </c>
      <c r="EX39">
        <v>149614.333132114</v>
      </c>
      <c r="EY39">
        <v>150462.525125732</v>
      </c>
      <c r="EZ39">
        <v>113154.18512798</v>
      </c>
      <c r="FA39">
        <v>221295.296992564</v>
      </c>
      <c r="FB39">
        <v>156075.275276315</v>
      </c>
      <c r="FC39">
        <v>93951.10346318359</v>
      </c>
      <c r="FD39">
        <v>92209.2968323994</v>
      </c>
      <c r="FE39">
        <v>79925.31267279389</v>
      </c>
      <c r="FF39">
        <v>77759.6821232557</v>
      </c>
      <c r="FG39">
        <v>83838.8477441609</v>
      </c>
      <c r="FH39">
        <v>18439.3760064781</v>
      </c>
      <c r="FI39">
        <v>7985.28608369827</v>
      </c>
      <c r="FJ39">
        <v>9482.133446586129</v>
      </c>
      <c r="FK39">
        <v>5779.73865101337</v>
      </c>
      <c r="FL39">
        <v>6261.97362194657</v>
      </c>
      <c r="FM39">
        <v>68896.336200205</v>
      </c>
      <c r="FN39">
        <v>77187.7101408959</v>
      </c>
      <c r="FO39">
        <v>63651.4043308199</v>
      </c>
      <c r="FP39">
        <v>66000.16495492461</v>
      </c>
      <c r="FQ39">
        <v>72683.337097007</v>
      </c>
      <c r="FR39">
        <v>6615.39021760106</v>
      </c>
      <c r="FS39">
        <v>7036.30060780525</v>
      </c>
      <c r="FT39">
        <v>6791.77489538789</v>
      </c>
      <c r="FU39">
        <v>5979.77851731777</v>
      </c>
      <c r="FV39">
        <v>4893.53702520728</v>
      </c>
      <c r="FW39">
        <v>18439.3760064781</v>
      </c>
      <c r="FX39">
        <v>7985.28608369827</v>
      </c>
      <c r="FY39">
        <v>9482.133446586129</v>
      </c>
      <c r="FZ39">
        <v>5779.73865101337</v>
      </c>
      <c r="GA39">
        <v>6261.97362194657</v>
      </c>
      <c r="GB39">
        <v>68896.336200205</v>
      </c>
      <c r="GC39">
        <v>77187.7101408959</v>
      </c>
      <c r="GD39">
        <v>63651.4043308199</v>
      </c>
      <c r="GE39">
        <v>66000.16495492461</v>
      </c>
      <c r="GF39">
        <v>72683.337097007</v>
      </c>
      <c r="GG39">
        <v>6615.39021760106</v>
      </c>
      <c r="GH39">
        <v>7036.30060780525</v>
      </c>
      <c r="GI39">
        <v>6791.77489538789</v>
      </c>
      <c r="GJ39">
        <v>5979.77851731777</v>
      </c>
      <c r="GK39">
        <v>4893.53702520728</v>
      </c>
      <c r="GL39">
        <v>1221151.39139349</v>
      </c>
      <c r="GM39">
        <v>1169505.39710965</v>
      </c>
      <c r="GN39">
        <v>1132699.49463377</v>
      </c>
      <c r="GO39">
        <v>1160624.81449835</v>
      </c>
      <c r="GP39">
        <v>1164858.72462391</v>
      </c>
      <c r="GQ39">
        <v>0</v>
      </c>
      <c r="GR39">
        <v>0</v>
      </c>
      <c r="GS39">
        <v>0</v>
      </c>
      <c r="GT39">
        <v>0</v>
      </c>
      <c r="GU39">
        <v>0</v>
      </c>
      <c r="GV39">
        <v>781209.652096605</v>
      </c>
      <c r="GW39">
        <v>809737.026200028</v>
      </c>
      <c r="GX39">
        <v>661599.087358695</v>
      </c>
      <c r="GY39">
        <v>613860.917447519</v>
      </c>
      <c r="GZ39">
        <v>639625.2275954901</v>
      </c>
      <c r="HA39">
        <v>439941.739296888</v>
      </c>
      <c r="HB39">
        <v>359768.369804624</v>
      </c>
      <c r="HC39">
        <v>471100.408341676</v>
      </c>
      <c r="HD39">
        <v>546763.897050834</v>
      </c>
      <c r="HE39">
        <v>525233.495801323</v>
      </c>
      <c r="HF39">
        <v>422110.213022796</v>
      </c>
      <c r="HG39">
        <v>343067.5481145</v>
      </c>
      <c r="HH39">
        <v>454798.384437191</v>
      </c>
      <c r="HI39">
        <v>529453.109365511</v>
      </c>
      <c r="HJ39">
        <v>506478.376354998</v>
      </c>
      <c r="HK39">
        <v>1315102.49485668</v>
      </c>
      <c r="HL39">
        <v>1261714.69394205</v>
      </c>
      <c r="HM39">
        <v>1212624.80837317</v>
      </c>
      <c r="HN39">
        <v>1238384.49662161</v>
      </c>
      <c r="HO39">
        <v>1248697.57236807</v>
      </c>
      <c r="HP39">
        <v>828105.940987724</v>
      </c>
      <c r="HQ39">
        <v>816626.5606419659</v>
      </c>
      <c r="HR39">
        <v>723733.563231319</v>
      </c>
      <c r="HS39">
        <v>761605.093843317</v>
      </c>
      <c r="HT39">
        <v>714111.627590102</v>
      </c>
      <c r="HU39">
        <v>46829.3422047031</v>
      </c>
      <c r="HV39">
        <v>49808.9029036236</v>
      </c>
      <c r="HW39">
        <v>48077.94253878</v>
      </c>
      <c r="HX39">
        <v>51052.9895252466</v>
      </c>
      <c r="HY39">
        <v>55312.6175822079</v>
      </c>
      <c r="HZ39">
        <v>781276.598783021</v>
      </c>
      <c r="IA39">
        <v>766817.6577383419</v>
      </c>
      <c r="IB39">
        <v>675655.620692539</v>
      </c>
      <c r="IC39">
        <v>710552.10431807</v>
      </c>
      <c r="ID39">
        <v>658799.010007894</v>
      </c>
      <c r="IE39">
        <v>64376.6047864139</v>
      </c>
      <c r="IF39">
        <v>53993.3850815678</v>
      </c>
      <c r="IG39">
        <v>113579.640997851</v>
      </c>
      <c r="IH39">
        <v>149844.515709972</v>
      </c>
      <c r="II39">
        <v>180625.102429456</v>
      </c>
      <c r="IJ39">
        <v>64376.6047864139</v>
      </c>
      <c r="IK39">
        <v>53993.3850815678</v>
      </c>
      <c r="IL39">
        <v>113579.640997851</v>
      </c>
      <c r="IM39">
        <v>149844.515709972</v>
      </c>
      <c r="IN39">
        <v>180625.102429456</v>
      </c>
      <c r="IO39">
        <v>0</v>
      </c>
      <c r="IP39">
        <v>0</v>
      </c>
      <c r="IQ39">
        <v>0</v>
      </c>
      <c r="IR39">
        <v>0</v>
      </c>
      <c r="IS39">
        <v>0</v>
      </c>
      <c r="IT39">
        <v>0</v>
      </c>
      <c r="IU39">
        <v>0</v>
      </c>
      <c r="IV39">
        <v>0</v>
      </c>
      <c r="IW39">
        <v>0</v>
      </c>
      <c r="IX39">
        <v>0</v>
      </c>
      <c r="IY39">
        <v>422619.949082539</v>
      </c>
      <c r="IZ39">
        <v>391094.748218517</v>
      </c>
      <c r="JA39">
        <v>375311.604143995</v>
      </c>
      <c r="JB39">
        <v>326934.887068319</v>
      </c>
      <c r="JC39">
        <v>353960.842348516</v>
      </c>
      <c r="JD39">
        <v>0</v>
      </c>
      <c r="JE39">
        <v>0</v>
      </c>
      <c r="JF39">
        <v>0</v>
      </c>
      <c r="JG39">
        <v>0</v>
      </c>
      <c r="JH39">
        <v>0</v>
      </c>
      <c r="JI39">
        <v>9220.410038419959</v>
      </c>
      <c r="JJ39">
        <v>2581.95520874977</v>
      </c>
      <c r="JK39">
        <v>5068.70475409627</v>
      </c>
      <c r="JL39">
        <v>5964.83951926231</v>
      </c>
      <c r="JM39">
        <v>171.094455319643</v>
      </c>
      <c r="JN39">
        <v>413399.539044119</v>
      </c>
      <c r="JO39">
        <v>388512.793009768</v>
      </c>
      <c r="JP39">
        <v>370242.899389899</v>
      </c>
      <c r="JQ39">
        <v>320970.047549057</v>
      </c>
      <c r="JR39">
        <v>353789.747893196</v>
      </c>
      <c r="JS39">
        <v>1315102.49485668</v>
      </c>
      <c r="JT39">
        <v>1261714.69394205</v>
      </c>
      <c r="JU39">
        <v>1212624.80837317</v>
      </c>
      <c r="JV39">
        <v>1238384.49662161</v>
      </c>
      <c r="JW39">
        <v>1248697.57236807</v>
      </c>
      <c r="JX39">
        <v>771989.242058185</v>
      </c>
      <c r="JY39">
        <v>807155.070991278</v>
      </c>
      <c r="JZ39">
        <v>656530.382604599</v>
      </c>
      <c r="KA39">
        <v>607896.0779282569</v>
      </c>
      <c r="KB39">
        <v>639454.13314017</v>
      </c>
      <c r="KC39" t="s">
        <v>1900</v>
      </c>
      <c r="KD39" t="s">
        <v>1900</v>
      </c>
      <c r="KE39" t="s">
        <v>1900</v>
      </c>
      <c r="KF39" t="s">
        <v>1900</v>
      </c>
      <c r="KG39" t="s">
        <v>1900</v>
      </c>
      <c r="KH39" t="s">
        <v>1900</v>
      </c>
      <c r="KI39" t="s">
        <v>1900</v>
      </c>
      <c r="KJ39" t="s">
        <v>1900</v>
      </c>
      <c r="KK39" t="s">
        <v>1900</v>
      </c>
      <c r="KL39" t="s">
        <v>1900</v>
      </c>
      <c r="KM39">
        <v>18</v>
      </c>
      <c r="KN39">
        <v>16</v>
      </c>
      <c r="KO39">
        <v>16</v>
      </c>
      <c r="KP39">
        <v>17</v>
      </c>
      <c r="KQ39">
        <v>16</v>
      </c>
      <c r="KR39" t="s">
        <v>1900</v>
      </c>
      <c r="KS39" t="s">
        <v>1900</v>
      </c>
      <c r="KT39" t="s">
        <v>1900</v>
      </c>
      <c r="KU39" t="s">
        <v>1900</v>
      </c>
      <c r="KV39" t="s">
        <v>1900</v>
      </c>
      <c r="KW39" t="s">
        <v>1900</v>
      </c>
      <c r="KX39" t="s">
        <v>1900</v>
      </c>
      <c r="KY39" t="s">
        <v>1900</v>
      </c>
      <c r="KZ39" t="s">
        <v>1900</v>
      </c>
      <c r="LA39" t="s">
        <v>1900</v>
      </c>
      <c r="LB39" t="s">
        <v>1900</v>
      </c>
      <c r="LC39" t="s">
        <v>1900</v>
      </c>
      <c r="LD39" t="s">
        <v>1900</v>
      </c>
      <c r="LE39" t="s">
        <v>1900</v>
      </c>
      <c r="LF39" t="s">
        <v>1900</v>
      </c>
      <c r="LG39" t="s">
        <v>1900</v>
      </c>
      <c r="LH39" t="s">
        <v>1900</v>
      </c>
      <c r="LI39" t="s">
        <v>1900</v>
      </c>
      <c r="LJ39" t="s">
        <v>1900</v>
      </c>
      <c r="LK39" t="s">
        <v>1900</v>
      </c>
      <c r="LL39" t="s">
        <v>1900</v>
      </c>
      <c r="LM39" t="s">
        <v>1900</v>
      </c>
      <c r="LN39" t="s">
        <v>1900</v>
      </c>
      <c r="LO39" t="s">
        <v>1900</v>
      </c>
      <c r="LP39" t="s">
        <v>1900</v>
      </c>
      <c r="LQ39" t="s">
        <v>1900</v>
      </c>
      <c r="LR39" t="s">
        <v>1900</v>
      </c>
      <c r="LS39" t="s">
        <v>1900</v>
      </c>
      <c r="LT39" t="s">
        <v>1900</v>
      </c>
      <c r="LU39" t="s">
        <v>1900</v>
      </c>
      <c r="LV39" t="s">
        <v>1900</v>
      </c>
      <c r="LW39" t="s">
        <v>1900</v>
      </c>
      <c r="LX39" t="s">
        <v>1900</v>
      </c>
      <c r="LY39" t="s">
        <v>1900</v>
      </c>
      <c r="LZ39" t="s">
        <v>1900</v>
      </c>
      <c r="MA39" t="s">
        <v>1900</v>
      </c>
      <c r="MB39" t="s">
        <v>1900</v>
      </c>
      <c r="MC39" t="s">
        <v>1900</v>
      </c>
      <c r="MD39" t="s">
        <v>1900</v>
      </c>
      <c r="ME39" t="s">
        <v>1900</v>
      </c>
      <c r="MF39" t="s">
        <v>1900</v>
      </c>
      <c r="MG39" t="s">
        <v>1900</v>
      </c>
      <c r="MH39" t="s">
        <v>1900</v>
      </c>
      <c r="MI39" t="s">
        <v>1900</v>
      </c>
      <c r="MJ39" t="s">
        <v>1900</v>
      </c>
      <c r="MK39" t="s">
        <v>1900</v>
      </c>
      <c r="ML39" t="s">
        <v>1900</v>
      </c>
      <c r="MM39" t="s">
        <v>1900</v>
      </c>
      <c r="MN39" t="s">
        <v>1900</v>
      </c>
      <c r="MO39" t="s">
        <v>1900</v>
      </c>
      <c r="MP39">
        <v>439941.739296888</v>
      </c>
      <c r="MQ39">
        <v>359768.369804624</v>
      </c>
      <c r="MR39">
        <v>471100.408341676</v>
      </c>
      <c r="MS39">
        <v>546763.897050834</v>
      </c>
      <c r="MT39">
        <v>525233.495801323</v>
      </c>
      <c r="MU39" t="s">
        <v>1900</v>
      </c>
      <c r="MV39" t="s">
        <v>1900</v>
      </c>
      <c r="MW39" t="s">
        <v>1900</v>
      </c>
      <c r="MX39" t="s">
        <v>1900</v>
      </c>
      <c r="MY39" t="s">
        <v>1900</v>
      </c>
      <c r="MZ39" t="s">
        <v>1900</v>
      </c>
      <c r="NA39" t="s">
        <v>1900</v>
      </c>
      <c r="NB39" t="s">
        <v>1900</v>
      </c>
      <c r="NC39" t="s">
        <v>1900</v>
      </c>
      <c r="ND39" t="s">
        <v>1900</v>
      </c>
      <c r="NE39" t="s">
        <v>1900</v>
      </c>
      <c r="NF39" t="s">
        <v>1900</v>
      </c>
      <c r="NG39" t="s">
        <v>1900</v>
      </c>
      <c r="NH39" t="s">
        <v>1900</v>
      </c>
      <c r="NI39" t="s">
        <v>1900</v>
      </c>
      <c r="NJ39" t="s">
        <v>1900</v>
      </c>
      <c r="NK39" t="s">
        <v>1900</v>
      </c>
      <c r="NL39" t="s">
        <v>1900</v>
      </c>
      <c r="NM39" t="s">
        <v>1900</v>
      </c>
      <c r="NN39" t="s">
        <v>1900</v>
      </c>
      <c r="NO39" t="s">
        <v>1900</v>
      </c>
      <c r="NP39" t="s">
        <v>1900</v>
      </c>
      <c r="NQ39" t="s">
        <v>1900</v>
      </c>
      <c r="NR39" t="s">
        <v>1900</v>
      </c>
      <c r="NS39" t="s">
        <v>1900</v>
      </c>
      <c r="NT39">
        <v>93951.10346318359</v>
      </c>
      <c r="NU39">
        <v>92209.2968323994</v>
      </c>
      <c r="NV39">
        <v>79925.31267279389</v>
      </c>
      <c r="NW39">
        <v>77759.6821232557</v>
      </c>
      <c r="NX39">
        <v>83838.8477441609</v>
      </c>
      <c r="NY39" t="s">
        <v>1900</v>
      </c>
      <c r="NZ39" t="s">
        <v>1900</v>
      </c>
      <c r="OA39" t="s">
        <v>1900</v>
      </c>
      <c r="OB39" t="s">
        <v>1900</v>
      </c>
      <c r="OC39" t="s">
        <v>1900</v>
      </c>
      <c r="OD39" t="s">
        <v>1900</v>
      </c>
      <c r="OE39" t="s">
        <v>1900</v>
      </c>
      <c r="OF39" t="s">
        <v>1900</v>
      </c>
      <c r="OG39" t="s">
        <v>1900</v>
      </c>
      <c r="OH39" t="s">
        <v>1900</v>
      </c>
      <c r="OI39" t="s">
        <v>1900</v>
      </c>
      <c r="OJ39" t="s">
        <v>1900</v>
      </c>
      <c r="OK39" t="s">
        <v>1900</v>
      </c>
      <c r="OL39" t="s">
        <v>1900</v>
      </c>
      <c r="OM39" t="s">
        <v>1900</v>
      </c>
      <c r="ON39" t="s">
        <v>1900</v>
      </c>
      <c r="OO39" t="s">
        <v>1900</v>
      </c>
      <c r="OP39" t="s">
        <v>1900</v>
      </c>
      <c r="OQ39" t="s">
        <v>1900</v>
      </c>
      <c r="OR39" t="s">
        <v>1900</v>
      </c>
      <c r="OS39" t="s">
        <v>1900</v>
      </c>
      <c r="OT39" t="s">
        <v>1900</v>
      </c>
      <c r="OU39" t="s">
        <v>1900</v>
      </c>
      <c r="OV39" t="s">
        <v>1900</v>
      </c>
      <c r="OW39" t="s">
        <v>1900</v>
      </c>
      <c r="OX39" t="s">
        <v>1900</v>
      </c>
      <c r="OY39" t="s">
        <v>1900</v>
      </c>
      <c r="OZ39" t="s">
        <v>1900</v>
      </c>
      <c r="PA39" t="s">
        <v>1900</v>
      </c>
      <c r="PB39" t="s">
        <v>1900</v>
      </c>
      <c r="PC39" t="s">
        <v>1900</v>
      </c>
      <c r="PD39" t="s">
        <v>1900</v>
      </c>
      <c r="PE39" t="s">
        <v>1900</v>
      </c>
      <c r="PF39" t="s">
        <v>1900</v>
      </c>
      <c r="PG39" t="s">
        <v>1900</v>
      </c>
      <c r="PH39" t="s">
        <v>1900</v>
      </c>
      <c r="PI39" t="s">
        <v>1900</v>
      </c>
      <c r="PJ39" t="s">
        <v>1900</v>
      </c>
      <c r="PK39" t="s">
        <v>1900</v>
      </c>
      <c r="PL39" t="s">
        <v>1900</v>
      </c>
      <c r="PM39" t="s">
        <v>1900</v>
      </c>
      <c r="PN39" t="s">
        <v>1900</v>
      </c>
      <c r="PO39" t="s">
        <v>1900</v>
      </c>
      <c r="PP39" t="s">
        <v>1900</v>
      </c>
      <c r="PQ39" t="s">
        <v>1900</v>
      </c>
      <c r="PR39" t="s">
        <v>1900</v>
      </c>
      <c r="PS39" t="s">
        <v>1900</v>
      </c>
      <c r="PT39" t="s">
        <v>1900</v>
      </c>
      <c r="PU39" t="s">
        <v>1900</v>
      </c>
      <c r="PV39" t="s">
        <v>1900</v>
      </c>
      <c r="PW39" t="s">
        <v>1900</v>
      </c>
      <c r="PX39" t="s">
        <v>1900</v>
      </c>
      <c r="PY39" t="s">
        <v>1900</v>
      </c>
      <c r="PZ39" t="s">
        <v>1900</v>
      </c>
      <c r="QA39" t="s">
        <v>1900</v>
      </c>
      <c r="QB39" t="s">
        <v>1900</v>
      </c>
      <c r="QC39" t="s">
        <v>1900</v>
      </c>
      <c r="QD39" t="s">
        <v>1900</v>
      </c>
      <c r="QE39" t="s">
        <v>1900</v>
      </c>
      <c r="QF39" t="s">
        <v>1900</v>
      </c>
      <c r="QG39" t="s">
        <v>1900</v>
      </c>
      <c r="QH39" t="s">
        <v>1900</v>
      </c>
      <c r="QI39" t="s">
        <v>1900</v>
      </c>
      <c r="QJ39" t="s">
        <v>1900</v>
      </c>
      <c r="QK39" t="s">
        <v>1900</v>
      </c>
      <c r="QL39" t="s">
        <v>1900</v>
      </c>
      <c r="QM39" t="s">
        <v>1900</v>
      </c>
      <c r="QN39" t="s">
        <v>1900</v>
      </c>
      <c r="QO39" t="s">
        <v>1900</v>
      </c>
      <c r="QP39" t="s">
        <v>1900</v>
      </c>
      <c r="QQ39" t="s">
        <v>1900</v>
      </c>
      <c r="QR39" t="s">
        <v>1900</v>
      </c>
      <c r="QS39" t="s">
        <v>1900</v>
      </c>
      <c r="QT39" t="s">
        <v>1900</v>
      </c>
      <c r="QU39" t="s">
        <v>1900</v>
      </c>
      <c r="QV39" t="s">
        <v>1900</v>
      </c>
      <c r="QW39" t="s">
        <v>1900</v>
      </c>
      <c r="QX39" t="s">
        <v>1900</v>
      </c>
      <c r="QY39" t="s">
        <v>1900</v>
      </c>
      <c r="QZ39" t="s">
        <v>1900</v>
      </c>
      <c r="RA39" t="s">
        <v>1900</v>
      </c>
      <c r="RB39" t="s">
        <v>1900</v>
      </c>
      <c r="RC39" t="s">
        <v>1900</v>
      </c>
      <c r="RD39" t="s">
        <v>1900</v>
      </c>
      <c r="RE39" t="s">
        <v>1900</v>
      </c>
      <c r="RF39" t="s">
        <v>1900</v>
      </c>
      <c r="RG39" t="s">
        <v>1900</v>
      </c>
      <c r="RH39" t="s">
        <v>1900</v>
      </c>
      <c r="RI39" t="s">
        <v>1900</v>
      </c>
      <c r="RJ39" t="s">
        <v>1900</v>
      </c>
      <c r="RK39" t="s">
        <v>1900</v>
      </c>
      <c r="RL39" t="s">
        <v>1900</v>
      </c>
      <c r="RM39" t="s">
        <v>1900</v>
      </c>
      <c r="RN39" t="s">
        <v>1900</v>
      </c>
      <c r="RO39" t="s">
        <v>1900</v>
      </c>
      <c r="RP39" t="s">
        <v>1900</v>
      </c>
      <c r="RQ39" t="s">
        <v>1900</v>
      </c>
      <c r="RR39" t="s">
        <v>1900</v>
      </c>
      <c r="RS39" t="s">
        <v>1900</v>
      </c>
      <c r="RT39" t="s">
        <v>1900</v>
      </c>
      <c r="RU39" t="s">
        <v>1900</v>
      </c>
      <c r="RV39" t="s">
        <v>1900</v>
      </c>
      <c r="RW39" t="s">
        <v>1900</v>
      </c>
      <c r="RX39" t="s">
        <v>1900</v>
      </c>
      <c r="RY39" t="s">
        <v>1900</v>
      </c>
      <c r="RZ39" t="s">
        <v>1900</v>
      </c>
      <c r="SA39" t="s">
        <v>1900</v>
      </c>
      <c r="SB39" t="s">
        <v>1900</v>
      </c>
      <c r="SC39" t="s">
        <v>1900</v>
      </c>
      <c r="SD39" t="s">
        <v>1900</v>
      </c>
      <c r="SE39" t="s">
        <v>1900</v>
      </c>
      <c r="SF39" t="s">
        <v>1900</v>
      </c>
      <c r="SG39" t="s">
        <v>1900</v>
      </c>
      <c r="SH39" t="s">
        <v>1900</v>
      </c>
      <c r="SI39" t="s">
        <v>1900</v>
      </c>
      <c r="SJ39">
        <v>6615.39021760106</v>
      </c>
      <c r="SK39">
        <v>7036.30060780525</v>
      </c>
      <c r="SL39">
        <v>6791.77489538789</v>
      </c>
      <c r="SM39">
        <v>5979.77851731777</v>
      </c>
      <c r="SN39">
        <v>4893.53702520728</v>
      </c>
      <c r="SO39" t="s">
        <v>1900</v>
      </c>
      <c r="SP39" t="s">
        <v>1900</v>
      </c>
      <c r="SQ39" t="s">
        <v>1900</v>
      </c>
      <c r="SR39" t="s">
        <v>1900</v>
      </c>
      <c r="SS39" t="s">
        <v>1900</v>
      </c>
      <c r="ST39" t="s">
        <v>1900</v>
      </c>
      <c r="SU39" t="s">
        <v>1900</v>
      </c>
      <c r="SV39" t="s">
        <v>1900</v>
      </c>
      <c r="SW39" t="s">
        <v>1900</v>
      </c>
      <c r="SX39" t="s">
        <v>1900</v>
      </c>
      <c r="SY39" t="s">
        <v>1900</v>
      </c>
      <c r="SZ39" t="s">
        <v>1900</v>
      </c>
      <c r="TA39" t="s">
        <v>1900</v>
      </c>
      <c r="TB39" t="s">
        <v>1900</v>
      </c>
      <c r="TC39" t="s">
        <v>1900</v>
      </c>
      <c r="TD39" t="s">
        <v>1900</v>
      </c>
      <c r="TE39" t="s">
        <v>1900</v>
      </c>
      <c r="TF39" t="s">
        <v>1900</v>
      </c>
      <c r="TG39" t="s">
        <v>1900</v>
      </c>
      <c r="TH39" t="s">
        <v>1900</v>
      </c>
      <c r="TI39" t="s">
        <v>1900</v>
      </c>
      <c r="TJ39" t="s">
        <v>1900</v>
      </c>
      <c r="TK39" t="s">
        <v>1900</v>
      </c>
      <c r="TL39" t="s">
        <v>1900</v>
      </c>
      <c r="TM39" t="s">
        <v>1900</v>
      </c>
      <c r="TN39" t="s">
        <v>1900</v>
      </c>
      <c r="TO39" t="s">
        <v>1900</v>
      </c>
      <c r="TP39" t="s">
        <v>1900</v>
      </c>
      <c r="TQ39" t="s">
        <v>1900</v>
      </c>
      <c r="TR39" t="s">
        <v>1900</v>
      </c>
      <c r="TS39">
        <v>1315102.49485668</v>
      </c>
      <c r="TT39">
        <v>1261714.69394205</v>
      </c>
      <c r="TU39">
        <v>1212624.80837317</v>
      </c>
      <c r="TV39">
        <v>1238384.49662161</v>
      </c>
      <c r="TW39">
        <v>1248697.57236807</v>
      </c>
      <c r="TX39" t="s">
        <v>1900</v>
      </c>
      <c r="TY39" t="s">
        <v>1900</v>
      </c>
      <c r="TZ39" t="s">
        <v>1900</v>
      </c>
      <c r="UA39" t="s">
        <v>1900</v>
      </c>
      <c r="UB39" t="s">
        <v>1900</v>
      </c>
      <c r="UC39">
        <v>0</v>
      </c>
      <c r="UD39">
        <v>0</v>
      </c>
      <c r="UE39">
        <v>0</v>
      </c>
      <c r="UF39">
        <v>0</v>
      </c>
      <c r="UG39">
        <v>0</v>
      </c>
      <c r="UH39" t="s">
        <v>1900</v>
      </c>
      <c r="UI39" t="s">
        <v>1900</v>
      </c>
      <c r="UJ39" t="s">
        <v>1900</v>
      </c>
      <c r="UK39" t="s">
        <v>1900</v>
      </c>
      <c r="UL39" t="s">
        <v>1900</v>
      </c>
      <c r="UM39" t="s">
        <v>1900</v>
      </c>
      <c r="UN39" t="s">
        <v>1900</v>
      </c>
      <c r="UO39" t="s">
        <v>1900</v>
      </c>
      <c r="UP39" t="s">
        <v>1900</v>
      </c>
      <c r="UQ39" t="s">
        <v>1900</v>
      </c>
      <c r="UR39" t="s">
        <v>1900</v>
      </c>
      <c r="US39" t="s">
        <v>1900</v>
      </c>
      <c r="UT39" t="s">
        <v>1900</v>
      </c>
      <c r="UU39" t="s">
        <v>1900</v>
      </c>
      <c r="UV39" t="s">
        <v>1900</v>
      </c>
      <c r="UW39" t="s">
        <v>1900</v>
      </c>
      <c r="UX39" t="s">
        <v>1900</v>
      </c>
      <c r="UY39" t="s">
        <v>1900</v>
      </c>
      <c r="UZ39" t="s">
        <v>1900</v>
      </c>
      <c r="VA39" t="s">
        <v>1900</v>
      </c>
      <c r="VB39" t="s">
        <v>1900</v>
      </c>
      <c r="VC39" t="s">
        <v>1900</v>
      </c>
      <c r="VD39" t="s">
        <v>1900</v>
      </c>
      <c r="VE39" t="s">
        <v>1900</v>
      </c>
      <c r="VF39" t="s">
        <v>1900</v>
      </c>
      <c r="VG39" t="s">
        <v>1900</v>
      </c>
      <c r="VH39" t="s">
        <v>1900</v>
      </c>
      <c r="VI39" t="s">
        <v>1900</v>
      </c>
      <c r="VJ39" t="s">
        <v>1900</v>
      </c>
      <c r="VK39" t="s">
        <v>1900</v>
      </c>
      <c r="VL39" t="s">
        <v>1900</v>
      </c>
      <c r="VM39" t="s">
        <v>1900</v>
      </c>
      <c r="VN39" t="s">
        <v>1900</v>
      </c>
      <c r="VO39" t="s">
        <v>1900</v>
      </c>
      <c r="VP39" t="s">
        <v>1900</v>
      </c>
      <c r="VQ39" t="s">
        <v>1900</v>
      </c>
      <c r="VR39" t="s">
        <v>1900</v>
      </c>
      <c r="VS39" t="s">
        <v>1900</v>
      </c>
      <c r="VT39" t="s">
        <v>1900</v>
      </c>
      <c r="VU39" t="s">
        <v>1900</v>
      </c>
      <c r="VV39" t="s">
        <v>1900</v>
      </c>
      <c r="VW39" t="s">
        <v>1900</v>
      </c>
      <c r="VX39" t="s">
        <v>1900</v>
      </c>
      <c r="VY39" t="s">
        <v>1900</v>
      </c>
      <c r="VZ39" t="s">
        <v>1900</v>
      </c>
      <c r="WA39">
        <v>413399.539044119</v>
      </c>
      <c r="WB39">
        <v>388512.793009768</v>
      </c>
      <c r="WC39">
        <v>370242.899389899</v>
      </c>
      <c r="WD39">
        <v>320970.047549057</v>
      </c>
      <c r="WE39">
        <v>353789.747893196</v>
      </c>
      <c r="WF39" t="s">
        <v>1900</v>
      </c>
      <c r="WG39" t="s">
        <v>1900</v>
      </c>
      <c r="WH39" t="s">
        <v>1900</v>
      </c>
      <c r="WI39" t="s">
        <v>1900</v>
      </c>
      <c r="WJ39" t="s">
        <v>1900</v>
      </c>
      <c r="WK39" t="s">
        <v>1900</v>
      </c>
      <c r="WL39" t="s">
        <v>1900</v>
      </c>
      <c r="WM39" t="s">
        <v>1900</v>
      </c>
      <c r="WN39" t="s">
        <v>1900</v>
      </c>
      <c r="WO39" t="s">
        <v>1900</v>
      </c>
      <c r="WP39" t="s">
        <v>1900</v>
      </c>
      <c r="WQ39" t="s">
        <v>1900</v>
      </c>
      <c r="WR39" t="s">
        <v>1900</v>
      </c>
      <c r="WS39" t="s">
        <v>1900</v>
      </c>
      <c r="WT39" t="s">
        <v>1900</v>
      </c>
      <c r="WU39" t="s">
        <v>1900</v>
      </c>
      <c r="WV39" t="s">
        <v>1900</v>
      </c>
      <c r="WW39" t="s">
        <v>1900</v>
      </c>
      <c r="WX39" t="s">
        <v>1900</v>
      </c>
      <c r="WY39" t="s">
        <v>1900</v>
      </c>
      <c r="WZ39" t="s">
        <v>1900</v>
      </c>
      <c r="XA39" t="s">
        <v>1900</v>
      </c>
      <c r="XB39" t="s">
        <v>1900</v>
      </c>
      <c r="XC39" t="s">
        <v>1900</v>
      </c>
      <c r="XD39" t="s">
        <v>1900</v>
      </c>
      <c r="XE39" t="s">
        <v>1900</v>
      </c>
      <c r="XF39" t="s">
        <v>1900</v>
      </c>
      <c r="XG39" t="s">
        <v>1900</v>
      </c>
      <c r="XH39" t="s">
        <v>1900</v>
      </c>
      <c r="XI39" t="s">
        <v>1900</v>
      </c>
      <c r="XJ39">
        <v>0</v>
      </c>
      <c r="XK39">
        <v>0</v>
      </c>
      <c r="XL39">
        <v>0</v>
      </c>
      <c r="XM39">
        <v>0</v>
      </c>
      <c r="XN39">
        <v>0</v>
      </c>
      <c r="XO39" t="s">
        <v>1900</v>
      </c>
      <c r="XP39" t="s">
        <v>1900</v>
      </c>
      <c r="XQ39" t="s">
        <v>1900</v>
      </c>
      <c r="XR39" t="s">
        <v>1900</v>
      </c>
      <c r="XS39" t="s">
        <v>1900</v>
      </c>
      <c r="XT39" t="s">
        <v>1900</v>
      </c>
      <c r="XU39" t="s">
        <v>1900</v>
      </c>
      <c r="XV39" t="s">
        <v>1900</v>
      </c>
      <c r="XW39" t="s">
        <v>1900</v>
      </c>
      <c r="XX39" t="s">
        <v>1900</v>
      </c>
      <c r="XY39">
        <v>0</v>
      </c>
      <c r="XZ39">
        <v>0</v>
      </c>
      <c r="YA39">
        <v>0</v>
      </c>
      <c r="YB39">
        <v>0</v>
      </c>
      <c r="YC39">
        <v>0</v>
      </c>
      <c r="YD39" t="s">
        <v>1900</v>
      </c>
      <c r="YE39" t="s">
        <v>1900</v>
      </c>
      <c r="YF39" t="s">
        <v>1900</v>
      </c>
      <c r="YG39" t="s">
        <v>1900</v>
      </c>
      <c r="YH39" t="s">
        <v>1900</v>
      </c>
      <c r="YI39" t="s">
        <v>1900</v>
      </c>
      <c r="YJ39" t="s">
        <v>1900</v>
      </c>
      <c r="YK39" t="s">
        <v>1900</v>
      </c>
      <c r="YL39" t="s">
        <v>1900</v>
      </c>
      <c r="YM39" t="s">
        <v>1900</v>
      </c>
      <c r="YN39" t="s">
        <v>1900</v>
      </c>
      <c r="YO39" t="s">
        <v>1900</v>
      </c>
      <c r="YP39" t="s">
        <v>1900</v>
      </c>
      <c r="YQ39" t="s">
        <v>1900</v>
      </c>
      <c r="YR39" t="s">
        <v>1900</v>
      </c>
      <c r="YS39" t="s">
        <v>1900</v>
      </c>
      <c r="YT39" t="s">
        <v>1900</v>
      </c>
      <c r="YU39" t="s">
        <v>1900</v>
      </c>
      <c r="YV39" t="s">
        <v>1900</v>
      </c>
      <c r="YW39" t="s">
        <v>1900</v>
      </c>
      <c r="YX39" t="s">
        <v>1900</v>
      </c>
      <c r="YY39" t="s">
        <v>1900</v>
      </c>
      <c r="YZ39" t="s">
        <v>1900</v>
      </c>
      <c r="ZA39" t="s">
        <v>1900</v>
      </c>
      <c r="ZB39" t="s">
        <v>1900</v>
      </c>
      <c r="ZC39" t="s">
        <v>1900</v>
      </c>
      <c r="ZD39" t="s">
        <v>1900</v>
      </c>
      <c r="ZE39" t="s">
        <v>1900</v>
      </c>
      <c r="ZF39" t="s">
        <v>1900</v>
      </c>
      <c r="ZG39" t="s">
        <v>1900</v>
      </c>
      <c r="ZH39" t="s">
        <v>1900</v>
      </c>
      <c r="ZI39" t="s">
        <v>1900</v>
      </c>
      <c r="ZJ39" t="s">
        <v>1900</v>
      </c>
      <c r="ZK39" t="s">
        <v>1900</v>
      </c>
      <c r="ZL39" t="s">
        <v>1900</v>
      </c>
      <c r="ZM39" t="s">
        <v>1900</v>
      </c>
      <c r="ZN39" t="s">
        <v>1900</v>
      </c>
      <c r="ZO39" t="s">
        <v>1900</v>
      </c>
      <c r="ZP39" t="s">
        <v>1900</v>
      </c>
      <c r="ZQ39" t="s">
        <v>1900</v>
      </c>
      <c r="ZR39" t="s">
        <v>1900</v>
      </c>
      <c r="ZS39" t="s">
        <v>1900</v>
      </c>
      <c r="ZT39" t="s">
        <v>1900</v>
      </c>
      <c r="ZU39" t="s">
        <v>1900</v>
      </c>
      <c r="ZV39" t="s">
        <v>1900</v>
      </c>
      <c r="ZW39" t="s">
        <v>1900</v>
      </c>
      <c r="ZX39" t="s">
        <v>1900</v>
      </c>
      <c r="ZY39" t="s">
        <v>1900</v>
      </c>
      <c r="ZZ39" t="s">
        <v>1900</v>
      </c>
      <c r="AAA39" t="s">
        <v>1900</v>
      </c>
      <c r="AAB39" t="s">
        <v>1900</v>
      </c>
      <c r="AAC39" t="s">
        <v>1900</v>
      </c>
      <c r="AAD39" t="s">
        <v>1900</v>
      </c>
      <c r="AAE39" t="s">
        <v>1900</v>
      </c>
      <c r="AAF39" t="s">
        <v>1900</v>
      </c>
      <c r="AAG39" t="s">
        <v>1900</v>
      </c>
      <c r="AAH39" t="s">
        <v>1900</v>
      </c>
      <c r="AAI39" t="s">
        <v>1900</v>
      </c>
      <c r="AAJ39" t="s">
        <v>1900</v>
      </c>
      <c r="AAK39" t="s">
        <v>1900</v>
      </c>
      <c r="AAL39" t="s">
        <v>1900</v>
      </c>
      <c r="AAM39" t="s">
        <v>1900</v>
      </c>
      <c r="AAN39" t="s">
        <v>1900</v>
      </c>
      <c r="AAO39" t="s">
        <v>1900</v>
      </c>
      <c r="AAP39" t="s">
        <v>1900</v>
      </c>
      <c r="AAQ39" t="s">
        <v>1900</v>
      </c>
      <c r="AAR39" t="s">
        <v>1900</v>
      </c>
      <c r="AAS39" t="s">
        <v>1900</v>
      </c>
      <c r="AAT39" t="s">
        <v>1900</v>
      </c>
      <c r="AAU39" t="s">
        <v>1900</v>
      </c>
      <c r="AAV39" t="s">
        <v>1900</v>
      </c>
      <c r="AAW39" t="s">
        <v>1900</v>
      </c>
      <c r="AAX39" t="s">
        <v>1900</v>
      </c>
      <c r="AAY39" t="s">
        <v>1900</v>
      </c>
      <c r="AAZ39" t="s">
        <v>1900</v>
      </c>
      <c r="ABA39" t="s">
        <v>1900</v>
      </c>
      <c r="ABB39" t="s">
        <v>1900</v>
      </c>
      <c r="ABC39" t="s">
        <v>1900</v>
      </c>
      <c r="ABD39" t="s">
        <v>1900</v>
      </c>
      <c r="ABE39" t="s">
        <v>1900</v>
      </c>
      <c r="ABF39" t="s">
        <v>1900</v>
      </c>
      <c r="ABG39" t="s">
        <v>1900</v>
      </c>
      <c r="ABH39" t="s">
        <v>1900</v>
      </c>
      <c r="ABI39" t="s">
        <v>1900</v>
      </c>
      <c r="ABJ39" t="s">
        <v>1900</v>
      </c>
      <c r="ABK39" t="s">
        <v>1900</v>
      </c>
      <c r="ABL39" t="s">
        <v>1900</v>
      </c>
      <c r="ABM39" t="s">
        <v>1900</v>
      </c>
      <c r="ABN39" t="s">
        <v>1900</v>
      </c>
      <c r="ABO39" t="s">
        <v>1900</v>
      </c>
      <c r="ABP39" t="s">
        <v>1900</v>
      </c>
      <c r="ABQ39" t="s">
        <v>1900</v>
      </c>
      <c r="ABR39" t="s">
        <v>1900</v>
      </c>
      <c r="ABS39" t="s">
        <v>1900</v>
      </c>
      <c r="ABT39" t="s">
        <v>1900</v>
      </c>
      <c r="ABU39" t="s">
        <v>1900</v>
      </c>
      <c r="ABV39" t="s">
        <v>1900</v>
      </c>
      <c r="ABW39" t="s">
        <v>1900</v>
      </c>
      <c r="ABX39" t="s">
        <v>1900</v>
      </c>
      <c r="ABY39" t="s">
        <v>1900</v>
      </c>
      <c r="ABZ39" t="s">
        <v>1900</v>
      </c>
      <c r="ACA39" t="s">
        <v>1900</v>
      </c>
      <c r="ACB39" t="s">
        <v>1900</v>
      </c>
      <c r="ACC39" t="s">
        <v>1900</v>
      </c>
      <c r="ACD39" t="s">
        <v>1900</v>
      </c>
      <c r="ACE39">
        <v>17.378</v>
      </c>
      <c r="ACF39">
        <v>17.023</v>
      </c>
      <c r="ACG39">
        <v>14.998</v>
      </c>
      <c r="ACH39">
        <v>28.391</v>
      </c>
      <c r="ACI39">
        <v>21.358</v>
      </c>
      <c r="ACJ39">
        <v>16.898</v>
      </c>
      <c r="ACK39">
        <v>16.674</v>
      </c>
      <c r="ACL39">
        <v>13.416</v>
      </c>
      <c r="ACM39">
        <v>24.16</v>
      </c>
      <c r="ACN39">
        <v>17.262</v>
      </c>
      <c r="ACO39">
        <v>10.943</v>
      </c>
      <c r="ACP39">
        <v>11.018</v>
      </c>
      <c r="ACQ39">
        <v>8.951000000000001</v>
      </c>
      <c r="ACR39">
        <v>17.461</v>
      </c>
      <c r="ACS39">
        <v>12.214</v>
      </c>
      <c r="ACT39">
        <v>13.798</v>
      </c>
      <c r="ACU39">
        <v>13.519</v>
      </c>
      <c r="ACV39">
        <v>11.933</v>
      </c>
      <c r="ACW39">
        <v>22.54</v>
      </c>
      <c r="ACX39">
        <v>17.145</v>
      </c>
      <c r="ACY39">
        <v>13.576</v>
      </c>
      <c r="ACZ39">
        <v>13.387</v>
      </c>
      <c r="ADA39">
        <v>10.767</v>
      </c>
      <c r="ADB39">
        <v>19.271</v>
      </c>
      <c r="ADC39">
        <v>13.9</v>
      </c>
      <c r="ADD39">
        <v>8.688000000000001</v>
      </c>
      <c r="ADE39">
        <v>8.75</v>
      </c>
      <c r="ADF39">
        <v>7.122</v>
      </c>
      <c r="ADG39">
        <v>13.862</v>
      </c>
      <c r="ADH39">
        <v>9.805</v>
      </c>
      <c r="ADI39">
        <v>10.681</v>
      </c>
      <c r="ADJ39">
        <v>9.811999999999999</v>
      </c>
      <c r="ADK39">
        <v>7.964</v>
      </c>
      <c r="ADL39">
        <v>15.595</v>
      </c>
      <c r="ADM39">
        <v>11.36</v>
      </c>
      <c r="ADN39">
        <v>94.70999999999999</v>
      </c>
      <c r="ADO39">
        <v>93.842</v>
      </c>
      <c r="ADP39">
        <v>90.008</v>
      </c>
      <c r="ADQ39">
        <v>93.253</v>
      </c>
      <c r="ADR39">
        <v>91.77800000000001</v>
      </c>
      <c r="ADS39">
        <v>10.675512528</v>
      </c>
      <c r="ADT39">
        <v>10.246074141</v>
      </c>
      <c r="ADU39">
        <v>8.113851172</v>
      </c>
      <c r="ADV39">
        <v>15.881589262</v>
      </c>
      <c r="ADW39">
        <v>11.504011467</v>
      </c>
      <c r="ADX39">
        <v>11.105</v>
      </c>
      <c r="ADY39">
        <v>10.62</v>
      </c>
      <c r="ADZ39">
        <v>8.302</v>
      </c>
      <c r="AEA39">
        <v>15.96</v>
      </c>
      <c r="AEB39">
        <v>11.625</v>
      </c>
      <c r="AEC39">
        <v>10.676</v>
      </c>
      <c r="AED39">
        <v>10.246</v>
      </c>
      <c r="AEE39">
        <v>8.114000000000001</v>
      </c>
      <c r="AEF39">
        <v>15.882</v>
      </c>
      <c r="AEG39">
        <v>11.504</v>
      </c>
      <c r="AEH39">
        <v>8.91</v>
      </c>
      <c r="AEI39">
        <v>8.166</v>
      </c>
      <c r="AEJ39">
        <v>6.525</v>
      </c>
      <c r="AEK39">
        <v>12.459</v>
      </c>
      <c r="AEL39">
        <v>9.241</v>
      </c>
      <c r="AEM39">
        <v>11.951384027</v>
      </c>
      <c r="AEN39">
        <v>11.415739248</v>
      </c>
      <c r="AEO39">
        <v>8.830331095</v>
      </c>
      <c r="AEP39">
        <v>18.880039605</v>
      </c>
      <c r="AEQ39">
        <v>12.999472244</v>
      </c>
      <c r="AER39">
        <v>1.127037804</v>
      </c>
      <c r="AES39">
        <v>1.122566422</v>
      </c>
      <c r="AET39">
        <v>1.099077079</v>
      </c>
      <c r="AEU39">
        <v>1.205263135</v>
      </c>
      <c r="AEV39">
        <v>1.14330895</v>
      </c>
      <c r="AEW39" t="s">
        <v>1900</v>
      </c>
      <c r="AEX39" t="s">
        <v>1900</v>
      </c>
      <c r="AEY39" t="s">
        <v>1900</v>
      </c>
      <c r="AEZ39" t="s">
        <v>1900</v>
      </c>
      <c r="AFA39" t="s">
        <v>1900</v>
      </c>
      <c r="AFB39" t="s">
        <v>1900</v>
      </c>
      <c r="AFC39" t="s">
        <v>1900</v>
      </c>
      <c r="AFD39" t="s">
        <v>1900</v>
      </c>
      <c r="AFE39" t="s">
        <v>1900</v>
      </c>
      <c r="AFF39" t="s">
        <v>1900</v>
      </c>
      <c r="AFG39">
        <v>1.51</v>
      </c>
      <c r="AFH39">
        <v>1.627</v>
      </c>
      <c r="AFI39">
        <v>1.628</v>
      </c>
      <c r="AFJ39">
        <v>1.521</v>
      </c>
      <c r="AFK39">
        <v>1.5</v>
      </c>
      <c r="AFL39">
        <v>20.835</v>
      </c>
      <c r="AFM39">
        <v>23.595</v>
      </c>
      <c r="AFN39">
        <v>29.171</v>
      </c>
      <c r="AFO39">
        <v>55.338</v>
      </c>
      <c r="AFP39">
        <v>80.089</v>
      </c>
      <c r="AFQ39" t="s">
        <v>1901</v>
      </c>
      <c r="AFR39" t="s">
        <v>1901</v>
      </c>
      <c r="AFS39" t="s">
        <v>1901</v>
      </c>
      <c r="AFT39" t="s">
        <v>1901</v>
      </c>
      <c r="AFU39" t="s">
        <v>1901</v>
      </c>
      <c r="AFV39">
        <v>208.742</v>
      </c>
      <c r="AFW39">
        <v>205.75</v>
      </c>
      <c r="AFX39">
        <v>174.755</v>
      </c>
      <c r="AFY39">
        <v>159.379</v>
      </c>
      <c r="AFZ39">
        <v>171.515</v>
      </c>
      <c r="AGA39">
        <v>2.464</v>
      </c>
      <c r="AGB39">
        <v>0.656</v>
      </c>
      <c r="AGC39">
        <v>1.339</v>
      </c>
      <c r="AGD39">
        <v>1.549</v>
      </c>
      <c r="AGE39">
        <v>0.046</v>
      </c>
      <c r="AGF39" t="s">
        <v>1900</v>
      </c>
      <c r="AGG39" t="s">
        <v>1900</v>
      </c>
      <c r="AGH39" t="s">
        <v>1900</v>
      </c>
      <c r="AGI39" t="s">
        <v>1900</v>
      </c>
      <c r="AGJ39" t="s">
        <v>1900</v>
      </c>
      <c r="AGK39" t="s">
        <v>1900</v>
      </c>
      <c r="AGL39" t="s">
        <v>1900</v>
      </c>
      <c r="AGM39" t="s">
        <v>1900</v>
      </c>
      <c r="AGN39" t="s">
        <v>1900</v>
      </c>
      <c r="AGO39" t="s">
        <v>1900</v>
      </c>
      <c r="AGP39" t="s">
        <v>1900</v>
      </c>
      <c r="AGQ39" t="s">
        <v>1900</v>
      </c>
      <c r="AGR39" t="s">
        <v>1900</v>
      </c>
      <c r="AGS39" t="s">
        <v>1900</v>
      </c>
      <c r="AGT39" t="s">
        <v>1900</v>
      </c>
      <c r="AGU39">
        <v>0</v>
      </c>
      <c r="AGV39">
        <v>0</v>
      </c>
      <c r="AGW39">
        <v>0</v>
      </c>
      <c r="AGX39">
        <v>0</v>
      </c>
      <c r="AGY39">
        <v>0</v>
      </c>
      <c r="AGZ39">
        <v>2.889</v>
      </c>
      <c r="AHA39">
        <v>2.99</v>
      </c>
      <c r="AHB39">
        <v>3.018</v>
      </c>
      <c r="AHC39">
        <v>3.55</v>
      </c>
      <c r="AHD39">
        <v>3.291</v>
      </c>
      <c r="AHE39">
        <v>2.889</v>
      </c>
      <c r="AHF39">
        <v>2.99</v>
      </c>
      <c r="AHG39">
        <v>3.018</v>
      </c>
      <c r="AHH39">
        <v>3.55</v>
      </c>
      <c r="AHI39">
        <v>3.291</v>
      </c>
      <c r="AHJ39">
        <v>12.863</v>
      </c>
      <c r="AHK39">
        <v>15.125</v>
      </c>
      <c r="AHL39">
        <v>6.372</v>
      </c>
      <c r="AHM39">
        <v>5.083</v>
      </c>
      <c r="AHN39">
        <v>3.954</v>
      </c>
      <c r="AHO39">
        <v>62.969</v>
      </c>
      <c r="AHP39">
        <v>64.724</v>
      </c>
      <c r="AHQ39">
        <v>59.683</v>
      </c>
      <c r="AHR39">
        <v>61.5</v>
      </c>
      <c r="AHS39">
        <v>57.189</v>
      </c>
      <c r="AHT39" t="s">
        <v>1901</v>
      </c>
      <c r="AHU39" t="s">
        <v>1901</v>
      </c>
      <c r="AHV39" t="s">
        <v>1901</v>
      </c>
      <c r="AHW39" t="s">
        <v>1901</v>
      </c>
      <c r="AHX39" t="s">
        <v>1901</v>
      </c>
      <c r="AHY39">
        <v>7.774</v>
      </c>
      <c r="AHZ39">
        <v>6.612</v>
      </c>
      <c r="AIA39">
        <v>15.694</v>
      </c>
      <c r="AIB39">
        <v>19.675</v>
      </c>
      <c r="AIC39">
        <v>25.294</v>
      </c>
      <c r="AID39">
        <v>0.503032292</v>
      </c>
      <c r="AIE39">
        <v>0.55767763</v>
      </c>
      <c r="AIF39">
        <v>0.560088731</v>
      </c>
      <c r="AIG39">
        <v>0.482869297</v>
      </c>
      <c r="AIH39">
        <v>0.39189129</v>
      </c>
      <c r="AII39">
        <v>33.453038149</v>
      </c>
      <c r="AIJ39">
        <v>28.514241098</v>
      </c>
      <c r="AIK39">
        <v>38.849642947</v>
      </c>
      <c r="AIL39">
        <v>44.151384206</v>
      </c>
      <c r="AIM39">
        <v>42.062506361</v>
      </c>
      <c r="AIN39">
        <v>31.434777187</v>
      </c>
      <c r="AIO39">
        <v>30.792444193</v>
      </c>
      <c r="AIP39">
        <v>30.532354017</v>
      </c>
      <c r="AIQ39">
        <v>25.918448464</v>
      </c>
      <c r="AIR39">
        <v>28.332700865</v>
      </c>
      <c r="AIS39">
        <v>0</v>
      </c>
      <c r="AIT39">
        <v>0</v>
      </c>
      <c r="AIU39">
        <v>0</v>
      </c>
      <c r="AIV39">
        <v>0</v>
      </c>
      <c r="AIW39">
        <v>0</v>
      </c>
      <c r="AIX39">
        <v>7.9949438790642</v>
      </c>
      <c r="AIY39">
        <v>8.68836032922936</v>
      </c>
      <c r="AIZ39">
        <v>6.78403778270006</v>
      </c>
      <c r="AJA39">
        <v>12.7194185809135</v>
      </c>
      <c r="AJB39">
        <v>9.53234541524291</v>
      </c>
      <c r="AJC39">
        <v>74.8493375762215</v>
      </c>
      <c r="AJD39">
        <v>88.5497981800613</v>
      </c>
      <c r="AJE39">
        <v>85.18191812553761</v>
      </c>
      <c r="AJF39">
        <v>81.5629856685305</v>
      </c>
      <c r="AJG39">
        <v>83.9087506828523</v>
      </c>
      <c r="AJH39">
        <v>72.807</v>
      </c>
      <c r="AJI39">
        <v>69.91200000000001</v>
      </c>
      <c r="AJJ39">
        <v>69.83199999999999</v>
      </c>
      <c r="AJK39">
        <v>68.392</v>
      </c>
      <c r="AJL39">
        <v>69.925</v>
      </c>
      <c r="AJM39">
        <v>54.4957102092678</v>
      </c>
      <c r="AJN39">
        <v>61.9072483532124</v>
      </c>
      <c r="AJO39">
        <v>59.4841553330159</v>
      </c>
      <c r="AJP39">
        <v>55.7822153412795</v>
      </c>
      <c r="AJQ39">
        <v>58.6734413190639</v>
      </c>
      <c r="AJR39">
        <v>46.0058854949958</v>
      </c>
      <c r="AJS39">
        <v>51.0391596257477</v>
      </c>
      <c r="AJT39">
        <v>45.2333473019826</v>
      </c>
      <c r="AJU39">
        <v>44.8002996378422</v>
      </c>
      <c r="AJV39">
        <v>44.6319771845436</v>
      </c>
      <c r="AJW39">
        <v>42.888291340888</v>
      </c>
      <c r="AJX39">
        <v>50.4471920750799</v>
      </c>
      <c r="AJY39">
        <v>41.0331489127874</v>
      </c>
      <c r="AJZ39">
        <v>35.7585928193092</v>
      </c>
      <c r="AKA39">
        <v>39.9658830144858</v>
      </c>
      <c r="AKB39">
        <v>73.061250175993</v>
      </c>
      <c r="AKC39">
        <v>78.8571680951281</v>
      </c>
      <c r="AKD39">
        <v>75.7890505233228</v>
      </c>
      <c r="AKE39">
        <v>72.8461471265888</v>
      </c>
      <c r="AKF39">
        <v>78.04359888655419</v>
      </c>
      <c r="AKG39">
        <v>0</v>
      </c>
      <c r="AKH39">
        <v>0</v>
      </c>
      <c r="AKI39">
        <v>0</v>
      </c>
      <c r="AKJ39">
        <v>0</v>
      </c>
      <c r="AKK39">
        <v>0</v>
      </c>
      <c r="AKL39">
        <v>0</v>
      </c>
      <c r="AKM39">
        <v>0</v>
      </c>
      <c r="AKN39">
        <v>0</v>
      </c>
      <c r="AKO39">
        <v>0</v>
      </c>
      <c r="AKP39">
        <v>0</v>
      </c>
      <c r="AKQ39">
        <v>0</v>
      </c>
      <c r="AKR39">
        <v>0</v>
      </c>
      <c r="AKS39">
        <v>0</v>
      </c>
      <c r="AKT39">
        <v>0</v>
      </c>
      <c r="AKU39">
        <v>0</v>
      </c>
      <c r="AKV39">
        <v>1.368629057</v>
      </c>
      <c r="AKW39">
        <v>0.563615491</v>
      </c>
      <c r="AKX39">
        <v>0.695726695</v>
      </c>
      <c r="AKY39">
        <v>0.416836905</v>
      </c>
      <c r="AKZ39">
        <v>0.466427335</v>
      </c>
      <c r="ALA39">
        <v>1.402124631</v>
      </c>
      <c r="ALB39">
        <v>0.632891582</v>
      </c>
      <c r="ALC39">
        <v>0.781951135</v>
      </c>
      <c r="ALD39">
        <v>0.466716005</v>
      </c>
      <c r="ALE39">
        <v>0.501480403</v>
      </c>
      <c r="ALF39">
        <v>5.11370491</v>
      </c>
      <c r="ALG39">
        <v>5.448043898</v>
      </c>
      <c r="ALH39">
        <v>4.670255006</v>
      </c>
      <c r="ALI39">
        <v>4.759956492</v>
      </c>
      <c r="ALJ39">
        <v>5.413867463</v>
      </c>
      <c r="ALK39">
        <v>5.238856779</v>
      </c>
      <c r="ALL39">
        <v>6.117683381</v>
      </c>
      <c r="ALM39">
        <v>5.249060047</v>
      </c>
      <c r="ALN39">
        <v>5.329537404</v>
      </c>
      <c r="ALO39">
        <v>5.820731833</v>
      </c>
      <c r="ALP39">
        <v>57.98386176</v>
      </c>
      <c r="ALQ39">
        <v>57.152658841</v>
      </c>
      <c r="ALR39">
        <v>48.543099438</v>
      </c>
      <c r="ALS39">
        <v>44.27187813</v>
      </c>
      <c r="ALT39">
        <v>47.642917161</v>
      </c>
      <c r="ALU39">
        <v>1.180273441</v>
      </c>
      <c r="ALV39">
        <v>0.318863424</v>
      </c>
      <c r="ALW39">
        <v>0.766129345</v>
      </c>
      <c r="ALX39">
        <v>0.971692341</v>
      </c>
      <c r="ALY39">
        <v>0.026749172</v>
      </c>
      <c r="ALZ39">
        <v>94.7096519957994</v>
      </c>
      <c r="AMA39">
        <v>93.8421679304307</v>
      </c>
      <c r="AMB39">
        <v>90.0081830680767</v>
      </c>
      <c r="AMC39">
        <v>93.25344305787419</v>
      </c>
      <c r="AMD39">
        <v>91.77821268557091</v>
      </c>
      <c r="AME39">
        <v>94.7096519957994</v>
      </c>
      <c r="AMF39">
        <v>97.3197912726225</v>
      </c>
      <c r="AMG39">
        <v>92.1542014852788</v>
      </c>
      <c r="AMH39">
        <v>93.6498480572581</v>
      </c>
      <c r="AMI39">
        <v>93.5110380208793</v>
      </c>
      <c r="AMJ39">
        <v>1790.23481859035</v>
      </c>
      <c r="AMK39">
        <v>1523.94815042421</v>
      </c>
      <c r="AML39">
        <v>900.818976982113</v>
      </c>
      <c r="AMM39">
        <v>1382.23754513352</v>
      </c>
      <c r="AMN39">
        <v>1116.28055039203</v>
      </c>
      <c r="AMO39">
        <v>1.1270378038653</v>
      </c>
      <c r="AMP39">
        <v>1.12256642343126</v>
      </c>
      <c r="AMQ39">
        <v>1.09907707877353</v>
      </c>
      <c r="AMR39">
        <v>1.20526313616343</v>
      </c>
      <c r="AMS39">
        <v>1.14330894972718</v>
      </c>
      <c r="AMT39">
        <v>1.1270378038653</v>
      </c>
      <c r="AMU39">
        <v>1.12256642249829</v>
      </c>
      <c r="AMV39">
        <v>1.09907707877353</v>
      </c>
      <c r="AMW39">
        <v>1.2052631351077</v>
      </c>
      <c r="AMX39">
        <v>1.14330894972718</v>
      </c>
      <c r="AMY39">
        <v>1.1270378038653</v>
      </c>
      <c r="AMZ39">
        <v>1.12256642238394</v>
      </c>
      <c r="ANA39">
        <v>1.09907707877353</v>
      </c>
      <c r="ANB39">
        <v>1.205263134891</v>
      </c>
      <c r="ANC39">
        <v>1.14330894972718</v>
      </c>
      <c r="AND39">
        <v>10.6755125277334</v>
      </c>
      <c r="ANE39">
        <v>10.2460741410382</v>
      </c>
      <c r="ANF39">
        <v>8.113851172339309</v>
      </c>
      <c r="ANG39">
        <v>15.8815892623894</v>
      </c>
      <c r="ANH39">
        <v>11.504011466844</v>
      </c>
      <c r="ANI39">
        <v>10.6755125277334</v>
      </c>
      <c r="ANJ39">
        <v>10.625775371141</v>
      </c>
      <c r="ANK39">
        <v>8.307305516786039</v>
      </c>
      <c r="ANL39">
        <v>15.9490992778412</v>
      </c>
      <c r="ANM39">
        <v>11.7212138065292</v>
      </c>
      <c r="ANN39">
        <v>11.9513840267463</v>
      </c>
      <c r="ANO39">
        <v>11.4157392481514</v>
      </c>
      <c r="ANP39">
        <v>8.83033109544882</v>
      </c>
      <c r="ANQ39">
        <v>18.880039605038</v>
      </c>
      <c r="ANR39">
        <v>12.999472244478</v>
      </c>
      <c r="ANS39">
        <v>16.1157108778576</v>
      </c>
      <c r="ANT39">
        <v>16.6738711319205</v>
      </c>
      <c r="ANU39">
        <v>13.2070703947236</v>
      </c>
      <c r="ANV39">
        <v>24.1603562906483</v>
      </c>
      <c r="ANW39">
        <v>17.2616091624115</v>
      </c>
      <c r="ANX39">
        <v>94.7096519957994</v>
      </c>
      <c r="ANY39">
        <v>93.8421679304307</v>
      </c>
      <c r="ANZ39">
        <v>90.0081830680767</v>
      </c>
      <c r="AOA39">
        <v>93.25344305787419</v>
      </c>
      <c r="AOB39">
        <v>91.77821268557101</v>
      </c>
      <c r="AOC39">
        <v>106.028766216212</v>
      </c>
      <c r="AOD39">
        <v>104.554945126181</v>
      </c>
      <c r="AOE39">
        <v>97.9562036459856</v>
      </c>
      <c r="AOF39">
        <v>110.859730040262</v>
      </c>
      <c r="AOG39">
        <v>103.70889597011</v>
      </c>
      <c r="AOH39">
        <v>97.02755850586701</v>
      </c>
      <c r="AOI39" t="s">
        <v>1901</v>
      </c>
      <c r="AOJ39" t="s">
        <v>1901</v>
      </c>
      <c r="AOK39" t="s">
        <v>1901</v>
      </c>
      <c r="AOL39">
        <v>98.6755527028332</v>
      </c>
      <c r="AOM39">
        <v>201.792254862192</v>
      </c>
      <c r="AON39">
        <v>166.390931504483</v>
      </c>
      <c r="AOO39">
        <v>81.2049622968574</v>
      </c>
      <c r="AOP39">
        <v>235.40287881103</v>
      </c>
      <c r="AOQ39">
        <v>139.921053986093</v>
      </c>
      <c r="AOR39">
        <v>12.70378038653</v>
      </c>
      <c r="AOS39">
        <v>12.2566422498292</v>
      </c>
      <c r="AOT39">
        <v>9.90770787735266</v>
      </c>
      <c r="AOU39">
        <v>20.5263135107703</v>
      </c>
      <c r="AOV39">
        <v>14.330894972718</v>
      </c>
      <c r="AOW39">
        <v>10.9367830473151</v>
      </c>
      <c r="AOX39">
        <v>11.5054574933409</v>
      </c>
      <c r="AOY39">
        <v>9.11943608140596</v>
      </c>
      <c r="AOZ39">
        <v>17.7819953074787</v>
      </c>
      <c r="APA39">
        <v>12.3685639170116</v>
      </c>
      <c r="APB39">
        <v>8.480882779872109</v>
      </c>
      <c r="APC39">
        <v>7.79221326183779</v>
      </c>
      <c r="APD39">
        <v>6.33674710319046</v>
      </c>
      <c r="APE39">
        <v>12.3804261988212</v>
      </c>
      <c r="APF39">
        <v>9.11982173817708</v>
      </c>
      <c r="APG39">
        <v>8.480882779872109</v>
      </c>
      <c r="APH39">
        <v>8.080978785102269</v>
      </c>
      <c r="API39">
        <v>6.48783087718813</v>
      </c>
      <c r="APJ39">
        <v>12.4330533477905</v>
      </c>
      <c r="APK39">
        <v>9.29200920728317</v>
      </c>
      <c r="APL39">
        <v>160.308599228976</v>
      </c>
      <c r="APM39">
        <v>126.541503142725</v>
      </c>
      <c r="APN39">
        <v>63.4193675320944</v>
      </c>
      <c r="APO39">
        <v>183.507325366474</v>
      </c>
      <c r="APP39">
        <v>110.922618031873</v>
      </c>
      <c r="APQ39">
        <v>10.0921873342857</v>
      </c>
      <c r="APR39">
        <v>9.32126480543336</v>
      </c>
      <c r="APS39">
        <v>7.73771145878324</v>
      </c>
      <c r="APT39">
        <v>16.0012014764651</v>
      </c>
      <c r="APU39">
        <v>11.3608377283355</v>
      </c>
      <c r="APV39">
        <v>9.49446564975282</v>
      </c>
      <c r="APW39">
        <v>8.68175200946906</v>
      </c>
      <c r="APX39">
        <v>6.89630285308344</v>
      </c>
      <c r="APY39">
        <v>14.7178555684311</v>
      </c>
      <c r="APZ39">
        <v>10.3053504337773</v>
      </c>
      <c r="AQA39">
        <v>8.688442336816291</v>
      </c>
      <c r="AQB39">
        <v>8.749983381833861</v>
      </c>
      <c r="AQC39">
        <v>7.12208776623629</v>
      </c>
      <c r="AQD39">
        <v>13.8618797486079</v>
      </c>
      <c r="AQE39">
        <v>9.805196944169911</v>
      </c>
      <c r="AQF39">
        <v>0.1270378038653</v>
      </c>
      <c r="AQG39">
        <v>0.12256642238394</v>
      </c>
      <c r="AQH39">
        <v>0.0990770787735266</v>
      </c>
      <c r="AQI39">
        <v>0.205263134891001</v>
      </c>
      <c r="AQJ39">
        <v>0.14330894972718</v>
      </c>
      <c r="AQK39">
        <v>5</v>
      </c>
      <c r="AQO39" t="s">
        <v>1902</v>
      </c>
      <c r="AQP39">
        <v>2</v>
      </c>
      <c r="AQQ39">
        <v>0</v>
      </c>
      <c r="AQS39" t="s">
        <v>1905</v>
      </c>
      <c r="AQU39" t="s">
        <v>1906</v>
      </c>
      <c r="AQV39">
        <v>1347288.07013859</v>
      </c>
      <c r="AQW39">
        <v>1416796.77309098</v>
      </c>
      <c r="AQX39">
        <v>1362910.68147581</v>
      </c>
      <c r="AQY39">
        <v>143829.906712303</v>
      </c>
      <c r="AQZ39">
        <v>145166.047798738</v>
      </c>
      <c r="ARA39">
        <v>110584.544306862</v>
      </c>
      <c r="ARB39">
        <v>4126995.52470538</v>
      </c>
      <c r="ARC39">
        <v>399580.498817903</v>
      </c>
      <c r="ARD39">
        <v>0.1072004314096376</v>
      </c>
      <c r="ARE39">
        <v>0.1072004314096376</v>
      </c>
      <c r="ARF39">
        <v>0.1072004314096376</v>
      </c>
      <c r="ARG39">
        <v>0.1072004314096376</v>
      </c>
      <c r="ARH39">
        <v>0.1072004314096376</v>
      </c>
      <c r="ARI39">
        <v>0.1072004314096376</v>
      </c>
      <c r="ARJ39" t="s">
        <v>1200</v>
      </c>
      <c r="ARK39" t="s">
        <v>1538</v>
      </c>
      <c r="ARL39" t="s">
        <v>1908</v>
      </c>
      <c r="ARM39" t="s">
        <v>1908</v>
      </c>
      <c r="ARN39" t="s">
        <v>1909</v>
      </c>
      <c r="ARO39" t="s">
        <v>1908</v>
      </c>
      <c r="ARP39" t="s">
        <v>1907</v>
      </c>
      <c r="ARQ39" t="s">
        <v>1940</v>
      </c>
      <c r="ARR39">
        <f>HYPERLINK("C:\Users\Usuario\Documents\Proyectos\llmthon\evidence\ekolur_com_234106.png", "Ver Evidencia")</f>
        <v>0</v>
      </c>
      <c r="ARS39">
        <v>100</v>
      </c>
    </row>
    <row r="40" spans="1:1163">
      <c r="A40">
        <v>609</v>
      </c>
      <c r="B40" t="s">
        <v>1201</v>
      </c>
      <c r="C40" t="s">
        <v>1324</v>
      </c>
      <c r="E40" s="2">
        <v>37217</v>
      </c>
      <c r="F40" t="s">
        <v>1431</v>
      </c>
      <c r="G40" t="s">
        <v>1433</v>
      </c>
      <c r="H40" t="s">
        <v>1434</v>
      </c>
      <c r="I40" t="s">
        <v>1439</v>
      </c>
      <c r="J40" t="s">
        <v>1470</v>
      </c>
      <c r="L40" t="s">
        <v>1539</v>
      </c>
      <c r="N40" t="s">
        <v>1628</v>
      </c>
      <c r="O40" t="s">
        <v>1652</v>
      </c>
      <c r="P40">
        <v>7490</v>
      </c>
      <c r="Q40">
        <v>7490</v>
      </c>
      <c r="R40" t="s">
        <v>1710</v>
      </c>
      <c r="Z40" t="s">
        <v>1899</v>
      </c>
      <c r="AA40" s="2">
        <v>45291</v>
      </c>
      <c r="AB40">
        <v>2023</v>
      </c>
      <c r="AC40" t="s">
        <v>1900</v>
      </c>
      <c r="AD40">
        <v>1056407.96650291</v>
      </c>
      <c r="AE40">
        <v>927561.568051088</v>
      </c>
      <c r="AF40">
        <v>1081998.62518387</v>
      </c>
      <c r="AG40">
        <v>979582.633616775</v>
      </c>
      <c r="AH40" t="s">
        <v>1900</v>
      </c>
      <c r="AI40">
        <v>1056407.96650291</v>
      </c>
      <c r="AJ40">
        <v>927561.568051088</v>
      </c>
      <c r="AK40">
        <v>1081998.62518387</v>
      </c>
      <c r="AL40">
        <v>972183.678867948</v>
      </c>
      <c r="AM40" t="s">
        <v>1900</v>
      </c>
      <c r="AN40" t="s">
        <v>1900</v>
      </c>
      <c r="AO40" t="s">
        <v>1900</v>
      </c>
      <c r="AP40" t="s">
        <v>1900</v>
      </c>
      <c r="AQ40" t="s">
        <v>1900</v>
      </c>
      <c r="AR40" t="s">
        <v>1900</v>
      </c>
      <c r="AS40">
        <v>1056407.96650291</v>
      </c>
      <c r="AT40">
        <v>927561.568051088</v>
      </c>
      <c r="AU40">
        <v>1081998.62518387</v>
      </c>
      <c r="AV40">
        <v>979582.633616775</v>
      </c>
      <c r="AW40" t="s">
        <v>1900</v>
      </c>
      <c r="AX40">
        <v>988533.145291529</v>
      </c>
      <c r="AY40">
        <v>830753.041412657</v>
      </c>
      <c r="AZ40">
        <v>1010052.31994076</v>
      </c>
      <c r="BA40">
        <v>957902.082444423</v>
      </c>
      <c r="BB40" t="s">
        <v>1900</v>
      </c>
      <c r="BC40">
        <v>67874.8212113857</v>
      </c>
      <c r="BD40">
        <v>96808.5266384304</v>
      </c>
      <c r="BE40">
        <v>71946.3052431106</v>
      </c>
      <c r="BF40">
        <v>21680.5499452531</v>
      </c>
      <c r="BG40" t="s">
        <v>1900</v>
      </c>
      <c r="BH40">
        <v>-11793.9354929733</v>
      </c>
      <c r="BI40">
        <v>-5381.31439810991</v>
      </c>
      <c r="BJ40">
        <v>-7027.88684184551</v>
      </c>
      <c r="BK40">
        <v>-11041.6358321667</v>
      </c>
      <c r="BL40" t="s">
        <v>1900</v>
      </c>
      <c r="BM40">
        <v>184.290877707481</v>
      </c>
      <c r="BN40">
        <v>16.7349459707737</v>
      </c>
      <c r="BO40">
        <v>12.7757314682007</v>
      </c>
      <c r="BP40">
        <v>190.016326516867</v>
      </c>
      <c r="BQ40" t="s">
        <v>1900</v>
      </c>
      <c r="BR40">
        <v>11978.2274756813</v>
      </c>
      <c r="BS40">
        <v>5398.04934408069</v>
      </c>
      <c r="BT40">
        <v>7040.66257331371</v>
      </c>
      <c r="BU40">
        <v>11231.6521586835</v>
      </c>
      <c r="BV40" t="s">
        <v>1900</v>
      </c>
      <c r="BW40">
        <v>56080.8857184124</v>
      </c>
      <c r="BX40">
        <v>91427.2122403204</v>
      </c>
      <c r="BY40">
        <v>64918.4184012651</v>
      </c>
      <c r="BZ40">
        <v>10638.9141130865</v>
      </c>
      <c r="CA40" t="s">
        <v>1900</v>
      </c>
      <c r="CB40">
        <v>27435.350112648</v>
      </c>
      <c r="CC40">
        <v>16207.8325036764</v>
      </c>
      <c r="CD40">
        <v>3101.01433782578</v>
      </c>
      <c r="CE40">
        <v>15739.3523511708</v>
      </c>
      <c r="CF40" t="s">
        <v>1900</v>
      </c>
      <c r="CG40">
        <v>28645.5356057644</v>
      </c>
      <c r="CH40">
        <v>75219.379736644</v>
      </c>
      <c r="CI40">
        <v>61817.4040634394</v>
      </c>
      <c r="CJ40">
        <v>-5100.43823808432</v>
      </c>
      <c r="CK40" t="s">
        <v>1900</v>
      </c>
      <c r="CL40" t="s">
        <v>1900</v>
      </c>
      <c r="CM40" t="s">
        <v>1900</v>
      </c>
      <c r="CN40" t="s">
        <v>1900</v>
      </c>
      <c r="CO40" t="s">
        <v>1900</v>
      </c>
      <c r="CP40" t="s">
        <v>1900</v>
      </c>
      <c r="CQ40" t="s">
        <v>1900</v>
      </c>
      <c r="CR40" t="s">
        <v>1900</v>
      </c>
      <c r="CS40" t="s">
        <v>1900</v>
      </c>
      <c r="CT40" t="s">
        <v>1900</v>
      </c>
      <c r="CU40" t="s">
        <v>1900</v>
      </c>
      <c r="CV40" t="s">
        <v>1900</v>
      </c>
      <c r="CW40" t="s">
        <v>1900</v>
      </c>
      <c r="CX40" t="s">
        <v>1900</v>
      </c>
      <c r="CY40" t="s">
        <v>1900</v>
      </c>
      <c r="CZ40" t="s">
        <v>1900</v>
      </c>
      <c r="DA40">
        <v>28645.5356057644</v>
      </c>
      <c r="DB40">
        <v>75219.379736644</v>
      </c>
      <c r="DC40">
        <v>61817.4040634394</v>
      </c>
      <c r="DD40">
        <v>-5100.43823808432</v>
      </c>
      <c r="DE40" t="s">
        <v>1900</v>
      </c>
      <c r="DF40" t="s">
        <v>1900</v>
      </c>
      <c r="DG40" t="s">
        <v>1900</v>
      </c>
      <c r="DH40" t="s">
        <v>1900</v>
      </c>
      <c r="DI40" t="s">
        <v>1900</v>
      </c>
      <c r="DJ40" t="s">
        <v>1900</v>
      </c>
      <c r="DK40" t="s">
        <v>1900</v>
      </c>
      <c r="DL40" t="s">
        <v>1900</v>
      </c>
      <c r="DM40" t="s">
        <v>1900</v>
      </c>
      <c r="DN40" t="s">
        <v>1900</v>
      </c>
      <c r="DO40" t="s">
        <v>1900</v>
      </c>
      <c r="DP40">
        <v>644723.887694158</v>
      </c>
      <c r="DQ40">
        <v>579977.326867837</v>
      </c>
      <c r="DR40">
        <v>609685.518458033</v>
      </c>
      <c r="DS40">
        <v>640642.676979613</v>
      </c>
      <c r="DT40" t="s">
        <v>1900</v>
      </c>
      <c r="DU40">
        <v>13639.6067712879</v>
      </c>
      <c r="DV40">
        <v>12848.5667494118</v>
      </c>
      <c r="DW40">
        <v>13500.1992548704</v>
      </c>
      <c r="DX40">
        <v>14570.8225013018</v>
      </c>
      <c r="DY40" t="s">
        <v>1900</v>
      </c>
      <c r="DZ40">
        <v>330169.650826082</v>
      </c>
      <c r="EA40">
        <v>237927.147795409</v>
      </c>
      <c r="EB40">
        <v>386866.602227855</v>
      </c>
      <c r="EC40">
        <v>302688.584190607</v>
      </c>
      <c r="ED40" t="s">
        <v>1900</v>
      </c>
      <c r="EE40">
        <v>11978.2274756813</v>
      </c>
      <c r="EF40">
        <v>5398.04934408069</v>
      </c>
      <c r="EG40">
        <v>7040.66257331371</v>
      </c>
      <c r="EH40">
        <v>11231.6521586835</v>
      </c>
      <c r="EI40" t="s">
        <v>1900</v>
      </c>
      <c r="EJ40" t="s">
        <v>1900</v>
      </c>
      <c r="EK40" t="s">
        <v>1900</v>
      </c>
      <c r="EL40" t="s">
        <v>1900</v>
      </c>
      <c r="EM40" t="s">
        <v>1900</v>
      </c>
      <c r="EN40" t="s">
        <v>1900</v>
      </c>
      <c r="EO40">
        <v>42285.1423770523</v>
      </c>
      <c r="EP40">
        <v>88067.94648605589</v>
      </c>
      <c r="EQ40">
        <v>75317.6033183098</v>
      </c>
      <c r="ER40">
        <v>9470.384263217449</v>
      </c>
      <c r="ES40" t="s">
        <v>1900</v>
      </c>
      <c r="ET40">
        <v>726422.60765954</v>
      </c>
      <c r="EU40">
        <v>689651.15520165</v>
      </c>
      <c r="EV40">
        <v>695144.798687482</v>
      </c>
      <c r="EW40">
        <v>677084.065752685</v>
      </c>
      <c r="EX40" t="s">
        <v>1900</v>
      </c>
      <c r="EY40">
        <v>81514.4279826737</v>
      </c>
      <c r="EZ40">
        <v>109657.093387842</v>
      </c>
      <c r="FA40">
        <v>85446.50449798111</v>
      </c>
      <c r="FB40">
        <v>36251.3724465549</v>
      </c>
      <c r="FC40" t="s">
        <v>1900</v>
      </c>
      <c r="FD40">
        <v>161335.387455339</v>
      </c>
      <c r="FE40">
        <v>162363.011106175</v>
      </c>
      <c r="FF40">
        <v>178433.363498926</v>
      </c>
      <c r="FG40">
        <v>204908.796286535</v>
      </c>
      <c r="FH40" t="s">
        <v>1900</v>
      </c>
      <c r="FI40">
        <v>0</v>
      </c>
      <c r="FJ40">
        <v>0</v>
      </c>
      <c r="FK40">
        <v>0</v>
      </c>
      <c r="FL40">
        <v>0</v>
      </c>
      <c r="FM40" t="s">
        <v>1900</v>
      </c>
      <c r="FN40">
        <v>115430.340803719</v>
      </c>
      <c r="FO40">
        <v>121786.356108367</v>
      </c>
      <c r="FP40">
        <v>140081.240561557</v>
      </c>
      <c r="FQ40">
        <v>163053.654011256</v>
      </c>
      <c r="FR40" t="s">
        <v>1900</v>
      </c>
      <c r="FS40">
        <v>45905.0466516209</v>
      </c>
      <c r="FT40">
        <v>40576.6549978077</v>
      </c>
      <c r="FU40">
        <v>38352.1229373693</v>
      </c>
      <c r="FV40">
        <v>41855.1422752798</v>
      </c>
      <c r="FW40" t="s">
        <v>1900</v>
      </c>
      <c r="FX40">
        <v>0</v>
      </c>
      <c r="FY40">
        <v>0</v>
      </c>
      <c r="FZ40">
        <v>0</v>
      </c>
      <c r="GA40">
        <v>0</v>
      </c>
      <c r="GB40" t="s">
        <v>1900</v>
      </c>
      <c r="GC40">
        <v>115430.340803719</v>
      </c>
      <c r="GD40">
        <v>121786.356108367</v>
      </c>
      <c r="GE40">
        <v>140081.240561557</v>
      </c>
      <c r="GF40">
        <v>163053.654011256</v>
      </c>
      <c r="GG40" t="s">
        <v>1900</v>
      </c>
      <c r="GH40">
        <v>45905.0466516209</v>
      </c>
      <c r="GI40">
        <v>40576.6549978077</v>
      </c>
      <c r="GJ40">
        <v>38352.1229373693</v>
      </c>
      <c r="GK40">
        <v>41855.1422752798</v>
      </c>
      <c r="GL40" t="s">
        <v>1900</v>
      </c>
      <c r="GM40">
        <v>367359.304416342</v>
      </c>
      <c r="GN40">
        <v>308385.750050217</v>
      </c>
      <c r="GO40">
        <v>400956.297290754</v>
      </c>
      <c r="GP40">
        <v>144724.938073391</v>
      </c>
      <c r="GQ40" t="s">
        <v>1900</v>
      </c>
      <c r="GR40">
        <v>0</v>
      </c>
      <c r="GS40">
        <v>0</v>
      </c>
      <c r="GT40">
        <v>0</v>
      </c>
      <c r="GU40">
        <v>0</v>
      </c>
      <c r="GV40" t="s">
        <v>1900</v>
      </c>
      <c r="GW40">
        <v>174675.505942221</v>
      </c>
      <c r="GX40">
        <v>215330.970986784</v>
      </c>
      <c r="GY40">
        <v>316833.428794098</v>
      </c>
      <c r="GZ40">
        <v>144681.768720037</v>
      </c>
      <c r="HA40" t="s">
        <v>1900</v>
      </c>
      <c r="HB40">
        <v>192683.798474121</v>
      </c>
      <c r="HC40">
        <v>93054.77906343339</v>
      </c>
      <c r="HD40">
        <v>84122.8684966564</v>
      </c>
      <c r="HE40">
        <v>43.1693533539772</v>
      </c>
      <c r="HF40" t="s">
        <v>1900</v>
      </c>
      <c r="HG40">
        <v>192683.798474121</v>
      </c>
      <c r="HH40">
        <v>93054.77906343339</v>
      </c>
      <c r="HI40">
        <v>84122.8684966564</v>
      </c>
      <c r="HJ40">
        <v>43.1693533539772</v>
      </c>
      <c r="HK40" t="s">
        <v>1900</v>
      </c>
      <c r="HL40">
        <v>528694.691871681</v>
      </c>
      <c r="HM40">
        <v>470748.761156392</v>
      </c>
      <c r="HN40">
        <v>579389.66078968</v>
      </c>
      <c r="HO40">
        <v>349633.734359926</v>
      </c>
      <c r="HP40" t="s">
        <v>1900</v>
      </c>
      <c r="HQ40">
        <v>188178.379952145</v>
      </c>
      <c r="HR40">
        <v>153988.754548043</v>
      </c>
      <c r="HS40">
        <v>83643.59735054969</v>
      </c>
      <c r="HT40">
        <v>23647.2710764229</v>
      </c>
      <c r="HU40" t="s">
        <v>1900</v>
      </c>
      <c r="HV40">
        <v>69615.03124237061</v>
      </c>
      <c r="HW40">
        <v>67195.76776027679</v>
      </c>
      <c r="HX40">
        <v>71353.8193702698</v>
      </c>
      <c r="HY40">
        <v>77307.2558641434</v>
      </c>
      <c r="HZ40" t="s">
        <v>1900</v>
      </c>
      <c r="IA40">
        <v>118563.348709774</v>
      </c>
      <c r="IB40">
        <v>86792.9867877662</v>
      </c>
      <c r="IC40">
        <v>12289.7779802799</v>
      </c>
      <c r="ID40">
        <v>-53659.9847877204</v>
      </c>
      <c r="IE40" t="s">
        <v>1900</v>
      </c>
      <c r="IF40">
        <v>74181.7662418651</v>
      </c>
      <c r="IG40">
        <v>96401.40561376209</v>
      </c>
      <c r="IH40">
        <v>128389.350957584</v>
      </c>
      <c r="II40">
        <v>115031.773290658</v>
      </c>
      <c r="IJ40" t="s">
        <v>1900</v>
      </c>
      <c r="IK40">
        <v>74181.7662418651</v>
      </c>
      <c r="IL40">
        <v>96401.40561376209</v>
      </c>
      <c r="IM40">
        <v>128389.350957584</v>
      </c>
      <c r="IN40">
        <v>115031.773290658</v>
      </c>
      <c r="IO40" t="s">
        <v>1900</v>
      </c>
      <c r="IP40">
        <v>0</v>
      </c>
      <c r="IQ40">
        <v>0</v>
      </c>
      <c r="IR40">
        <v>0</v>
      </c>
      <c r="IS40">
        <v>0</v>
      </c>
      <c r="IT40" t="s">
        <v>1900</v>
      </c>
      <c r="IU40">
        <v>0</v>
      </c>
      <c r="IV40">
        <v>0</v>
      </c>
      <c r="IW40">
        <v>0</v>
      </c>
      <c r="IX40">
        <v>0</v>
      </c>
      <c r="IY40" t="s">
        <v>1900</v>
      </c>
      <c r="IZ40">
        <v>266334.545677671</v>
      </c>
      <c r="JA40">
        <v>220358.600994587</v>
      </c>
      <c r="JB40">
        <v>367356.712481546</v>
      </c>
      <c r="JC40">
        <v>210954.689992845</v>
      </c>
      <c r="JD40" t="s">
        <v>1900</v>
      </c>
      <c r="JE40">
        <v>0</v>
      </c>
      <c r="JF40">
        <v>0</v>
      </c>
      <c r="JG40">
        <v>0</v>
      </c>
      <c r="JH40">
        <v>0</v>
      </c>
      <c r="JI40" t="s">
        <v>1900</v>
      </c>
      <c r="JJ40">
        <v>0</v>
      </c>
      <c r="JK40">
        <v>0</v>
      </c>
      <c r="JL40">
        <v>0</v>
      </c>
      <c r="JM40">
        <v>0</v>
      </c>
      <c r="JN40" t="s">
        <v>1900</v>
      </c>
      <c r="JO40">
        <v>266334.545677671</v>
      </c>
      <c r="JP40">
        <v>220358.600994587</v>
      </c>
      <c r="JQ40">
        <v>367356.712481546</v>
      </c>
      <c r="JR40">
        <v>210954.689992845</v>
      </c>
      <c r="JS40" t="s">
        <v>1900</v>
      </c>
      <c r="JT40">
        <v>528694.691871681</v>
      </c>
      <c r="JU40">
        <v>470748.761156392</v>
      </c>
      <c r="JV40">
        <v>579389.66078968</v>
      </c>
      <c r="JW40">
        <v>349633.734359926</v>
      </c>
      <c r="JX40" t="s">
        <v>1900</v>
      </c>
      <c r="JY40">
        <v>174675.505942221</v>
      </c>
      <c r="JZ40">
        <v>215330.970986784</v>
      </c>
      <c r="KA40">
        <v>316833.428794098</v>
      </c>
      <c r="KB40">
        <v>144681.768720037</v>
      </c>
      <c r="KC40" t="s">
        <v>1900</v>
      </c>
      <c r="KD40" t="s">
        <v>1900</v>
      </c>
      <c r="KE40" t="s">
        <v>1900</v>
      </c>
      <c r="KF40" t="s">
        <v>1900</v>
      </c>
      <c r="KG40" t="s">
        <v>1900</v>
      </c>
      <c r="KH40" t="s">
        <v>1900</v>
      </c>
      <c r="KI40" t="s">
        <v>1900</v>
      </c>
      <c r="KJ40" t="s">
        <v>1900</v>
      </c>
      <c r="KK40" t="s">
        <v>1900</v>
      </c>
      <c r="KL40" t="s">
        <v>1900</v>
      </c>
      <c r="KM40" t="s">
        <v>1900</v>
      </c>
      <c r="KN40">
        <v>23</v>
      </c>
      <c r="KO40">
        <v>25</v>
      </c>
      <c r="KP40">
        <v>26</v>
      </c>
      <c r="KQ40">
        <v>26</v>
      </c>
      <c r="KR40" t="s">
        <v>1900</v>
      </c>
      <c r="KS40" t="s">
        <v>1900</v>
      </c>
      <c r="KT40" t="s">
        <v>1900</v>
      </c>
      <c r="KU40" t="s">
        <v>1900</v>
      </c>
      <c r="KV40" t="s">
        <v>1900</v>
      </c>
      <c r="KW40" t="s">
        <v>1900</v>
      </c>
      <c r="KX40" t="s">
        <v>1900</v>
      </c>
      <c r="KY40" t="s">
        <v>1900</v>
      </c>
      <c r="KZ40" t="s">
        <v>1900</v>
      </c>
      <c r="LA40" t="s">
        <v>1900</v>
      </c>
      <c r="LB40" t="s">
        <v>1900</v>
      </c>
      <c r="LC40" t="s">
        <v>1900</v>
      </c>
      <c r="LD40" t="s">
        <v>1900</v>
      </c>
      <c r="LE40" t="s">
        <v>1900</v>
      </c>
      <c r="LF40" t="s">
        <v>1900</v>
      </c>
      <c r="LG40" t="s">
        <v>1900</v>
      </c>
      <c r="LH40" t="s">
        <v>1900</v>
      </c>
      <c r="LI40" t="s">
        <v>1900</v>
      </c>
      <c r="LJ40" t="s">
        <v>1900</v>
      </c>
      <c r="LK40" t="s">
        <v>1900</v>
      </c>
      <c r="LL40" t="s">
        <v>1900</v>
      </c>
      <c r="LM40" t="s">
        <v>1900</v>
      </c>
      <c r="LN40" t="s">
        <v>1900</v>
      </c>
      <c r="LO40" t="s">
        <v>1900</v>
      </c>
      <c r="LP40" t="s">
        <v>1900</v>
      </c>
      <c r="LQ40" t="s">
        <v>1900</v>
      </c>
      <c r="LR40" t="s">
        <v>1900</v>
      </c>
      <c r="LS40" t="s">
        <v>1900</v>
      </c>
      <c r="LT40" t="s">
        <v>1900</v>
      </c>
      <c r="LU40" t="s">
        <v>1900</v>
      </c>
      <c r="LV40" t="s">
        <v>1900</v>
      </c>
      <c r="LW40" t="s">
        <v>1900</v>
      </c>
      <c r="LX40" t="s">
        <v>1900</v>
      </c>
      <c r="LY40" t="s">
        <v>1900</v>
      </c>
      <c r="LZ40" t="s">
        <v>1900</v>
      </c>
      <c r="MA40" t="s">
        <v>1900</v>
      </c>
      <c r="MB40" t="s">
        <v>1900</v>
      </c>
      <c r="MC40" t="s">
        <v>1900</v>
      </c>
      <c r="MD40" t="s">
        <v>1900</v>
      </c>
      <c r="ME40" t="s">
        <v>1900</v>
      </c>
      <c r="MF40" t="s">
        <v>1900</v>
      </c>
      <c r="MG40" t="s">
        <v>1900</v>
      </c>
      <c r="MH40" t="s">
        <v>1900</v>
      </c>
      <c r="MI40" t="s">
        <v>1900</v>
      </c>
      <c r="MJ40" t="s">
        <v>1900</v>
      </c>
      <c r="MK40" t="s">
        <v>1900</v>
      </c>
      <c r="ML40" t="s">
        <v>1900</v>
      </c>
      <c r="MM40" t="s">
        <v>1900</v>
      </c>
      <c r="MN40" t="s">
        <v>1900</v>
      </c>
      <c r="MO40" t="s">
        <v>1900</v>
      </c>
      <c r="MP40" t="s">
        <v>1900</v>
      </c>
      <c r="MQ40">
        <v>192683.798474121</v>
      </c>
      <c r="MR40">
        <v>93054.77906343339</v>
      </c>
      <c r="MS40">
        <v>84122.8684966564</v>
      </c>
      <c r="MT40">
        <v>43.1693533539772</v>
      </c>
      <c r="MU40" t="s">
        <v>1900</v>
      </c>
      <c r="MV40" t="s">
        <v>1900</v>
      </c>
      <c r="MW40" t="s">
        <v>1900</v>
      </c>
      <c r="MX40" t="s">
        <v>1900</v>
      </c>
      <c r="MY40" t="s">
        <v>1900</v>
      </c>
      <c r="MZ40" t="s">
        <v>1900</v>
      </c>
      <c r="NA40" t="s">
        <v>1900</v>
      </c>
      <c r="NB40" t="s">
        <v>1900</v>
      </c>
      <c r="NC40" t="s">
        <v>1900</v>
      </c>
      <c r="ND40" t="s">
        <v>1900</v>
      </c>
      <c r="NE40" t="s">
        <v>1900</v>
      </c>
      <c r="NF40" t="s">
        <v>1900</v>
      </c>
      <c r="NG40" t="s">
        <v>1900</v>
      </c>
      <c r="NH40" t="s">
        <v>1900</v>
      </c>
      <c r="NI40" t="s">
        <v>1900</v>
      </c>
      <c r="NJ40" t="s">
        <v>1900</v>
      </c>
      <c r="NK40" t="s">
        <v>1900</v>
      </c>
      <c r="NL40" t="s">
        <v>1900</v>
      </c>
      <c r="NM40" t="s">
        <v>1900</v>
      </c>
      <c r="NN40" t="s">
        <v>1900</v>
      </c>
      <c r="NO40" t="s">
        <v>1900</v>
      </c>
      <c r="NP40" t="s">
        <v>1900</v>
      </c>
      <c r="NQ40" t="s">
        <v>1900</v>
      </c>
      <c r="NR40" t="s">
        <v>1900</v>
      </c>
      <c r="NS40" t="s">
        <v>1900</v>
      </c>
      <c r="NT40" t="s">
        <v>1900</v>
      </c>
      <c r="NU40">
        <v>161335.387455339</v>
      </c>
      <c r="NV40">
        <v>162363.011106175</v>
      </c>
      <c r="NW40">
        <v>178433.363498926</v>
      </c>
      <c r="NX40">
        <v>204908.796286535</v>
      </c>
      <c r="NY40" t="s">
        <v>1900</v>
      </c>
      <c r="NZ40" t="s">
        <v>1900</v>
      </c>
      <c r="OA40" t="s">
        <v>1900</v>
      </c>
      <c r="OB40" t="s">
        <v>1900</v>
      </c>
      <c r="OC40" t="s">
        <v>1900</v>
      </c>
      <c r="OD40" t="s">
        <v>1900</v>
      </c>
      <c r="OE40" t="s">
        <v>1900</v>
      </c>
      <c r="OF40" t="s">
        <v>1900</v>
      </c>
      <c r="OG40" t="s">
        <v>1900</v>
      </c>
      <c r="OH40" t="s">
        <v>1900</v>
      </c>
      <c r="OI40" t="s">
        <v>1900</v>
      </c>
      <c r="OJ40" t="s">
        <v>1900</v>
      </c>
      <c r="OK40" t="s">
        <v>1900</v>
      </c>
      <c r="OL40" t="s">
        <v>1900</v>
      </c>
      <c r="OM40" t="s">
        <v>1900</v>
      </c>
      <c r="ON40" t="s">
        <v>1900</v>
      </c>
      <c r="OO40" t="s">
        <v>1900</v>
      </c>
      <c r="OP40" t="s">
        <v>1900</v>
      </c>
      <c r="OQ40" t="s">
        <v>1900</v>
      </c>
      <c r="OR40" t="s">
        <v>1900</v>
      </c>
      <c r="OS40" t="s">
        <v>1900</v>
      </c>
      <c r="OT40" t="s">
        <v>1900</v>
      </c>
      <c r="OU40" t="s">
        <v>1900</v>
      </c>
      <c r="OV40" t="s">
        <v>1900</v>
      </c>
      <c r="OW40" t="s">
        <v>1900</v>
      </c>
      <c r="OX40" t="s">
        <v>1900</v>
      </c>
      <c r="OY40" t="s">
        <v>1900</v>
      </c>
      <c r="OZ40" t="s">
        <v>1900</v>
      </c>
      <c r="PA40" t="s">
        <v>1900</v>
      </c>
      <c r="PB40" t="s">
        <v>1900</v>
      </c>
      <c r="PC40" t="s">
        <v>1900</v>
      </c>
      <c r="PD40" t="s">
        <v>1900</v>
      </c>
      <c r="PE40" t="s">
        <v>1900</v>
      </c>
      <c r="PF40" t="s">
        <v>1900</v>
      </c>
      <c r="PG40" t="s">
        <v>1900</v>
      </c>
      <c r="PH40" t="s">
        <v>1900</v>
      </c>
      <c r="PI40" t="s">
        <v>1900</v>
      </c>
      <c r="PJ40" t="s">
        <v>1900</v>
      </c>
      <c r="PK40" t="s">
        <v>1900</v>
      </c>
      <c r="PL40" t="s">
        <v>1900</v>
      </c>
      <c r="PM40" t="s">
        <v>1900</v>
      </c>
      <c r="PN40" t="s">
        <v>1900</v>
      </c>
      <c r="PO40" t="s">
        <v>1900</v>
      </c>
      <c r="PP40" t="s">
        <v>1900</v>
      </c>
      <c r="PQ40" t="s">
        <v>1900</v>
      </c>
      <c r="PR40" t="s">
        <v>1900</v>
      </c>
      <c r="PS40" t="s">
        <v>1900</v>
      </c>
      <c r="PT40" t="s">
        <v>1900</v>
      </c>
      <c r="PU40" t="s">
        <v>1900</v>
      </c>
      <c r="PV40" t="s">
        <v>1900</v>
      </c>
      <c r="PW40" t="s">
        <v>1900</v>
      </c>
      <c r="PX40" t="s">
        <v>1900</v>
      </c>
      <c r="PY40" t="s">
        <v>1900</v>
      </c>
      <c r="PZ40" t="s">
        <v>1900</v>
      </c>
      <c r="QA40" t="s">
        <v>1900</v>
      </c>
      <c r="QB40" t="s">
        <v>1900</v>
      </c>
      <c r="QC40" t="s">
        <v>1900</v>
      </c>
      <c r="QD40" t="s">
        <v>1900</v>
      </c>
      <c r="QE40" t="s">
        <v>1900</v>
      </c>
      <c r="QF40" t="s">
        <v>1900</v>
      </c>
      <c r="QG40" t="s">
        <v>1900</v>
      </c>
      <c r="QH40" t="s">
        <v>1900</v>
      </c>
      <c r="QI40" t="s">
        <v>1900</v>
      </c>
      <c r="QJ40" t="s">
        <v>1900</v>
      </c>
      <c r="QK40" t="s">
        <v>1900</v>
      </c>
      <c r="QL40" t="s">
        <v>1900</v>
      </c>
      <c r="QM40" t="s">
        <v>1900</v>
      </c>
      <c r="QN40" t="s">
        <v>1900</v>
      </c>
      <c r="QO40" t="s">
        <v>1900</v>
      </c>
      <c r="QP40" t="s">
        <v>1900</v>
      </c>
      <c r="QQ40" t="s">
        <v>1900</v>
      </c>
      <c r="QR40" t="s">
        <v>1900</v>
      </c>
      <c r="QS40" t="s">
        <v>1900</v>
      </c>
      <c r="QT40" t="s">
        <v>1900</v>
      </c>
      <c r="QU40" t="s">
        <v>1900</v>
      </c>
      <c r="QV40" t="s">
        <v>1900</v>
      </c>
      <c r="QW40" t="s">
        <v>1900</v>
      </c>
      <c r="QX40" t="s">
        <v>1900</v>
      </c>
      <c r="QY40" t="s">
        <v>1900</v>
      </c>
      <c r="QZ40" t="s">
        <v>1900</v>
      </c>
      <c r="RA40" t="s">
        <v>1900</v>
      </c>
      <c r="RB40" t="s">
        <v>1900</v>
      </c>
      <c r="RC40" t="s">
        <v>1900</v>
      </c>
      <c r="RD40" t="s">
        <v>1900</v>
      </c>
      <c r="RE40" t="s">
        <v>1900</v>
      </c>
      <c r="RF40" t="s">
        <v>1900</v>
      </c>
      <c r="RG40" t="s">
        <v>1900</v>
      </c>
      <c r="RH40" t="s">
        <v>1900</v>
      </c>
      <c r="RI40" t="s">
        <v>1900</v>
      </c>
      <c r="RJ40" t="s">
        <v>1900</v>
      </c>
      <c r="RK40" t="s">
        <v>1900</v>
      </c>
      <c r="RL40" t="s">
        <v>1900</v>
      </c>
      <c r="RM40" t="s">
        <v>1900</v>
      </c>
      <c r="RN40" t="s">
        <v>1900</v>
      </c>
      <c r="RO40" t="s">
        <v>1900</v>
      </c>
      <c r="RP40" t="s">
        <v>1900</v>
      </c>
      <c r="RQ40" t="s">
        <v>1900</v>
      </c>
      <c r="RR40" t="s">
        <v>1900</v>
      </c>
      <c r="RS40" t="s">
        <v>1900</v>
      </c>
      <c r="RT40" t="s">
        <v>1900</v>
      </c>
      <c r="RU40" t="s">
        <v>1900</v>
      </c>
      <c r="RV40" t="s">
        <v>1900</v>
      </c>
      <c r="RW40" t="s">
        <v>1900</v>
      </c>
      <c r="RX40" t="s">
        <v>1900</v>
      </c>
      <c r="RY40" t="s">
        <v>1900</v>
      </c>
      <c r="RZ40" t="s">
        <v>1900</v>
      </c>
      <c r="SA40" t="s">
        <v>1900</v>
      </c>
      <c r="SB40" t="s">
        <v>1900</v>
      </c>
      <c r="SC40" t="s">
        <v>1900</v>
      </c>
      <c r="SD40" t="s">
        <v>1900</v>
      </c>
      <c r="SE40" t="s">
        <v>1900</v>
      </c>
      <c r="SF40" t="s">
        <v>1900</v>
      </c>
      <c r="SG40" t="s">
        <v>1900</v>
      </c>
      <c r="SH40" t="s">
        <v>1900</v>
      </c>
      <c r="SI40" t="s">
        <v>1900</v>
      </c>
      <c r="SJ40" t="s">
        <v>1900</v>
      </c>
      <c r="SK40">
        <v>45905.0466516209</v>
      </c>
      <c r="SL40">
        <v>40576.6549978077</v>
      </c>
      <c r="SM40">
        <v>38352.1229373693</v>
      </c>
      <c r="SN40">
        <v>41855.1422752798</v>
      </c>
      <c r="SO40" t="s">
        <v>1900</v>
      </c>
      <c r="SP40" t="s">
        <v>1900</v>
      </c>
      <c r="SQ40" t="s">
        <v>1900</v>
      </c>
      <c r="SR40" t="s">
        <v>1900</v>
      </c>
      <c r="SS40" t="s">
        <v>1900</v>
      </c>
      <c r="ST40" t="s">
        <v>1900</v>
      </c>
      <c r="SU40" t="s">
        <v>1900</v>
      </c>
      <c r="SV40" t="s">
        <v>1900</v>
      </c>
      <c r="SW40" t="s">
        <v>1900</v>
      </c>
      <c r="SX40" t="s">
        <v>1900</v>
      </c>
      <c r="SY40" t="s">
        <v>1900</v>
      </c>
      <c r="SZ40" t="s">
        <v>1900</v>
      </c>
      <c r="TA40" t="s">
        <v>1900</v>
      </c>
      <c r="TB40" t="s">
        <v>1900</v>
      </c>
      <c r="TC40" t="s">
        <v>1900</v>
      </c>
      <c r="TD40" t="s">
        <v>1900</v>
      </c>
      <c r="TE40" t="s">
        <v>1900</v>
      </c>
      <c r="TF40" t="s">
        <v>1900</v>
      </c>
      <c r="TG40" t="s">
        <v>1900</v>
      </c>
      <c r="TH40" t="s">
        <v>1900</v>
      </c>
      <c r="TI40" t="s">
        <v>1900</v>
      </c>
      <c r="TJ40" t="s">
        <v>1900</v>
      </c>
      <c r="TK40" t="s">
        <v>1900</v>
      </c>
      <c r="TL40" t="s">
        <v>1900</v>
      </c>
      <c r="TM40" t="s">
        <v>1900</v>
      </c>
      <c r="TN40" t="s">
        <v>1900</v>
      </c>
      <c r="TO40" t="s">
        <v>1900</v>
      </c>
      <c r="TP40" t="s">
        <v>1900</v>
      </c>
      <c r="TQ40" t="s">
        <v>1900</v>
      </c>
      <c r="TR40" t="s">
        <v>1900</v>
      </c>
      <c r="TS40" t="s">
        <v>1900</v>
      </c>
      <c r="TT40">
        <v>528694.691871681</v>
      </c>
      <c r="TU40">
        <v>470748.761156392</v>
      </c>
      <c r="TV40">
        <v>579389.66078968</v>
      </c>
      <c r="TW40">
        <v>349633.734359926</v>
      </c>
      <c r="TX40" t="s">
        <v>1900</v>
      </c>
      <c r="TY40" t="s">
        <v>1900</v>
      </c>
      <c r="TZ40" t="s">
        <v>1900</v>
      </c>
      <c r="UA40" t="s">
        <v>1900</v>
      </c>
      <c r="UB40" t="s">
        <v>1900</v>
      </c>
      <c r="UC40" t="s">
        <v>1900</v>
      </c>
      <c r="UD40">
        <v>0</v>
      </c>
      <c r="UE40">
        <v>0</v>
      </c>
      <c r="UF40">
        <v>0</v>
      </c>
      <c r="UG40">
        <v>0</v>
      </c>
      <c r="UH40" t="s">
        <v>1900</v>
      </c>
      <c r="UI40" t="s">
        <v>1900</v>
      </c>
      <c r="UJ40" t="s">
        <v>1900</v>
      </c>
      <c r="UK40" t="s">
        <v>1900</v>
      </c>
      <c r="UL40" t="s">
        <v>1900</v>
      </c>
      <c r="UM40" t="s">
        <v>1900</v>
      </c>
      <c r="UN40" t="s">
        <v>1900</v>
      </c>
      <c r="UO40" t="s">
        <v>1900</v>
      </c>
      <c r="UP40" t="s">
        <v>1900</v>
      </c>
      <c r="UQ40" t="s">
        <v>1900</v>
      </c>
      <c r="UR40" t="s">
        <v>1900</v>
      </c>
      <c r="US40" t="s">
        <v>1900</v>
      </c>
      <c r="UT40" t="s">
        <v>1900</v>
      </c>
      <c r="UU40" t="s">
        <v>1900</v>
      </c>
      <c r="UV40" t="s">
        <v>1900</v>
      </c>
      <c r="UW40" t="s">
        <v>1900</v>
      </c>
      <c r="UX40" t="s">
        <v>1900</v>
      </c>
      <c r="UY40" t="s">
        <v>1900</v>
      </c>
      <c r="UZ40" t="s">
        <v>1900</v>
      </c>
      <c r="VA40" t="s">
        <v>1900</v>
      </c>
      <c r="VB40" t="s">
        <v>1900</v>
      </c>
      <c r="VC40" t="s">
        <v>1900</v>
      </c>
      <c r="VD40" t="s">
        <v>1900</v>
      </c>
      <c r="VE40" t="s">
        <v>1900</v>
      </c>
      <c r="VF40" t="s">
        <v>1900</v>
      </c>
      <c r="VG40" t="s">
        <v>1900</v>
      </c>
      <c r="VH40" t="s">
        <v>1900</v>
      </c>
      <c r="VI40" t="s">
        <v>1900</v>
      </c>
      <c r="VJ40" t="s">
        <v>1900</v>
      </c>
      <c r="VK40" t="s">
        <v>1900</v>
      </c>
      <c r="VL40" t="s">
        <v>1900</v>
      </c>
      <c r="VM40" t="s">
        <v>1900</v>
      </c>
      <c r="VN40" t="s">
        <v>1900</v>
      </c>
      <c r="VO40" t="s">
        <v>1900</v>
      </c>
      <c r="VP40" t="s">
        <v>1900</v>
      </c>
      <c r="VQ40" t="s">
        <v>1900</v>
      </c>
      <c r="VR40" t="s">
        <v>1900</v>
      </c>
      <c r="VS40" t="s">
        <v>1900</v>
      </c>
      <c r="VT40" t="s">
        <v>1900</v>
      </c>
      <c r="VU40" t="s">
        <v>1900</v>
      </c>
      <c r="VV40" t="s">
        <v>1900</v>
      </c>
      <c r="VW40" t="s">
        <v>1900</v>
      </c>
      <c r="VX40" t="s">
        <v>1900</v>
      </c>
      <c r="VY40" t="s">
        <v>1900</v>
      </c>
      <c r="VZ40" t="s">
        <v>1900</v>
      </c>
      <c r="WA40" t="s">
        <v>1900</v>
      </c>
      <c r="WB40">
        <v>266334.545677671</v>
      </c>
      <c r="WC40">
        <v>220358.600994587</v>
      </c>
      <c r="WD40">
        <v>367356.712481546</v>
      </c>
      <c r="WE40">
        <v>210954.689992845</v>
      </c>
      <c r="WF40" t="s">
        <v>1900</v>
      </c>
      <c r="WG40" t="s">
        <v>1900</v>
      </c>
      <c r="WH40" t="s">
        <v>1900</v>
      </c>
      <c r="WI40" t="s">
        <v>1900</v>
      </c>
      <c r="WJ40" t="s">
        <v>1900</v>
      </c>
      <c r="WK40" t="s">
        <v>1900</v>
      </c>
      <c r="WL40" t="s">
        <v>1900</v>
      </c>
      <c r="WM40" t="s">
        <v>1900</v>
      </c>
      <c r="WN40" t="s">
        <v>1900</v>
      </c>
      <c r="WO40" t="s">
        <v>1900</v>
      </c>
      <c r="WP40" t="s">
        <v>1900</v>
      </c>
      <c r="WQ40" t="s">
        <v>1900</v>
      </c>
      <c r="WR40" t="s">
        <v>1900</v>
      </c>
      <c r="WS40" t="s">
        <v>1900</v>
      </c>
      <c r="WT40" t="s">
        <v>1900</v>
      </c>
      <c r="WU40" t="s">
        <v>1900</v>
      </c>
      <c r="WV40" t="s">
        <v>1900</v>
      </c>
      <c r="WW40" t="s">
        <v>1900</v>
      </c>
      <c r="WX40" t="s">
        <v>1900</v>
      </c>
      <c r="WY40" t="s">
        <v>1900</v>
      </c>
      <c r="WZ40" t="s">
        <v>1900</v>
      </c>
      <c r="XA40" t="s">
        <v>1900</v>
      </c>
      <c r="XB40" t="s">
        <v>1900</v>
      </c>
      <c r="XC40" t="s">
        <v>1900</v>
      </c>
      <c r="XD40" t="s">
        <v>1900</v>
      </c>
      <c r="XE40" t="s">
        <v>1900</v>
      </c>
      <c r="XF40" t="s">
        <v>1900</v>
      </c>
      <c r="XG40" t="s">
        <v>1900</v>
      </c>
      <c r="XH40" t="s">
        <v>1900</v>
      </c>
      <c r="XI40" t="s">
        <v>1900</v>
      </c>
      <c r="XJ40" t="s">
        <v>1900</v>
      </c>
      <c r="XK40">
        <v>0</v>
      </c>
      <c r="XL40">
        <v>0</v>
      </c>
      <c r="XM40">
        <v>0</v>
      </c>
      <c r="XN40">
        <v>0</v>
      </c>
      <c r="XO40" t="s">
        <v>1900</v>
      </c>
      <c r="XP40" t="s">
        <v>1900</v>
      </c>
      <c r="XQ40" t="s">
        <v>1900</v>
      </c>
      <c r="XR40" t="s">
        <v>1900</v>
      </c>
      <c r="XS40" t="s">
        <v>1900</v>
      </c>
      <c r="XT40" t="s">
        <v>1900</v>
      </c>
      <c r="XU40" t="s">
        <v>1900</v>
      </c>
      <c r="XV40" t="s">
        <v>1900</v>
      </c>
      <c r="XW40" t="s">
        <v>1900</v>
      </c>
      <c r="XX40" t="s">
        <v>1900</v>
      </c>
      <c r="XY40" t="s">
        <v>1900</v>
      </c>
      <c r="XZ40">
        <v>0</v>
      </c>
      <c r="YA40">
        <v>0</v>
      </c>
      <c r="YB40">
        <v>0</v>
      </c>
      <c r="YC40">
        <v>0</v>
      </c>
      <c r="YD40" t="s">
        <v>1900</v>
      </c>
      <c r="YE40" t="s">
        <v>1900</v>
      </c>
      <c r="YF40" t="s">
        <v>1900</v>
      </c>
      <c r="YG40" t="s">
        <v>1900</v>
      </c>
      <c r="YH40" t="s">
        <v>1900</v>
      </c>
      <c r="YI40" t="s">
        <v>1900</v>
      </c>
      <c r="YJ40" t="s">
        <v>1900</v>
      </c>
      <c r="YK40" t="s">
        <v>1900</v>
      </c>
      <c r="YL40" t="s">
        <v>1900</v>
      </c>
      <c r="YM40" t="s">
        <v>1900</v>
      </c>
      <c r="YN40" t="s">
        <v>1900</v>
      </c>
      <c r="YO40" t="s">
        <v>1900</v>
      </c>
      <c r="YP40" t="s">
        <v>1900</v>
      </c>
      <c r="YQ40" t="s">
        <v>1900</v>
      </c>
      <c r="YR40" t="s">
        <v>1900</v>
      </c>
      <c r="YS40" t="s">
        <v>1900</v>
      </c>
      <c r="YT40" t="s">
        <v>1900</v>
      </c>
      <c r="YU40" t="s">
        <v>1900</v>
      </c>
      <c r="YV40" t="s">
        <v>1900</v>
      </c>
      <c r="YW40" t="s">
        <v>1900</v>
      </c>
      <c r="YX40" t="s">
        <v>1900</v>
      </c>
      <c r="YY40" t="s">
        <v>1900</v>
      </c>
      <c r="YZ40" t="s">
        <v>1900</v>
      </c>
      <c r="ZA40" t="s">
        <v>1900</v>
      </c>
      <c r="ZB40" t="s">
        <v>1900</v>
      </c>
      <c r="ZC40" t="s">
        <v>1900</v>
      </c>
      <c r="ZD40" t="s">
        <v>1900</v>
      </c>
      <c r="ZE40" t="s">
        <v>1900</v>
      </c>
      <c r="ZF40" t="s">
        <v>1900</v>
      </c>
      <c r="ZG40" t="s">
        <v>1900</v>
      </c>
      <c r="ZH40" t="s">
        <v>1900</v>
      </c>
      <c r="ZI40" t="s">
        <v>1900</v>
      </c>
      <c r="ZJ40" t="s">
        <v>1900</v>
      </c>
      <c r="ZK40" t="s">
        <v>1900</v>
      </c>
      <c r="ZL40" t="s">
        <v>1900</v>
      </c>
      <c r="ZM40" t="s">
        <v>1900</v>
      </c>
      <c r="ZN40" t="s">
        <v>1900</v>
      </c>
      <c r="ZO40" t="s">
        <v>1900</v>
      </c>
      <c r="ZP40" t="s">
        <v>1900</v>
      </c>
      <c r="ZQ40" t="s">
        <v>1900</v>
      </c>
      <c r="ZR40" t="s">
        <v>1900</v>
      </c>
      <c r="ZS40" t="s">
        <v>1900</v>
      </c>
      <c r="ZT40" t="s">
        <v>1900</v>
      </c>
      <c r="ZU40" t="s">
        <v>1900</v>
      </c>
      <c r="ZV40" t="s">
        <v>1900</v>
      </c>
      <c r="ZW40" t="s">
        <v>1900</v>
      </c>
      <c r="ZX40" t="s">
        <v>1900</v>
      </c>
      <c r="ZY40" t="s">
        <v>1900</v>
      </c>
      <c r="ZZ40" t="s">
        <v>1900</v>
      </c>
      <c r="AAA40" t="s">
        <v>1900</v>
      </c>
      <c r="AAB40" t="s">
        <v>1900</v>
      </c>
      <c r="AAC40" t="s">
        <v>1900</v>
      </c>
      <c r="AAD40" t="s">
        <v>1900</v>
      </c>
      <c r="AAE40" t="s">
        <v>1900</v>
      </c>
      <c r="AAF40" t="s">
        <v>1900</v>
      </c>
      <c r="AAG40" t="s">
        <v>1900</v>
      </c>
      <c r="AAH40" t="s">
        <v>1900</v>
      </c>
      <c r="AAI40" t="s">
        <v>1900</v>
      </c>
      <c r="AAJ40" t="s">
        <v>1900</v>
      </c>
      <c r="AAK40" t="s">
        <v>1900</v>
      </c>
      <c r="AAL40" t="s">
        <v>1900</v>
      </c>
      <c r="AAM40" t="s">
        <v>1900</v>
      </c>
      <c r="AAN40" t="s">
        <v>1900</v>
      </c>
      <c r="AAO40" t="s">
        <v>1900</v>
      </c>
      <c r="AAP40" t="s">
        <v>1900</v>
      </c>
      <c r="AAQ40" t="s">
        <v>1900</v>
      </c>
      <c r="AAR40" t="s">
        <v>1900</v>
      </c>
      <c r="AAS40" t="s">
        <v>1900</v>
      </c>
      <c r="AAT40" t="s">
        <v>1900</v>
      </c>
      <c r="AAU40" t="s">
        <v>1900</v>
      </c>
      <c r="AAV40" t="s">
        <v>1900</v>
      </c>
      <c r="AAW40" t="s">
        <v>1900</v>
      </c>
      <c r="AAX40" t="s">
        <v>1900</v>
      </c>
      <c r="AAY40" t="s">
        <v>1900</v>
      </c>
      <c r="AAZ40" t="s">
        <v>1900</v>
      </c>
      <c r="ABA40" t="s">
        <v>1900</v>
      </c>
      <c r="ABB40" t="s">
        <v>1900</v>
      </c>
      <c r="ABC40" t="s">
        <v>1900</v>
      </c>
      <c r="ABD40" t="s">
        <v>1900</v>
      </c>
      <c r="ABE40" t="s">
        <v>1900</v>
      </c>
      <c r="ABF40" t="s">
        <v>1900</v>
      </c>
      <c r="ABG40" t="s">
        <v>1900</v>
      </c>
      <c r="ABH40" t="s">
        <v>1900</v>
      </c>
      <c r="ABI40" t="s">
        <v>1900</v>
      </c>
      <c r="ABJ40" t="s">
        <v>1900</v>
      </c>
      <c r="ABK40" t="s">
        <v>1900</v>
      </c>
      <c r="ABL40" t="s">
        <v>1900</v>
      </c>
      <c r="ABM40" t="s">
        <v>1900</v>
      </c>
      <c r="ABN40" t="s">
        <v>1900</v>
      </c>
      <c r="ABO40" t="s">
        <v>1900</v>
      </c>
      <c r="ABP40" t="s">
        <v>1900</v>
      </c>
      <c r="ABQ40" t="s">
        <v>1900</v>
      </c>
      <c r="ABR40" t="s">
        <v>1900</v>
      </c>
      <c r="ABS40" t="s">
        <v>1900</v>
      </c>
      <c r="ABT40" t="s">
        <v>1900</v>
      </c>
      <c r="ABU40" t="s">
        <v>1900</v>
      </c>
      <c r="ABV40" t="s">
        <v>1900</v>
      </c>
      <c r="ABW40" t="s">
        <v>1900</v>
      </c>
      <c r="ABX40" t="s">
        <v>1900</v>
      </c>
      <c r="ABY40" t="s">
        <v>1900</v>
      </c>
      <c r="ABZ40" t="s">
        <v>1900</v>
      </c>
      <c r="ACA40" t="s">
        <v>1900</v>
      </c>
      <c r="ACB40" t="s">
        <v>1900</v>
      </c>
      <c r="ACC40" t="s">
        <v>1900</v>
      </c>
      <c r="ACD40" t="s">
        <v>1900</v>
      </c>
      <c r="ACE40" t="s">
        <v>1900</v>
      </c>
      <c r="ACF40">
        <v>29.802</v>
      </c>
      <c r="ACG40">
        <v>59.373</v>
      </c>
      <c r="ACH40">
        <v>77.613</v>
      </c>
      <c r="ACI40">
        <v>44.99</v>
      </c>
      <c r="ACJ40" t="s">
        <v>1900</v>
      </c>
      <c r="ACK40">
        <v>25.941</v>
      </c>
      <c r="ACL40">
        <v>38.67</v>
      </c>
      <c r="ACM40">
        <v>33.938</v>
      </c>
      <c r="ACN40">
        <v>15.771</v>
      </c>
      <c r="ACO40" t="s">
        <v>1900</v>
      </c>
      <c r="ACP40">
        <v>10.607</v>
      </c>
      <c r="ACQ40">
        <v>19.422</v>
      </c>
      <c r="ACR40">
        <v>11.205</v>
      </c>
      <c r="ACS40">
        <v>3.043</v>
      </c>
      <c r="ACT40" t="s">
        <v>1900</v>
      </c>
      <c r="ACU40">
        <v>15.223</v>
      </c>
      <c r="ACV40">
        <v>48.847</v>
      </c>
      <c r="ACW40">
        <v>73.90600000000001</v>
      </c>
      <c r="ACX40">
        <v>-21.569</v>
      </c>
      <c r="ACY40" t="s">
        <v>1900</v>
      </c>
      <c r="ACZ40">
        <v>15.484</v>
      </c>
      <c r="ADA40">
        <v>32.197</v>
      </c>
      <c r="ADB40">
        <v>32.475</v>
      </c>
      <c r="ADC40">
        <v>4.421</v>
      </c>
      <c r="ADD40" t="s">
        <v>1900</v>
      </c>
      <c r="ADE40">
        <v>5.418</v>
      </c>
      <c r="ADF40">
        <v>15.979</v>
      </c>
      <c r="ADG40">
        <v>10.669</v>
      </c>
      <c r="ADH40">
        <v>-1.459</v>
      </c>
      <c r="ADI40" t="s">
        <v>1900</v>
      </c>
      <c r="ADJ40">
        <v>5.309</v>
      </c>
      <c r="ADK40">
        <v>9.856999999999999</v>
      </c>
      <c r="ADL40">
        <v>6</v>
      </c>
      <c r="ADM40">
        <v>1.086</v>
      </c>
      <c r="ADN40" t="s">
        <v>1900</v>
      </c>
      <c r="ADO40">
        <v>100</v>
      </c>
      <c r="ADP40">
        <v>100</v>
      </c>
      <c r="ADQ40">
        <v>100</v>
      </c>
      <c r="ADR40">
        <v>100</v>
      </c>
      <c r="ADS40" t="s">
        <v>1900</v>
      </c>
      <c r="ADT40">
        <v>6.425057683</v>
      </c>
      <c r="ADU40">
        <v>10.436884189</v>
      </c>
      <c r="ADV40">
        <v>6.64938971</v>
      </c>
      <c r="ADW40">
        <v>2.2132436</v>
      </c>
      <c r="ADX40" t="s">
        <v>1900</v>
      </c>
      <c r="ADY40">
        <v>7.716</v>
      </c>
      <c r="ADZ40">
        <v>11.822</v>
      </c>
      <c r="AEA40">
        <v>7.897</v>
      </c>
      <c r="AEB40">
        <v>3.701</v>
      </c>
      <c r="AEC40" t="s">
        <v>1900</v>
      </c>
      <c r="AED40">
        <v>6.425</v>
      </c>
      <c r="AEE40">
        <v>10.437</v>
      </c>
      <c r="AEF40">
        <v>6.649</v>
      </c>
      <c r="AEG40">
        <v>2.213</v>
      </c>
      <c r="AEH40" t="s">
        <v>1900</v>
      </c>
      <c r="AEI40">
        <v>4.003</v>
      </c>
      <c r="AEJ40">
        <v>9.494999999999999</v>
      </c>
      <c r="AEK40">
        <v>6.961</v>
      </c>
      <c r="AEL40">
        <v>0.967</v>
      </c>
      <c r="AEM40" t="s">
        <v>1900</v>
      </c>
      <c r="AEN40">
        <v>6.866216023</v>
      </c>
      <c r="AEO40">
        <v>11.653105293</v>
      </c>
      <c r="AEP40">
        <v>7.123027572</v>
      </c>
      <c r="AEQ40">
        <v>2.263336756</v>
      </c>
      <c r="AER40" t="s">
        <v>1900</v>
      </c>
      <c r="AES40" t="s">
        <v>1900</v>
      </c>
      <c r="AET40" t="s">
        <v>1900</v>
      </c>
      <c r="AEU40" t="s">
        <v>1900</v>
      </c>
      <c r="AEV40" t="s">
        <v>1900</v>
      </c>
      <c r="AEW40" t="s">
        <v>1900</v>
      </c>
      <c r="AEX40" t="s">
        <v>1900</v>
      </c>
      <c r="AEY40" t="s">
        <v>1900</v>
      </c>
      <c r="AEZ40" t="s">
        <v>1900</v>
      </c>
      <c r="AFA40" t="s">
        <v>1900</v>
      </c>
      <c r="AFB40" t="s">
        <v>1900</v>
      </c>
      <c r="AFC40" t="s">
        <v>1900</v>
      </c>
      <c r="AFD40" t="s">
        <v>1900</v>
      </c>
      <c r="AFE40" t="s">
        <v>1900</v>
      </c>
      <c r="AFF40" t="s">
        <v>1900</v>
      </c>
      <c r="AFG40" t="s">
        <v>1900</v>
      </c>
      <c r="AFH40">
        <v>4.027</v>
      </c>
      <c r="AFI40">
        <v>3.704</v>
      </c>
      <c r="AFJ40">
        <v>5.103</v>
      </c>
      <c r="AFK40">
        <v>7.064</v>
      </c>
      <c r="AFL40" t="s">
        <v>1900</v>
      </c>
      <c r="AFM40">
        <v>5.667</v>
      </c>
      <c r="AFN40">
        <v>17.934</v>
      </c>
      <c r="AFO40">
        <v>10.219</v>
      </c>
      <c r="AFP40">
        <v>1.93</v>
      </c>
      <c r="AFQ40" t="s">
        <v>1900</v>
      </c>
      <c r="AFR40" t="s">
        <v>1901</v>
      </c>
      <c r="AFS40" t="s">
        <v>1901</v>
      </c>
      <c r="AFT40" t="s">
        <v>1901</v>
      </c>
      <c r="AFU40" t="s">
        <v>1901</v>
      </c>
      <c r="AFV40" t="s">
        <v>1900</v>
      </c>
      <c r="AFW40">
        <v>59.525</v>
      </c>
      <c r="AFX40">
        <v>83.57299999999999</v>
      </c>
      <c r="AFY40">
        <v>105.416</v>
      </c>
      <c r="AFZ40">
        <v>53.171</v>
      </c>
      <c r="AGA40" t="s">
        <v>1900</v>
      </c>
      <c r="AGB40">
        <v>0</v>
      </c>
      <c r="AGC40">
        <v>0</v>
      </c>
      <c r="AGD40">
        <v>0</v>
      </c>
      <c r="AGE40">
        <v>0</v>
      </c>
      <c r="AGF40" t="s">
        <v>1900</v>
      </c>
      <c r="AGG40" t="s">
        <v>1900</v>
      </c>
      <c r="AGH40" t="s">
        <v>1900</v>
      </c>
      <c r="AGI40" t="s">
        <v>1900</v>
      </c>
      <c r="AGJ40" t="s">
        <v>1900</v>
      </c>
      <c r="AGK40" t="s">
        <v>1900</v>
      </c>
      <c r="AGL40" t="s">
        <v>1900</v>
      </c>
      <c r="AGM40" t="s">
        <v>1900</v>
      </c>
      <c r="AGN40" t="s">
        <v>1900</v>
      </c>
      <c r="AGO40" t="s">
        <v>1900</v>
      </c>
      <c r="AGP40" t="s">
        <v>1900</v>
      </c>
      <c r="AGQ40" t="s">
        <v>1900</v>
      </c>
      <c r="AGR40" t="s">
        <v>1900</v>
      </c>
      <c r="AGS40" t="s">
        <v>1900</v>
      </c>
      <c r="AGT40" t="s">
        <v>1900</v>
      </c>
      <c r="AGU40">
        <v>0</v>
      </c>
      <c r="AGV40">
        <v>0</v>
      </c>
      <c r="AGW40">
        <v>0</v>
      </c>
      <c r="AGX40">
        <v>0</v>
      </c>
      <c r="AGY40">
        <v>0</v>
      </c>
      <c r="AGZ40" t="s">
        <v>1900</v>
      </c>
      <c r="AHA40">
        <v>1.379</v>
      </c>
      <c r="AHB40">
        <v>1.399</v>
      </c>
      <c r="AHC40">
        <v>1.091</v>
      </c>
      <c r="AHD40">
        <v>0.6860000000000001</v>
      </c>
      <c r="AHE40" t="s">
        <v>1900</v>
      </c>
      <c r="AHF40">
        <v>1.379</v>
      </c>
      <c r="AHG40">
        <v>1.399</v>
      </c>
      <c r="AHH40">
        <v>1.091</v>
      </c>
      <c r="AHI40">
        <v>0.6860000000000001</v>
      </c>
      <c r="AHJ40" t="s">
        <v>1900</v>
      </c>
      <c r="AHK40">
        <v>2.537</v>
      </c>
      <c r="AHL40">
        <v>1.597</v>
      </c>
      <c r="AHM40">
        <v>0.651</v>
      </c>
      <c r="AHN40">
        <v>0.206</v>
      </c>
      <c r="AHO40" t="s">
        <v>1900</v>
      </c>
      <c r="AHP40">
        <v>35.593</v>
      </c>
      <c r="AHQ40">
        <v>32.711</v>
      </c>
      <c r="AHR40">
        <v>14.437</v>
      </c>
      <c r="AHS40">
        <v>6.763</v>
      </c>
      <c r="AHT40" t="s">
        <v>1900</v>
      </c>
      <c r="AHU40">
        <v>55.263</v>
      </c>
      <c r="AHV40">
        <v>48.614</v>
      </c>
      <c r="AHW40">
        <v>16.872</v>
      </c>
      <c r="AHX40">
        <v>7.254</v>
      </c>
      <c r="AHY40" t="s">
        <v>1900</v>
      </c>
      <c r="AHZ40">
        <v>39.421</v>
      </c>
      <c r="AIA40">
        <v>62.603</v>
      </c>
      <c r="AIB40">
        <v>153.496</v>
      </c>
      <c r="AIC40">
        <v>486.448</v>
      </c>
      <c r="AID40" t="s">
        <v>1900</v>
      </c>
      <c r="AIE40">
        <v>8.682713740000001</v>
      </c>
      <c r="AIF40">
        <v>8.619598891000001</v>
      </c>
      <c r="AIG40">
        <v>6.619400644</v>
      </c>
      <c r="AIH40">
        <v>11.971139556</v>
      </c>
      <c r="AII40" t="s">
        <v>1900</v>
      </c>
      <c r="AIJ40">
        <v>36.445192554</v>
      </c>
      <c r="AIK40">
        <v>19.767397547</v>
      </c>
      <c r="AIL40">
        <v>14.519221552</v>
      </c>
      <c r="AIM40">
        <v>0.012347022</v>
      </c>
      <c r="AIN40" t="s">
        <v>1900</v>
      </c>
      <c r="AIO40">
        <v>50.375869055</v>
      </c>
      <c r="AIP40">
        <v>46.810234923</v>
      </c>
      <c r="AIQ40">
        <v>63.404084909</v>
      </c>
      <c r="AIR40">
        <v>60.335908484</v>
      </c>
      <c r="AIS40" t="s">
        <v>1900</v>
      </c>
      <c r="AIT40" t="s">
        <v>1900</v>
      </c>
      <c r="AIU40" t="s">
        <v>1900</v>
      </c>
      <c r="AIV40" t="s">
        <v>1900</v>
      </c>
      <c r="AIW40" t="s">
        <v>1900</v>
      </c>
      <c r="AIX40" t="s">
        <v>1900</v>
      </c>
      <c r="AIY40">
        <v>2.43829961927891</v>
      </c>
      <c r="AIZ40">
        <v>3.65708806297302</v>
      </c>
      <c r="AJA40">
        <v>2.49686268181801</v>
      </c>
      <c r="AJB40">
        <v>0.40918853238821</v>
      </c>
      <c r="AJC40" t="s">
        <v>1900</v>
      </c>
      <c r="AJD40">
        <v>45.9307810081701</v>
      </c>
      <c r="AJE40">
        <v>37.1024631486833</v>
      </c>
      <c r="AJF40">
        <v>41.6153313022256</v>
      </c>
      <c r="AJG40">
        <v>37.676255611068</v>
      </c>
      <c r="AJH40" t="s">
        <v>1900</v>
      </c>
      <c r="AJI40">
        <v>61.03</v>
      </c>
      <c r="AJJ40">
        <v>62.527</v>
      </c>
      <c r="AJK40">
        <v>56.348</v>
      </c>
      <c r="AJL40">
        <v>65.40000000000001</v>
      </c>
      <c r="AJM40" t="s">
        <v>1900</v>
      </c>
      <c r="AJN40">
        <v>28.0314735701809</v>
      </c>
      <c r="AJO40">
        <v>23.1990935013533</v>
      </c>
      <c r="AJP40">
        <v>23.4494428433704</v>
      </c>
      <c r="AJQ40">
        <v>24.6401023944008</v>
      </c>
      <c r="AJR40" t="s">
        <v>1900</v>
      </c>
      <c r="AJS40">
        <v>8.181668981832511</v>
      </c>
      <c r="AJT40">
        <v>6.15955018192172</v>
      </c>
      <c r="AJU40">
        <v>3.21706169792891</v>
      </c>
      <c r="AJV40">
        <v>0.909510048447251</v>
      </c>
      <c r="AJW40" t="s">
        <v>1900</v>
      </c>
      <c r="AJX40">
        <v>7.59458774335766</v>
      </c>
      <c r="AJY40">
        <v>8.61323883947134</v>
      </c>
      <c r="AJZ40">
        <v>12.1859015430808</v>
      </c>
      <c r="AKA40">
        <v>5.56468303474009</v>
      </c>
      <c r="AKB40" t="s">
        <v>1900</v>
      </c>
      <c r="AKC40">
        <v>22.9867253011599</v>
      </c>
      <c r="AKD40">
        <v>18.8299500196159</v>
      </c>
      <c r="AKE40">
        <v>22.2842179840493</v>
      </c>
      <c r="AKF40">
        <v>13.4474511327511</v>
      </c>
      <c r="AKG40" t="s">
        <v>1900</v>
      </c>
      <c r="AKH40" t="s">
        <v>1900</v>
      </c>
      <c r="AKI40" t="s">
        <v>1900</v>
      </c>
      <c r="AKJ40" t="s">
        <v>1900</v>
      </c>
      <c r="AKK40" t="s">
        <v>1900</v>
      </c>
      <c r="AKL40" t="s">
        <v>1900</v>
      </c>
      <c r="AKM40">
        <v>0</v>
      </c>
      <c r="AKN40">
        <v>0</v>
      </c>
      <c r="AKO40">
        <v>0</v>
      </c>
      <c r="AKP40">
        <v>0</v>
      </c>
      <c r="AKQ40" t="s">
        <v>1900</v>
      </c>
      <c r="AKR40">
        <v>0</v>
      </c>
      <c r="AKS40">
        <v>0</v>
      </c>
      <c r="AKT40">
        <v>0</v>
      </c>
      <c r="AKU40">
        <v>0</v>
      </c>
      <c r="AKV40" t="s">
        <v>1900</v>
      </c>
      <c r="AKW40">
        <v>0</v>
      </c>
      <c r="AKX40">
        <v>0</v>
      </c>
      <c r="AKY40">
        <v>0</v>
      </c>
      <c r="AKZ40">
        <v>0</v>
      </c>
      <c r="ALA40" t="s">
        <v>1900</v>
      </c>
      <c r="ALB40">
        <v>0</v>
      </c>
      <c r="ALC40">
        <v>0</v>
      </c>
      <c r="ALD40">
        <v>0</v>
      </c>
      <c r="ALE40">
        <v>0</v>
      </c>
      <c r="ALF40" t="s">
        <v>1900</v>
      </c>
      <c r="ALG40">
        <v>10.926682159</v>
      </c>
      <c r="ALH40">
        <v>13.129732872</v>
      </c>
      <c r="ALI40">
        <v>12.946526668</v>
      </c>
      <c r="ALJ40">
        <v>16.645216893</v>
      </c>
      <c r="ALK40" t="s">
        <v>1900</v>
      </c>
      <c r="ALL40">
        <v>21.833081092</v>
      </c>
      <c r="ALM40">
        <v>25.8707757</v>
      </c>
      <c r="ALN40">
        <v>24.177380102</v>
      </c>
      <c r="ALO40">
        <v>46.635561157</v>
      </c>
      <c r="ALP40" t="s">
        <v>1900</v>
      </c>
      <c r="ALQ40">
        <v>16.534853152</v>
      </c>
      <c r="ALR40">
        <v>23.214736186</v>
      </c>
      <c r="ALS40">
        <v>29.282239498</v>
      </c>
      <c r="ALT40">
        <v>14.769735983</v>
      </c>
      <c r="ALU40" t="s">
        <v>1900</v>
      </c>
      <c r="ALV40">
        <v>0</v>
      </c>
      <c r="ALW40">
        <v>0</v>
      </c>
      <c r="ALX40">
        <v>0</v>
      </c>
      <c r="ALY40">
        <v>0</v>
      </c>
      <c r="ALZ40" t="s">
        <v>1900</v>
      </c>
      <c r="AMA40">
        <v>100</v>
      </c>
      <c r="AMB40">
        <v>100</v>
      </c>
      <c r="AMC40">
        <v>100</v>
      </c>
      <c r="AMD40">
        <v>100</v>
      </c>
      <c r="AME40" t="s">
        <v>1900</v>
      </c>
      <c r="AMF40">
        <v>100</v>
      </c>
      <c r="AMG40">
        <v>100</v>
      </c>
      <c r="AMH40">
        <v>100</v>
      </c>
      <c r="AMI40" t="s">
        <v>1901</v>
      </c>
      <c r="AMJ40" t="s">
        <v>1900</v>
      </c>
      <c r="AMK40" t="s">
        <v>1900</v>
      </c>
      <c r="AML40" t="s">
        <v>1900</v>
      </c>
      <c r="AMM40" t="s">
        <v>1900</v>
      </c>
      <c r="AMN40" t="s">
        <v>1900</v>
      </c>
      <c r="AMO40" t="s">
        <v>1900</v>
      </c>
      <c r="AMP40">
        <v>1.06866216022667</v>
      </c>
      <c r="AMQ40">
        <v>1.11653105292737</v>
      </c>
      <c r="AMR40">
        <v>1.07123027572208</v>
      </c>
      <c r="AMS40">
        <v>1.022633368869</v>
      </c>
      <c r="AMT40" t="s">
        <v>1900</v>
      </c>
      <c r="AMU40">
        <v>1.06866216022667</v>
      </c>
      <c r="AMV40">
        <v>1.11653105292737</v>
      </c>
      <c r="AMW40">
        <v>1.07123027572208</v>
      </c>
      <c r="AMX40">
        <v>1.02263336758798</v>
      </c>
      <c r="AMY40" t="s">
        <v>1900</v>
      </c>
      <c r="AMZ40" t="s">
        <v>1900</v>
      </c>
      <c r="ANA40" t="s">
        <v>1900</v>
      </c>
      <c r="ANB40" t="s">
        <v>1900</v>
      </c>
      <c r="ANC40" t="s">
        <v>1900</v>
      </c>
      <c r="AND40" t="s">
        <v>1900</v>
      </c>
      <c r="ANE40">
        <v>6.42505768259922</v>
      </c>
      <c r="ANF40">
        <v>10.4368841889209</v>
      </c>
      <c r="ANG40">
        <v>6.64938970979603</v>
      </c>
      <c r="ANH40">
        <v>2.21324360000188</v>
      </c>
      <c r="ANI40" t="s">
        <v>1900</v>
      </c>
      <c r="ANJ40">
        <v>6.42505768259922</v>
      </c>
      <c r="ANK40">
        <v>10.4368841889209</v>
      </c>
      <c r="ANL40">
        <v>6.64938970979603</v>
      </c>
      <c r="ANM40">
        <v>2.23008783386478</v>
      </c>
      <c r="ANN40" t="s">
        <v>1900</v>
      </c>
      <c r="ANO40">
        <v>6.86621602266748</v>
      </c>
      <c r="ANP40">
        <v>11.6531052927368</v>
      </c>
      <c r="ANQ40">
        <v>7.12302757220839</v>
      </c>
      <c r="ANR40">
        <v>2.26333675589829</v>
      </c>
      <c r="ANS40" t="s">
        <v>1900</v>
      </c>
      <c r="ANT40">
        <v>25.8708581299515</v>
      </c>
      <c r="ANU40">
        <v>38.6630714944515</v>
      </c>
      <c r="ANV40">
        <v>33.9316628935215</v>
      </c>
      <c r="ANW40">
        <v>15.6336164877695</v>
      </c>
      <c r="ANX40" t="s">
        <v>1900</v>
      </c>
      <c r="ANY40" t="s">
        <v>1900</v>
      </c>
      <c r="ANZ40" t="s">
        <v>1900</v>
      </c>
      <c r="AOA40" t="s">
        <v>1900</v>
      </c>
      <c r="AOB40" t="s">
        <v>1900</v>
      </c>
      <c r="AOC40" t="s">
        <v>1900</v>
      </c>
      <c r="AOD40">
        <v>106.866216022667</v>
      </c>
      <c r="AOE40">
        <v>111.653105292737</v>
      </c>
      <c r="AOF40">
        <v>107.123027572208</v>
      </c>
      <c r="AOG40">
        <v>102.263336755898</v>
      </c>
      <c r="AOH40" t="s">
        <v>1900</v>
      </c>
      <c r="AOI40" t="s">
        <v>1901</v>
      </c>
      <c r="AOJ40" t="s">
        <v>1901</v>
      </c>
      <c r="AOK40" t="s">
        <v>1901</v>
      </c>
      <c r="AOL40" t="s">
        <v>1901</v>
      </c>
      <c r="AOM40" t="s">
        <v>1900</v>
      </c>
      <c r="AON40" t="s">
        <v>1900</v>
      </c>
      <c r="AOO40" t="s">
        <v>1900</v>
      </c>
      <c r="AOP40" t="s">
        <v>1900</v>
      </c>
      <c r="AOQ40" t="s">
        <v>1900</v>
      </c>
      <c r="AOR40" t="s">
        <v>1900</v>
      </c>
      <c r="AOS40">
        <v>6.86621602266748</v>
      </c>
      <c r="AOT40">
        <v>11.6531052927368</v>
      </c>
      <c r="AOU40">
        <v>7.12302757220839</v>
      </c>
      <c r="AOV40">
        <v>2.26333675879769</v>
      </c>
      <c r="AOW40" t="s">
        <v>1900</v>
      </c>
      <c r="AOX40">
        <v>12.8381885150191</v>
      </c>
      <c r="AOY40">
        <v>20.5647968994375</v>
      </c>
      <c r="AOZ40">
        <v>12.4176025414487</v>
      </c>
      <c r="APA40">
        <v>6.20093195095825</v>
      </c>
      <c r="APB40" t="s">
        <v>1900</v>
      </c>
      <c r="APC40">
        <v>2.7115978404244</v>
      </c>
      <c r="APD40">
        <v>8.109367865972329</v>
      </c>
      <c r="APE40">
        <v>5.71326086971085</v>
      </c>
      <c r="APF40">
        <v>-0.520674628464235</v>
      </c>
      <c r="APG40" t="s">
        <v>1900</v>
      </c>
      <c r="APH40">
        <v>2.7115978404244</v>
      </c>
      <c r="API40">
        <v>8.109367865972329</v>
      </c>
      <c r="APJ40">
        <v>5.71326086971085</v>
      </c>
      <c r="APK40">
        <v>-0.524637303521026</v>
      </c>
      <c r="APL40" t="s">
        <v>1900</v>
      </c>
      <c r="APM40" t="s">
        <v>1900</v>
      </c>
      <c r="APN40" t="s">
        <v>1900</v>
      </c>
      <c r="APO40" t="s">
        <v>1900</v>
      </c>
      <c r="APP40" t="s">
        <v>1900</v>
      </c>
      <c r="APQ40" t="s">
        <v>1900</v>
      </c>
      <c r="APR40">
        <v>2.89778200581393</v>
      </c>
      <c r="APS40">
        <v>9.05436104196945</v>
      </c>
      <c r="APT40">
        <v>6.12021801673255</v>
      </c>
      <c r="APU40">
        <v>-0.532459249390998</v>
      </c>
      <c r="APV40" t="s">
        <v>1900</v>
      </c>
      <c r="APW40">
        <v>2.89778200581393</v>
      </c>
      <c r="APX40">
        <v>9.05436104196945</v>
      </c>
      <c r="APY40">
        <v>6.12021801673255</v>
      </c>
      <c r="APZ40">
        <v>-0.532459248708903</v>
      </c>
      <c r="AQA40" t="s">
        <v>1900</v>
      </c>
      <c r="AQB40">
        <v>5.41816213519256</v>
      </c>
      <c r="AQC40">
        <v>15.9786675915764</v>
      </c>
      <c r="AQD40">
        <v>10.6694006205056</v>
      </c>
      <c r="AQE40">
        <v>-1.45879465762126</v>
      </c>
      <c r="AQF40" t="s">
        <v>1900</v>
      </c>
      <c r="AQG40" t="s">
        <v>1900</v>
      </c>
      <c r="AQH40" t="s">
        <v>1900</v>
      </c>
      <c r="AQI40" t="s">
        <v>1900</v>
      </c>
      <c r="AQJ40" t="s">
        <v>1900</v>
      </c>
      <c r="AQK40">
        <v>6</v>
      </c>
      <c r="AQO40" t="s">
        <v>1903</v>
      </c>
      <c r="AQP40">
        <v>5</v>
      </c>
      <c r="AQQ40">
        <v>0</v>
      </c>
      <c r="AQS40" t="s">
        <v>1905</v>
      </c>
      <c r="AQU40" t="s">
        <v>1906</v>
      </c>
      <c r="AQV40" t="s">
        <v>1900</v>
      </c>
      <c r="AQW40">
        <v>1056407.96650291</v>
      </c>
      <c r="AQX40">
        <v>927561.568051088</v>
      </c>
      <c r="AQY40" t="s">
        <v>1900</v>
      </c>
      <c r="AQZ40">
        <v>67874.8212113857</v>
      </c>
      <c r="ARA40">
        <v>96808.5266384304</v>
      </c>
      <c r="ARB40">
        <v>1983969.534553998</v>
      </c>
      <c r="ARC40">
        <v>164683.3478498161</v>
      </c>
      <c r="ARD40">
        <v>0.09052085870456497</v>
      </c>
      <c r="ARE40">
        <v>0.09052085870456497</v>
      </c>
      <c r="ARF40">
        <v>0.09052085870456497</v>
      </c>
      <c r="ARG40">
        <v>0.09052085870456497</v>
      </c>
      <c r="ARH40">
        <v>0.09052085870456497</v>
      </c>
      <c r="ARI40">
        <v>0.09052085870456497</v>
      </c>
      <c r="ARJ40" t="s">
        <v>1201</v>
      </c>
      <c r="ARK40" t="s">
        <v>1539</v>
      </c>
      <c r="ARL40" t="s">
        <v>1908</v>
      </c>
      <c r="ARM40" t="s">
        <v>1908</v>
      </c>
      <c r="ARN40" t="s">
        <v>1909</v>
      </c>
      <c r="ARO40" t="s">
        <v>1909</v>
      </c>
      <c r="ARP40" t="s">
        <v>1907</v>
      </c>
      <c r="ARQ40" t="s">
        <v>1941</v>
      </c>
      <c r="ARR40">
        <f>HYPERLINK("C:\Users\Usuario\Documents\Proyectos\llmthon\evidence\grupoprocarion_com_234121.png", "Ver Evidencia")</f>
        <v>0</v>
      </c>
      <c r="ARS40">
        <v>100</v>
      </c>
    </row>
    <row r="41" spans="1:1163">
      <c r="A41">
        <v>296</v>
      </c>
      <c r="B41" t="s">
        <v>1202</v>
      </c>
      <c r="C41" t="s">
        <v>1325</v>
      </c>
      <c r="E41" s="2">
        <v>40791</v>
      </c>
      <c r="F41" t="s">
        <v>1431</v>
      </c>
      <c r="G41" t="s">
        <v>1433</v>
      </c>
      <c r="H41" t="s">
        <v>1434</v>
      </c>
      <c r="I41" t="s">
        <v>1436</v>
      </c>
      <c r="J41" t="s">
        <v>1452</v>
      </c>
      <c r="L41" t="s">
        <v>1540</v>
      </c>
      <c r="N41" t="s">
        <v>1627</v>
      </c>
      <c r="O41" t="s">
        <v>1651</v>
      </c>
      <c r="P41">
        <v>6910</v>
      </c>
      <c r="Q41">
        <v>6910</v>
      </c>
      <c r="R41" t="s">
        <v>1711</v>
      </c>
      <c r="S41" t="s">
        <v>1807</v>
      </c>
      <c r="Z41" t="s">
        <v>1899</v>
      </c>
      <c r="AA41" s="2">
        <v>45657</v>
      </c>
      <c r="AB41">
        <v>2024</v>
      </c>
      <c r="AC41">
        <v>2628823.87666368</v>
      </c>
      <c r="AD41">
        <v>2444089.30252725</v>
      </c>
      <c r="AE41">
        <v>1980512.219964</v>
      </c>
      <c r="AF41">
        <v>2137585.35097775</v>
      </c>
      <c r="AG41">
        <v>2183749.05464134</v>
      </c>
      <c r="AH41">
        <v>2628823.87666368</v>
      </c>
      <c r="AI41">
        <v>2430839.79408103</v>
      </c>
      <c r="AJ41">
        <v>1980512.219964</v>
      </c>
      <c r="AK41">
        <v>2137585.35097775</v>
      </c>
      <c r="AL41">
        <v>2183288.89240406</v>
      </c>
      <c r="AM41">
        <v>68590.7761061347</v>
      </c>
      <c r="AN41">
        <v>-179283.346960163</v>
      </c>
      <c r="AO41" t="s">
        <v>1900</v>
      </c>
      <c r="AP41" t="s">
        <v>1900</v>
      </c>
      <c r="AQ41" t="s">
        <v>1900</v>
      </c>
      <c r="AR41">
        <v>2560233.10055755</v>
      </c>
      <c r="AS41">
        <v>2623372.64838241</v>
      </c>
      <c r="AT41">
        <v>1980512.219964</v>
      </c>
      <c r="AU41">
        <v>2137585.35097775</v>
      </c>
      <c r="AV41">
        <v>2183749.05464134</v>
      </c>
      <c r="AW41">
        <v>2557487.09168003</v>
      </c>
      <c r="AX41">
        <v>2445332.34963011</v>
      </c>
      <c r="AY41">
        <v>1979339.07785286</v>
      </c>
      <c r="AZ41">
        <v>2137019.36795211</v>
      </c>
      <c r="BA41">
        <v>2182504.41886582</v>
      </c>
      <c r="BB41">
        <v>2746.0088775146</v>
      </c>
      <c r="BC41">
        <v>178040.298752298</v>
      </c>
      <c r="BD41">
        <v>1173.14211114049</v>
      </c>
      <c r="BE41">
        <v>565.98302564621</v>
      </c>
      <c r="BF41">
        <v>1244.63454841971</v>
      </c>
      <c r="BG41">
        <v>-2165.48220305443</v>
      </c>
      <c r="BH41">
        <v>-2148.76186433792</v>
      </c>
      <c r="BI41">
        <v>-1114.02050150633</v>
      </c>
      <c r="BJ41">
        <v>-458.30671441555</v>
      </c>
      <c r="BK41">
        <v>-1053.13343175054</v>
      </c>
      <c r="BL41" t="s">
        <v>1900</v>
      </c>
      <c r="BM41" t="s">
        <v>1900</v>
      </c>
      <c r="BN41" t="s">
        <v>1900</v>
      </c>
      <c r="BO41" t="s">
        <v>1900</v>
      </c>
      <c r="BP41" t="s">
        <v>1900</v>
      </c>
      <c r="BQ41">
        <v>2165.48220305443</v>
      </c>
      <c r="BR41">
        <v>2148.76186433792</v>
      </c>
      <c r="BS41">
        <v>1114.02050150633</v>
      </c>
      <c r="BT41">
        <v>458.30671441555</v>
      </c>
      <c r="BU41">
        <v>1053.13343175054</v>
      </c>
      <c r="BV41">
        <v>580.526674460173</v>
      </c>
      <c r="BW41">
        <v>175891.53688796</v>
      </c>
      <c r="BX41">
        <v>59.121609634161</v>
      </c>
      <c r="BY41">
        <v>107.676311230659</v>
      </c>
      <c r="BZ41">
        <v>191.501116669178</v>
      </c>
      <c r="CA41">
        <v>75.465662651062</v>
      </c>
      <c r="CB41">
        <v>22885.212220602</v>
      </c>
      <c r="CC41">
        <v>8.86344174742699</v>
      </c>
      <c r="CD41">
        <v>22.9804602384567</v>
      </c>
      <c r="CE41">
        <v>24.4192760586739</v>
      </c>
      <c r="CF41">
        <v>505.061011809111</v>
      </c>
      <c r="CG41">
        <v>153006.324667358</v>
      </c>
      <c r="CH41">
        <v>50.258167886734</v>
      </c>
      <c r="CI41">
        <v>84.69585099220279</v>
      </c>
      <c r="CJ41">
        <v>167.081840610504</v>
      </c>
      <c r="CK41" t="s">
        <v>1900</v>
      </c>
      <c r="CL41" t="s">
        <v>1900</v>
      </c>
      <c r="CM41" t="s">
        <v>1900</v>
      </c>
      <c r="CN41" t="s">
        <v>1900</v>
      </c>
      <c r="CO41" t="s">
        <v>1900</v>
      </c>
      <c r="CP41" t="s">
        <v>1900</v>
      </c>
      <c r="CQ41" t="s">
        <v>1900</v>
      </c>
      <c r="CR41" t="s">
        <v>1900</v>
      </c>
      <c r="CS41" t="s">
        <v>1900</v>
      </c>
      <c r="CT41" t="s">
        <v>1900</v>
      </c>
      <c r="CU41" t="s">
        <v>1900</v>
      </c>
      <c r="CV41" t="s">
        <v>1900</v>
      </c>
      <c r="CW41" t="s">
        <v>1900</v>
      </c>
      <c r="CX41" t="s">
        <v>1900</v>
      </c>
      <c r="CY41" t="s">
        <v>1900</v>
      </c>
      <c r="CZ41">
        <v>505.061011809111</v>
      </c>
      <c r="DA41">
        <v>153006.324667358</v>
      </c>
      <c r="DB41">
        <v>50.258167886734</v>
      </c>
      <c r="DC41">
        <v>84.69585099220279</v>
      </c>
      <c r="DD41">
        <v>167.081840610504</v>
      </c>
      <c r="DE41" t="s">
        <v>1900</v>
      </c>
      <c r="DF41" t="s">
        <v>1900</v>
      </c>
      <c r="DG41" t="s">
        <v>1900</v>
      </c>
      <c r="DH41" t="s">
        <v>1900</v>
      </c>
      <c r="DI41" t="s">
        <v>1900</v>
      </c>
      <c r="DJ41" t="s">
        <v>1900</v>
      </c>
      <c r="DK41" t="s">
        <v>1900</v>
      </c>
      <c r="DL41" t="s">
        <v>1900</v>
      </c>
      <c r="DM41" t="s">
        <v>1900</v>
      </c>
      <c r="DN41" t="s">
        <v>1900</v>
      </c>
      <c r="DO41">
        <v>930692.4917138281</v>
      </c>
      <c r="DP41">
        <v>803291.094207173</v>
      </c>
      <c r="DQ41">
        <v>808022.995702261</v>
      </c>
      <c r="DR41">
        <v>691180.301201248</v>
      </c>
      <c r="DS41">
        <v>676053.891348827</v>
      </c>
      <c r="DT41">
        <v>33894.907863543</v>
      </c>
      <c r="DU41">
        <v>32901.3455657196</v>
      </c>
      <c r="DV41">
        <v>26965.2776263833</v>
      </c>
      <c r="DW41">
        <v>16673.2356462479</v>
      </c>
      <c r="DX41">
        <v>20681.3352567196</v>
      </c>
      <c r="DY41">
        <v>1592899.69210266</v>
      </c>
      <c r="DZ41">
        <v>1609139.91096222</v>
      </c>
      <c r="EA41">
        <v>1144350.80452421</v>
      </c>
      <c r="EB41">
        <v>1429165.83110461</v>
      </c>
      <c r="EC41">
        <v>1485769.19226028</v>
      </c>
      <c r="ED41">
        <v>2165.48220305443</v>
      </c>
      <c r="EE41">
        <v>2148.76186433792</v>
      </c>
      <c r="EF41">
        <v>1114.02050150633</v>
      </c>
      <c r="EG41">
        <v>458.30671441555</v>
      </c>
      <c r="EH41">
        <v>1053.13343175054</v>
      </c>
      <c r="EI41" t="s">
        <v>1900</v>
      </c>
      <c r="EJ41" t="s">
        <v>1900</v>
      </c>
      <c r="EK41" t="s">
        <v>1900</v>
      </c>
      <c r="EL41" t="s">
        <v>1900</v>
      </c>
      <c r="EM41" t="s">
        <v>1900</v>
      </c>
      <c r="EN41">
        <v>34399.9688753521</v>
      </c>
      <c r="EO41">
        <v>185907.670233078</v>
      </c>
      <c r="EP41">
        <v>27015.53579427</v>
      </c>
      <c r="EQ41">
        <v>16757.9314972401</v>
      </c>
      <c r="ER41">
        <v>20848.4170973301</v>
      </c>
      <c r="ES41">
        <v>967333.408454885</v>
      </c>
      <c r="ET41">
        <v>1014232.73742019</v>
      </c>
      <c r="EU41">
        <v>836161.415439785</v>
      </c>
      <c r="EV41">
        <v>708419.519873142</v>
      </c>
      <c r="EW41">
        <v>697979.861153966</v>
      </c>
      <c r="EX41">
        <v>36640.9167410576</v>
      </c>
      <c r="EY41">
        <v>210941.644318018</v>
      </c>
      <c r="EZ41">
        <v>28138.4197375238</v>
      </c>
      <c r="FA41">
        <v>17239.2186718941</v>
      </c>
      <c r="FB41">
        <v>21925.9698051393</v>
      </c>
      <c r="FC41">
        <v>112027.674971988</v>
      </c>
      <c r="FD41">
        <v>155548.157308102</v>
      </c>
      <c r="FE41">
        <v>181260.540869367</v>
      </c>
      <c r="FF41">
        <v>59797.1622430086</v>
      </c>
      <c r="FG41">
        <v>82850.7383042872</v>
      </c>
      <c r="FH41">
        <v>33591.0816928065</v>
      </c>
      <c r="FI41">
        <v>40148.3476680851</v>
      </c>
      <c r="FJ41">
        <v>42663.9795303345</v>
      </c>
      <c r="FK41">
        <v>0</v>
      </c>
      <c r="FL41">
        <v>0</v>
      </c>
      <c r="FM41">
        <v>53399.2701783943</v>
      </c>
      <c r="FN41">
        <v>87606.22941659929</v>
      </c>
      <c r="FO41">
        <v>111768.86438064</v>
      </c>
      <c r="FP41">
        <v>34280.6853301048</v>
      </c>
      <c r="FQ41">
        <v>55205.2832064867</v>
      </c>
      <c r="FR41">
        <v>25037.3231007874</v>
      </c>
      <c r="FS41">
        <v>27793.5802234173</v>
      </c>
      <c r="FT41">
        <v>26827.6969583929</v>
      </c>
      <c r="FU41">
        <v>25516.4769129038</v>
      </c>
      <c r="FV41">
        <v>27645.4550978005</v>
      </c>
      <c r="FW41">
        <v>33591.0816928065</v>
      </c>
      <c r="FX41">
        <v>40148.3476680851</v>
      </c>
      <c r="FY41">
        <v>42663.9795303345</v>
      </c>
      <c r="FZ41">
        <v>0</v>
      </c>
      <c r="GA41">
        <v>0</v>
      </c>
      <c r="GB41">
        <v>53399.2701783943</v>
      </c>
      <c r="GC41">
        <v>87606.22941659929</v>
      </c>
      <c r="GD41">
        <v>111768.86438064</v>
      </c>
      <c r="GE41">
        <v>34280.6853301048</v>
      </c>
      <c r="GF41">
        <v>55205.2832064867</v>
      </c>
      <c r="GG41">
        <v>25037.3231007874</v>
      </c>
      <c r="GH41">
        <v>27793.5802234173</v>
      </c>
      <c r="GI41">
        <v>26827.6969583929</v>
      </c>
      <c r="GJ41">
        <v>25516.4769129038</v>
      </c>
      <c r="GK41">
        <v>27645.4550978005</v>
      </c>
      <c r="GL41">
        <v>536709.777309244</v>
      </c>
      <c r="GM41">
        <v>475646.457914286</v>
      </c>
      <c r="GN41">
        <v>715365.834262055</v>
      </c>
      <c r="GO41">
        <v>735689.941622186</v>
      </c>
      <c r="GP41">
        <v>623736.181400782</v>
      </c>
      <c r="GQ41">
        <v>99967.86937632201</v>
      </c>
      <c r="GR41">
        <v>179283.346960163</v>
      </c>
      <c r="GS41">
        <v>0</v>
      </c>
      <c r="GT41">
        <v>0</v>
      </c>
      <c r="GU41">
        <v>0</v>
      </c>
      <c r="GV41">
        <v>174965.736342107</v>
      </c>
      <c r="GW41">
        <v>166593.035064907</v>
      </c>
      <c r="GX41">
        <v>146616.397553211</v>
      </c>
      <c r="GY41">
        <v>314646.683402467</v>
      </c>
      <c r="GZ41">
        <v>235326.39141168</v>
      </c>
      <c r="HA41">
        <v>261776.171590815</v>
      </c>
      <c r="HB41">
        <v>129770.075889215</v>
      </c>
      <c r="HC41">
        <v>568749.436708844</v>
      </c>
      <c r="HD41">
        <v>421043.258219719</v>
      </c>
      <c r="HE41">
        <v>388409.789989102</v>
      </c>
      <c r="HF41">
        <v>261776.171590815</v>
      </c>
      <c r="HG41">
        <v>129065.439172983</v>
      </c>
      <c r="HH41">
        <v>567851.306609756</v>
      </c>
      <c r="HI41">
        <v>420089.552130818</v>
      </c>
      <c r="HJ41">
        <v>388409.789989102</v>
      </c>
      <c r="HK41">
        <v>648737.452281232</v>
      </c>
      <c r="HL41">
        <v>631194.615222387</v>
      </c>
      <c r="HM41">
        <v>896626.375131422</v>
      </c>
      <c r="HN41">
        <v>795487.103865194</v>
      </c>
      <c r="HO41">
        <v>706586.919705069</v>
      </c>
      <c r="HP41">
        <v>9420.408589038851</v>
      </c>
      <c r="HQ41">
        <v>159762.66234952</v>
      </c>
      <c r="HR41">
        <v>6534.71375272274</v>
      </c>
      <c r="HS41">
        <v>6885.71152524948</v>
      </c>
      <c r="HT41">
        <v>7368.46133123636</v>
      </c>
      <c r="HU41">
        <v>4978.40659999847</v>
      </c>
      <c r="HV41">
        <v>5295.16237640381</v>
      </c>
      <c r="HW41">
        <v>5111.14474773407</v>
      </c>
      <c r="HX41">
        <v>5427.42067337036</v>
      </c>
      <c r="HY41">
        <v>5880.25984287262</v>
      </c>
      <c r="HZ41">
        <v>4442.00198904037</v>
      </c>
      <c r="IA41">
        <v>154467.499973116</v>
      </c>
      <c r="IB41">
        <v>1423.56793838918</v>
      </c>
      <c r="IC41">
        <v>1458.29085187912</v>
      </c>
      <c r="ID41">
        <v>1488.20148836374</v>
      </c>
      <c r="IE41">
        <v>19690.2110537231</v>
      </c>
      <c r="IF41">
        <v>47442.1465414524</v>
      </c>
      <c r="IG41">
        <v>58019.1190731227</v>
      </c>
      <c r="IH41">
        <v>5977.56994671822</v>
      </c>
      <c r="II41">
        <v>25516.1187674701</v>
      </c>
      <c r="IJ41">
        <v>19690.2110537231</v>
      </c>
      <c r="IK41">
        <v>47442.1465414524</v>
      </c>
      <c r="IL41">
        <v>58019.1190731227</v>
      </c>
      <c r="IM41">
        <v>5977.56994671822</v>
      </c>
      <c r="IN41">
        <v>25516.1187674701</v>
      </c>
      <c r="IO41">
        <v>0</v>
      </c>
      <c r="IP41">
        <v>0</v>
      </c>
      <c r="IQ41">
        <v>0</v>
      </c>
      <c r="IR41">
        <v>0</v>
      </c>
      <c r="IS41">
        <v>0</v>
      </c>
      <c r="IT41">
        <v>0</v>
      </c>
      <c r="IU41">
        <v>0</v>
      </c>
      <c r="IV41">
        <v>0</v>
      </c>
      <c r="IW41">
        <v>0</v>
      </c>
      <c r="IX41">
        <v>0</v>
      </c>
      <c r="IY41">
        <v>619626.83263847</v>
      </c>
      <c r="IZ41">
        <v>423989.806331415</v>
      </c>
      <c r="JA41">
        <v>832072.542305577</v>
      </c>
      <c r="JB41">
        <v>782623.822393227</v>
      </c>
      <c r="JC41">
        <v>673702.339606363</v>
      </c>
      <c r="JD41">
        <v>12643.5840256894</v>
      </c>
      <c r="JE41">
        <v>0</v>
      </c>
      <c r="JF41">
        <v>0</v>
      </c>
      <c r="JG41">
        <v>0</v>
      </c>
      <c r="JH41">
        <v>0</v>
      </c>
      <c r="JI41">
        <v>0</v>
      </c>
      <c r="JJ41">
        <v>0</v>
      </c>
      <c r="JK41">
        <v>0</v>
      </c>
      <c r="JL41">
        <v>0</v>
      </c>
      <c r="JM41">
        <v>0</v>
      </c>
      <c r="JN41">
        <v>606983.2486127811</v>
      </c>
      <c r="JO41">
        <v>423989.806331415</v>
      </c>
      <c r="JP41">
        <v>832072.542305577</v>
      </c>
      <c r="JQ41">
        <v>782623.822393227</v>
      </c>
      <c r="JR41">
        <v>673702.339606363</v>
      </c>
      <c r="JS41">
        <v>648737.452281232</v>
      </c>
      <c r="JT41">
        <v>631194.615222387</v>
      </c>
      <c r="JU41">
        <v>896626.375131422</v>
      </c>
      <c r="JV41">
        <v>795487.103865194</v>
      </c>
      <c r="JW41">
        <v>706586.919705069</v>
      </c>
      <c r="JX41">
        <v>274933.605718429</v>
      </c>
      <c r="JY41">
        <v>345876.38202507</v>
      </c>
      <c r="JZ41">
        <v>146616.397553211</v>
      </c>
      <c r="KA41">
        <v>314646.683402467</v>
      </c>
      <c r="KB41">
        <v>235326.39141168</v>
      </c>
      <c r="KC41" t="s">
        <v>1900</v>
      </c>
      <c r="KD41" t="s">
        <v>1900</v>
      </c>
      <c r="KE41" t="s">
        <v>1900</v>
      </c>
      <c r="KF41" t="s">
        <v>1900</v>
      </c>
      <c r="KG41" t="s">
        <v>1900</v>
      </c>
      <c r="KH41" t="s">
        <v>1900</v>
      </c>
      <c r="KI41" t="s">
        <v>1900</v>
      </c>
      <c r="KJ41" t="s">
        <v>1900</v>
      </c>
      <c r="KK41" t="s">
        <v>1900</v>
      </c>
      <c r="KL41" t="s">
        <v>1900</v>
      </c>
      <c r="KM41">
        <v>18</v>
      </c>
      <c r="KN41">
        <v>18</v>
      </c>
      <c r="KO41">
        <v>15</v>
      </c>
      <c r="KP41">
        <v>13</v>
      </c>
      <c r="KQ41">
        <v>15</v>
      </c>
      <c r="KR41" t="s">
        <v>1900</v>
      </c>
      <c r="KS41" t="s">
        <v>1900</v>
      </c>
      <c r="KT41" t="s">
        <v>1900</v>
      </c>
      <c r="KU41" t="s">
        <v>1900</v>
      </c>
      <c r="KV41" t="s">
        <v>1900</v>
      </c>
      <c r="KW41" t="s">
        <v>1900</v>
      </c>
      <c r="KX41" t="s">
        <v>1900</v>
      </c>
      <c r="KY41" t="s">
        <v>1900</v>
      </c>
      <c r="KZ41" t="s">
        <v>1900</v>
      </c>
      <c r="LA41" t="s">
        <v>1900</v>
      </c>
      <c r="LB41" t="s">
        <v>1900</v>
      </c>
      <c r="LC41" t="s">
        <v>1900</v>
      </c>
      <c r="LD41" t="s">
        <v>1900</v>
      </c>
      <c r="LE41" t="s">
        <v>1900</v>
      </c>
      <c r="LF41" t="s">
        <v>1900</v>
      </c>
      <c r="LG41" t="s">
        <v>1900</v>
      </c>
      <c r="LH41" t="s">
        <v>1900</v>
      </c>
      <c r="LI41" t="s">
        <v>1900</v>
      </c>
      <c r="LJ41" t="s">
        <v>1900</v>
      </c>
      <c r="LK41" t="s">
        <v>1900</v>
      </c>
      <c r="LL41" t="s">
        <v>1900</v>
      </c>
      <c r="LM41" t="s">
        <v>1900</v>
      </c>
      <c r="LN41" t="s">
        <v>1900</v>
      </c>
      <c r="LO41" t="s">
        <v>1900</v>
      </c>
      <c r="LP41" t="s">
        <v>1900</v>
      </c>
      <c r="LQ41" t="s">
        <v>1900</v>
      </c>
      <c r="LR41" t="s">
        <v>1900</v>
      </c>
      <c r="LS41" t="s">
        <v>1900</v>
      </c>
      <c r="LT41" t="s">
        <v>1900</v>
      </c>
      <c r="LU41" t="s">
        <v>1900</v>
      </c>
      <c r="LV41" t="s">
        <v>1900</v>
      </c>
      <c r="LW41" t="s">
        <v>1900</v>
      </c>
      <c r="LX41" t="s">
        <v>1900</v>
      </c>
      <c r="LY41" t="s">
        <v>1900</v>
      </c>
      <c r="LZ41" t="s">
        <v>1900</v>
      </c>
      <c r="MA41" t="s">
        <v>1900</v>
      </c>
      <c r="MB41" t="s">
        <v>1900</v>
      </c>
      <c r="MC41" t="s">
        <v>1900</v>
      </c>
      <c r="MD41" t="s">
        <v>1900</v>
      </c>
      <c r="ME41" t="s">
        <v>1900</v>
      </c>
      <c r="MF41" t="s">
        <v>1900</v>
      </c>
      <c r="MG41" t="s">
        <v>1900</v>
      </c>
      <c r="MH41" t="s">
        <v>1900</v>
      </c>
      <c r="MI41" t="s">
        <v>1900</v>
      </c>
      <c r="MJ41" t="s">
        <v>1900</v>
      </c>
      <c r="MK41" t="s">
        <v>1900</v>
      </c>
      <c r="ML41" t="s">
        <v>1900</v>
      </c>
      <c r="MM41" t="s">
        <v>1900</v>
      </c>
      <c r="MN41" t="s">
        <v>1900</v>
      </c>
      <c r="MO41" t="s">
        <v>1900</v>
      </c>
      <c r="MP41">
        <v>261776.171590815</v>
      </c>
      <c r="MQ41">
        <v>129770.075889215</v>
      </c>
      <c r="MR41">
        <v>568749.436708844</v>
      </c>
      <c r="MS41">
        <v>421043.258219719</v>
      </c>
      <c r="MT41">
        <v>388409.789989102</v>
      </c>
      <c r="MU41" t="s">
        <v>1900</v>
      </c>
      <c r="MV41" t="s">
        <v>1900</v>
      </c>
      <c r="MW41" t="s">
        <v>1900</v>
      </c>
      <c r="MX41" t="s">
        <v>1900</v>
      </c>
      <c r="MY41" t="s">
        <v>1900</v>
      </c>
      <c r="MZ41" t="s">
        <v>1900</v>
      </c>
      <c r="NA41" t="s">
        <v>1900</v>
      </c>
      <c r="NB41" t="s">
        <v>1900</v>
      </c>
      <c r="NC41" t="s">
        <v>1900</v>
      </c>
      <c r="ND41" t="s">
        <v>1900</v>
      </c>
      <c r="NE41" t="s">
        <v>1900</v>
      </c>
      <c r="NF41" t="s">
        <v>1900</v>
      </c>
      <c r="NG41" t="s">
        <v>1900</v>
      </c>
      <c r="NH41" t="s">
        <v>1900</v>
      </c>
      <c r="NI41" t="s">
        <v>1900</v>
      </c>
      <c r="NJ41" t="s">
        <v>1900</v>
      </c>
      <c r="NK41" t="s">
        <v>1900</v>
      </c>
      <c r="NL41" t="s">
        <v>1900</v>
      </c>
      <c r="NM41" t="s">
        <v>1900</v>
      </c>
      <c r="NN41" t="s">
        <v>1900</v>
      </c>
      <c r="NO41" t="s">
        <v>1900</v>
      </c>
      <c r="NP41" t="s">
        <v>1900</v>
      </c>
      <c r="NQ41" t="s">
        <v>1900</v>
      </c>
      <c r="NR41" t="s">
        <v>1900</v>
      </c>
      <c r="NS41" t="s">
        <v>1900</v>
      </c>
      <c r="NT41">
        <v>112027.674971988</v>
      </c>
      <c r="NU41">
        <v>155548.157308102</v>
      </c>
      <c r="NV41">
        <v>181260.540869367</v>
      </c>
      <c r="NW41">
        <v>59797.1622430086</v>
      </c>
      <c r="NX41">
        <v>82850.7383042872</v>
      </c>
      <c r="NY41" t="s">
        <v>1900</v>
      </c>
      <c r="NZ41" t="s">
        <v>1900</v>
      </c>
      <c r="OA41" t="s">
        <v>1900</v>
      </c>
      <c r="OB41" t="s">
        <v>1900</v>
      </c>
      <c r="OC41" t="s">
        <v>1900</v>
      </c>
      <c r="OD41" t="s">
        <v>1900</v>
      </c>
      <c r="OE41" t="s">
        <v>1900</v>
      </c>
      <c r="OF41" t="s">
        <v>1900</v>
      </c>
      <c r="OG41" t="s">
        <v>1900</v>
      </c>
      <c r="OH41" t="s">
        <v>1900</v>
      </c>
      <c r="OI41" t="s">
        <v>1900</v>
      </c>
      <c r="OJ41" t="s">
        <v>1900</v>
      </c>
      <c r="OK41" t="s">
        <v>1900</v>
      </c>
      <c r="OL41" t="s">
        <v>1900</v>
      </c>
      <c r="OM41" t="s">
        <v>1900</v>
      </c>
      <c r="ON41" t="s">
        <v>1900</v>
      </c>
      <c r="OO41" t="s">
        <v>1900</v>
      </c>
      <c r="OP41" t="s">
        <v>1900</v>
      </c>
      <c r="OQ41" t="s">
        <v>1900</v>
      </c>
      <c r="OR41" t="s">
        <v>1900</v>
      </c>
      <c r="OS41" t="s">
        <v>1900</v>
      </c>
      <c r="OT41" t="s">
        <v>1900</v>
      </c>
      <c r="OU41" t="s">
        <v>1900</v>
      </c>
      <c r="OV41" t="s">
        <v>1900</v>
      </c>
      <c r="OW41" t="s">
        <v>1900</v>
      </c>
      <c r="OX41" t="s">
        <v>1900</v>
      </c>
      <c r="OY41" t="s">
        <v>1900</v>
      </c>
      <c r="OZ41" t="s">
        <v>1900</v>
      </c>
      <c r="PA41" t="s">
        <v>1900</v>
      </c>
      <c r="PB41" t="s">
        <v>1900</v>
      </c>
      <c r="PC41" t="s">
        <v>1900</v>
      </c>
      <c r="PD41" t="s">
        <v>1900</v>
      </c>
      <c r="PE41" t="s">
        <v>1900</v>
      </c>
      <c r="PF41" t="s">
        <v>1900</v>
      </c>
      <c r="PG41" t="s">
        <v>1900</v>
      </c>
      <c r="PH41" t="s">
        <v>1900</v>
      </c>
      <c r="PI41" t="s">
        <v>1900</v>
      </c>
      <c r="PJ41" t="s">
        <v>1900</v>
      </c>
      <c r="PK41" t="s">
        <v>1900</v>
      </c>
      <c r="PL41" t="s">
        <v>1900</v>
      </c>
      <c r="PM41" t="s">
        <v>1900</v>
      </c>
      <c r="PN41" t="s">
        <v>1900</v>
      </c>
      <c r="PO41" t="s">
        <v>1900</v>
      </c>
      <c r="PP41" t="s">
        <v>1900</v>
      </c>
      <c r="PQ41" t="s">
        <v>1900</v>
      </c>
      <c r="PR41" t="s">
        <v>1900</v>
      </c>
      <c r="PS41" t="s">
        <v>1900</v>
      </c>
      <c r="PT41" t="s">
        <v>1900</v>
      </c>
      <c r="PU41" t="s">
        <v>1900</v>
      </c>
      <c r="PV41" t="s">
        <v>1900</v>
      </c>
      <c r="PW41" t="s">
        <v>1900</v>
      </c>
      <c r="PX41" t="s">
        <v>1900</v>
      </c>
      <c r="PY41" t="s">
        <v>1900</v>
      </c>
      <c r="PZ41" t="s">
        <v>1900</v>
      </c>
      <c r="QA41" t="s">
        <v>1900</v>
      </c>
      <c r="QB41" t="s">
        <v>1900</v>
      </c>
      <c r="QC41" t="s">
        <v>1900</v>
      </c>
      <c r="QD41" t="s">
        <v>1900</v>
      </c>
      <c r="QE41" t="s">
        <v>1900</v>
      </c>
      <c r="QF41" t="s">
        <v>1900</v>
      </c>
      <c r="QG41" t="s">
        <v>1900</v>
      </c>
      <c r="QH41" t="s">
        <v>1900</v>
      </c>
      <c r="QI41" t="s">
        <v>1900</v>
      </c>
      <c r="QJ41" t="s">
        <v>1900</v>
      </c>
      <c r="QK41" t="s">
        <v>1900</v>
      </c>
      <c r="QL41" t="s">
        <v>1900</v>
      </c>
      <c r="QM41" t="s">
        <v>1900</v>
      </c>
      <c r="QN41" t="s">
        <v>1900</v>
      </c>
      <c r="QO41" t="s">
        <v>1900</v>
      </c>
      <c r="QP41" t="s">
        <v>1900</v>
      </c>
      <c r="QQ41" t="s">
        <v>1900</v>
      </c>
      <c r="QR41" t="s">
        <v>1900</v>
      </c>
      <c r="QS41" t="s">
        <v>1900</v>
      </c>
      <c r="QT41" t="s">
        <v>1900</v>
      </c>
      <c r="QU41" t="s">
        <v>1900</v>
      </c>
      <c r="QV41" t="s">
        <v>1900</v>
      </c>
      <c r="QW41" t="s">
        <v>1900</v>
      </c>
      <c r="QX41" t="s">
        <v>1900</v>
      </c>
      <c r="QY41" t="s">
        <v>1900</v>
      </c>
      <c r="QZ41" t="s">
        <v>1900</v>
      </c>
      <c r="RA41" t="s">
        <v>1900</v>
      </c>
      <c r="RB41" t="s">
        <v>1900</v>
      </c>
      <c r="RC41" t="s">
        <v>1900</v>
      </c>
      <c r="RD41" t="s">
        <v>1900</v>
      </c>
      <c r="RE41" t="s">
        <v>1900</v>
      </c>
      <c r="RF41" t="s">
        <v>1900</v>
      </c>
      <c r="RG41" t="s">
        <v>1900</v>
      </c>
      <c r="RH41" t="s">
        <v>1900</v>
      </c>
      <c r="RI41" t="s">
        <v>1900</v>
      </c>
      <c r="RJ41" t="s">
        <v>1900</v>
      </c>
      <c r="RK41" t="s">
        <v>1900</v>
      </c>
      <c r="RL41" t="s">
        <v>1900</v>
      </c>
      <c r="RM41" t="s">
        <v>1900</v>
      </c>
      <c r="RN41" t="s">
        <v>1900</v>
      </c>
      <c r="RO41" t="s">
        <v>1900</v>
      </c>
      <c r="RP41" t="s">
        <v>1900</v>
      </c>
      <c r="RQ41" t="s">
        <v>1900</v>
      </c>
      <c r="RR41" t="s">
        <v>1900</v>
      </c>
      <c r="RS41" t="s">
        <v>1900</v>
      </c>
      <c r="RT41" t="s">
        <v>1900</v>
      </c>
      <c r="RU41" t="s">
        <v>1900</v>
      </c>
      <c r="RV41" t="s">
        <v>1900</v>
      </c>
      <c r="RW41" t="s">
        <v>1900</v>
      </c>
      <c r="RX41" t="s">
        <v>1900</v>
      </c>
      <c r="RY41" t="s">
        <v>1900</v>
      </c>
      <c r="RZ41" t="s">
        <v>1900</v>
      </c>
      <c r="SA41" t="s">
        <v>1900</v>
      </c>
      <c r="SB41" t="s">
        <v>1900</v>
      </c>
      <c r="SC41" t="s">
        <v>1900</v>
      </c>
      <c r="SD41" t="s">
        <v>1900</v>
      </c>
      <c r="SE41" t="s">
        <v>1900</v>
      </c>
      <c r="SF41" t="s">
        <v>1900</v>
      </c>
      <c r="SG41" t="s">
        <v>1900</v>
      </c>
      <c r="SH41" t="s">
        <v>1900</v>
      </c>
      <c r="SI41" t="s">
        <v>1900</v>
      </c>
      <c r="SJ41">
        <v>25037.3231007874</v>
      </c>
      <c r="SK41">
        <v>27793.5802234173</v>
      </c>
      <c r="SL41">
        <v>26827.6969583929</v>
      </c>
      <c r="SM41">
        <v>25516.4769129038</v>
      </c>
      <c r="SN41">
        <v>27645.4550978005</v>
      </c>
      <c r="SO41" t="s">
        <v>1900</v>
      </c>
      <c r="SP41" t="s">
        <v>1900</v>
      </c>
      <c r="SQ41" t="s">
        <v>1900</v>
      </c>
      <c r="SR41" t="s">
        <v>1900</v>
      </c>
      <c r="SS41" t="s">
        <v>1900</v>
      </c>
      <c r="ST41" t="s">
        <v>1900</v>
      </c>
      <c r="SU41" t="s">
        <v>1900</v>
      </c>
      <c r="SV41" t="s">
        <v>1900</v>
      </c>
      <c r="SW41" t="s">
        <v>1900</v>
      </c>
      <c r="SX41" t="s">
        <v>1900</v>
      </c>
      <c r="SY41" t="s">
        <v>1900</v>
      </c>
      <c r="SZ41" t="s">
        <v>1900</v>
      </c>
      <c r="TA41" t="s">
        <v>1900</v>
      </c>
      <c r="TB41" t="s">
        <v>1900</v>
      </c>
      <c r="TC41" t="s">
        <v>1900</v>
      </c>
      <c r="TD41" t="s">
        <v>1900</v>
      </c>
      <c r="TE41" t="s">
        <v>1900</v>
      </c>
      <c r="TF41" t="s">
        <v>1900</v>
      </c>
      <c r="TG41" t="s">
        <v>1900</v>
      </c>
      <c r="TH41" t="s">
        <v>1900</v>
      </c>
      <c r="TI41" t="s">
        <v>1900</v>
      </c>
      <c r="TJ41" t="s">
        <v>1900</v>
      </c>
      <c r="TK41" t="s">
        <v>1900</v>
      </c>
      <c r="TL41" t="s">
        <v>1900</v>
      </c>
      <c r="TM41" t="s">
        <v>1900</v>
      </c>
      <c r="TN41" t="s">
        <v>1900</v>
      </c>
      <c r="TO41" t="s">
        <v>1900</v>
      </c>
      <c r="TP41" t="s">
        <v>1900</v>
      </c>
      <c r="TQ41" t="s">
        <v>1900</v>
      </c>
      <c r="TR41" t="s">
        <v>1900</v>
      </c>
      <c r="TS41">
        <v>648737.452281232</v>
      </c>
      <c r="TT41">
        <v>631194.615222387</v>
      </c>
      <c r="TU41">
        <v>896626.375131422</v>
      </c>
      <c r="TV41">
        <v>795487.103865194</v>
      </c>
      <c r="TW41">
        <v>706586.919705069</v>
      </c>
      <c r="TX41" t="s">
        <v>1900</v>
      </c>
      <c r="TY41" t="s">
        <v>1900</v>
      </c>
      <c r="TZ41" t="s">
        <v>1900</v>
      </c>
      <c r="UA41" t="s">
        <v>1900</v>
      </c>
      <c r="UB41" t="s">
        <v>1900</v>
      </c>
      <c r="UC41">
        <v>12643.5840256894</v>
      </c>
      <c r="UD41">
        <v>0</v>
      </c>
      <c r="UE41">
        <v>0</v>
      </c>
      <c r="UF41">
        <v>0</v>
      </c>
      <c r="UG41">
        <v>0</v>
      </c>
      <c r="UH41" t="s">
        <v>1900</v>
      </c>
      <c r="UI41" t="s">
        <v>1900</v>
      </c>
      <c r="UJ41" t="s">
        <v>1900</v>
      </c>
      <c r="UK41" t="s">
        <v>1900</v>
      </c>
      <c r="UL41" t="s">
        <v>1900</v>
      </c>
      <c r="UM41" t="s">
        <v>1900</v>
      </c>
      <c r="UN41" t="s">
        <v>1900</v>
      </c>
      <c r="UO41" t="s">
        <v>1900</v>
      </c>
      <c r="UP41" t="s">
        <v>1900</v>
      </c>
      <c r="UQ41" t="s">
        <v>1900</v>
      </c>
      <c r="UR41" t="s">
        <v>1900</v>
      </c>
      <c r="US41" t="s">
        <v>1900</v>
      </c>
      <c r="UT41" t="s">
        <v>1900</v>
      </c>
      <c r="UU41" t="s">
        <v>1900</v>
      </c>
      <c r="UV41" t="s">
        <v>1900</v>
      </c>
      <c r="UW41" t="s">
        <v>1900</v>
      </c>
      <c r="UX41" t="s">
        <v>1900</v>
      </c>
      <c r="UY41" t="s">
        <v>1900</v>
      </c>
      <c r="UZ41" t="s">
        <v>1900</v>
      </c>
      <c r="VA41" t="s">
        <v>1900</v>
      </c>
      <c r="VB41" t="s">
        <v>1900</v>
      </c>
      <c r="VC41" t="s">
        <v>1900</v>
      </c>
      <c r="VD41" t="s">
        <v>1900</v>
      </c>
      <c r="VE41" t="s">
        <v>1900</v>
      </c>
      <c r="VF41" t="s">
        <v>1900</v>
      </c>
      <c r="VG41" t="s">
        <v>1900</v>
      </c>
      <c r="VH41" t="s">
        <v>1900</v>
      </c>
      <c r="VI41" t="s">
        <v>1900</v>
      </c>
      <c r="VJ41" t="s">
        <v>1900</v>
      </c>
      <c r="VK41" t="s">
        <v>1900</v>
      </c>
      <c r="VL41" t="s">
        <v>1900</v>
      </c>
      <c r="VM41" t="s">
        <v>1900</v>
      </c>
      <c r="VN41" t="s">
        <v>1900</v>
      </c>
      <c r="VO41" t="s">
        <v>1900</v>
      </c>
      <c r="VP41" t="s">
        <v>1900</v>
      </c>
      <c r="VQ41" t="s">
        <v>1900</v>
      </c>
      <c r="VR41" t="s">
        <v>1900</v>
      </c>
      <c r="VS41" t="s">
        <v>1900</v>
      </c>
      <c r="VT41" t="s">
        <v>1900</v>
      </c>
      <c r="VU41" t="s">
        <v>1900</v>
      </c>
      <c r="VV41" t="s">
        <v>1900</v>
      </c>
      <c r="VW41" t="s">
        <v>1900</v>
      </c>
      <c r="VX41" t="s">
        <v>1900</v>
      </c>
      <c r="VY41" t="s">
        <v>1900</v>
      </c>
      <c r="VZ41" t="s">
        <v>1900</v>
      </c>
      <c r="WA41">
        <v>606983.2486127811</v>
      </c>
      <c r="WB41">
        <v>423989.806331415</v>
      </c>
      <c r="WC41">
        <v>832072.542305577</v>
      </c>
      <c r="WD41">
        <v>782623.822393227</v>
      </c>
      <c r="WE41">
        <v>673702.339606363</v>
      </c>
      <c r="WF41" t="s">
        <v>1900</v>
      </c>
      <c r="WG41" t="s">
        <v>1900</v>
      </c>
      <c r="WH41" t="s">
        <v>1900</v>
      </c>
      <c r="WI41" t="s">
        <v>1900</v>
      </c>
      <c r="WJ41" t="s">
        <v>1900</v>
      </c>
      <c r="WK41" t="s">
        <v>1900</v>
      </c>
      <c r="WL41" t="s">
        <v>1900</v>
      </c>
      <c r="WM41" t="s">
        <v>1900</v>
      </c>
      <c r="WN41" t="s">
        <v>1900</v>
      </c>
      <c r="WO41" t="s">
        <v>1900</v>
      </c>
      <c r="WP41" t="s">
        <v>1900</v>
      </c>
      <c r="WQ41" t="s">
        <v>1900</v>
      </c>
      <c r="WR41" t="s">
        <v>1900</v>
      </c>
      <c r="WS41" t="s">
        <v>1900</v>
      </c>
      <c r="WT41" t="s">
        <v>1900</v>
      </c>
      <c r="WU41" t="s">
        <v>1900</v>
      </c>
      <c r="WV41" t="s">
        <v>1900</v>
      </c>
      <c r="WW41" t="s">
        <v>1900</v>
      </c>
      <c r="WX41" t="s">
        <v>1900</v>
      </c>
      <c r="WY41" t="s">
        <v>1900</v>
      </c>
      <c r="WZ41" t="s">
        <v>1900</v>
      </c>
      <c r="XA41" t="s">
        <v>1900</v>
      </c>
      <c r="XB41" t="s">
        <v>1900</v>
      </c>
      <c r="XC41" t="s">
        <v>1900</v>
      </c>
      <c r="XD41" t="s">
        <v>1900</v>
      </c>
      <c r="XE41" t="s">
        <v>1900</v>
      </c>
      <c r="XF41" t="s">
        <v>1900</v>
      </c>
      <c r="XG41" t="s">
        <v>1900</v>
      </c>
      <c r="XH41" t="s">
        <v>1900</v>
      </c>
      <c r="XI41" t="s">
        <v>1900</v>
      </c>
      <c r="XJ41">
        <v>0</v>
      </c>
      <c r="XK41">
        <v>0</v>
      </c>
      <c r="XL41">
        <v>0</v>
      </c>
      <c r="XM41">
        <v>0</v>
      </c>
      <c r="XN41">
        <v>0</v>
      </c>
      <c r="XO41" t="s">
        <v>1900</v>
      </c>
      <c r="XP41" t="s">
        <v>1900</v>
      </c>
      <c r="XQ41" t="s">
        <v>1900</v>
      </c>
      <c r="XR41" t="s">
        <v>1900</v>
      </c>
      <c r="XS41" t="s">
        <v>1900</v>
      </c>
      <c r="XT41" t="s">
        <v>1900</v>
      </c>
      <c r="XU41" t="s">
        <v>1900</v>
      </c>
      <c r="XV41" t="s">
        <v>1900</v>
      </c>
      <c r="XW41" t="s">
        <v>1900</v>
      </c>
      <c r="XX41" t="s">
        <v>1900</v>
      </c>
      <c r="XY41">
        <v>0</v>
      </c>
      <c r="XZ41">
        <v>0</v>
      </c>
      <c r="YA41">
        <v>0</v>
      </c>
      <c r="YB41">
        <v>0</v>
      </c>
      <c r="YC41">
        <v>0</v>
      </c>
      <c r="YD41" t="s">
        <v>1900</v>
      </c>
      <c r="YE41" t="s">
        <v>1900</v>
      </c>
      <c r="YF41" t="s">
        <v>1900</v>
      </c>
      <c r="YG41" t="s">
        <v>1900</v>
      </c>
      <c r="YH41" t="s">
        <v>1900</v>
      </c>
      <c r="YI41" t="s">
        <v>1900</v>
      </c>
      <c r="YJ41" t="s">
        <v>1900</v>
      </c>
      <c r="YK41" t="s">
        <v>1900</v>
      </c>
      <c r="YL41" t="s">
        <v>1900</v>
      </c>
      <c r="YM41" t="s">
        <v>1900</v>
      </c>
      <c r="YN41" t="s">
        <v>1900</v>
      </c>
      <c r="YO41" t="s">
        <v>1900</v>
      </c>
      <c r="YP41" t="s">
        <v>1900</v>
      </c>
      <c r="YQ41" t="s">
        <v>1900</v>
      </c>
      <c r="YR41" t="s">
        <v>1900</v>
      </c>
      <c r="YS41" t="s">
        <v>1900</v>
      </c>
      <c r="YT41" t="s">
        <v>1900</v>
      </c>
      <c r="YU41" t="s">
        <v>1900</v>
      </c>
      <c r="YV41" t="s">
        <v>1900</v>
      </c>
      <c r="YW41" t="s">
        <v>1900</v>
      </c>
      <c r="YX41" t="s">
        <v>1900</v>
      </c>
      <c r="YY41" t="s">
        <v>1900</v>
      </c>
      <c r="YZ41" t="s">
        <v>1900</v>
      </c>
      <c r="ZA41" t="s">
        <v>1900</v>
      </c>
      <c r="ZB41" t="s">
        <v>1900</v>
      </c>
      <c r="ZC41" t="s">
        <v>1900</v>
      </c>
      <c r="ZD41" t="s">
        <v>1900</v>
      </c>
      <c r="ZE41" t="s">
        <v>1900</v>
      </c>
      <c r="ZF41" t="s">
        <v>1900</v>
      </c>
      <c r="ZG41" t="s">
        <v>1900</v>
      </c>
      <c r="ZH41" t="s">
        <v>1900</v>
      </c>
      <c r="ZI41" t="s">
        <v>1900</v>
      </c>
      <c r="ZJ41" t="s">
        <v>1900</v>
      </c>
      <c r="ZK41" t="s">
        <v>1900</v>
      </c>
      <c r="ZL41" t="s">
        <v>1900</v>
      </c>
      <c r="ZM41" t="s">
        <v>1900</v>
      </c>
      <c r="ZN41" t="s">
        <v>1900</v>
      </c>
      <c r="ZO41" t="s">
        <v>1900</v>
      </c>
      <c r="ZP41" t="s">
        <v>1900</v>
      </c>
      <c r="ZQ41" t="s">
        <v>1900</v>
      </c>
      <c r="ZR41" t="s">
        <v>1900</v>
      </c>
      <c r="ZS41" t="s">
        <v>1900</v>
      </c>
      <c r="ZT41" t="s">
        <v>1900</v>
      </c>
      <c r="ZU41" t="s">
        <v>1900</v>
      </c>
      <c r="ZV41" t="s">
        <v>1900</v>
      </c>
      <c r="ZW41" t="s">
        <v>1900</v>
      </c>
      <c r="ZX41" t="s">
        <v>1900</v>
      </c>
      <c r="ZY41" t="s">
        <v>1900</v>
      </c>
      <c r="ZZ41" t="s">
        <v>1900</v>
      </c>
      <c r="AAA41" t="s">
        <v>1900</v>
      </c>
      <c r="AAB41" t="s">
        <v>1900</v>
      </c>
      <c r="AAC41" t="s">
        <v>1900</v>
      </c>
      <c r="AAD41" t="s">
        <v>1900</v>
      </c>
      <c r="AAE41" t="s">
        <v>1900</v>
      </c>
      <c r="AAF41" t="s">
        <v>1900</v>
      </c>
      <c r="AAG41" t="s">
        <v>1900</v>
      </c>
      <c r="AAH41" t="s">
        <v>1900</v>
      </c>
      <c r="AAI41" t="s">
        <v>1900</v>
      </c>
      <c r="AAJ41" t="s">
        <v>1900</v>
      </c>
      <c r="AAK41" t="s">
        <v>1900</v>
      </c>
      <c r="AAL41" t="s">
        <v>1900</v>
      </c>
      <c r="AAM41" t="s">
        <v>1900</v>
      </c>
      <c r="AAN41" t="s">
        <v>1900</v>
      </c>
      <c r="AAO41" t="s">
        <v>1900</v>
      </c>
      <c r="AAP41" t="s">
        <v>1900</v>
      </c>
      <c r="AAQ41" t="s">
        <v>1900</v>
      </c>
      <c r="AAR41" t="s">
        <v>1900</v>
      </c>
      <c r="AAS41" t="s">
        <v>1900</v>
      </c>
      <c r="AAT41" t="s">
        <v>1900</v>
      </c>
      <c r="AAU41" t="s">
        <v>1900</v>
      </c>
      <c r="AAV41" t="s">
        <v>1900</v>
      </c>
      <c r="AAW41" t="s">
        <v>1900</v>
      </c>
      <c r="AAX41" t="s">
        <v>1900</v>
      </c>
      <c r="AAY41" t="s">
        <v>1900</v>
      </c>
      <c r="AAZ41" t="s">
        <v>1900</v>
      </c>
      <c r="ABA41" t="s">
        <v>1900</v>
      </c>
      <c r="ABB41" t="s">
        <v>1900</v>
      </c>
      <c r="ABC41" t="s">
        <v>1900</v>
      </c>
      <c r="ABD41" t="s">
        <v>1900</v>
      </c>
      <c r="ABE41" t="s">
        <v>1900</v>
      </c>
      <c r="ABF41" t="s">
        <v>1900</v>
      </c>
      <c r="ABG41" t="s">
        <v>1900</v>
      </c>
      <c r="ABH41" t="s">
        <v>1900</v>
      </c>
      <c r="ABI41" t="s">
        <v>1900</v>
      </c>
      <c r="ABJ41" t="s">
        <v>1900</v>
      </c>
      <c r="ABK41" t="s">
        <v>1900</v>
      </c>
      <c r="ABL41" t="s">
        <v>1900</v>
      </c>
      <c r="ABM41" t="s">
        <v>1900</v>
      </c>
      <c r="ABN41" t="s">
        <v>1900</v>
      </c>
      <c r="ABO41" t="s">
        <v>1900</v>
      </c>
      <c r="ABP41" t="s">
        <v>1900</v>
      </c>
      <c r="ABQ41" t="s">
        <v>1900</v>
      </c>
      <c r="ABR41" t="s">
        <v>1900</v>
      </c>
      <c r="ABS41" t="s">
        <v>1900</v>
      </c>
      <c r="ABT41" t="s">
        <v>1900</v>
      </c>
      <c r="ABU41" t="s">
        <v>1900</v>
      </c>
      <c r="ABV41" t="s">
        <v>1900</v>
      </c>
      <c r="ABW41" t="s">
        <v>1900</v>
      </c>
      <c r="ABX41" t="s">
        <v>1900</v>
      </c>
      <c r="ABY41" t="s">
        <v>1900</v>
      </c>
      <c r="ABZ41" t="s">
        <v>1900</v>
      </c>
      <c r="ACA41" t="s">
        <v>1900</v>
      </c>
      <c r="ACB41" t="s">
        <v>1900</v>
      </c>
      <c r="ACC41" t="s">
        <v>1900</v>
      </c>
      <c r="ACD41" t="s">
        <v>1900</v>
      </c>
      <c r="ACE41">
        <v>6.162</v>
      </c>
      <c r="ACF41">
        <v>110.096</v>
      </c>
      <c r="ACG41">
        <v>0.905</v>
      </c>
      <c r="ACH41">
        <v>1.564</v>
      </c>
      <c r="ACI41">
        <v>2.599</v>
      </c>
      <c r="ACJ41">
        <v>9.433</v>
      </c>
      <c r="ACK41">
        <v>85.925</v>
      </c>
      <c r="ACL41">
        <v>1.817</v>
      </c>
      <c r="ACM41">
        <v>4.4</v>
      </c>
      <c r="ACN41">
        <v>3.785</v>
      </c>
      <c r="ACO41">
        <v>0.089</v>
      </c>
      <c r="ACP41">
        <v>27.866</v>
      </c>
      <c r="ACQ41">
        <v>0.007</v>
      </c>
      <c r="ACR41">
        <v>0.014</v>
      </c>
      <c r="ACS41">
        <v>0.027</v>
      </c>
      <c r="ACT41">
        <v>5.361</v>
      </c>
      <c r="ACU41">
        <v>95.771</v>
      </c>
      <c r="ACV41">
        <v>0.769</v>
      </c>
      <c r="ACW41">
        <v>1.23</v>
      </c>
      <c r="ACX41">
        <v>2.268</v>
      </c>
      <c r="ACY41">
        <v>9.173999999999999</v>
      </c>
      <c r="ACZ41">
        <v>74.88</v>
      </c>
      <c r="ADA41">
        <v>1.804</v>
      </c>
      <c r="ADB41">
        <v>4.221</v>
      </c>
      <c r="ADC41">
        <v>3.711</v>
      </c>
      <c r="ADD41">
        <v>0.078</v>
      </c>
      <c r="ADE41">
        <v>24.241</v>
      </c>
      <c r="ADF41">
        <v>0.006</v>
      </c>
      <c r="ADG41">
        <v>0.011</v>
      </c>
      <c r="ADH41">
        <v>0.024</v>
      </c>
      <c r="ADI41">
        <v>0.022</v>
      </c>
      <c r="ADJ41">
        <v>7.197</v>
      </c>
      <c r="ADK41">
        <v>0.003</v>
      </c>
      <c r="ADL41">
        <v>0.005</v>
      </c>
      <c r="ADM41">
        <v>0.008999999999999999</v>
      </c>
      <c r="ADN41">
        <v>97.39100000000001</v>
      </c>
      <c r="ADO41" t="s">
        <v>1901</v>
      </c>
      <c r="ADP41">
        <v>100</v>
      </c>
      <c r="ADQ41">
        <v>100</v>
      </c>
      <c r="ADR41">
        <v>100</v>
      </c>
      <c r="ADS41">
        <v>0.104457697</v>
      </c>
      <c r="ADT41">
        <v>7.284525102</v>
      </c>
      <c r="ADU41">
        <v>0.059234278</v>
      </c>
      <c r="ADV41">
        <v>0.026477681</v>
      </c>
      <c r="ADW41">
        <v>0.05699531</v>
      </c>
      <c r="ADX41">
        <v>1.394</v>
      </c>
      <c r="ADY41">
        <v>8.631</v>
      </c>
      <c r="ADZ41">
        <v>1.421</v>
      </c>
      <c r="AEA41">
        <v>0.806</v>
      </c>
      <c r="AEB41">
        <v>1.004</v>
      </c>
      <c r="AEC41">
        <v>0.104</v>
      </c>
      <c r="AED41">
        <v>7.285</v>
      </c>
      <c r="AEE41">
        <v>0.059</v>
      </c>
      <c r="AEF41">
        <v>0.026</v>
      </c>
      <c r="AEG41">
        <v>0.057</v>
      </c>
      <c r="AEH41">
        <v>1.309</v>
      </c>
      <c r="AEI41">
        <v>7.606</v>
      </c>
      <c r="AEJ41">
        <v>1.364</v>
      </c>
      <c r="AEK41">
        <v>0.784</v>
      </c>
      <c r="AEL41">
        <v>0.955</v>
      </c>
      <c r="AEM41">
        <v>0.104566925</v>
      </c>
      <c r="AEN41">
        <v>7.856860044</v>
      </c>
      <c r="AEO41">
        <v>0.059269386</v>
      </c>
      <c r="AEP41">
        <v>0.026484693</v>
      </c>
      <c r="AEQ41">
        <v>0.057027813</v>
      </c>
      <c r="AER41">
        <v>1.001073714</v>
      </c>
      <c r="AES41">
        <v>1.072808221</v>
      </c>
      <c r="AET41" t="s">
        <v>1900</v>
      </c>
      <c r="AEU41" t="s">
        <v>1900</v>
      </c>
      <c r="AEV41" t="s">
        <v>1900</v>
      </c>
      <c r="AEW41" t="s">
        <v>1900</v>
      </c>
      <c r="AEX41" t="s">
        <v>1900</v>
      </c>
      <c r="AEY41" t="s">
        <v>1900</v>
      </c>
      <c r="AEZ41" t="s">
        <v>1900</v>
      </c>
      <c r="AFA41" t="s">
        <v>1900</v>
      </c>
      <c r="AFB41" t="s">
        <v>1900</v>
      </c>
      <c r="AFC41" t="s">
        <v>1900</v>
      </c>
      <c r="AFD41" t="s">
        <v>1900</v>
      </c>
      <c r="AFE41" t="s">
        <v>1900</v>
      </c>
      <c r="AFF41" t="s">
        <v>1900</v>
      </c>
      <c r="AFG41">
        <v>90.30500000000001</v>
      </c>
      <c r="AFH41">
        <v>11.796</v>
      </c>
      <c r="AFI41">
        <v>30.68</v>
      </c>
      <c r="AFJ41">
        <v>166.177</v>
      </c>
      <c r="AFK41">
        <v>66.40600000000001</v>
      </c>
      <c r="AFL41">
        <v>1.268</v>
      </c>
      <c r="AFM41">
        <v>82.857</v>
      </c>
      <c r="AFN41">
        <v>1.053</v>
      </c>
      <c r="AFO41">
        <v>1.235</v>
      </c>
      <c r="AFP41">
        <v>1.182</v>
      </c>
      <c r="AFQ41">
        <v>26.297</v>
      </c>
      <c r="AFR41">
        <v>13.633</v>
      </c>
      <c r="AFS41" t="s">
        <v>1901</v>
      </c>
      <c r="AFT41" t="s">
        <v>1901</v>
      </c>
      <c r="AFU41" t="s">
        <v>1901</v>
      </c>
      <c r="AFV41">
        <v>23.96</v>
      </c>
      <c r="AFW41">
        <v>24.538</v>
      </c>
      <c r="AFX41">
        <v>26.651</v>
      </c>
      <c r="AFY41">
        <v>52.991</v>
      </c>
      <c r="AFZ41">
        <v>38.795</v>
      </c>
      <c r="AGA41">
        <v>0</v>
      </c>
      <c r="AGB41">
        <v>0</v>
      </c>
      <c r="AGC41">
        <v>0</v>
      </c>
      <c r="AGD41">
        <v>0</v>
      </c>
      <c r="AGE41">
        <v>0</v>
      </c>
      <c r="AGF41" t="s">
        <v>1900</v>
      </c>
      <c r="AGG41" t="s">
        <v>1900</v>
      </c>
      <c r="AGH41" t="s">
        <v>1900</v>
      </c>
      <c r="AGI41" t="s">
        <v>1900</v>
      </c>
      <c r="AGJ41" t="s">
        <v>1900</v>
      </c>
      <c r="AGK41" t="s">
        <v>1900</v>
      </c>
      <c r="AGL41" t="s">
        <v>1900</v>
      </c>
      <c r="AGM41" t="s">
        <v>1900</v>
      </c>
      <c r="AGN41" t="s">
        <v>1900</v>
      </c>
      <c r="AGO41" t="s">
        <v>1900</v>
      </c>
      <c r="AGP41" t="s">
        <v>1900</v>
      </c>
      <c r="AGQ41" t="s">
        <v>1900</v>
      </c>
      <c r="AGR41" t="s">
        <v>1900</v>
      </c>
      <c r="AGS41" t="s">
        <v>1900</v>
      </c>
      <c r="AGT41" t="s">
        <v>1900</v>
      </c>
      <c r="AGU41">
        <v>0</v>
      </c>
      <c r="AGV41">
        <v>0</v>
      </c>
      <c r="AGW41">
        <v>0</v>
      </c>
      <c r="AGX41">
        <v>0</v>
      </c>
      <c r="AGY41">
        <v>0</v>
      </c>
      <c r="AGZ41">
        <v>0.866</v>
      </c>
      <c r="AHA41">
        <v>1.122</v>
      </c>
      <c r="AHB41">
        <v>0.86</v>
      </c>
      <c r="AHC41">
        <v>0.9399999999999999</v>
      </c>
      <c r="AHD41">
        <v>0.926</v>
      </c>
      <c r="AHE41">
        <v>0.705</v>
      </c>
      <c r="AHF41">
        <v>0.699</v>
      </c>
      <c r="AHG41">
        <v>0.86</v>
      </c>
      <c r="AHH41">
        <v>0.9399999999999999</v>
      </c>
      <c r="AHI41">
        <v>0.926</v>
      </c>
      <c r="AHJ41">
        <v>0.478</v>
      </c>
      <c r="AHK41">
        <v>3.368</v>
      </c>
      <c r="AHL41">
        <v>0.113</v>
      </c>
      <c r="AHM41">
        <v>1.152</v>
      </c>
      <c r="AHN41">
        <v>0.289</v>
      </c>
      <c r="AHO41">
        <v>1.452</v>
      </c>
      <c r="AHP41">
        <v>25.311</v>
      </c>
      <c r="AHQ41">
        <v>0.729</v>
      </c>
      <c r="AHR41">
        <v>0.866</v>
      </c>
      <c r="AHS41">
        <v>1.043</v>
      </c>
      <c r="AHT41">
        <v>1.474</v>
      </c>
      <c r="AHU41">
        <v>33.889</v>
      </c>
      <c r="AHV41">
        <v>0.734</v>
      </c>
      <c r="AHW41">
        <v>0.873</v>
      </c>
      <c r="AHX41">
        <v>1.054</v>
      </c>
      <c r="AHY41">
        <v>343.231</v>
      </c>
      <c r="AHZ41">
        <v>29.695</v>
      </c>
      <c r="AIA41">
        <v>887.86</v>
      </c>
      <c r="AIB41">
        <v>86.81100000000001</v>
      </c>
      <c r="AIC41">
        <v>346.288</v>
      </c>
      <c r="AID41">
        <v>3.859392272</v>
      </c>
      <c r="AIE41">
        <v>4.403329742</v>
      </c>
      <c r="AIF41">
        <v>2.992070912</v>
      </c>
      <c r="AIG41">
        <v>3.207654378</v>
      </c>
      <c r="AIH41">
        <v>3.91253423</v>
      </c>
      <c r="AII41">
        <v>40.351635422</v>
      </c>
      <c r="AIJ41">
        <v>20.559439634</v>
      </c>
      <c r="AIK41">
        <v>63.43215552</v>
      </c>
      <c r="AIL41">
        <v>52.928986048</v>
      </c>
      <c r="AIM41">
        <v>54.969852846</v>
      </c>
      <c r="AIN41">
        <v>93.563774756</v>
      </c>
      <c r="AIO41">
        <v>67.17259559999999</v>
      </c>
      <c r="AIP41">
        <v>92.80036427500001</v>
      </c>
      <c r="AIQ41">
        <v>98.382967944</v>
      </c>
      <c r="AIR41">
        <v>95.345996482</v>
      </c>
      <c r="AIS41">
        <v>145.745353897</v>
      </c>
      <c r="AIT41">
        <v>-100</v>
      </c>
      <c r="AIU41" t="s">
        <v>1900</v>
      </c>
      <c r="AIV41" t="s">
        <v>1900</v>
      </c>
      <c r="AIW41" t="s">
        <v>1900</v>
      </c>
      <c r="AIX41">
        <v>0.0322515973477364</v>
      </c>
      <c r="AIY41">
        <v>9.771752540442471</v>
      </c>
      <c r="AIZ41">
        <v>0.00394108510911465</v>
      </c>
      <c r="AJA41">
        <v>0.00828270604848862</v>
      </c>
      <c r="AJB41">
        <v>0.0127667411112785</v>
      </c>
      <c r="AJC41">
        <v>146.045771387493</v>
      </c>
      <c r="AJD41">
        <v>135.782739397625</v>
      </c>
      <c r="AJE41">
        <v>132.0341479976</v>
      </c>
      <c r="AJF41">
        <v>164.429641860166</v>
      </c>
      <c r="AJG41">
        <v>145.583270718456</v>
      </c>
      <c r="AJH41">
        <v>35.403</v>
      </c>
      <c r="AJI41">
        <v>32.867</v>
      </c>
      <c r="AJJ41">
        <v>40.799</v>
      </c>
      <c r="AJK41">
        <v>32.335</v>
      </c>
      <c r="AJL41">
        <v>30.958</v>
      </c>
      <c r="AJM41">
        <v>51.7051387748458</v>
      </c>
      <c r="AJN41">
        <v>44.6272826431761</v>
      </c>
      <c r="AJO41">
        <v>53.8681997134841</v>
      </c>
      <c r="AJP41">
        <v>53.1677151285267</v>
      </c>
      <c r="AJQ41">
        <v>45.070259014222</v>
      </c>
      <c r="AJR41">
        <v>0.52335603272438</v>
      </c>
      <c r="AJS41">
        <v>8.875703218306541</v>
      </c>
      <c r="AJT41">
        <v>0.435647227981687</v>
      </c>
      <c r="AJU41">
        <v>0.52966959458828</v>
      </c>
      <c r="AJV41">
        <v>0.491231164448857</v>
      </c>
      <c r="AJW41">
        <v>15.2740890911461</v>
      </c>
      <c r="AJX41">
        <v>19.2153541886148</v>
      </c>
      <c r="AJY41">
        <v>9.77442650354743</v>
      </c>
      <c r="AJZ41">
        <v>24.2035915536976</v>
      </c>
      <c r="AKA41">
        <v>15.6884265031451</v>
      </c>
      <c r="AKB41">
        <v>36.0409699174794</v>
      </c>
      <c r="AKC41">
        <v>35.0663675123549</v>
      </c>
      <c r="AKD41">
        <v>59.7750916754282</v>
      </c>
      <c r="AKE41">
        <v>61.1913162046766</v>
      </c>
      <c r="AKF41">
        <v>47.1057946470046</v>
      </c>
      <c r="AKG41">
        <v>145.745353897</v>
      </c>
      <c r="AKH41">
        <v>-100</v>
      </c>
      <c r="AKI41" t="s">
        <v>1900</v>
      </c>
      <c r="AKJ41" t="s">
        <v>1900</v>
      </c>
      <c r="AKK41" t="s">
        <v>1900</v>
      </c>
      <c r="AKL41">
        <v>3.802760248</v>
      </c>
      <c r="AKM41">
        <v>7.335384463</v>
      </c>
      <c r="AKN41">
        <v>0</v>
      </c>
      <c r="AKO41">
        <v>0</v>
      </c>
      <c r="AKP41">
        <v>0</v>
      </c>
      <c r="AKQ41">
        <v>15.409603534</v>
      </c>
      <c r="AKR41">
        <v>28.403814392</v>
      </c>
      <c r="AKS41">
        <v>0</v>
      </c>
      <c r="AKT41">
        <v>0</v>
      </c>
      <c r="AKU41">
        <v>0</v>
      </c>
      <c r="AKV41">
        <v>1.277798866</v>
      </c>
      <c r="AKW41">
        <v>1.642671061</v>
      </c>
      <c r="AKX41">
        <v>2.154189159</v>
      </c>
      <c r="AKY41">
        <v>0</v>
      </c>
      <c r="AKZ41">
        <v>0</v>
      </c>
      <c r="ALA41">
        <v>5.177916209</v>
      </c>
      <c r="ALB41">
        <v>6.36069236</v>
      </c>
      <c r="ALC41">
        <v>4.758278444</v>
      </c>
      <c r="ALD41">
        <v>0</v>
      </c>
      <c r="ALE41">
        <v>0</v>
      </c>
      <c r="ALF41">
        <v>2.031298888</v>
      </c>
      <c r="ALG41">
        <v>3.584411966</v>
      </c>
      <c r="ALH41">
        <v>5.643432202</v>
      </c>
      <c r="ALI41">
        <v>1.603710716</v>
      </c>
      <c r="ALJ41">
        <v>2.528004905</v>
      </c>
      <c r="ALK41">
        <v>8.231260580000001</v>
      </c>
      <c r="ALL41">
        <v>13.879432318</v>
      </c>
      <c r="ALM41">
        <v>12.465489247</v>
      </c>
      <c r="ALN41">
        <v>4.309395484</v>
      </c>
      <c r="ALO41">
        <v>7.812950066</v>
      </c>
      <c r="ALP41">
        <v>6.655665977</v>
      </c>
      <c r="ALQ41">
        <v>6.816159904</v>
      </c>
      <c r="ALR41">
        <v>7.402953442</v>
      </c>
      <c r="ALS41">
        <v>14.719724911</v>
      </c>
      <c r="ALT41">
        <v>10.776256132</v>
      </c>
      <c r="ALU41">
        <v>0</v>
      </c>
      <c r="ALV41">
        <v>0</v>
      </c>
      <c r="ALW41">
        <v>0</v>
      </c>
      <c r="ALX41">
        <v>0</v>
      </c>
      <c r="ALY41">
        <v>0</v>
      </c>
      <c r="ALZ41">
        <v>97.3908188861558</v>
      </c>
      <c r="AMA41" t="s">
        <v>1901</v>
      </c>
      <c r="AMB41">
        <v>100</v>
      </c>
      <c r="AMC41">
        <v>100</v>
      </c>
      <c r="AMD41">
        <v>100</v>
      </c>
      <c r="AME41">
        <v>97.3908188861558</v>
      </c>
      <c r="AMF41" t="s">
        <v>1901</v>
      </c>
      <c r="AMG41">
        <v>100</v>
      </c>
      <c r="AMH41">
        <v>100</v>
      </c>
      <c r="AMI41" t="s">
        <v>1901</v>
      </c>
      <c r="AMJ41">
        <v>3732.62010710586</v>
      </c>
      <c r="AMK41" t="s">
        <v>1901</v>
      </c>
      <c r="AML41" t="s">
        <v>1900</v>
      </c>
      <c r="AMM41" t="s">
        <v>1900</v>
      </c>
      <c r="AMN41" t="s">
        <v>1900</v>
      </c>
      <c r="AMO41">
        <v>1.00107371368029</v>
      </c>
      <c r="AMP41">
        <v>1.07280822125435</v>
      </c>
      <c r="AMQ41">
        <v>1.00059269385638</v>
      </c>
      <c r="AMR41">
        <v>1.00026484693313</v>
      </c>
      <c r="AMS41">
        <v>1.00057027869669</v>
      </c>
      <c r="AMT41">
        <v>1.00107371368029</v>
      </c>
      <c r="AMU41">
        <v>1.07280822125435</v>
      </c>
      <c r="AMV41">
        <v>1.00059269385638</v>
      </c>
      <c r="AMW41">
        <v>1.00026484693313</v>
      </c>
      <c r="AMX41">
        <v>1.00057027813445</v>
      </c>
      <c r="AMY41" t="s">
        <v>1900</v>
      </c>
      <c r="AMZ41" t="s">
        <v>1900</v>
      </c>
      <c r="ANA41" t="s">
        <v>1900</v>
      </c>
      <c r="ANB41" t="s">
        <v>1900</v>
      </c>
      <c r="ANC41" t="s">
        <v>1900</v>
      </c>
      <c r="AND41">
        <v>0.104457696915004</v>
      </c>
      <c r="ANE41">
        <v>7.28452510177106</v>
      </c>
      <c r="ANF41">
        <v>0.0592342778456482</v>
      </c>
      <c r="ANG41">
        <v>0.0264776807806679</v>
      </c>
      <c r="ANH41">
        <v>0.0569953102337637</v>
      </c>
      <c r="ANI41">
        <v>0.104457696915004</v>
      </c>
      <c r="ANJ41">
        <v>7.32423005357315</v>
      </c>
      <c r="ANK41">
        <v>0.0592342778456482</v>
      </c>
      <c r="ANL41">
        <v>0.0264776807806679</v>
      </c>
      <c r="ANM41">
        <v>0.0570073228856684</v>
      </c>
      <c r="ANN41">
        <v>0.104566925116716</v>
      </c>
      <c r="ANO41">
        <v>7.8568600438784</v>
      </c>
      <c r="ANP41">
        <v>0.0592693856382145</v>
      </c>
      <c r="ANQ41">
        <v>0.0264846933132191</v>
      </c>
      <c r="ANR41">
        <v>0.0570278134129379</v>
      </c>
      <c r="ANS41">
        <v>9.433014175627029</v>
      </c>
      <c r="ANT41">
        <v>85.9247908893757</v>
      </c>
      <c r="ANU41">
        <v>1.81730822134979</v>
      </c>
      <c r="ANV41">
        <v>4.39998943410849</v>
      </c>
      <c r="ANW41">
        <v>3.78485765876836</v>
      </c>
      <c r="ANX41" t="s">
        <v>1900</v>
      </c>
      <c r="ANY41" t="s">
        <v>1900</v>
      </c>
      <c r="ANZ41" t="s">
        <v>1900</v>
      </c>
      <c r="AOA41" t="s">
        <v>1900</v>
      </c>
      <c r="AOB41" t="s">
        <v>1900</v>
      </c>
      <c r="AOC41">
        <v>97.4926574708111</v>
      </c>
      <c r="AOD41">
        <v>115.768575349086</v>
      </c>
      <c r="AOE41">
        <v>100.059269385638</v>
      </c>
      <c r="AOF41">
        <v>100.026484693313</v>
      </c>
      <c r="AOG41">
        <v>100.057027813413</v>
      </c>
      <c r="AOH41" t="s">
        <v>1901</v>
      </c>
      <c r="AOI41" t="s">
        <v>1901</v>
      </c>
      <c r="AOJ41" t="s">
        <v>1901</v>
      </c>
      <c r="AOK41" t="s">
        <v>1901</v>
      </c>
      <c r="AOL41" t="s">
        <v>1901</v>
      </c>
      <c r="AOM41">
        <v>4.00346669538414</v>
      </c>
      <c r="AON41" t="s">
        <v>1901</v>
      </c>
      <c r="AOO41" t="s">
        <v>1900</v>
      </c>
      <c r="AOP41" t="s">
        <v>1900</v>
      </c>
      <c r="AOQ41" t="s">
        <v>1900</v>
      </c>
      <c r="AOR41">
        <v>0.107371368029495</v>
      </c>
      <c r="AOS41">
        <v>7.2808221254354</v>
      </c>
      <c r="AOT41">
        <v>0.0592693856382145</v>
      </c>
      <c r="AOU41">
        <v>0.0264846933132191</v>
      </c>
      <c r="AOV41">
        <v>0.0570278134450014</v>
      </c>
      <c r="AOW41">
        <v>0.423285085184844</v>
      </c>
      <c r="AOX41">
        <v>28.2068785852316</v>
      </c>
      <c r="AOY41">
        <v>0.13083957194194</v>
      </c>
      <c r="AOZ41">
        <v>0.0711492396163499</v>
      </c>
      <c r="APA41">
        <v>0.176147408579149</v>
      </c>
      <c r="APB41">
        <v>0.0192124324604849</v>
      </c>
      <c r="APC41">
        <v>6.26025916930066</v>
      </c>
      <c r="APD41">
        <v>0.00253763482901649</v>
      </c>
      <c r="APE41">
        <v>0.00396222078119416</v>
      </c>
      <c r="APF41">
        <v>0.0076511465571279</v>
      </c>
      <c r="APG41">
        <v>0.0192124324604849</v>
      </c>
      <c r="APH41">
        <v>6.29438126856081</v>
      </c>
      <c r="API41">
        <v>0.00253763482901649</v>
      </c>
      <c r="APJ41">
        <v>0.00396222078119416</v>
      </c>
      <c r="APK41">
        <v>0.00765275915577657</v>
      </c>
      <c r="APL41">
        <v>0.736339549544678</v>
      </c>
      <c r="APM41" t="s">
        <v>1901</v>
      </c>
      <c r="APN41" t="s">
        <v>1900</v>
      </c>
      <c r="APO41" t="s">
        <v>1900</v>
      </c>
      <c r="APP41" t="s">
        <v>1900</v>
      </c>
      <c r="APQ41">
        <v>0.0197483308303751</v>
      </c>
      <c r="APR41">
        <v>6.25707686280365</v>
      </c>
      <c r="APS41">
        <v>0.00253913886958939</v>
      </c>
      <c r="APT41">
        <v>0.00396327016321645</v>
      </c>
      <c r="APU41">
        <v>0.00765550984301471</v>
      </c>
      <c r="APV41">
        <v>0.019232522310349</v>
      </c>
      <c r="APW41">
        <v>6.75211897061667</v>
      </c>
      <c r="APX41">
        <v>0.00253913886958939</v>
      </c>
      <c r="APY41">
        <v>0.00396327016321645</v>
      </c>
      <c r="APZ41">
        <v>0.00765550983871045</v>
      </c>
      <c r="AQA41">
        <v>0.0778529141539625</v>
      </c>
      <c r="AQB41">
        <v>24.2407525313647</v>
      </c>
      <c r="AQC41">
        <v>0.00560525200693181</v>
      </c>
      <c r="AQD41">
        <v>0.010647042620889</v>
      </c>
      <c r="AQE41">
        <v>0.0236463251655217</v>
      </c>
      <c r="AQF41" t="s">
        <v>1900</v>
      </c>
      <c r="AQG41" t="s">
        <v>1900</v>
      </c>
      <c r="AQH41" t="s">
        <v>1900</v>
      </c>
      <c r="AQI41" t="s">
        <v>1900</v>
      </c>
      <c r="AQJ41" t="s">
        <v>1900</v>
      </c>
      <c r="AQK41">
        <v>11</v>
      </c>
      <c r="AQO41" t="s">
        <v>1902</v>
      </c>
      <c r="AQP41">
        <v>9</v>
      </c>
      <c r="AQQ41">
        <v>0</v>
      </c>
      <c r="AQS41" t="s">
        <v>1905</v>
      </c>
      <c r="AQU41" t="s">
        <v>1906</v>
      </c>
      <c r="AQV41">
        <v>2628823.87666368</v>
      </c>
      <c r="AQW41">
        <v>2444089.30252725</v>
      </c>
      <c r="AQX41">
        <v>1980512.219964</v>
      </c>
      <c r="AQY41">
        <v>2746.0088775146</v>
      </c>
      <c r="AQZ41">
        <v>178040.298752298</v>
      </c>
      <c r="ARA41">
        <v>1173.14211114049</v>
      </c>
      <c r="ARB41">
        <v>7053425.399154929</v>
      </c>
      <c r="ARC41">
        <v>181959.4497409531</v>
      </c>
      <c r="ARD41">
        <v>0.02648044115775197</v>
      </c>
      <c r="ARE41">
        <v>0.02648044115775197</v>
      </c>
      <c r="ARF41">
        <v>0.02648044115775197</v>
      </c>
      <c r="ARG41">
        <v>0.02648044115775197</v>
      </c>
      <c r="ARH41">
        <v>0.02648044115775197</v>
      </c>
      <c r="ARI41">
        <v>0.02648044115775197</v>
      </c>
      <c r="ARJ41" t="s">
        <v>1202</v>
      </c>
      <c r="ARK41" t="s">
        <v>1540</v>
      </c>
      <c r="ARL41" t="s">
        <v>1908</v>
      </c>
      <c r="ARM41" t="s">
        <v>1908</v>
      </c>
      <c r="ARN41" t="s">
        <v>1909</v>
      </c>
      <c r="ARO41" t="s">
        <v>1908</v>
      </c>
      <c r="ARP41" t="s">
        <v>1907</v>
      </c>
      <c r="ARQ41" t="s">
        <v>1942</v>
      </c>
      <c r="ARR41">
        <f>HYPERLINK("C:\Users\Usuario\Documents\Proyectos\llmthon\evidence\ejuridico_com_234138.png", "Ver Evidencia")</f>
        <v>0</v>
      </c>
      <c r="ARS41">
        <v>95</v>
      </c>
    </row>
    <row r="42" spans="1:1163">
      <c r="A42">
        <v>173</v>
      </c>
      <c r="B42" t="s">
        <v>1203</v>
      </c>
      <c r="C42" t="s">
        <v>1326</v>
      </c>
      <c r="E42" s="2">
        <v>33554</v>
      </c>
      <c r="F42" t="s">
        <v>1431</v>
      </c>
      <c r="G42" t="s">
        <v>1433</v>
      </c>
      <c r="H42" t="s">
        <v>1434</v>
      </c>
      <c r="I42" t="s">
        <v>1435</v>
      </c>
      <c r="J42" t="s">
        <v>1451</v>
      </c>
      <c r="L42" t="s">
        <v>1541</v>
      </c>
      <c r="N42" t="s">
        <v>1639</v>
      </c>
      <c r="O42" t="s">
        <v>1663</v>
      </c>
      <c r="P42">
        <v>7830</v>
      </c>
      <c r="Q42">
        <v>7830</v>
      </c>
      <c r="R42" t="s">
        <v>1712</v>
      </c>
      <c r="S42" t="s">
        <v>1808</v>
      </c>
      <c r="Z42" t="s">
        <v>1899</v>
      </c>
      <c r="AA42" s="2">
        <v>45657</v>
      </c>
      <c r="AB42">
        <v>2024</v>
      </c>
      <c r="AC42">
        <v>5260246.72675285</v>
      </c>
      <c r="AD42" t="s">
        <v>1900</v>
      </c>
      <c r="AE42">
        <v>6012230.26601205</v>
      </c>
      <c r="AF42">
        <v>6059142.6976666</v>
      </c>
      <c r="AG42">
        <v>4130134.03358735</v>
      </c>
      <c r="AH42">
        <v>5260246.72675285</v>
      </c>
      <c r="AI42" t="s">
        <v>1900</v>
      </c>
      <c r="AJ42">
        <v>6012230.26601205</v>
      </c>
      <c r="AK42">
        <v>6059142.6976666</v>
      </c>
      <c r="AL42">
        <v>4130134.03358735</v>
      </c>
      <c r="AM42">
        <v>1922610.94874336</v>
      </c>
      <c r="AN42" t="s">
        <v>1900</v>
      </c>
      <c r="AO42">
        <v>2491158.86286986</v>
      </c>
      <c r="AP42">
        <v>2238470.97584896</v>
      </c>
      <c r="AQ42">
        <v>1394675.66105902</v>
      </c>
      <c r="AR42">
        <v>3337635.77697059</v>
      </c>
      <c r="AS42" t="s">
        <v>1900</v>
      </c>
      <c r="AT42">
        <v>3521071.40314218</v>
      </c>
      <c r="AU42">
        <v>3820671.72181764</v>
      </c>
      <c r="AV42">
        <v>2735458.37252833</v>
      </c>
      <c r="AW42">
        <v>2669317.2510713</v>
      </c>
      <c r="AX42" t="s">
        <v>1900</v>
      </c>
      <c r="AY42">
        <v>2639089.62030646</v>
      </c>
      <c r="AZ42">
        <v>3044641.67076181</v>
      </c>
      <c r="BA42">
        <v>2310868.49229097</v>
      </c>
      <c r="BB42">
        <v>668318.526938183</v>
      </c>
      <c r="BC42" t="s">
        <v>1900</v>
      </c>
      <c r="BD42">
        <v>881981.782835722</v>
      </c>
      <c r="BE42">
        <v>776030.049923229</v>
      </c>
      <c r="BF42">
        <v>424589.880237353</v>
      </c>
      <c r="BG42">
        <v>3313.06102492929</v>
      </c>
      <c r="BH42" t="s">
        <v>1900</v>
      </c>
      <c r="BI42">
        <v>-8666.163506078719</v>
      </c>
      <c r="BJ42">
        <v>-11890.4910678864</v>
      </c>
      <c r="BK42">
        <v>-7361.00056749582</v>
      </c>
      <c r="BL42">
        <v>9608.885743749141</v>
      </c>
      <c r="BM42" t="s">
        <v>1900</v>
      </c>
      <c r="BN42" t="s">
        <v>1900</v>
      </c>
      <c r="BO42" t="s">
        <v>1900</v>
      </c>
      <c r="BP42" t="s">
        <v>1900</v>
      </c>
      <c r="BQ42">
        <v>6295.82471881986</v>
      </c>
      <c r="BR42" t="s">
        <v>1900</v>
      </c>
      <c r="BS42">
        <v>8666.163506078719</v>
      </c>
      <c r="BT42">
        <v>11890.4910678864</v>
      </c>
      <c r="BU42">
        <v>7361.00056749582</v>
      </c>
      <c r="BV42">
        <v>671631.587963113</v>
      </c>
      <c r="BW42" t="s">
        <v>1900</v>
      </c>
      <c r="BX42">
        <v>873315.619329643</v>
      </c>
      <c r="BY42">
        <v>764139.558855343</v>
      </c>
      <c r="BZ42">
        <v>417228.879669857</v>
      </c>
      <c r="CA42">
        <v>168693.692033778</v>
      </c>
      <c r="CB42" t="s">
        <v>1900</v>
      </c>
      <c r="CC42">
        <v>218277.654727</v>
      </c>
      <c r="CD42">
        <v>191087.113914013</v>
      </c>
      <c r="CE42">
        <v>107141.659776241</v>
      </c>
      <c r="CF42">
        <v>502937.895929334</v>
      </c>
      <c r="CG42" t="s">
        <v>1900</v>
      </c>
      <c r="CH42">
        <v>655037.964602643</v>
      </c>
      <c r="CI42">
        <v>573052.44494133</v>
      </c>
      <c r="CJ42">
        <v>310087.219893616</v>
      </c>
      <c r="CK42" t="s">
        <v>1900</v>
      </c>
      <c r="CL42" t="s">
        <v>1900</v>
      </c>
      <c r="CM42" t="s">
        <v>1900</v>
      </c>
      <c r="CN42" t="s">
        <v>1900</v>
      </c>
      <c r="CO42" t="s">
        <v>1900</v>
      </c>
      <c r="CP42" t="s">
        <v>1900</v>
      </c>
      <c r="CQ42" t="s">
        <v>1900</v>
      </c>
      <c r="CR42" t="s">
        <v>1900</v>
      </c>
      <c r="CS42" t="s">
        <v>1900</v>
      </c>
      <c r="CT42" t="s">
        <v>1900</v>
      </c>
      <c r="CU42" t="s">
        <v>1900</v>
      </c>
      <c r="CV42" t="s">
        <v>1900</v>
      </c>
      <c r="CW42" t="s">
        <v>1900</v>
      </c>
      <c r="CX42" t="s">
        <v>1900</v>
      </c>
      <c r="CY42" t="s">
        <v>1900</v>
      </c>
      <c r="CZ42">
        <v>502937.895929334</v>
      </c>
      <c r="DA42" t="s">
        <v>1900</v>
      </c>
      <c r="DB42">
        <v>655037.964602643</v>
      </c>
      <c r="DC42">
        <v>573052.44494133</v>
      </c>
      <c r="DD42">
        <v>310087.219893616</v>
      </c>
      <c r="DE42" t="s">
        <v>1900</v>
      </c>
      <c r="DF42" t="s">
        <v>1900</v>
      </c>
      <c r="DG42" t="s">
        <v>1900</v>
      </c>
      <c r="DH42" t="s">
        <v>1900</v>
      </c>
      <c r="DI42" t="s">
        <v>1900</v>
      </c>
      <c r="DJ42">
        <v>1922610.94874336</v>
      </c>
      <c r="DK42" t="s">
        <v>1900</v>
      </c>
      <c r="DL42">
        <v>2491158.86286986</v>
      </c>
      <c r="DM42">
        <v>2238470.97584896</v>
      </c>
      <c r="DN42">
        <v>1394675.66105902</v>
      </c>
      <c r="DO42">
        <v>1784033.78044383</v>
      </c>
      <c r="DP42" t="s">
        <v>1900</v>
      </c>
      <c r="DQ42">
        <v>1903699.31925991</v>
      </c>
      <c r="DR42">
        <v>2408190.50899236</v>
      </c>
      <c r="DS42">
        <v>1714860.9510495</v>
      </c>
      <c r="DT42">
        <v>14176.2101844084</v>
      </c>
      <c r="DU42" t="s">
        <v>1900</v>
      </c>
      <c r="DV42">
        <v>7821.09673153162</v>
      </c>
      <c r="DW42">
        <v>23246.8818087816</v>
      </c>
      <c r="DX42">
        <v>25423.9513390899</v>
      </c>
      <c r="DY42">
        <v>871107.260443064</v>
      </c>
      <c r="DZ42" t="s">
        <v>1900</v>
      </c>
      <c r="EA42">
        <v>727569.204315025</v>
      </c>
      <c r="EB42">
        <v>613204.281093264</v>
      </c>
      <c r="EC42">
        <v>570583.589902383</v>
      </c>
      <c r="ED42">
        <v>5214.15368381977</v>
      </c>
      <c r="EE42" t="s">
        <v>1900</v>
      </c>
      <c r="EF42">
        <v>8643.76491682529</v>
      </c>
      <c r="EG42">
        <v>11644.5016071081</v>
      </c>
      <c r="EH42">
        <v>3221.13566100597</v>
      </c>
      <c r="EI42" t="s">
        <v>1900</v>
      </c>
      <c r="EJ42" t="s">
        <v>1900</v>
      </c>
      <c r="EK42" t="s">
        <v>1900</v>
      </c>
      <c r="EL42" t="s">
        <v>1900</v>
      </c>
      <c r="EM42" t="s">
        <v>1900</v>
      </c>
      <c r="EN42">
        <v>517114.106113743</v>
      </c>
      <c r="EO42" t="s">
        <v>1900</v>
      </c>
      <c r="EP42">
        <v>662859.0613341751</v>
      </c>
      <c r="EQ42">
        <v>596299.326750112</v>
      </c>
      <c r="ER42">
        <v>335511.171232706</v>
      </c>
      <c r="ES42">
        <v>2475055.73227517</v>
      </c>
      <c r="ET42" t="s">
        <v>1900</v>
      </c>
      <c r="EU42">
        <v>2793479.80023791</v>
      </c>
      <c r="EV42">
        <v>3207221.45126359</v>
      </c>
      <c r="EW42">
        <v>2160734.91771945</v>
      </c>
      <c r="EX42">
        <v>682494.7371225921</v>
      </c>
      <c r="EY42" t="s">
        <v>1900</v>
      </c>
      <c r="EZ42">
        <v>889802.879567254</v>
      </c>
      <c r="FA42">
        <v>799276.931732011</v>
      </c>
      <c r="FB42">
        <v>450013.831576443</v>
      </c>
      <c r="FC42">
        <v>397612.120339718</v>
      </c>
      <c r="FD42" t="s">
        <v>1900</v>
      </c>
      <c r="FE42">
        <v>921289.5257543389</v>
      </c>
      <c r="FF42">
        <v>39071.8224767447</v>
      </c>
      <c r="FG42">
        <v>70116.92026721239</v>
      </c>
      <c r="FH42">
        <v>52.0592559945583</v>
      </c>
      <c r="FI42" t="s">
        <v>1900</v>
      </c>
      <c r="FJ42">
        <v>693.406993311644</v>
      </c>
      <c r="FK42">
        <v>6172.79626171589</v>
      </c>
      <c r="FL42">
        <v>14384.1684268653</v>
      </c>
      <c r="FM42">
        <v>20629.5112956381</v>
      </c>
      <c r="FN42" t="s">
        <v>1900</v>
      </c>
      <c r="FO42">
        <v>43810.0620124578</v>
      </c>
      <c r="FP42">
        <v>4428.04814007282</v>
      </c>
      <c r="FQ42">
        <v>19132.392353034</v>
      </c>
      <c r="FR42">
        <v>376930.549788085</v>
      </c>
      <c r="FS42" t="s">
        <v>1900</v>
      </c>
      <c r="FT42">
        <v>876786.056748569</v>
      </c>
      <c r="FU42">
        <v>28470.9780749559</v>
      </c>
      <c r="FV42">
        <v>36600.359487313</v>
      </c>
      <c r="FW42">
        <v>52.0592559945583</v>
      </c>
      <c r="FX42" t="s">
        <v>1900</v>
      </c>
      <c r="FY42">
        <v>693.406993311644</v>
      </c>
      <c r="FZ42">
        <v>6172.79626171589</v>
      </c>
      <c r="GA42">
        <v>14384.1684268653</v>
      </c>
      <c r="GB42">
        <v>20629.5112956381</v>
      </c>
      <c r="GC42" t="s">
        <v>1900</v>
      </c>
      <c r="GD42">
        <v>43810.0620124578</v>
      </c>
      <c r="GE42">
        <v>4428.04814007282</v>
      </c>
      <c r="GF42">
        <v>19132.392353034</v>
      </c>
      <c r="GG42">
        <v>376930.549788085</v>
      </c>
      <c r="GH42" t="s">
        <v>1900</v>
      </c>
      <c r="GI42">
        <v>876786.056748569</v>
      </c>
      <c r="GJ42">
        <v>28470.9780749559</v>
      </c>
      <c r="GK42">
        <v>36600.359487313</v>
      </c>
      <c r="GL42">
        <v>2937361.02048041</v>
      </c>
      <c r="GM42" t="s">
        <v>1900</v>
      </c>
      <c r="GN42">
        <v>3078323.48105532</v>
      </c>
      <c r="GO42">
        <v>3789548.01260655</v>
      </c>
      <c r="GP42">
        <v>2512685.71006054</v>
      </c>
      <c r="GQ42">
        <v>0</v>
      </c>
      <c r="GR42" t="s">
        <v>1900</v>
      </c>
      <c r="GS42">
        <v>11732.5837048471</v>
      </c>
      <c r="GT42">
        <v>0</v>
      </c>
      <c r="GU42">
        <v>0</v>
      </c>
      <c r="GV42">
        <v>1467765.6345265</v>
      </c>
      <c r="GW42" t="s">
        <v>1900</v>
      </c>
      <c r="GX42">
        <v>1646752.63338584</v>
      </c>
      <c r="GY42">
        <v>1810244.93636935</v>
      </c>
      <c r="GZ42">
        <v>1136317.95333526</v>
      </c>
      <c r="HA42">
        <v>1469595.38595391</v>
      </c>
      <c r="HB42" t="s">
        <v>1900</v>
      </c>
      <c r="HC42">
        <v>1419838.26396464</v>
      </c>
      <c r="HD42">
        <v>1979303.0762372</v>
      </c>
      <c r="HE42">
        <v>1376367.75672528</v>
      </c>
      <c r="HF42">
        <v>1469595.38595391</v>
      </c>
      <c r="HG42" t="s">
        <v>1900</v>
      </c>
      <c r="HH42">
        <v>1419819.08650584</v>
      </c>
      <c r="HI42">
        <v>1979303.0762372</v>
      </c>
      <c r="HJ42">
        <v>1376367.75672528</v>
      </c>
      <c r="HK42">
        <v>3334973.14082013</v>
      </c>
      <c r="HL42" t="s">
        <v>1900</v>
      </c>
      <c r="HM42">
        <v>3999613.00680966</v>
      </c>
      <c r="HN42">
        <v>3828619.83508329</v>
      </c>
      <c r="HO42">
        <v>2582802.62910065</v>
      </c>
      <c r="HP42">
        <v>1230949.53346661</v>
      </c>
      <c r="HQ42" t="s">
        <v>1900</v>
      </c>
      <c r="HR42">
        <v>1117188.28065447</v>
      </c>
      <c r="HS42">
        <v>695007.063164091</v>
      </c>
      <c r="HT42">
        <v>740154.699609727</v>
      </c>
      <c r="HU42">
        <v>47834.2801196122</v>
      </c>
      <c r="HV42" t="s">
        <v>1900</v>
      </c>
      <c r="HW42">
        <v>49109.6748897672</v>
      </c>
      <c r="HX42">
        <v>52148.5651286602</v>
      </c>
      <c r="HY42">
        <v>56499.6030055404</v>
      </c>
      <c r="HZ42">
        <v>1183115.2523081</v>
      </c>
      <c r="IA42" t="s">
        <v>1900</v>
      </c>
      <c r="IB42">
        <v>1068078.6057647</v>
      </c>
      <c r="IC42">
        <v>642858.498035431</v>
      </c>
      <c r="ID42">
        <v>683655.096604186</v>
      </c>
      <c r="IE42">
        <v>33344.4157748103</v>
      </c>
      <c r="IF42" t="s">
        <v>1900</v>
      </c>
      <c r="IG42">
        <v>195610.453058451</v>
      </c>
      <c r="IH42">
        <v>291488.74469583</v>
      </c>
      <c r="II42">
        <v>368129.789829254</v>
      </c>
      <c r="IJ42">
        <v>33344.4157748103</v>
      </c>
      <c r="IK42" t="s">
        <v>1900</v>
      </c>
      <c r="IL42">
        <v>195610.453058451</v>
      </c>
      <c r="IM42">
        <v>291488.74469583</v>
      </c>
      <c r="IN42">
        <v>368129.789829254</v>
      </c>
      <c r="IO42">
        <v>0</v>
      </c>
      <c r="IP42" t="s">
        <v>1900</v>
      </c>
      <c r="IQ42">
        <v>0</v>
      </c>
      <c r="IR42">
        <v>0</v>
      </c>
      <c r="IS42">
        <v>0</v>
      </c>
      <c r="IT42">
        <v>0</v>
      </c>
      <c r="IU42" t="s">
        <v>1900</v>
      </c>
      <c r="IV42">
        <v>0</v>
      </c>
      <c r="IW42">
        <v>0</v>
      </c>
      <c r="IX42">
        <v>0</v>
      </c>
      <c r="IY42">
        <v>2070679.19157871</v>
      </c>
      <c r="IZ42" t="s">
        <v>1900</v>
      </c>
      <c r="JA42">
        <v>2686814.27309675</v>
      </c>
      <c r="JB42">
        <v>2842124.02722337</v>
      </c>
      <c r="JC42">
        <v>1474518.14088877</v>
      </c>
      <c r="JD42">
        <v>12776.874836787</v>
      </c>
      <c r="JE42" t="s">
        <v>1900</v>
      </c>
      <c r="JF42">
        <v>5081.67460387349</v>
      </c>
      <c r="JG42">
        <v>2852.05746424198</v>
      </c>
      <c r="JH42">
        <v>5220.03133580685</v>
      </c>
      <c r="JI42">
        <v>1355351.60320424</v>
      </c>
      <c r="JJ42" t="s">
        <v>1900</v>
      </c>
      <c r="JK42">
        <v>1844908.83543687</v>
      </c>
      <c r="JL42">
        <v>1347204.51896875</v>
      </c>
      <c r="JM42">
        <v>911964.934221721</v>
      </c>
      <c r="JN42">
        <v>702550.71353768</v>
      </c>
      <c r="JO42" t="s">
        <v>1900</v>
      </c>
      <c r="JP42">
        <v>836823.763055998</v>
      </c>
      <c r="JQ42">
        <v>1492067.45079038</v>
      </c>
      <c r="JR42">
        <v>557333.175331241</v>
      </c>
      <c r="JS42">
        <v>3334973.14082013</v>
      </c>
      <c r="JT42" t="s">
        <v>1900</v>
      </c>
      <c r="JU42">
        <v>3999613.00680966</v>
      </c>
      <c r="JV42">
        <v>3828619.83508329</v>
      </c>
      <c r="JW42">
        <v>2582802.62910065</v>
      </c>
      <c r="JX42">
        <v>112414.031322254</v>
      </c>
      <c r="JY42" t="s">
        <v>1900</v>
      </c>
      <c r="JZ42">
        <v>-186423.617279585</v>
      </c>
      <c r="KA42">
        <v>463040.417400599</v>
      </c>
      <c r="KB42">
        <v>224353.019113541</v>
      </c>
      <c r="KC42" t="s">
        <v>1900</v>
      </c>
      <c r="KD42" t="s">
        <v>1900</v>
      </c>
      <c r="KE42" t="s">
        <v>1900</v>
      </c>
      <c r="KF42" t="s">
        <v>1900</v>
      </c>
      <c r="KG42" t="s">
        <v>1900</v>
      </c>
      <c r="KH42" t="s">
        <v>1900</v>
      </c>
      <c r="KI42" t="s">
        <v>1900</v>
      </c>
      <c r="KJ42" t="s">
        <v>1900</v>
      </c>
      <c r="KK42" t="s">
        <v>1900</v>
      </c>
      <c r="KL42" t="s">
        <v>1900</v>
      </c>
      <c r="KM42">
        <v>27</v>
      </c>
      <c r="KN42" t="s">
        <v>1900</v>
      </c>
      <c r="KO42">
        <v>30</v>
      </c>
      <c r="KP42">
        <v>25</v>
      </c>
      <c r="KQ42">
        <v>25</v>
      </c>
      <c r="KR42" t="s">
        <v>1900</v>
      </c>
      <c r="KS42" t="s">
        <v>1900</v>
      </c>
      <c r="KT42" t="s">
        <v>1900</v>
      </c>
      <c r="KU42" t="s">
        <v>1900</v>
      </c>
      <c r="KV42" t="s">
        <v>1900</v>
      </c>
      <c r="KW42" t="s">
        <v>1900</v>
      </c>
      <c r="KX42" t="s">
        <v>1900</v>
      </c>
      <c r="KY42" t="s">
        <v>1900</v>
      </c>
      <c r="KZ42" t="s">
        <v>1900</v>
      </c>
      <c r="LA42" t="s">
        <v>1900</v>
      </c>
      <c r="LB42" t="s">
        <v>1900</v>
      </c>
      <c r="LC42" t="s">
        <v>1900</v>
      </c>
      <c r="LD42" t="s">
        <v>1900</v>
      </c>
      <c r="LE42" t="s">
        <v>1900</v>
      </c>
      <c r="LF42" t="s">
        <v>1900</v>
      </c>
      <c r="LG42" t="s">
        <v>1900</v>
      </c>
      <c r="LH42" t="s">
        <v>1900</v>
      </c>
      <c r="LI42" t="s">
        <v>1900</v>
      </c>
      <c r="LJ42" t="s">
        <v>1900</v>
      </c>
      <c r="LK42" t="s">
        <v>1900</v>
      </c>
      <c r="LL42" t="s">
        <v>1900</v>
      </c>
      <c r="LM42" t="s">
        <v>1900</v>
      </c>
      <c r="LN42" t="s">
        <v>1900</v>
      </c>
      <c r="LO42" t="s">
        <v>1900</v>
      </c>
      <c r="LP42" t="s">
        <v>1900</v>
      </c>
      <c r="LQ42" t="s">
        <v>1900</v>
      </c>
      <c r="LR42" t="s">
        <v>1900</v>
      </c>
      <c r="LS42" t="s">
        <v>1900</v>
      </c>
      <c r="LT42" t="s">
        <v>1900</v>
      </c>
      <c r="LU42" t="s">
        <v>1900</v>
      </c>
      <c r="LV42" t="s">
        <v>1900</v>
      </c>
      <c r="LW42" t="s">
        <v>1900</v>
      </c>
      <c r="LX42" t="s">
        <v>1900</v>
      </c>
      <c r="LY42" t="s">
        <v>1900</v>
      </c>
      <c r="LZ42" t="s">
        <v>1900</v>
      </c>
      <c r="MA42" t="s">
        <v>1900</v>
      </c>
      <c r="MB42" t="s">
        <v>1900</v>
      </c>
      <c r="MC42" t="s">
        <v>1900</v>
      </c>
      <c r="MD42" t="s">
        <v>1900</v>
      </c>
      <c r="ME42" t="s">
        <v>1900</v>
      </c>
      <c r="MF42" t="s">
        <v>1900</v>
      </c>
      <c r="MG42" t="s">
        <v>1900</v>
      </c>
      <c r="MH42" t="s">
        <v>1900</v>
      </c>
      <c r="MI42" t="s">
        <v>1900</v>
      </c>
      <c r="MJ42" t="s">
        <v>1900</v>
      </c>
      <c r="MK42" t="s">
        <v>1900</v>
      </c>
      <c r="ML42" t="s">
        <v>1900</v>
      </c>
      <c r="MM42" t="s">
        <v>1900</v>
      </c>
      <c r="MN42" t="s">
        <v>1900</v>
      </c>
      <c r="MO42" t="s">
        <v>1900</v>
      </c>
      <c r="MP42">
        <v>1469595.38595391</v>
      </c>
      <c r="MQ42" t="s">
        <v>1900</v>
      </c>
      <c r="MR42">
        <v>1419838.26396464</v>
      </c>
      <c r="MS42">
        <v>1979303.0762372</v>
      </c>
      <c r="MT42">
        <v>1376367.75672528</v>
      </c>
      <c r="MU42" t="s">
        <v>1900</v>
      </c>
      <c r="MV42" t="s">
        <v>1900</v>
      </c>
      <c r="MW42" t="s">
        <v>1900</v>
      </c>
      <c r="MX42" t="s">
        <v>1900</v>
      </c>
      <c r="MY42" t="s">
        <v>1900</v>
      </c>
      <c r="MZ42" t="s">
        <v>1900</v>
      </c>
      <c r="NA42" t="s">
        <v>1900</v>
      </c>
      <c r="NB42" t="s">
        <v>1900</v>
      </c>
      <c r="NC42" t="s">
        <v>1900</v>
      </c>
      <c r="ND42" t="s">
        <v>1900</v>
      </c>
      <c r="NE42" t="s">
        <v>1900</v>
      </c>
      <c r="NF42" t="s">
        <v>1900</v>
      </c>
      <c r="NG42" t="s">
        <v>1900</v>
      </c>
      <c r="NH42" t="s">
        <v>1900</v>
      </c>
      <c r="NI42" t="s">
        <v>1900</v>
      </c>
      <c r="NJ42" t="s">
        <v>1900</v>
      </c>
      <c r="NK42" t="s">
        <v>1900</v>
      </c>
      <c r="NL42" t="s">
        <v>1900</v>
      </c>
      <c r="NM42" t="s">
        <v>1900</v>
      </c>
      <c r="NN42" t="s">
        <v>1900</v>
      </c>
      <c r="NO42" t="s">
        <v>1900</v>
      </c>
      <c r="NP42" t="s">
        <v>1900</v>
      </c>
      <c r="NQ42" t="s">
        <v>1900</v>
      </c>
      <c r="NR42" t="s">
        <v>1900</v>
      </c>
      <c r="NS42" t="s">
        <v>1900</v>
      </c>
      <c r="NT42">
        <v>397612.120339718</v>
      </c>
      <c r="NU42" t="s">
        <v>1900</v>
      </c>
      <c r="NV42">
        <v>921289.5257543389</v>
      </c>
      <c r="NW42">
        <v>39071.8224767447</v>
      </c>
      <c r="NX42">
        <v>70116.92026721239</v>
      </c>
      <c r="NY42" t="s">
        <v>1900</v>
      </c>
      <c r="NZ42" t="s">
        <v>1900</v>
      </c>
      <c r="OA42" t="s">
        <v>1900</v>
      </c>
      <c r="OB42" t="s">
        <v>1900</v>
      </c>
      <c r="OC42" t="s">
        <v>1900</v>
      </c>
      <c r="OD42" t="s">
        <v>1900</v>
      </c>
      <c r="OE42" t="s">
        <v>1900</v>
      </c>
      <c r="OF42" t="s">
        <v>1900</v>
      </c>
      <c r="OG42" t="s">
        <v>1900</v>
      </c>
      <c r="OH42" t="s">
        <v>1900</v>
      </c>
      <c r="OI42" t="s">
        <v>1900</v>
      </c>
      <c r="OJ42" t="s">
        <v>1900</v>
      </c>
      <c r="OK42" t="s">
        <v>1900</v>
      </c>
      <c r="OL42" t="s">
        <v>1900</v>
      </c>
      <c r="OM42" t="s">
        <v>1900</v>
      </c>
      <c r="ON42" t="s">
        <v>1900</v>
      </c>
      <c r="OO42" t="s">
        <v>1900</v>
      </c>
      <c r="OP42" t="s">
        <v>1900</v>
      </c>
      <c r="OQ42" t="s">
        <v>1900</v>
      </c>
      <c r="OR42" t="s">
        <v>1900</v>
      </c>
      <c r="OS42" t="s">
        <v>1900</v>
      </c>
      <c r="OT42" t="s">
        <v>1900</v>
      </c>
      <c r="OU42" t="s">
        <v>1900</v>
      </c>
      <c r="OV42" t="s">
        <v>1900</v>
      </c>
      <c r="OW42" t="s">
        <v>1900</v>
      </c>
      <c r="OX42" t="s">
        <v>1900</v>
      </c>
      <c r="OY42" t="s">
        <v>1900</v>
      </c>
      <c r="OZ42" t="s">
        <v>1900</v>
      </c>
      <c r="PA42" t="s">
        <v>1900</v>
      </c>
      <c r="PB42" t="s">
        <v>1900</v>
      </c>
      <c r="PC42" t="s">
        <v>1900</v>
      </c>
      <c r="PD42" t="s">
        <v>1900</v>
      </c>
      <c r="PE42" t="s">
        <v>1900</v>
      </c>
      <c r="PF42" t="s">
        <v>1900</v>
      </c>
      <c r="PG42" t="s">
        <v>1900</v>
      </c>
      <c r="PH42" t="s">
        <v>1900</v>
      </c>
      <c r="PI42" t="s">
        <v>1900</v>
      </c>
      <c r="PJ42" t="s">
        <v>1900</v>
      </c>
      <c r="PK42" t="s">
        <v>1900</v>
      </c>
      <c r="PL42" t="s">
        <v>1900</v>
      </c>
      <c r="PM42" t="s">
        <v>1900</v>
      </c>
      <c r="PN42" t="s">
        <v>1900</v>
      </c>
      <c r="PO42" t="s">
        <v>1900</v>
      </c>
      <c r="PP42" t="s">
        <v>1900</v>
      </c>
      <c r="PQ42" t="s">
        <v>1900</v>
      </c>
      <c r="PR42" t="s">
        <v>1900</v>
      </c>
      <c r="PS42" t="s">
        <v>1900</v>
      </c>
      <c r="PT42" t="s">
        <v>1900</v>
      </c>
      <c r="PU42" t="s">
        <v>1900</v>
      </c>
      <c r="PV42" t="s">
        <v>1900</v>
      </c>
      <c r="PW42" t="s">
        <v>1900</v>
      </c>
      <c r="PX42" t="s">
        <v>1900</v>
      </c>
      <c r="PY42" t="s">
        <v>1900</v>
      </c>
      <c r="PZ42" t="s">
        <v>1900</v>
      </c>
      <c r="QA42" t="s">
        <v>1900</v>
      </c>
      <c r="QB42" t="s">
        <v>1900</v>
      </c>
      <c r="QC42" t="s">
        <v>1900</v>
      </c>
      <c r="QD42" t="s">
        <v>1900</v>
      </c>
      <c r="QE42" t="s">
        <v>1900</v>
      </c>
      <c r="QF42" t="s">
        <v>1900</v>
      </c>
      <c r="QG42" t="s">
        <v>1900</v>
      </c>
      <c r="QH42" t="s">
        <v>1900</v>
      </c>
      <c r="QI42" t="s">
        <v>1900</v>
      </c>
      <c r="QJ42" t="s">
        <v>1900</v>
      </c>
      <c r="QK42" t="s">
        <v>1900</v>
      </c>
      <c r="QL42" t="s">
        <v>1900</v>
      </c>
      <c r="QM42" t="s">
        <v>1900</v>
      </c>
      <c r="QN42" t="s">
        <v>1900</v>
      </c>
      <c r="QO42" t="s">
        <v>1900</v>
      </c>
      <c r="QP42" t="s">
        <v>1900</v>
      </c>
      <c r="QQ42" t="s">
        <v>1900</v>
      </c>
      <c r="QR42" t="s">
        <v>1900</v>
      </c>
      <c r="QS42" t="s">
        <v>1900</v>
      </c>
      <c r="QT42" t="s">
        <v>1900</v>
      </c>
      <c r="QU42" t="s">
        <v>1900</v>
      </c>
      <c r="QV42" t="s">
        <v>1900</v>
      </c>
      <c r="QW42" t="s">
        <v>1900</v>
      </c>
      <c r="QX42" t="s">
        <v>1900</v>
      </c>
      <c r="QY42" t="s">
        <v>1900</v>
      </c>
      <c r="QZ42" t="s">
        <v>1900</v>
      </c>
      <c r="RA42" t="s">
        <v>1900</v>
      </c>
      <c r="RB42" t="s">
        <v>1900</v>
      </c>
      <c r="RC42" t="s">
        <v>1900</v>
      </c>
      <c r="RD42" t="s">
        <v>1900</v>
      </c>
      <c r="RE42" t="s">
        <v>1900</v>
      </c>
      <c r="RF42" t="s">
        <v>1900</v>
      </c>
      <c r="RG42" t="s">
        <v>1900</v>
      </c>
      <c r="RH42" t="s">
        <v>1900</v>
      </c>
      <c r="RI42" t="s">
        <v>1900</v>
      </c>
      <c r="RJ42" t="s">
        <v>1900</v>
      </c>
      <c r="RK42" t="s">
        <v>1900</v>
      </c>
      <c r="RL42" t="s">
        <v>1900</v>
      </c>
      <c r="RM42" t="s">
        <v>1900</v>
      </c>
      <c r="RN42" t="s">
        <v>1900</v>
      </c>
      <c r="RO42" t="s">
        <v>1900</v>
      </c>
      <c r="RP42" t="s">
        <v>1900</v>
      </c>
      <c r="RQ42" t="s">
        <v>1900</v>
      </c>
      <c r="RR42" t="s">
        <v>1900</v>
      </c>
      <c r="RS42" t="s">
        <v>1900</v>
      </c>
      <c r="RT42" t="s">
        <v>1900</v>
      </c>
      <c r="RU42" t="s">
        <v>1900</v>
      </c>
      <c r="RV42" t="s">
        <v>1900</v>
      </c>
      <c r="RW42" t="s">
        <v>1900</v>
      </c>
      <c r="RX42" t="s">
        <v>1900</v>
      </c>
      <c r="RY42" t="s">
        <v>1900</v>
      </c>
      <c r="RZ42" t="s">
        <v>1900</v>
      </c>
      <c r="SA42" t="s">
        <v>1900</v>
      </c>
      <c r="SB42" t="s">
        <v>1900</v>
      </c>
      <c r="SC42" t="s">
        <v>1900</v>
      </c>
      <c r="SD42" t="s">
        <v>1900</v>
      </c>
      <c r="SE42" t="s">
        <v>1900</v>
      </c>
      <c r="SF42" t="s">
        <v>1900</v>
      </c>
      <c r="SG42" t="s">
        <v>1900</v>
      </c>
      <c r="SH42" t="s">
        <v>1900</v>
      </c>
      <c r="SI42" t="s">
        <v>1900</v>
      </c>
      <c r="SJ42">
        <v>376930.549788085</v>
      </c>
      <c r="SK42" t="s">
        <v>1900</v>
      </c>
      <c r="SL42">
        <v>876786.056748569</v>
      </c>
      <c r="SM42">
        <v>28470.9780749559</v>
      </c>
      <c r="SN42">
        <v>36600.359487313</v>
      </c>
      <c r="SO42" t="s">
        <v>1900</v>
      </c>
      <c r="SP42" t="s">
        <v>1900</v>
      </c>
      <c r="SQ42" t="s">
        <v>1900</v>
      </c>
      <c r="SR42" t="s">
        <v>1900</v>
      </c>
      <c r="SS42" t="s">
        <v>1900</v>
      </c>
      <c r="ST42" t="s">
        <v>1900</v>
      </c>
      <c r="SU42" t="s">
        <v>1900</v>
      </c>
      <c r="SV42" t="s">
        <v>1900</v>
      </c>
      <c r="SW42" t="s">
        <v>1900</v>
      </c>
      <c r="SX42" t="s">
        <v>1900</v>
      </c>
      <c r="SY42" t="s">
        <v>1900</v>
      </c>
      <c r="SZ42" t="s">
        <v>1900</v>
      </c>
      <c r="TA42" t="s">
        <v>1900</v>
      </c>
      <c r="TB42" t="s">
        <v>1900</v>
      </c>
      <c r="TC42" t="s">
        <v>1900</v>
      </c>
      <c r="TD42" t="s">
        <v>1900</v>
      </c>
      <c r="TE42" t="s">
        <v>1900</v>
      </c>
      <c r="TF42" t="s">
        <v>1900</v>
      </c>
      <c r="TG42" t="s">
        <v>1900</v>
      </c>
      <c r="TH42" t="s">
        <v>1900</v>
      </c>
      <c r="TI42" t="s">
        <v>1900</v>
      </c>
      <c r="TJ42" t="s">
        <v>1900</v>
      </c>
      <c r="TK42" t="s">
        <v>1900</v>
      </c>
      <c r="TL42" t="s">
        <v>1900</v>
      </c>
      <c r="TM42" t="s">
        <v>1900</v>
      </c>
      <c r="TN42" t="s">
        <v>1900</v>
      </c>
      <c r="TO42" t="s">
        <v>1900</v>
      </c>
      <c r="TP42" t="s">
        <v>1900</v>
      </c>
      <c r="TQ42" t="s">
        <v>1900</v>
      </c>
      <c r="TR42" t="s">
        <v>1900</v>
      </c>
      <c r="TS42">
        <v>3334973.14082013</v>
      </c>
      <c r="TT42" t="s">
        <v>1900</v>
      </c>
      <c r="TU42">
        <v>3999613.00680966</v>
      </c>
      <c r="TV42">
        <v>3828619.83508329</v>
      </c>
      <c r="TW42">
        <v>2582802.62910065</v>
      </c>
      <c r="TX42" t="s">
        <v>1900</v>
      </c>
      <c r="TY42" t="s">
        <v>1900</v>
      </c>
      <c r="TZ42" t="s">
        <v>1900</v>
      </c>
      <c r="UA42" t="s">
        <v>1900</v>
      </c>
      <c r="UB42" t="s">
        <v>1900</v>
      </c>
      <c r="UC42">
        <v>12776.874836787</v>
      </c>
      <c r="UD42" t="s">
        <v>1900</v>
      </c>
      <c r="UE42">
        <v>5081.67460387349</v>
      </c>
      <c r="UF42">
        <v>2852.05746424198</v>
      </c>
      <c r="UG42">
        <v>5220.03133580685</v>
      </c>
      <c r="UH42" t="s">
        <v>1900</v>
      </c>
      <c r="UI42" t="s">
        <v>1900</v>
      </c>
      <c r="UJ42" t="s">
        <v>1900</v>
      </c>
      <c r="UK42" t="s">
        <v>1900</v>
      </c>
      <c r="UL42" t="s">
        <v>1900</v>
      </c>
      <c r="UM42" t="s">
        <v>1900</v>
      </c>
      <c r="UN42" t="s">
        <v>1900</v>
      </c>
      <c r="UO42" t="s">
        <v>1900</v>
      </c>
      <c r="UP42" t="s">
        <v>1900</v>
      </c>
      <c r="UQ42" t="s">
        <v>1900</v>
      </c>
      <c r="UR42" t="s">
        <v>1900</v>
      </c>
      <c r="US42" t="s">
        <v>1900</v>
      </c>
      <c r="UT42" t="s">
        <v>1900</v>
      </c>
      <c r="UU42" t="s">
        <v>1900</v>
      </c>
      <c r="UV42" t="s">
        <v>1900</v>
      </c>
      <c r="UW42" t="s">
        <v>1900</v>
      </c>
      <c r="UX42" t="s">
        <v>1900</v>
      </c>
      <c r="UY42" t="s">
        <v>1900</v>
      </c>
      <c r="UZ42" t="s">
        <v>1900</v>
      </c>
      <c r="VA42" t="s">
        <v>1900</v>
      </c>
      <c r="VB42" t="s">
        <v>1900</v>
      </c>
      <c r="VC42" t="s">
        <v>1900</v>
      </c>
      <c r="VD42" t="s">
        <v>1900</v>
      </c>
      <c r="VE42" t="s">
        <v>1900</v>
      </c>
      <c r="VF42" t="s">
        <v>1900</v>
      </c>
      <c r="VG42" t="s">
        <v>1900</v>
      </c>
      <c r="VH42" t="s">
        <v>1900</v>
      </c>
      <c r="VI42" t="s">
        <v>1900</v>
      </c>
      <c r="VJ42" t="s">
        <v>1900</v>
      </c>
      <c r="VK42" t="s">
        <v>1900</v>
      </c>
      <c r="VL42" t="s">
        <v>1900</v>
      </c>
      <c r="VM42" t="s">
        <v>1900</v>
      </c>
      <c r="VN42" t="s">
        <v>1900</v>
      </c>
      <c r="VO42" t="s">
        <v>1900</v>
      </c>
      <c r="VP42" t="s">
        <v>1900</v>
      </c>
      <c r="VQ42" t="s">
        <v>1900</v>
      </c>
      <c r="VR42" t="s">
        <v>1900</v>
      </c>
      <c r="VS42" t="s">
        <v>1900</v>
      </c>
      <c r="VT42" t="s">
        <v>1900</v>
      </c>
      <c r="VU42" t="s">
        <v>1900</v>
      </c>
      <c r="VV42" t="s">
        <v>1900</v>
      </c>
      <c r="VW42" t="s">
        <v>1900</v>
      </c>
      <c r="VX42" t="s">
        <v>1900</v>
      </c>
      <c r="VY42" t="s">
        <v>1900</v>
      </c>
      <c r="VZ42" t="s">
        <v>1900</v>
      </c>
      <c r="WA42">
        <v>702550.71353768</v>
      </c>
      <c r="WB42" t="s">
        <v>1900</v>
      </c>
      <c r="WC42">
        <v>836823.763055998</v>
      </c>
      <c r="WD42">
        <v>1492067.45079038</v>
      </c>
      <c r="WE42">
        <v>557333.175331241</v>
      </c>
      <c r="WF42" t="s">
        <v>1900</v>
      </c>
      <c r="WG42" t="s">
        <v>1900</v>
      </c>
      <c r="WH42" t="s">
        <v>1900</v>
      </c>
      <c r="WI42" t="s">
        <v>1900</v>
      </c>
      <c r="WJ42" t="s">
        <v>1900</v>
      </c>
      <c r="WK42" t="s">
        <v>1900</v>
      </c>
      <c r="WL42" t="s">
        <v>1900</v>
      </c>
      <c r="WM42" t="s">
        <v>1900</v>
      </c>
      <c r="WN42" t="s">
        <v>1900</v>
      </c>
      <c r="WO42" t="s">
        <v>1900</v>
      </c>
      <c r="WP42" t="s">
        <v>1900</v>
      </c>
      <c r="WQ42" t="s">
        <v>1900</v>
      </c>
      <c r="WR42" t="s">
        <v>1900</v>
      </c>
      <c r="WS42" t="s">
        <v>1900</v>
      </c>
      <c r="WT42" t="s">
        <v>1900</v>
      </c>
      <c r="WU42" t="s">
        <v>1900</v>
      </c>
      <c r="WV42" t="s">
        <v>1900</v>
      </c>
      <c r="WW42" t="s">
        <v>1900</v>
      </c>
      <c r="WX42" t="s">
        <v>1900</v>
      </c>
      <c r="WY42" t="s">
        <v>1900</v>
      </c>
      <c r="WZ42" t="s">
        <v>1900</v>
      </c>
      <c r="XA42" t="s">
        <v>1900</v>
      </c>
      <c r="XB42" t="s">
        <v>1900</v>
      </c>
      <c r="XC42" t="s">
        <v>1900</v>
      </c>
      <c r="XD42" t="s">
        <v>1900</v>
      </c>
      <c r="XE42" t="s">
        <v>1900</v>
      </c>
      <c r="XF42" t="s">
        <v>1900</v>
      </c>
      <c r="XG42" t="s">
        <v>1900</v>
      </c>
      <c r="XH42" t="s">
        <v>1900</v>
      </c>
      <c r="XI42" t="s">
        <v>1900</v>
      </c>
      <c r="XJ42">
        <v>0</v>
      </c>
      <c r="XK42" t="s">
        <v>1900</v>
      </c>
      <c r="XL42">
        <v>0</v>
      </c>
      <c r="XM42">
        <v>0</v>
      </c>
      <c r="XN42">
        <v>0</v>
      </c>
      <c r="XO42" t="s">
        <v>1900</v>
      </c>
      <c r="XP42" t="s">
        <v>1900</v>
      </c>
      <c r="XQ42" t="s">
        <v>1900</v>
      </c>
      <c r="XR42" t="s">
        <v>1900</v>
      </c>
      <c r="XS42" t="s">
        <v>1900</v>
      </c>
      <c r="XT42" t="s">
        <v>1900</v>
      </c>
      <c r="XU42" t="s">
        <v>1900</v>
      </c>
      <c r="XV42" t="s">
        <v>1900</v>
      </c>
      <c r="XW42" t="s">
        <v>1900</v>
      </c>
      <c r="XX42" t="s">
        <v>1900</v>
      </c>
      <c r="XY42">
        <v>0</v>
      </c>
      <c r="XZ42" t="s">
        <v>1900</v>
      </c>
      <c r="YA42">
        <v>0</v>
      </c>
      <c r="YB42">
        <v>0</v>
      </c>
      <c r="YC42">
        <v>0</v>
      </c>
      <c r="YD42" t="s">
        <v>1900</v>
      </c>
      <c r="YE42" t="s">
        <v>1900</v>
      </c>
      <c r="YF42" t="s">
        <v>1900</v>
      </c>
      <c r="YG42" t="s">
        <v>1900</v>
      </c>
      <c r="YH42" t="s">
        <v>1900</v>
      </c>
      <c r="YI42" t="s">
        <v>1900</v>
      </c>
      <c r="YJ42" t="s">
        <v>1900</v>
      </c>
      <c r="YK42" t="s">
        <v>1900</v>
      </c>
      <c r="YL42" t="s">
        <v>1900</v>
      </c>
      <c r="YM42" t="s">
        <v>1900</v>
      </c>
      <c r="YN42" t="s">
        <v>1900</v>
      </c>
      <c r="YO42" t="s">
        <v>1900</v>
      </c>
      <c r="YP42" t="s">
        <v>1900</v>
      </c>
      <c r="YQ42" t="s">
        <v>1900</v>
      </c>
      <c r="YR42" t="s">
        <v>1900</v>
      </c>
      <c r="YS42" t="s">
        <v>1900</v>
      </c>
      <c r="YT42" t="s">
        <v>1900</v>
      </c>
      <c r="YU42" t="s">
        <v>1900</v>
      </c>
      <c r="YV42" t="s">
        <v>1900</v>
      </c>
      <c r="YW42" t="s">
        <v>1900</v>
      </c>
      <c r="YX42" t="s">
        <v>1900</v>
      </c>
      <c r="YY42" t="s">
        <v>1900</v>
      </c>
      <c r="YZ42" t="s">
        <v>1900</v>
      </c>
      <c r="ZA42" t="s">
        <v>1900</v>
      </c>
      <c r="ZB42" t="s">
        <v>1900</v>
      </c>
      <c r="ZC42" t="s">
        <v>1900</v>
      </c>
      <c r="ZD42" t="s">
        <v>1900</v>
      </c>
      <c r="ZE42" t="s">
        <v>1900</v>
      </c>
      <c r="ZF42" t="s">
        <v>1900</v>
      </c>
      <c r="ZG42" t="s">
        <v>1900</v>
      </c>
      <c r="ZH42" t="s">
        <v>1900</v>
      </c>
      <c r="ZI42" t="s">
        <v>1900</v>
      </c>
      <c r="ZJ42" t="s">
        <v>1900</v>
      </c>
      <c r="ZK42" t="s">
        <v>1900</v>
      </c>
      <c r="ZL42" t="s">
        <v>1900</v>
      </c>
      <c r="ZM42" t="s">
        <v>1900</v>
      </c>
      <c r="ZN42" t="s">
        <v>1900</v>
      </c>
      <c r="ZO42" t="s">
        <v>1900</v>
      </c>
      <c r="ZP42" t="s">
        <v>1900</v>
      </c>
      <c r="ZQ42" t="s">
        <v>1900</v>
      </c>
      <c r="ZR42" t="s">
        <v>1900</v>
      </c>
      <c r="ZS42" t="s">
        <v>1900</v>
      </c>
      <c r="ZT42" t="s">
        <v>1900</v>
      </c>
      <c r="ZU42" t="s">
        <v>1900</v>
      </c>
      <c r="ZV42" t="s">
        <v>1900</v>
      </c>
      <c r="ZW42" t="s">
        <v>1900</v>
      </c>
      <c r="ZX42" t="s">
        <v>1900</v>
      </c>
      <c r="ZY42" t="s">
        <v>1900</v>
      </c>
      <c r="ZZ42" t="s">
        <v>1900</v>
      </c>
      <c r="AAA42" t="s">
        <v>1900</v>
      </c>
      <c r="AAB42" t="s">
        <v>1900</v>
      </c>
      <c r="AAC42" t="s">
        <v>1900</v>
      </c>
      <c r="AAD42" t="s">
        <v>1900</v>
      </c>
      <c r="AAE42" t="s">
        <v>1900</v>
      </c>
      <c r="AAF42" t="s">
        <v>1900</v>
      </c>
      <c r="AAG42" t="s">
        <v>1900</v>
      </c>
      <c r="AAH42" t="s">
        <v>1900</v>
      </c>
      <c r="AAI42" t="s">
        <v>1900</v>
      </c>
      <c r="AAJ42" t="s">
        <v>1900</v>
      </c>
      <c r="AAK42" t="s">
        <v>1900</v>
      </c>
      <c r="AAL42" t="s">
        <v>1900</v>
      </c>
      <c r="AAM42" t="s">
        <v>1900</v>
      </c>
      <c r="AAN42" t="s">
        <v>1900</v>
      </c>
      <c r="AAO42" t="s">
        <v>1900</v>
      </c>
      <c r="AAP42" t="s">
        <v>1900</v>
      </c>
      <c r="AAQ42" t="s">
        <v>1900</v>
      </c>
      <c r="AAR42" t="s">
        <v>1900</v>
      </c>
      <c r="AAS42" t="s">
        <v>1900</v>
      </c>
      <c r="AAT42" t="s">
        <v>1900</v>
      </c>
      <c r="AAU42" t="s">
        <v>1900</v>
      </c>
      <c r="AAV42" t="s">
        <v>1900</v>
      </c>
      <c r="AAW42" t="s">
        <v>1900</v>
      </c>
      <c r="AAX42" t="s">
        <v>1900</v>
      </c>
      <c r="AAY42" t="s">
        <v>1900</v>
      </c>
      <c r="AAZ42" t="s">
        <v>1900</v>
      </c>
      <c r="ABA42" t="s">
        <v>1900</v>
      </c>
      <c r="ABB42" t="s">
        <v>1900</v>
      </c>
      <c r="ABC42" t="s">
        <v>1900</v>
      </c>
      <c r="ABD42" t="s">
        <v>1900</v>
      </c>
      <c r="ABE42" t="s">
        <v>1900</v>
      </c>
      <c r="ABF42" t="s">
        <v>1900</v>
      </c>
      <c r="ABG42" t="s">
        <v>1900</v>
      </c>
      <c r="ABH42" t="s">
        <v>1900</v>
      </c>
      <c r="ABI42" t="s">
        <v>1900</v>
      </c>
      <c r="ABJ42" t="s">
        <v>1900</v>
      </c>
      <c r="ABK42" t="s">
        <v>1900</v>
      </c>
      <c r="ABL42" t="s">
        <v>1900</v>
      </c>
      <c r="ABM42" t="s">
        <v>1900</v>
      </c>
      <c r="ABN42" t="s">
        <v>1900</v>
      </c>
      <c r="ABO42" t="s">
        <v>1900</v>
      </c>
      <c r="ABP42" t="s">
        <v>1900</v>
      </c>
      <c r="ABQ42" t="s">
        <v>1900</v>
      </c>
      <c r="ABR42" t="s">
        <v>1900</v>
      </c>
      <c r="ABS42" t="s">
        <v>1900</v>
      </c>
      <c r="ABT42" t="s">
        <v>1900</v>
      </c>
      <c r="ABU42" t="s">
        <v>1900</v>
      </c>
      <c r="ABV42" t="s">
        <v>1900</v>
      </c>
      <c r="ABW42" t="s">
        <v>1900</v>
      </c>
      <c r="ABX42" t="s">
        <v>1900</v>
      </c>
      <c r="ABY42" t="s">
        <v>1900</v>
      </c>
      <c r="ABZ42" t="s">
        <v>1900</v>
      </c>
      <c r="ACA42" t="s">
        <v>1900</v>
      </c>
      <c r="ACB42" t="s">
        <v>1900</v>
      </c>
      <c r="ACC42" t="s">
        <v>1900</v>
      </c>
      <c r="ACD42" t="s">
        <v>1900</v>
      </c>
      <c r="ACE42">
        <v>54.562</v>
      </c>
      <c r="ACF42" t="s">
        <v>1900</v>
      </c>
      <c r="ACG42">
        <v>78.17100000000001</v>
      </c>
      <c r="ACH42">
        <v>109.947</v>
      </c>
      <c r="ACI42">
        <v>56.37</v>
      </c>
      <c r="ACJ42">
        <v>53.535</v>
      </c>
      <c r="ACK42" t="s">
        <v>1900</v>
      </c>
      <c r="ACL42">
        <v>67.182</v>
      </c>
      <c r="ACM42">
        <v>78.64</v>
      </c>
      <c r="ACN42">
        <v>37.937</v>
      </c>
      <c r="ACO42">
        <v>20.139</v>
      </c>
      <c r="ACP42" t="s">
        <v>1900</v>
      </c>
      <c r="ACQ42">
        <v>21.835</v>
      </c>
      <c r="ACR42">
        <v>19.959</v>
      </c>
      <c r="ACS42">
        <v>16.154</v>
      </c>
      <c r="ACT42">
        <v>40.858</v>
      </c>
      <c r="ACU42" t="s">
        <v>1900</v>
      </c>
      <c r="ACV42">
        <v>58.633</v>
      </c>
      <c r="ACW42">
        <v>82.453</v>
      </c>
      <c r="ACX42">
        <v>41.895</v>
      </c>
      <c r="ACY42">
        <v>40.193</v>
      </c>
      <c r="ACZ42" t="s">
        <v>1900</v>
      </c>
      <c r="ADA42">
        <v>50.555</v>
      </c>
      <c r="ADB42">
        <v>59.27</v>
      </c>
      <c r="ADC42">
        <v>28.27</v>
      </c>
      <c r="ADD42">
        <v>15.081</v>
      </c>
      <c r="ADE42" t="s">
        <v>1900</v>
      </c>
      <c r="ADF42">
        <v>16.378</v>
      </c>
      <c r="ADG42">
        <v>14.968</v>
      </c>
      <c r="ADH42">
        <v>12.006</v>
      </c>
      <c r="ADI42">
        <v>12.768</v>
      </c>
      <c r="ADJ42" t="s">
        <v>1900</v>
      </c>
      <c r="ADK42">
        <v>14.526</v>
      </c>
      <c r="ADL42">
        <v>12.611</v>
      </c>
      <c r="ADM42">
        <v>10.102</v>
      </c>
      <c r="ADN42">
        <v>63.45</v>
      </c>
      <c r="ADO42" t="s">
        <v>1900</v>
      </c>
      <c r="ADP42">
        <v>58.565</v>
      </c>
      <c r="ADQ42">
        <v>63.056</v>
      </c>
      <c r="ADR42">
        <v>66.232</v>
      </c>
      <c r="ADS42">
        <v>12.70507947</v>
      </c>
      <c r="ADT42" t="s">
        <v>1900</v>
      </c>
      <c r="ADU42">
        <v>14.669793801</v>
      </c>
      <c r="ADV42">
        <v>12.807588278</v>
      </c>
      <c r="ADW42">
        <v>10.280293007</v>
      </c>
      <c r="ADX42">
        <v>12.975</v>
      </c>
      <c r="ADY42" t="s">
        <v>1900</v>
      </c>
      <c r="ADZ42">
        <v>14.8</v>
      </c>
      <c r="AEA42">
        <v>13.191</v>
      </c>
      <c r="AEB42">
        <v>10.896</v>
      </c>
      <c r="AEC42">
        <v>12.705</v>
      </c>
      <c r="AED42" t="s">
        <v>1900</v>
      </c>
      <c r="AEE42">
        <v>14.67</v>
      </c>
      <c r="AEF42">
        <v>12.808</v>
      </c>
      <c r="AEG42">
        <v>10.28</v>
      </c>
      <c r="AEH42">
        <v>9.831</v>
      </c>
      <c r="AEI42" t="s">
        <v>1900</v>
      </c>
      <c r="AEJ42">
        <v>11.025</v>
      </c>
      <c r="AEK42">
        <v>9.840999999999999</v>
      </c>
      <c r="AEL42">
        <v>8.122999999999999</v>
      </c>
      <c r="AEM42">
        <v>14.554202458</v>
      </c>
      <c r="AEN42" t="s">
        <v>1900</v>
      </c>
      <c r="AEO42">
        <v>17.191794622</v>
      </c>
      <c r="AEP42">
        <v>14.688879486</v>
      </c>
      <c r="AEQ42">
        <v>11.458232925</v>
      </c>
      <c r="AER42">
        <v>1.250370587</v>
      </c>
      <c r="AES42" t="s">
        <v>1900</v>
      </c>
      <c r="AET42">
        <v>1.334199254</v>
      </c>
      <c r="AEU42">
        <v>1.254883869</v>
      </c>
      <c r="AEV42">
        <v>1.183736064</v>
      </c>
      <c r="AEW42" t="s">
        <v>1900</v>
      </c>
      <c r="AEX42" t="s">
        <v>1900</v>
      </c>
      <c r="AEY42" t="s">
        <v>1900</v>
      </c>
      <c r="AEZ42" t="s">
        <v>1900</v>
      </c>
      <c r="AFA42" t="s">
        <v>1900</v>
      </c>
      <c r="AFB42" t="s">
        <v>1900</v>
      </c>
      <c r="AFC42" t="s">
        <v>1900</v>
      </c>
      <c r="AFD42" t="s">
        <v>1900</v>
      </c>
      <c r="AFE42" t="s">
        <v>1900</v>
      </c>
      <c r="AFF42" t="s">
        <v>1900</v>
      </c>
      <c r="AFG42">
        <v>4.161</v>
      </c>
      <c r="AFH42" t="s">
        <v>1900</v>
      </c>
      <c r="AFI42">
        <v>4.58</v>
      </c>
      <c r="AFJ42">
        <v>6.142</v>
      </c>
      <c r="AFK42">
        <v>3.727</v>
      </c>
      <c r="AFL42">
        <v>128.174</v>
      </c>
      <c r="AFM42" t="s">
        <v>1900</v>
      </c>
      <c r="AFN42">
        <v>102.037</v>
      </c>
      <c r="AFO42">
        <v>66.643</v>
      </c>
      <c r="AFP42">
        <v>131.814</v>
      </c>
      <c r="AFQ42" t="s">
        <v>1901</v>
      </c>
      <c r="AFR42" t="s">
        <v>1900</v>
      </c>
      <c r="AFS42">
        <v>512.439</v>
      </c>
      <c r="AFT42" t="s">
        <v>1901</v>
      </c>
      <c r="AFU42" t="s">
        <v>1901</v>
      </c>
      <c r="AFV42">
        <v>100.451</v>
      </c>
      <c r="AFW42" t="s">
        <v>1900</v>
      </c>
      <c r="AFX42">
        <v>98.604</v>
      </c>
      <c r="AFY42">
        <v>107.555</v>
      </c>
      <c r="AFZ42">
        <v>99.04600000000001</v>
      </c>
      <c r="AGA42">
        <v>92.75700000000001</v>
      </c>
      <c r="AGB42" t="s">
        <v>1900</v>
      </c>
      <c r="AGC42">
        <v>110.469</v>
      </c>
      <c r="AGD42">
        <v>80.04300000000001</v>
      </c>
      <c r="AGE42">
        <v>79.491</v>
      </c>
      <c r="AGF42" t="s">
        <v>1900</v>
      </c>
      <c r="AGG42" t="s">
        <v>1900</v>
      </c>
      <c r="AGH42" t="s">
        <v>1900</v>
      </c>
      <c r="AGI42" t="s">
        <v>1900</v>
      </c>
      <c r="AGJ42" t="s">
        <v>1900</v>
      </c>
      <c r="AGK42" t="s">
        <v>1900</v>
      </c>
      <c r="AGL42" t="s">
        <v>1900</v>
      </c>
      <c r="AGM42" t="s">
        <v>1900</v>
      </c>
      <c r="AGN42" t="s">
        <v>1900</v>
      </c>
      <c r="AGO42" t="s">
        <v>1900</v>
      </c>
      <c r="AGP42" t="s">
        <v>1900</v>
      </c>
      <c r="AGQ42" t="s">
        <v>1900</v>
      </c>
      <c r="AGR42" t="s">
        <v>1900</v>
      </c>
      <c r="AGS42" t="s">
        <v>1900</v>
      </c>
      <c r="AGT42" t="s">
        <v>1900</v>
      </c>
      <c r="AGU42">
        <v>0</v>
      </c>
      <c r="AGV42">
        <v>0</v>
      </c>
      <c r="AGW42">
        <v>0</v>
      </c>
      <c r="AGX42">
        <v>0</v>
      </c>
      <c r="AGY42">
        <v>0</v>
      </c>
      <c r="AGZ42">
        <v>1.419</v>
      </c>
      <c r="AHA42" t="s">
        <v>1900</v>
      </c>
      <c r="AHB42">
        <v>1.146</v>
      </c>
      <c r="AHC42">
        <v>1.333</v>
      </c>
      <c r="AHD42">
        <v>1.704</v>
      </c>
      <c r="AHE42">
        <v>1.419</v>
      </c>
      <c r="AHF42" t="s">
        <v>1900</v>
      </c>
      <c r="AHG42">
        <v>1.141</v>
      </c>
      <c r="AHH42">
        <v>1.333</v>
      </c>
      <c r="AHI42">
        <v>1.704</v>
      </c>
      <c r="AHJ42">
        <v>36.916</v>
      </c>
      <c r="AHK42" t="s">
        <v>1900</v>
      </c>
      <c r="AHL42">
        <v>5.711</v>
      </c>
      <c r="AHM42">
        <v>2.384</v>
      </c>
      <c r="AHN42">
        <v>2.011</v>
      </c>
      <c r="AHO42">
        <v>36.91</v>
      </c>
      <c r="AHP42" t="s">
        <v>1900</v>
      </c>
      <c r="AHQ42">
        <v>27.932</v>
      </c>
      <c r="AHR42">
        <v>18.153</v>
      </c>
      <c r="AHS42">
        <v>28.657</v>
      </c>
      <c r="AHT42">
        <v>58.505</v>
      </c>
      <c r="AHU42" t="s">
        <v>1900</v>
      </c>
      <c r="AHV42">
        <v>38.759</v>
      </c>
      <c r="AHW42">
        <v>22.179</v>
      </c>
      <c r="AHX42">
        <v>40.168</v>
      </c>
      <c r="AHY42">
        <v>3.747</v>
      </c>
      <c r="AHZ42" t="s">
        <v>1900</v>
      </c>
      <c r="AIA42">
        <v>17.964</v>
      </c>
      <c r="AIB42">
        <v>42.351</v>
      </c>
      <c r="AIC42">
        <v>50.442</v>
      </c>
      <c r="AID42">
        <v>11.302356387</v>
      </c>
      <c r="AIE42" t="s">
        <v>1900</v>
      </c>
      <c r="AIF42">
        <v>21.921772313</v>
      </c>
      <c r="AIG42">
        <v>0.743635548</v>
      </c>
      <c r="AIH42">
        <v>1.417079225</v>
      </c>
      <c r="AII42">
        <v>44.066183561</v>
      </c>
      <c r="AIJ42" t="s">
        <v>1900</v>
      </c>
      <c r="AIK42">
        <v>35.499391105</v>
      </c>
      <c r="AIL42">
        <v>51.69756104</v>
      </c>
      <c r="AIM42">
        <v>53.289699384</v>
      </c>
      <c r="AIN42">
        <v>21.066158073</v>
      </c>
      <c r="AIO42" t="s">
        <v>1900</v>
      </c>
      <c r="AIP42">
        <v>20.922618304</v>
      </c>
      <c r="AIQ42">
        <v>38.971418293</v>
      </c>
      <c r="AIR42">
        <v>21.578620412</v>
      </c>
      <c r="AIS42">
        <v>0</v>
      </c>
      <c r="AIT42" t="s">
        <v>1900</v>
      </c>
      <c r="AIU42">
        <v>0.470968908</v>
      </c>
      <c r="AIV42">
        <v>0</v>
      </c>
      <c r="AIW42">
        <v>0</v>
      </c>
      <c r="AIX42">
        <v>24.8752443834114</v>
      </c>
      <c r="AIY42" t="s">
        <v>1900</v>
      </c>
      <c r="AIZ42">
        <v>29.1105206443214</v>
      </c>
      <c r="AJA42">
        <v>30.5655819011736</v>
      </c>
      <c r="AJB42">
        <v>16.6891554322141</v>
      </c>
      <c r="AJC42">
        <v>194.823953035087</v>
      </c>
      <c r="AJD42" t="s">
        <v>1900</v>
      </c>
      <c r="AJE42">
        <v>200.407675178202</v>
      </c>
      <c r="AJF42">
        <v>242.365708359704</v>
      </c>
      <c r="AJG42">
        <v>165.205361588914</v>
      </c>
      <c r="AJH42">
        <v>33.915</v>
      </c>
      <c r="AJI42" t="s">
        <v>1900</v>
      </c>
      <c r="AJJ42">
        <v>31.664</v>
      </c>
      <c r="AJK42">
        <v>39.745</v>
      </c>
      <c r="AJL42">
        <v>41.521</v>
      </c>
      <c r="AJM42">
        <v>66.0753250092345</v>
      </c>
      <c r="AJN42" t="s">
        <v>1900</v>
      </c>
      <c r="AJO42">
        <v>63.4566443308634</v>
      </c>
      <c r="AJP42">
        <v>96.32761990665431</v>
      </c>
      <c r="AJQ42">
        <v>68.59443853281969</v>
      </c>
      <c r="AJR42">
        <v>45.5907235771595</v>
      </c>
      <c r="AJS42" t="s">
        <v>1900</v>
      </c>
      <c r="AJT42">
        <v>37.239609710682</v>
      </c>
      <c r="AJU42">
        <v>27.8002827530837</v>
      </c>
      <c r="AJV42">
        <v>29.6061879843891</v>
      </c>
      <c r="AJW42">
        <v>4.16348237222064</v>
      </c>
      <c r="AJX42" t="s">
        <v>1900</v>
      </c>
      <c r="AJY42">
        <v>-6.21412061153948</v>
      </c>
      <c r="AJZ42">
        <v>18.5216166960239</v>
      </c>
      <c r="AKA42">
        <v>8.974120764541629</v>
      </c>
      <c r="AKB42">
        <v>123.517523657123</v>
      </c>
      <c r="AKC42" t="s">
        <v>1900</v>
      </c>
      <c r="AKD42">
        <v>133.320433915855</v>
      </c>
      <c r="AKE42">
        <v>153.144792950292</v>
      </c>
      <c r="AKF42">
        <v>103.31210496769</v>
      </c>
      <c r="AKG42">
        <v>0</v>
      </c>
      <c r="AKH42" t="s">
        <v>1900</v>
      </c>
      <c r="AKI42">
        <v>0.470968908</v>
      </c>
      <c r="AKJ42">
        <v>0</v>
      </c>
      <c r="AKK42">
        <v>0</v>
      </c>
      <c r="AKL42">
        <v>0</v>
      </c>
      <c r="AKM42" t="s">
        <v>1900</v>
      </c>
      <c r="AKN42">
        <v>0.195145282</v>
      </c>
      <c r="AKO42">
        <v>0</v>
      </c>
      <c r="AKP42">
        <v>0</v>
      </c>
      <c r="AKQ42">
        <v>0</v>
      </c>
      <c r="AKR42" t="s">
        <v>1900</v>
      </c>
      <c r="AKS42">
        <v>0.293342973</v>
      </c>
      <c r="AKT42">
        <v>0</v>
      </c>
      <c r="AKU42">
        <v>0</v>
      </c>
      <c r="AKV42">
        <v>0.0009896729999999999</v>
      </c>
      <c r="AKW42" t="s">
        <v>1900</v>
      </c>
      <c r="AKX42">
        <v>0.011533274</v>
      </c>
      <c r="AKY42">
        <v>0.101875737</v>
      </c>
      <c r="AKZ42">
        <v>0.348273647</v>
      </c>
      <c r="ALA42">
        <v>0.00156101</v>
      </c>
      <c r="ALB42" t="s">
        <v>1900</v>
      </c>
      <c r="ALC42">
        <v>0.017336852</v>
      </c>
      <c r="ALD42">
        <v>0.161227715</v>
      </c>
      <c r="ALE42">
        <v>0.55692093</v>
      </c>
      <c r="ALF42">
        <v>0.392177637</v>
      </c>
      <c r="ALG42" t="s">
        <v>1900</v>
      </c>
      <c r="ALH42">
        <v>0.72868237</v>
      </c>
      <c r="ALI42">
        <v>0.07308044</v>
      </c>
      <c r="ALJ42">
        <v>0.463239018</v>
      </c>
      <c r="ALK42">
        <v>0.618581033</v>
      </c>
      <c r="ALL42" t="s">
        <v>1900</v>
      </c>
      <c r="ALM42">
        <v>1.095357524</v>
      </c>
      <c r="ALN42">
        <v>0.115656512</v>
      </c>
      <c r="ALO42">
        <v>0.740760914</v>
      </c>
      <c r="ALP42">
        <v>27.902980806</v>
      </c>
      <c r="ALQ42" t="s">
        <v>1900</v>
      </c>
      <c r="ALR42">
        <v>27.390045965</v>
      </c>
      <c r="ALS42">
        <v>29.876255218</v>
      </c>
      <c r="ALT42">
        <v>27.512859004</v>
      </c>
      <c r="ALU42">
        <v>92.34114570600001</v>
      </c>
      <c r="ALV42" t="s">
        <v>1900</v>
      </c>
      <c r="ALW42">
        <v>112.033149244</v>
      </c>
      <c r="ALX42">
        <v>74.421117933</v>
      </c>
      <c r="ALY42">
        <v>80.256140594</v>
      </c>
      <c r="ALZ42">
        <v>63.4501754451147</v>
      </c>
      <c r="AMA42" t="s">
        <v>1900</v>
      </c>
      <c r="AMB42">
        <v>58.5651455009512</v>
      </c>
      <c r="AMC42">
        <v>63.0563086637487</v>
      </c>
      <c r="AMD42">
        <v>66.2317094380679</v>
      </c>
      <c r="AME42">
        <v>63.4501754451147</v>
      </c>
      <c r="AMF42" t="s">
        <v>1900</v>
      </c>
      <c r="AMG42">
        <v>58.5651455009512</v>
      </c>
      <c r="AMH42">
        <v>63.0563086637487</v>
      </c>
      <c r="AMI42">
        <v>66.2317094380679</v>
      </c>
      <c r="AMJ42">
        <v>173.5991246254</v>
      </c>
      <c r="AMK42" t="s">
        <v>1900</v>
      </c>
      <c r="AML42">
        <v>141.342708232017</v>
      </c>
      <c r="AMM42">
        <v>170.68220955461</v>
      </c>
      <c r="AMN42">
        <v>196.135807693898</v>
      </c>
      <c r="AMO42">
        <v>1.25037058657268</v>
      </c>
      <c r="AMP42" t="s">
        <v>1900</v>
      </c>
      <c r="AMQ42">
        <v>1.33419925418573</v>
      </c>
      <c r="AMR42">
        <v>1.25488386975327</v>
      </c>
      <c r="AMS42">
        <v>1.18373606358552</v>
      </c>
      <c r="AMT42">
        <v>1.25037058696188</v>
      </c>
      <c r="AMU42" t="s">
        <v>1900</v>
      </c>
      <c r="AMV42">
        <v>1.33419925418573</v>
      </c>
      <c r="AMW42">
        <v>1.25488386938127</v>
      </c>
      <c r="AMX42">
        <v>1.18373606358552</v>
      </c>
      <c r="AMY42">
        <v>1.25037058696188</v>
      </c>
      <c r="AMZ42" t="s">
        <v>1900</v>
      </c>
      <c r="ANA42">
        <v>1.33419925418573</v>
      </c>
      <c r="ANB42">
        <v>1.25488386928646</v>
      </c>
      <c r="ANC42">
        <v>1.18373606358552</v>
      </c>
      <c r="AND42">
        <v>12.7050794697369</v>
      </c>
      <c r="ANE42" t="s">
        <v>1900</v>
      </c>
      <c r="ANF42">
        <v>14.6697938005083</v>
      </c>
      <c r="ANG42">
        <v>12.8075882784883</v>
      </c>
      <c r="ANH42">
        <v>10.2802930070665</v>
      </c>
      <c r="ANI42">
        <v>12.7050794697369</v>
      </c>
      <c r="ANJ42" t="s">
        <v>1900</v>
      </c>
      <c r="ANK42">
        <v>14.6697938005083</v>
      </c>
      <c r="ANL42">
        <v>12.8075882784883</v>
      </c>
      <c r="ANM42">
        <v>10.2802930070665</v>
      </c>
      <c r="ANN42">
        <v>14.5542024582431</v>
      </c>
      <c r="ANO42" t="s">
        <v>1900</v>
      </c>
      <c r="ANP42">
        <v>17.1917946221906</v>
      </c>
      <c r="ANQ42">
        <v>14.688879485746</v>
      </c>
      <c r="ANR42">
        <v>11.4582329252103</v>
      </c>
      <c r="ANS42">
        <v>52.8610081017296</v>
      </c>
      <c r="ANT42" t="s">
        <v>1900</v>
      </c>
      <c r="ANU42">
        <v>67.1833206558069</v>
      </c>
      <c r="ANV42">
        <v>78.6653165416616</v>
      </c>
      <c r="ANW42">
        <v>38.3105497508488</v>
      </c>
      <c r="ANX42">
        <v>63.4501754648647</v>
      </c>
      <c r="ANY42" t="s">
        <v>1900</v>
      </c>
      <c r="ANZ42">
        <v>58.5651455009512</v>
      </c>
      <c r="AOA42">
        <v>63.0563086637487</v>
      </c>
      <c r="AOB42">
        <v>66.2317094380679</v>
      </c>
      <c r="AOC42">
        <v>72.68484243950709</v>
      </c>
      <c r="AOD42" t="s">
        <v>1900</v>
      </c>
      <c r="AOE42">
        <v>68.6335450356619</v>
      </c>
      <c r="AOF42">
        <v>72.31857385152669</v>
      </c>
      <c r="AOG42">
        <v>73.8206929758302</v>
      </c>
      <c r="AOH42" t="s">
        <v>1901</v>
      </c>
      <c r="AOI42" t="s">
        <v>1900</v>
      </c>
      <c r="AOJ42">
        <v>88.03530234418371</v>
      </c>
      <c r="AOK42">
        <v>99.7924026513987</v>
      </c>
      <c r="AOL42" t="s">
        <v>1901</v>
      </c>
      <c r="AOM42">
        <v>34.7609862190269</v>
      </c>
      <c r="AON42" t="s">
        <v>1900</v>
      </c>
      <c r="AOO42">
        <v>35.4044776501994</v>
      </c>
      <c r="AOP42">
        <v>34.6678629428694</v>
      </c>
      <c r="AOQ42">
        <v>30.4436287297757</v>
      </c>
      <c r="AOR42">
        <v>25.0370586961876</v>
      </c>
      <c r="AOS42" t="s">
        <v>1900</v>
      </c>
      <c r="AOT42">
        <v>33.419925418573</v>
      </c>
      <c r="AOU42">
        <v>25.4883869381272</v>
      </c>
      <c r="AOV42">
        <v>18.3736063585522</v>
      </c>
      <c r="AOW42">
        <v>20.0396974343797</v>
      </c>
      <c r="AOX42" t="s">
        <v>1900</v>
      </c>
      <c r="AOY42">
        <v>22.0516780332016</v>
      </c>
      <c r="AOZ42">
        <v>20.2691853291918</v>
      </c>
      <c r="APA42">
        <v>16.4391144508475</v>
      </c>
      <c r="APB42">
        <v>9.56110848130878</v>
      </c>
      <c r="APC42" t="s">
        <v>1900</v>
      </c>
      <c r="APD42">
        <v>10.8950910996484</v>
      </c>
      <c r="APE42">
        <v>9.45764893706852</v>
      </c>
      <c r="APF42">
        <v>7.50792147111703</v>
      </c>
      <c r="APG42">
        <v>9.56110848130878</v>
      </c>
      <c r="APH42" t="s">
        <v>1900</v>
      </c>
      <c r="API42">
        <v>10.8950910996484</v>
      </c>
      <c r="APJ42">
        <v>9.45764893706852</v>
      </c>
      <c r="APK42">
        <v>7.50792147111703</v>
      </c>
      <c r="APL42">
        <v>26.1591091145122</v>
      </c>
      <c r="APM42" t="s">
        <v>1900</v>
      </c>
      <c r="APN42">
        <v>26.2945079242368</v>
      </c>
      <c r="APO42">
        <v>25.6001731147751</v>
      </c>
      <c r="APP42">
        <v>22.233643889516</v>
      </c>
      <c r="APQ42">
        <v>18.8414432839516</v>
      </c>
      <c r="APR42" t="s">
        <v>1900</v>
      </c>
      <c r="APS42">
        <v>24.8206032702511</v>
      </c>
      <c r="APT42">
        <v>18.8216712148574</v>
      </c>
      <c r="APU42">
        <v>13.4186441559986</v>
      </c>
      <c r="APV42">
        <v>10.9526515669307</v>
      </c>
      <c r="APW42" t="s">
        <v>1900</v>
      </c>
      <c r="APX42">
        <v>12.7681527854005</v>
      </c>
      <c r="APY42">
        <v>10.8468715916195</v>
      </c>
      <c r="APZ42">
        <v>8.368196601119489</v>
      </c>
      <c r="AQA42">
        <v>15.0807180355777</v>
      </c>
      <c r="AQB42" t="s">
        <v>1900</v>
      </c>
      <c r="AQC42">
        <v>16.3775336135618</v>
      </c>
      <c r="AQD42">
        <v>14.9675984982944</v>
      </c>
      <c r="AQE42">
        <v>12.0058426609853</v>
      </c>
      <c r="AQF42">
        <v>0.250370586961876</v>
      </c>
      <c r="AQG42" t="s">
        <v>1900</v>
      </c>
      <c r="AQH42">
        <v>0.33419925418573</v>
      </c>
      <c r="AQI42">
        <v>0.254883869286455</v>
      </c>
      <c r="AQJ42">
        <v>0.183736063585522</v>
      </c>
      <c r="AQK42">
        <v>8</v>
      </c>
      <c r="AQO42" t="s">
        <v>1902</v>
      </c>
      <c r="AQP42">
        <v>5</v>
      </c>
      <c r="AQQ42">
        <v>0</v>
      </c>
      <c r="AQS42" t="s">
        <v>1905</v>
      </c>
      <c r="AQU42" t="s">
        <v>1906</v>
      </c>
      <c r="AQV42">
        <v>5260246.72675285</v>
      </c>
      <c r="AQW42" t="s">
        <v>1900</v>
      </c>
      <c r="AQX42">
        <v>6012230.26601205</v>
      </c>
      <c r="AQY42">
        <v>668318.526938183</v>
      </c>
      <c r="AQZ42" t="s">
        <v>1900</v>
      </c>
      <c r="ARA42">
        <v>881981.782835722</v>
      </c>
      <c r="ARB42">
        <v>11272476.9927649</v>
      </c>
      <c r="ARC42">
        <v>1550300.309773905</v>
      </c>
      <c r="ARD42">
        <v>0.1594602073511135</v>
      </c>
      <c r="ARE42">
        <v>0.1594602073511135</v>
      </c>
      <c r="ARF42">
        <v>0.1594602073511135</v>
      </c>
      <c r="ARG42">
        <v>0.1594602073511135</v>
      </c>
      <c r="ARH42">
        <v>0.1594602073511135</v>
      </c>
      <c r="ARI42">
        <v>0.1594602073511135</v>
      </c>
      <c r="ARJ42" t="s">
        <v>1203</v>
      </c>
      <c r="ARK42" t="s">
        <v>1541</v>
      </c>
      <c r="ARL42" t="s">
        <v>1908</v>
      </c>
      <c r="ARM42" t="s">
        <v>1908</v>
      </c>
      <c r="ARN42" t="s">
        <v>1909</v>
      </c>
      <c r="ARO42" t="s">
        <v>1908</v>
      </c>
      <c r="ARP42" t="s">
        <v>1907</v>
      </c>
      <c r="ARQ42" t="s">
        <v>1943</v>
      </c>
      <c r="ARR42">
        <f>HYPERLINK("C:\Users\Usuario\Documents\Proyectos\llmthon\evidence\euromanager_es_234155.png", "Ver Evidencia")</f>
        <v>0</v>
      </c>
      <c r="ARS42">
        <v>100</v>
      </c>
    </row>
    <row r="43" spans="1:1163">
      <c r="A43">
        <v>639</v>
      </c>
      <c r="B43" t="s">
        <v>1204</v>
      </c>
      <c r="C43" t="s">
        <v>1327</v>
      </c>
      <c r="E43" s="2">
        <v>34394</v>
      </c>
      <c r="F43" t="s">
        <v>1431</v>
      </c>
      <c r="G43" t="s">
        <v>1433</v>
      </c>
      <c r="H43" t="s">
        <v>1434</v>
      </c>
      <c r="I43" t="s">
        <v>1444</v>
      </c>
      <c r="J43" t="s">
        <v>1472</v>
      </c>
      <c r="L43" t="s">
        <v>1542</v>
      </c>
      <c r="N43" t="s">
        <v>1638</v>
      </c>
      <c r="O43" t="s">
        <v>1662</v>
      </c>
      <c r="P43">
        <v>8299</v>
      </c>
      <c r="Q43">
        <v>8299</v>
      </c>
      <c r="R43" t="s">
        <v>1713</v>
      </c>
      <c r="Z43" t="s">
        <v>1899</v>
      </c>
      <c r="AA43" s="2">
        <v>45657</v>
      </c>
      <c r="AB43">
        <v>2024</v>
      </c>
      <c r="AC43">
        <v>920131.5895977831</v>
      </c>
      <c r="AD43">
        <v>888849.404104691</v>
      </c>
      <c r="AE43">
        <v>1178078.90953587</v>
      </c>
      <c r="AF43">
        <v>1164311.90419128</v>
      </c>
      <c r="AG43">
        <v>1071998.77048303</v>
      </c>
      <c r="AH43">
        <v>920131.5895977831</v>
      </c>
      <c r="AI43">
        <v>888849.404104691</v>
      </c>
      <c r="AJ43">
        <v>1178078.90953587</v>
      </c>
      <c r="AK43">
        <v>1164311.90419128</v>
      </c>
      <c r="AL43">
        <v>1071998.77048303</v>
      </c>
      <c r="AM43">
        <v>40965.1906341231</v>
      </c>
      <c r="AN43">
        <v>41696.4865128708</v>
      </c>
      <c r="AO43">
        <v>37137.2022940159</v>
      </c>
      <c r="AP43">
        <v>55193.0853631496</v>
      </c>
      <c r="AQ43">
        <v>61243.1639543712</v>
      </c>
      <c r="AR43">
        <v>879166.39896366</v>
      </c>
      <c r="AS43">
        <v>847152.91759182</v>
      </c>
      <c r="AT43">
        <v>1140941.70724186</v>
      </c>
      <c r="AU43">
        <v>1109118.81882813</v>
      </c>
      <c r="AV43">
        <v>1010755.60652866</v>
      </c>
      <c r="AW43">
        <v>876641.654910367</v>
      </c>
      <c r="AX43">
        <v>871173.53992198</v>
      </c>
      <c r="AY43">
        <v>1139629.34189951</v>
      </c>
      <c r="AZ43">
        <v>1085008.00083082</v>
      </c>
      <c r="BA43">
        <v>1006790.19832957</v>
      </c>
      <c r="BB43">
        <v>2524.74405329347</v>
      </c>
      <c r="BC43">
        <v>-24020.6223301601</v>
      </c>
      <c r="BD43">
        <v>1312.36534234285</v>
      </c>
      <c r="BE43">
        <v>24110.8179973125</v>
      </c>
      <c r="BF43">
        <v>3965.40819908977</v>
      </c>
      <c r="BG43">
        <v>14549.227064569</v>
      </c>
      <c r="BH43">
        <v>40027.7799589758</v>
      </c>
      <c r="BI43">
        <v>20430.2428272146</v>
      </c>
      <c r="BJ43">
        <v>-1383.51657958031</v>
      </c>
      <c r="BK43">
        <v>-1281.3125464797</v>
      </c>
      <c r="BL43">
        <v>15618.9611438441</v>
      </c>
      <c r="BM43">
        <v>40944.5115753937</v>
      </c>
      <c r="BN43">
        <v>21356.26556952</v>
      </c>
      <c r="BO43" t="s">
        <v>1900</v>
      </c>
      <c r="BP43" t="s">
        <v>1900</v>
      </c>
      <c r="BQ43">
        <v>1069.73407927513</v>
      </c>
      <c r="BR43">
        <v>916.730511417389</v>
      </c>
      <c r="BS43">
        <v>926.02167570591</v>
      </c>
      <c r="BT43">
        <v>1383.51657958031</v>
      </c>
      <c r="BU43">
        <v>1281.3125464797</v>
      </c>
      <c r="BV43">
        <v>17073.9700789629</v>
      </c>
      <c r="BW43">
        <v>16007.1587338161</v>
      </c>
      <c r="BX43">
        <v>21742.6092361569</v>
      </c>
      <c r="BY43">
        <v>22727.3014177322</v>
      </c>
      <c r="BZ43">
        <v>2684.09565261006</v>
      </c>
      <c r="CA43">
        <v>-6934.29082067609</v>
      </c>
      <c r="CB43">
        <v>-5254.05635795593</v>
      </c>
      <c r="CC43">
        <v>-4593.56668006182</v>
      </c>
      <c r="CD43">
        <v>5681.82535443306</v>
      </c>
      <c r="CE43">
        <v>671.026980900764</v>
      </c>
      <c r="CF43">
        <v>24008.260899639</v>
      </c>
      <c r="CG43">
        <v>21261.2150917721</v>
      </c>
      <c r="CH43">
        <v>26336.1759162188</v>
      </c>
      <c r="CI43">
        <v>17045.4760632992</v>
      </c>
      <c r="CJ43">
        <v>2013.06744461</v>
      </c>
      <c r="CK43" t="s">
        <v>1900</v>
      </c>
      <c r="CL43" t="s">
        <v>1900</v>
      </c>
      <c r="CM43" t="s">
        <v>1900</v>
      </c>
      <c r="CN43" t="s">
        <v>1900</v>
      </c>
      <c r="CO43" t="s">
        <v>1900</v>
      </c>
      <c r="CP43" t="s">
        <v>1900</v>
      </c>
      <c r="CQ43" t="s">
        <v>1900</v>
      </c>
      <c r="CR43" t="s">
        <v>1900</v>
      </c>
      <c r="CS43" t="s">
        <v>1900</v>
      </c>
      <c r="CT43" t="s">
        <v>1900</v>
      </c>
      <c r="CU43" t="s">
        <v>1900</v>
      </c>
      <c r="CV43" t="s">
        <v>1900</v>
      </c>
      <c r="CW43" t="s">
        <v>1900</v>
      </c>
      <c r="CX43" t="s">
        <v>1900</v>
      </c>
      <c r="CY43" t="s">
        <v>1900</v>
      </c>
      <c r="CZ43">
        <v>24008.260899639</v>
      </c>
      <c r="DA43">
        <v>21261.2150917721</v>
      </c>
      <c r="DB43">
        <v>26336.1759162188</v>
      </c>
      <c r="DC43">
        <v>17045.4760632992</v>
      </c>
      <c r="DD43">
        <v>2013.06744461</v>
      </c>
      <c r="DE43" t="s">
        <v>1900</v>
      </c>
      <c r="DF43" t="s">
        <v>1900</v>
      </c>
      <c r="DG43" t="s">
        <v>1900</v>
      </c>
      <c r="DH43" t="s">
        <v>1900</v>
      </c>
      <c r="DI43" t="s">
        <v>1900</v>
      </c>
      <c r="DJ43">
        <v>40965.1906341231</v>
      </c>
      <c r="DK43">
        <v>41696.4865128708</v>
      </c>
      <c r="DL43">
        <v>37137.2022940159</v>
      </c>
      <c r="DM43">
        <v>55193.0853631496</v>
      </c>
      <c r="DN43">
        <v>61243.1639543712</v>
      </c>
      <c r="DO43">
        <v>729377.769655569</v>
      </c>
      <c r="DP43">
        <v>735258.58942502</v>
      </c>
      <c r="DQ43">
        <v>1006353.03213789</v>
      </c>
      <c r="DR43">
        <v>950559.1362942701</v>
      </c>
      <c r="DS43">
        <v>876725.501483434</v>
      </c>
      <c r="DT43" t="s">
        <v>1900</v>
      </c>
      <c r="DU43" t="s">
        <v>1900</v>
      </c>
      <c r="DV43">
        <v>75.515243768692</v>
      </c>
      <c r="DW43">
        <v>361.967732262611</v>
      </c>
      <c r="DX43">
        <v>435.742961227894</v>
      </c>
      <c r="DY43">
        <v>147263.885254798</v>
      </c>
      <c r="DZ43">
        <v>135914.95049696</v>
      </c>
      <c r="EA43">
        <v>133200.794517857</v>
      </c>
      <c r="EB43">
        <v>134086.896804285</v>
      </c>
      <c r="EC43">
        <v>129628.953884912</v>
      </c>
      <c r="ED43">
        <v>1069.73407927513</v>
      </c>
      <c r="EE43">
        <v>916.730511417389</v>
      </c>
      <c r="EF43">
        <v>926.02167570591</v>
      </c>
      <c r="EG43">
        <v>1383.51657958031</v>
      </c>
      <c r="EH43">
        <v>1281.3125464797</v>
      </c>
      <c r="EI43" t="s">
        <v>1900</v>
      </c>
      <c r="EJ43" t="s">
        <v>1900</v>
      </c>
      <c r="EK43" t="s">
        <v>1900</v>
      </c>
      <c r="EL43" t="s">
        <v>1900</v>
      </c>
      <c r="EM43" t="s">
        <v>1900</v>
      </c>
      <c r="EN43" t="s">
        <v>1900</v>
      </c>
      <c r="EO43" t="s">
        <v>1900</v>
      </c>
      <c r="EP43">
        <v>26411.6911599875</v>
      </c>
      <c r="EQ43">
        <v>17407.4437955618</v>
      </c>
      <c r="ER43">
        <v>2448.81040583789</v>
      </c>
      <c r="ES43">
        <v>747521.473813807</v>
      </c>
      <c r="ET43">
        <v>752182.478670254</v>
      </c>
      <c r="EU43">
        <v>1029097.17829352</v>
      </c>
      <c r="EV43">
        <v>975031.922023845</v>
      </c>
      <c r="EW43">
        <v>881126.6526437521</v>
      </c>
      <c r="EX43">
        <v>2524.74405329347</v>
      </c>
      <c r="EY43">
        <v>-24020.6223301601</v>
      </c>
      <c r="EZ43">
        <v>1387.88058611155</v>
      </c>
      <c r="FA43">
        <v>24472.7857295752</v>
      </c>
      <c r="FB43">
        <v>4401.15116031766</v>
      </c>
      <c r="FC43">
        <v>123680.418949538</v>
      </c>
      <c r="FD43">
        <v>124174.20972786</v>
      </c>
      <c r="FE43">
        <v>114787.436926365</v>
      </c>
      <c r="FF43">
        <v>121970.633191109</v>
      </c>
      <c r="FG43">
        <v>132539.473900253</v>
      </c>
      <c r="FH43">
        <v>0</v>
      </c>
      <c r="FI43">
        <v>0</v>
      </c>
      <c r="FJ43">
        <v>0</v>
      </c>
      <c r="FK43">
        <v>0</v>
      </c>
      <c r="FL43">
        <v>0</v>
      </c>
      <c r="FM43">
        <v>0</v>
      </c>
      <c r="FN43">
        <v>0</v>
      </c>
      <c r="FO43">
        <v>0</v>
      </c>
      <c r="FP43">
        <v>80.18810176849369</v>
      </c>
      <c r="FQ43">
        <v>479.047295504808</v>
      </c>
      <c r="FR43">
        <v>123680.418949538</v>
      </c>
      <c r="FS43">
        <v>124174.20972786</v>
      </c>
      <c r="FT43">
        <v>114787.436926365</v>
      </c>
      <c r="FU43">
        <v>121890.44508934</v>
      </c>
      <c r="FV43">
        <v>132060.426604748</v>
      </c>
      <c r="FW43">
        <v>0</v>
      </c>
      <c r="FX43">
        <v>0</v>
      </c>
      <c r="FY43">
        <v>0</v>
      </c>
      <c r="FZ43">
        <v>0</v>
      </c>
      <c r="GA43">
        <v>0</v>
      </c>
      <c r="GB43">
        <v>0</v>
      </c>
      <c r="GC43">
        <v>0</v>
      </c>
      <c r="GD43">
        <v>0</v>
      </c>
      <c r="GE43">
        <v>80.18810176849369</v>
      </c>
      <c r="GF43">
        <v>479.047295504808</v>
      </c>
      <c r="GG43">
        <v>123680.418949538</v>
      </c>
      <c r="GH43">
        <v>124174.20972786</v>
      </c>
      <c r="GI43">
        <v>114787.436926365</v>
      </c>
      <c r="GJ43">
        <v>121890.44508934</v>
      </c>
      <c r="GK43">
        <v>132060.426604748</v>
      </c>
      <c r="GL43">
        <v>361767.291538862</v>
      </c>
      <c r="GM43">
        <v>347642.592717724</v>
      </c>
      <c r="GN43">
        <v>335315.264595759</v>
      </c>
      <c r="GO43">
        <v>344693.742761278</v>
      </c>
      <c r="GP43">
        <v>373142.269589555</v>
      </c>
      <c r="GQ43">
        <v>2450.4315691328</v>
      </c>
      <c r="GR43">
        <v>1959.65207946777</v>
      </c>
      <c r="GS43">
        <v>1681.45142925978</v>
      </c>
      <c r="GT43">
        <v>2484.80048854351</v>
      </c>
      <c r="GU43">
        <v>6282.66251613498</v>
      </c>
      <c r="GV43">
        <v>215129.602982342</v>
      </c>
      <c r="GW43">
        <v>248150.458616877</v>
      </c>
      <c r="GX43">
        <v>275096.177418154</v>
      </c>
      <c r="GY43">
        <v>236506.458901906</v>
      </c>
      <c r="GZ43">
        <v>166610.511769593</v>
      </c>
      <c r="HA43">
        <v>144187.256987387</v>
      </c>
      <c r="HB43">
        <v>97532.4820213795</v>
      </c>
      <c r="HC43">
        <v>58537.6357483447</v>
      </c>
      <c r="HD43">
        <v>105702.483370829</v>
      </c>
      <c r="HE43">
        <v>200249.095303828</v>
      </c>
      <c r="HF43">
        <v>144187.256987387</v>
      </c>
      <c r="HG43">
        <v>96979.9817734242</v>
      </c>
      <c r="HH43">
        <v>58537.6357483447</v>
      </c>
      <c r="HI43">
        <v>105702.483370829</v>
      </c>
      <c r="HJ43">
        <v>200249.095303828</v>
      </c>
      <c r="HK43">
        <v>485447.7104884</v>
      </c>
      <c r="HL43">
        <v>471816.802445583</v>
      </c>
      <c r="HM43">
        <v>450102.701522124</v>
      </c>
      <c r="HN43">
        <v>466664.375952387</v>
      </c>
      <c r="HO43">
        <v>505681.743489808</v>
      </c>
      <c r="HP43">
        <v>404564.716570305</v>
      </c>
      <c r="HQ43">
        <v>404769.715005674</v>
      </c>
      <c r="HR43">
        <v>370180.801967692</v>
      </c>
      <c r="HS43">
        <v>370288.958047557</v>
      </c>
      <c r="HT43">
        <v>382716.503266483</v>
      </c>
      <c r="HU43">
        <v>14993.3981742859</v>
      </c>
      <c r="HV43">
        <v>15947.3671569824</v>
      </c>
      <c r="HW43">
        <v>15393.1638145447</v>
      </c>
      <c r="HX43">
        <v>16345.6876373291</v>
      </c>
      <c r="HY43">
        <v>17709.497089386</v>
      </c>
      <c r="HZ43">
        <v>389571.318396019</v>
      </c>
      <c r="IA43">
        <v>388822.346743691</v>
      </c>
      <c r="IB43">
        <v>354787.638153148</v>
      </c>
      <c r="IC43">
        <v>353943.270410228</v>
      </c>
      <c r="ID43">
        <v>365007.006177098</v>
      </c>
      <c r="IE43">
        <v>0</v>
      </c>
      <c r="IF43">
        <v>0</v>
      </c>
      <c r="IG43">
        <v>0</v>
      </c>
      <c r="IH43">
        <v>0</v>
      </c>
      <c r="II43">
        <v>0</v>
      </c>
      <c r="IJ43" t="s">
        <v>1900</v>
      </c>
      <c r="IK43" t="s">
        <v>1900</v>
      </c>
      <c r="IL43" t="s">
        <v>1900</v>
      </c>
      <c r="IM43" t="s">
        <v>1900</v>
      </c>
      <c r="IN43" t="s">
        <v>1900</v>
      </c>
      <c r="IO43" t="s">
        <v>1900</v>
      </c>
      <c r="IP43" t="s">
        <v>1900</v>
      </c>
      <c r="IQ43" t="s">
        <v>1900</v>
      </c>
      <c r="IR43" t="s">
        <v>1900</v>
      </c>
      <c r="IS43" t="s">
        <v>1900</v>
      </c>
      <c r="IT43" t="s">
        <v>1900</v>
      </c>
      <c r="IU43" t="s">
        <v>1900</v>
      </c>
      <c r="IV43" t="s">
        <v>1900</v>
      </c>
      <c r="IW43" t="s">
        <v>1900</v>
      </c>
      <c r="IX43" t="s">
        <v>1900</v>
      </c>
      <c r="IY43">
        <v>80882.9939180958</v>
      </c>
      <c r="IZ43">
        <v>67047.087439909</v>
      </c>
      <c r="JA43">
        <v>79921.89955443139</v>
      </c>
      <c r="JB43">
        <v>96375.41790483</v>
      </c>
      <c r="JC43">
        <v>122965.240223324</v>
      </c>
      <c r="JD43">
        <v>0</v>
      </c>
      <c r="JE43">
        <v>0</v>
      </c>
      <c r="JF43">
        <v>0</v>
      </c>
      <c r="JG43">
        <v>0</v>
      </c>
      <c r="JH43">
        <v>0</v>
      </c>
      <c r="JI43">
        <v>6267.21342546344</v>
      </c>
      <c r="JJ43">
        <v>1174.12932693481</v>
      </c>
      <c r="JK43">
        <v>34.7167467433214</v>
      </c>
      <c r="JL43">
        <v>2389.17504458427</v>
      </c>
      <c r="JM43">
        <v>410.906471407414</v>
      </c>
      <c r="JN43">
        <v>74615.7804926324</v>
      </c>
      <c r="JO43">
        <v>65872.9581129742</v>
      </c>
      <c r="JP43">
        <v>79887.1817410886</v>
      </c>
      <c r="JQ43">
        <v>93986.24286024569</v>
      </c>
      <c r="JR43">
        <v>122554.333751917</v>
      </c>
      <c r="JS43">
        <v>485447.7104884</v>
      </c>
      <c r="JT43">
        <v>471816.802445583</v>
      </c>
      <c r="JU43">
        <v>450102.701522124</v>
      </c>
      <c r="JV43">
        <v>466664.375952387</v>
      </c>
      <c r="JW43">
        <v>505681.743489808</v>
      </c>
      <c r="JX43">
        <v>211312.821126012</v>
      </c>
      <c r="JY43">
        <v>248935.98136941</v>
      </c>
      <c r="JZ43">
        <v>276742.912100671</v>
      </c>
      <c r="KA43">
        <v>236602.084345865</v>
      </c>
      <c r="KB43">
        <v>172482.26781432</v>
      </c>
      <c r="KC43" t="s">
        <v>1900</v>
      </c>
      <c r="KD43" t="s">
        <v>1900</v>
      </c>
      <c r="KE43" t="s">
        <v>1900</v>
      </c>
      <c r="KF43" t="s">
        <v>1900</v>
      </c>
      <c r="KG43" t="s">
        <v>1900</v>
      </c>
      <c r="KH43" t="s">
        <v>1900</v>
      </c>
      <c r="KI43" t="s">
        <v>1900</v>
      </c>
      <c r="KJ43" t="s">
        <v>1900</v>
      </c>
      <c r="KK43" t="s">
        <v>1900</v>
      </c>
      <c r="KL43" t="s">
        <v>1900</v>
      </c>
      <c r="KM43">
        <v>66</v>
      </c>
      <c r="KN43">
        <v>53</v>
      </c>
      <c r="KO43">
        <v>64</v>
      </c>
      <c r="KP43">
        <v>69</v>
      </c>
      <c r="KQ43">
        <v>72</v>
      </c>
      <c r="KR43" t="s">
        <v>1900</v>
      </c>
      <c r="KS43" t="s">
        <v>1900</v>
      </c>
      <c r="KT43" t="s">
        <v>1900</v>
      </c>
      <c r="KU43" t="s">
        <v>1900</v>
      </c>
      <c r="KV43" t="s">
        <v>1900</v>
      </c>
      <c r="KW43" t="s">
        <v>1900</v>
      </c>
      <c r="KX43" t="s">
        <v>1900</v>
      </c>
      <c r="KY43" t="s">
        <v>1900</v>
      </c>
      <c r="KZ43" t="s">
        <v>1900</v>
      </c>
      <c r="LA43" t="s">
        <v>1900</v>
      </c>
      <c r="LB43" t="s">
        <v>1900</v>
      </c>
      <c r="LC43" t="s">
        <v>1900</v>
      </c>
      <c r="LD43" t="s">
        <v>1900</v>
      </c>
      <c r="LE43" t="s">
        <v>1900</v>
      </c>
      <c r="LF43" t="s">
        <v>1900</v>
      </c>
      <c r="LG43" t="s">
        <v>1900</v>
      </c>
      <c r="LH43" t="s">
        <v>1900</v>
      </c>
      <c r="LI43" t="s">
        <v>1900</v>
      </c>
      <c r="LJ43" t="s">
        <v>1900</v>
      </c>
      <c r="LK43" t="s">
        <v>1900</v>
      </c>
      <c r="LL43" t="s">
        <v>1900</v>
      </c>
      <c r="LM43" t="s">
        <v>1900</v>
      </c>
      <c r="LN43" t="s">
        <v>1900</v>
      </c>
      <c r="LO43" t="s">
        <v>1900</v>
      </c>
      <c r="LP43" t="s">
        <v>1900</v>
      </c>
      <c r="LQ43" t="s">
        <v>1900</v>
      </c>
      <c r="LR43" t="s">
        <v>1900</v>
      </c>
      <c r="LS43" t="s">
        <v>1900</v>
      </c>
      <c r="LT43" t="s">
        <v>1900</v>
      </c>
      <c r="LU43" t="s">
        <v>1900</v>
      </c>
      <c r="LV43" t="s">
        <v>1900</v>
      </c>
      <c r="LW43" t="s">
        <v>1900</v>
      </c>
      <c r="LX43" t="s">
        <v>1900</v>
      </c>
      <c r="LY43" t="s">
        <v>1900</v>
      </c>
      <c r="LZ43" t="s">
        <v>1900</v>
      </c>
      <c r="MA43" t="s">
        <v>1900</v>
      </c>
      <c r="MB43" t="s">
        <v>1900</v>
      </c>
      <c r="MC43" t="s">
        <v>1900</v>
      </c>
      <c r="MD43" t="s">
        <v>1900</v>
      </c>
      <c r="ME43" t="s">
        <v>1900</v>
      </c>
      <c r="MF43" t="s">
        <v>1900</v>
      </c>
      <c r="MG43" t="s">
        <v>1900</v>
      </c>
      <c r="MH43" t="s">
        <v>1900</v>
      </c>
      <c r="MI43" t="s">
        <v>1900</v>
      </c>
      <c r="MJ43" t="s">
        <v>1900</v>
      </c>
      <c r="MK43" t="s">
        <v>1900</v>
      </c>
      <c r="ML43" t="s">
        <v>1900</v>
      </c>
      <c r="MM43" t="s">
        <v>1900</v>
      </c>
      <c r="MN43" t="s">
        <v>1900</v>
      </c>
      <c r="MO43" t="s">
        <v>1900</v>
      </c>
      <c r="MP43">
        <v>144187.256987387</v>
      </c>
      <c r="MQ43">
        <v>97532.4820213795</v>
      </c>
      <c r="MR43">
        <v>58537.6357483447</v>
      </c>
      <c r="MS43">
        <v>105702.483370829</v>
      </c>
      <c r="MT43">
        <v>200249.095303828</v>
      </c>
      <c r="MU43" t="s">
        <v>1900</v>
      </c>
      <c r="MV43" t="s">
        <v>1900</v>
      </c>
      <c r="MW43" t="s">
        <v>1900</v>
      </c>
      <c r="MX43" t="s">
        <v>1900</v>
      </c>
      <c r="MY43" t="s">
        <v>1900</v>
      </c>
      <c r="MZ43" t="s">
        <v>1900</v>
      </c>
      <c r="NA43" t="s">
        <v>1900</v>
      </c>
      <c r="NB43" t="s">
        <v>1900</v>
      </c>
      <c r="NC43" t="s">
        <v>1900</v>
      </c>
      <c r="ND43" t="s">
        <v>1900</v>
      </c>
      <c r="NE43" t="s">
        <v>1900</v>
      </c>
      <c r="NF43" t="s">
        <v>1900</v>
      </c>
      <c r="NG43" t="s">
        <v>1900</v>
      </c>
      <c r="NH43" t="s">
        <v>1900</v>
      </c>
      <c r="NI43" t="s">
        <v>1900</v>
      </c>
      <c r="NJ43" t="s">
        <v>1900</v>
      </c>
      <c r="NK43" t="s">
        <v>1900</v>
      </c>
      <c r="NL43" t="s">
        <v>1900</v>
      </c>
      <c r="NM43" t="s">
        <v>1900</v>
      </c>
      <c r="NN43" t="s">
        <v>1900</v>
      </c>
      <c r="NO43" t="s">
        <v>1900</v>
      </c>
      <c r="NP43" t="s">
        <v>1900</v>
      </c>
      <c r="NQ43" t="s">
        <v>1900</v>
      </c>
      <c r="NR43" t="s">
        <v>1900</v>
      </c>
      <c r="NS43" t="s">
        <v>1900</v>
      </c>
      <c r="NT43">
        <v>123680.418949538</v>
      </c>
      <c r="NU43">
        <v>124174.20972786</v>
      </c>
      <c r="NV43">
        <v>114787.436926365</v>
      </c>
      <c r="NW43">
        <v>121970.633191109</v>
      </c>
      <c r="NX43">
        <v>132539.473900253</v>
      </c>
      <c r="NY43" t="s">
        <v>1900</v>
      </c>
      <c r="NZ43" t="s">
        <v>1900</v>
      </c>
      <c r="OA43" t="s">
        <v>1900</v>
      </c>
      <c r="OB43" t="s">
        <v>1900</v>
      </c>
      <c r="OC43" t="s">
        <v>1900</v>
      </c>
      <c r="OD43" t="s">
        <v>1900</v>
      </c>
      <c r="OE43" t="s">
        <v>1900</v>
      </c>
      <c r="OF43" t="s">
        <v>1900</v>
      </c>
      <c r="OG43" t="s">
        <v>1900</v>
      </c>
      <c r="OH43" t="s">
        <v>1900</v>
      </c>
      <c r="OI43" t="s">
        <v>1900</v>
      </c>
      <c r="OJ43" t="s">
        <v>1900</v>
      </c>
      <c r="OK43" t="s">
        <v>1900</v>
      </c>
      <c r="OL43" t="s">
        <v>1900</v>
      </c>
      <c r="OM43" t="s">
        <v>1900</v>
      </c>
      <c r="ON43" t="s">
        <v>1900</v>
      </c>
      <c r="OO43" t="s">
        <v>1900</v>
      </c>
      <c r="OP43" t="s">
        <v>1900</v>
      </c>
      <c r="OQ43" t="s">
        <v>1900</v>
      </c>
      <c r="OR43" t="s">
        <v>1900</v>
      </c>
      <c r="OS43" t="s">
        <v>1900</v>
      </c>
      <c r="OT43" t="s">
        <v>1900</v>
      </c>
      <c r="OU43" t="s">
        <v>1900</v>
      </c>
      <c r="OV43" t="s">
        <v>1900</v>
      </c>
      <c r="OW43" t="s">
        <v>1900</v>
      </c>
      <c r="OX43" t="s">
        <v>1900</v>
      </c>
      <c r="OY43" t="s">
        <v>1900</v>
      </c>
      <c r="OZ43" t="s">
        <v>1900</v>
      </c>
      <c r="PA43" t="s">
        <v>1900</v>
      </c>
      <c r="PB43" t="s">
        <v>1900</v>
      </c>
      <c r="PC43" t="s">
        <v>1900</v>
      </c>
      <c r="PD43" t="s">
        <v>1900</v>
      </c>
      <c r="PE43" t="s">
        <v>1900</v>
      </c>
      <c r="PF43" t="s">
        <v>1900</v>
      </c>
      <c r="PG43" t="s">
        <v>1900</v>
      </c>
      <c r="PH43" t="s">
        <v>1900</v>
      </c>
      <c r="PI43" t="s">
        <v>1900</v>
      </c>
      <c r="PJ43" t="s">
        <v>1900</v>
      </c>
      <c r="PK43" t="s">
        <v>1900</v>
      </c>
      <c r="PL43" t="s">
        <v>1900</v>
      </c>
      <c r="PM43" t="s">
        <v>1900</v>
      </c>
      <c r="PN43" t="s">
        <v>1900</v>
      </c>
      <c r="PO43" t="s">
        <v>1900</v>
      </c>
      <c r="PP43" t="s">
        <v>1900</v>
      </c>
      <c r="PQ43" t="s">
        <v>1900</v>
      </c>
      <c r="PR43" t="s">
        <v>1900</v>
      </c>
      <c r="PS43" t="s">
        <v>1900</v>
      </c>
      <c r="PT43" t="s">
        <v>1900</v>
      </c>
      <c r="PU43" t="s">
        <v>1900</v>
      </c>
      <c r="PV43" t="s">
        <v>1900</v>
      </c>
      <c r="PW43" t="s">
        <v>1900</v>
      </c>
      <c r="PX43" t="s">
        <v>1900</v>
      </c>
      <c r="PY43" t="s">
        <v>1900</v>
      </c>
      <c r="PZ43" t="s">
        <v>1900</v>
      </c>
      <c r="QA43" t="s">
        <v>1900</v>
      </c>
      <c r="QB43" t="s">
        <v>1900</v>
      </c>
      <c r="QC43" t="s">
        <v>1900</v>
      </c>
      <c r="QD43" t="s">
        <v>1900</v>
      </c>
      <c r="QE43" t="s">
        <v>1900</v>
      </c>
      <c r="QF43" t="s">
        <v>1900</v>
      </c>
      <c r="QG43" t="s">
        <v>1900</v>
      </c>
      <c r="QH43" t="s">
        <v>1900</v>
      </c>
      <c r="QI43" t="s">
        <v>1900</v>
      </c>
      <c r="QJ43" t="s">
        <v>1900</v>
      </c>
      <c r="QK43" t="s">
        <v>1900</v>
      </c>
      <c r="QL43" t="s">
        <v>1900</v>
      </c>
      <c r="QM43" t="s">
        <v>1900</v>
      </c>
      <c r="QN43" t="s">
        <v>1900</v>
      </c>
      <c r="QO43" t="s">
        <v>1900</v>
      </c>
      <c r="QP43" t="s">
        <v>1900</v>
      </c>
      <c r="QQ43" t="s">
        <v>1900</v>
      </c>
      <c r="QR43" t="s">
        <v>1900</v>
      </c>
      <c r="QS43" t="s">
        <v>1900</v>
      </c>
      <c r="QT43" t="s">
        <v>1900</v>
      </c>
      <c r="QU43" t="s">
        <v>1900</v>
      </c>
      <c r="QV43" t="s">
        <v>1900</v>
      </c>
      <c r="QW43" t="s">
        <v>1900</v>
      </c>
      <c r="QX43" t="s">
        <v>1900</v>
      </c>
      <c r="QY43" t="s">
        <v>1900</v>
      </c>
      <c r="QZ43" t="s">
        <v>1900</v>
      </c>
      <c r="RA43" t="s">
        <v>1900</v>
      </c>
      <c r="RB43" t="s">
        <v>1900</v>
      </c>
      <c r="RC43" t="s">
        <v>1900</v>
      </c>
      <c r="RD43" t="s">
        <v>1900</v>
      </c>
      <c r="RE43" t="s">
        <v>1900</v>
      </c>
      <c r="RF43" t="s">
        <v>1900</v>
      </c>
      <c r="RG43" t="s">
        <v>1900</v>
      </c>
      <c r="RH43" t="s">
        <v>1900</v>
      </c>
      <c r="RI43" t="s">
        <v>1900</v>
      </c>
      <c r="RJ43" t="s">
        <v>1900</v>
      </c>
      <c r="RK43" t="s">
        <v>1900</v>
      </c>
      <c r="RL43" t="s">
        <v>1900</v>
      </c>
      <c r="RM43" t="s">
        <v>1900</v>
      </c>
      <c r="RN43" t="s">
        <v>1900</v>
      </c>
      <c r="RO43" t="s">
        <v>1900</v>
      </c>
      <c r="RP43" t="s">
        <v>1900</v>
      </c>
      <c r="RQ43" t="s">
        <v>1900</v>
      </c>
      <c r="RR43" t="s">
        <v>1900</v>
      </c>
      <c r="RS43" t="s">
        <v>1900</v>
      </c>
      <c r="RT43" t="s">
        <v>1900</v>
      </c>
      <c r="RU43" t="s">
        <v>1900</v>
      </c>
      <c r="RV43" t="s">
        <v>1900</v>
      </c>
      <c r="RW43" t="s">
        <v>1900</v>
      </c>
      <c r="RX43" t="s">
        <v>1900</v>
      </c>
      <c r="RY43" t="s">
        <v>1900</v>
      </c>
      <c r="RZ43" t="s">
        <v>1900</v>
      </c>
      <c r="SA43" t="s">
        <v>1900</v>
      </c>
      <c r="SB43" t="s">
        <v>1900</v>
      </c>
      <c r="SC43" t="s">
        <v>1900</v>
      </c>
      <c r="SD43" t="s">
        <v>1900</v>
      </c>
      <c r="SE43" t="s">
        <v>1900</v>
      </c>
      <c r="SF43" t="s">
        <v>1900</v>
      </c>
      <c r="SG43" t="s">
        <v>1900</v>
      </c>
      <c r="SH43" t="s">
        <v>1900</v>
      </c>
      <c r="SI43" t="s">
        <v>1900</v>
      </c>
      <c r="SJ43">
        <v>123680.418949538</v>
      </c>
      <c r="SK43">
        <v>124174.20972786</v>
      </c>
      <c r="SL43">
        <v>114787.436926365</v>
      </c>
      <c r="SM43">
        <v>121890.44508934</v>
      </c>
      <c r="SN43">
        <v>132060.426604748</v>
      </c>
      <c r="SO43" t="s">
        <v>1900</v>
      </c>
      <c r="SP43" t="s">
        <v>1900</v>
      </c>
      <c r="SQ43" t="s">
        <v>1900</v>
      </c>
      <c r="SR43" t="s">
        <v>1900</v>
      </c>
      <c r="SS43" t="s">
        <v>1900</v>
      </c>
      <c r="ST43" t="s">
        <v>1900</v>
      </c>
      <c r="SU43" t="s">
        <v>1900</v>
      </c>
      <c r="SV43" t="s">
        <v>1900</v>
      </c>
      <c r="SW43" t="s">
        <v>1900</v>
      </c>
      <c r="SX43" t="s">
        <v>1900</v>
      </c>
      <c r="SY43" t="s">
        <v>1900</v>
      </c>
      <c r="SZ43" t="s">
        <v>1900</v>
      </c>
      <c r="TA43" t="s">
        <v>1900</v>
      </c>
      <c r="TB43" t="s">
        <v>1900</v>
      </c>
      <c r="TC43" t="s">
        <v>1900</v>
      </c>
      <c r="TD43" t="s">
        <v>1900</v>
      </c>
      <c r="TE43" t="s">
        <v>1900</v>
      </c>
      <c r="TF43" t="s">
        <v>1900</v>
      </c>
      <c r="TG43" t="s">
        <v>1900</v>
      </c>
      <c r="TH43" t="s">
        <v>1900</v>
      </c>
      <c r="TI43" t="s">
        <v>1900</v>
      </c>
      <c r="TJ43" t="s">
        <v>1900</v>
      </c>
      <c r="TK43" t="s">
        <v>1900</v>
      </c>
      <c r="TL43" t="s">
        <v>1900</v>
      </c>
      <c r="TM43" t="s">
        <v>1900</v>
      </c>
      <c r="TN43" t="s">
        <v>1900</v>
      </c>
      <c r="TO43" t="s">
        <v>1900</v>
      </c>
      <c r="TP43" t="s">
        <v>1900</v>
      </c>
      <c r="TQ43" t="s">
        <v>1900</v>
      </c>
      <c r="TR43" t="s">
        <v>1900</v>
      </c>
      <c r="TS43">
        <v>485447.7104884</v>
      </c>
      <c r="TT43">
        <v>471816.802445583</v>
      </c>
      <c r="TU43">
        <v>450102.701522124</v>
      </c>
      <c r="TV43">
        <v>466664.375952387</v>
      </c>
      <c r="TW43">
        <v>505681.743489808</v>
      </c>
      <c r="TX43" t="s">
        <v>1900</v>
      </c>
      <c r="TY43" t="s">
        <v>1900</v>
      </c>
      <c r="TZ43" t="s">
        <v>1900</v>
      </c>
      <c r="UA43" t="s">
        <v>1900</v>
      </c>
      <c r="UB43" t="s">
        <v>1900</v>
      </c>
      <c r="UC43">
        <v>0</v>
      </c>
      <c r="UD43">
        <v>0</v>
      </c>
      <c r="UE43">
        <v>0</v>
      </c>
      <c r="UF43">
        <v>0</v>
      </c>
      <c r="UG43">
        <v>0</v>
      </c>
      <c r="UH43" t="s">
        <v>1900</v>
      </c>
      <c r="UI43" t="s">
        <v>1900</v>
      </c>
      <c r="UJ43" t="s">
        <v>1900</v>
      </c>
      <c r="UK43" t="s">
        <v>1900</v>
      </c>
      <c r="UL43" t="s">
        <v>1900</v>
      </c>
      <c r="UM43" t="s">
        <v>1900</v>
      </c>
      <c r="UN43" t="s">
        <v>1900</v>
      </c>
      <c r="UO43" t="s">
        <v>1900</v>
      </c>
      <c r="UP43" t="s">
        <v>1900</v>
      </c>
      <c r="UQ43" t="s">
        <v>1900</v>
      </c>
      <c r="UR43" t="s">
        <v>1900</v>
      </c>
      <c r="US43" t="s">
        <v>1900</v>
      </c>
      <c r="UT43" t="s">
        <v>1900</v>
      </c>
      <c r="UU43" t="s">
        <v>1900</v>
      </c>
      <c r="UV43" t="s">
        <v>1900</v>
      </c>
      <c r="UW43" t="s">
        <v>1900</v>
      </c>
      <c r="UX43" t="s">
        <v>1900</v>
      </c>
      <c r="UY43" t="s">
        <v>1900</v>
      </c>
      <c r="UZ43" t="s">
        <v>1900</v>
      </c>
      <c r="VA43" t="s">
        <v>1900</v>
      </c>
      <c r="VB43" t="s">
        <v>1900</v>
      </c>
      <c r="VC43" t="s">
        <v>1900</v>
      </c>
      <c r="VD43" t="s">
        <v>1900</v>
      </c>
      <c r="VE43" t="s">
        <v>1900</v>
      </c>
      <c r="VF43" t="s">
        <v>1900</v>
      </c>
      <c r="VG43" t="s">
        <v>1900</v>
      </c>
      <c r="VH43" t="s">
        <v>1900</v>
      </c>
      <c r="VI43" t="s">
        <v>1900</v>
      </c>
      <c r="VJ43" t="s">
        <v>1900</v>
      </c>
      <c r="VK43" t="s">
        <v>1900</v>
      </c>
      <c r="VL43" t="s">
        <v>1900</v>
      </c>
      <c r="VM43" t="s">
        <v>1900</v>
      </c>
      <c r="VN43" t="s">
        <v>1900</v>
      </c>
      <c r="VO43" t="s">
        <v>1900</v>
      </c>
      <c r="VP43" t="s">
        <v>1900</v>
      </c>
      <c r="VQ43" t="s">
        <v>1900</v>
      </c>
      <c r="VR43" t="s">
        <v>1900</v>
      </c>
      <c r="VS43" t="s">
        <v>1900</v>
      </c>
      <c r="VT43" t="s">
        <v>1900</v>
      </c>
      <c r="VU43" t="s">
        <v>1900</v>
      </c>
      <c r="VV43" t="s">
        <v>1900</v>
      </c>
      <c r="VW43" t="s">
        <v>1900</v>
      </c>
      <c r="VX43" t="s">
        <v>1900</v>
      </c>
      <c r="VY43" t="s">
        <v>1900</v>
      </c>
      <c r="VZ43" t="s">
        <v>1900</v>
      </c>
      <c r="WA43">
        <v>74615.7804926324</v>
      </c>
      <c r="WB43">
        <v>65872.9581129742</v>
      </c>
      <c r="WC43">
        <v>79887.1817410886</v>
      </c>
      <c r="WD43">
        <v>93986.24286024569</v>
      </c>
      <c r="WE43">
        <v>122554.333751917</v>
      </c>
      <c r="WF43" t="s">
        <v>1900</v>
      </c>
      <c r="WG43" t="s">
        <v>1900</v>
      </c>
      <c r="WH43" t="s">
        <v>1900</v>
      </c>
      <c r="WI43" t="s">
        <v>1900</v>
      </c>
      <c r="WJ43" t="s">
        <v>1900</v>
      </c>
      <c r="WK43" t="s">
        <v>1900</v>
      </c>
      <c r="WL43" t="s">
        <v>1900</v>
      </c>
      <c r="WM43" t="s">
        <v>1900</v>
      </c>
      <c r="WN43" t="s">
        <v>1900</v>
      </c>
      <c r="WO43" t="s">
        <v>1900</v>
      </c>
      <c r="WP43" t="s">
        <v>1900</v>
      </c>
      <c r="WQ43" t="s">
        <v>1900</v>
      </c>
      <c r="WR43" t="s">
        <v>1900</v>
      </c>
      <c r="WS43" t="s">
        <v>1900</v>
      </c>
      <c r="WT43" t="s">
        <v>1900</v>
      </c>
      <c r="WU43" t="s">
        <v>1900</v>
      </c>
      <c r="WV43" t="s">
        <v>1900</v>
      </c>
      <c r="WW43" t="s">
        <v>1900</v>
      </c>
      <c r="WX43" t="s">
        <v>1900</v>
      </c>
      <c r="WY43" t="s">
        <v>1900</v>
      </c>
      <c r="WZ43" t="s">
        <v>1900</v>
      </c>
      <c r="XA43" t="s">
        <v>1900</v>
      </c>
      <c r="XB43" t="s">
        <v>1900</v>
      </c>
      <c r="XC43" t="s">
        <v>1900</v>
      </c>
      <c r="XD43" t="s">
        <v>1900</v>
      </c>
      <c r="XE43" t="s">
        <v>1900</v>
      </c>
      <c r="XF43" t="s">
        <v>1900</v>
      </c>
      <c r="XG43" t="s">
        <v>1900</v>
      </c>
      <c r="XH43" t="s">
        <v>1900</v>
      </c>
      <c r="XI43" t="s">
        <v>1900</v>
      </c>
      <c r="XJ43" t="s">
        <v>1900</v>
      </c>
      <c r="XK43" t="s">
        <v>1900</v>
      </c>
      <c r="XL43" t="s">
        <v>1900</v>
      </c>
      <c r="XM43" t="s">
        <v>1900</v>
      </c>
      <c r="XN43" t="s">
        <v>1900</v>
      </c>
      <c r="XO43" t="s">
        <v>1900</v>
      </c>
      <c r="XP43" t="s">
        <v>1900</v>
      </c>
      <c r="XQ43" t="s">
        <v>1900</v>
      </c>
      <c r="XR43" t="s">
        <v>1900</v>
      </c>
      <c r="XS43" t="s">
        <v>1900</v>
      </c>
      <c r="XT43" t="s">
        <v>1900</v>
      </c>
      <c r="XU43" t="s">
        <v>1900</v>
      </c>
      <c r="XV43" t="s">
        <v>1900</v>
      </c>
      <c r="XW43" t="s">
        <v>1900</v>
      </c>
      <c r="XX43" t="s">
        <v>1900</v>
      </c>
      <c r="XY43" t="s">
        <v>1900</v>
      </c>
      <c r="XZ43" t="s">
        <v>1900</v>
      </c>
      <c r="YA43" t="s">
        <v>1900</v>
      </c>
      <c r="YB43" t="s">
        <v>1900</v>
      </c>
      <c r="YC43" t="s">
        <v>1900</v>
      </c>
      <c r="YD43" t="s">
        <v>1900</v>
      </c>
      <c r="YE43" t="s">
        <v>1900</v>
      </c>
      <c r="YF43" t="s">
        <v>1900</v>
      </c>
      <c r="YG43" t="s">
        <v>1900</v>
      </c>
      <c r="YH43" t="s">
        <v>1900</v>
      </c>
      <c r="YI43" t="s">
        <v>1900</v>
      </c>
      <c r="YJ43" t="s">
        <v>1900</v>
      </c>
      <c r="YK43" t="s">
        <v>1900</v>
      </c>
      <c r="YL43" t="s">
        <v>1900</v>
      </c>
      <c r="YM43" t="s">
        <v>1900</v>
      </c>
      <c r="YN43" t="s">
        <v>1900</v>
      </c>
      <c r="YO43" t="s">
        <v>1900</v>
      </c>
      <c r="YP43" t="s">
        <v>1900</v>
      </c>
      <c r="YQ43" t="s">
        <v>1900</v>
      </c>
      <c r="YR43" t="s">
        <v>1900</v>
      </c>
      <c r="YS43" t="s">
        <v>1900</v>
      </c>
      <c r="YT43" t="s">
        <v>1900</v>
      </c>
      <c r="YU43" t="s">
        <v>1900</v>
      </c>
      <c r="YV43" t="s">
        <v>1900</v>
      </c>
      <c r="YW43" t="s">
        <v>1900</v>
      </c>
      <c r="YX43" t="s">
        <v>1900</v>
      </c>
      <c r="YY43" t="s">
        <v>1900</v>
      </c>
      <c r="YZ43" t="s">
        <v>1900</v>
      </c>
      <c r="ZA43" t="s">
        <v>1900</v>
      </c>
      <c r="ZB43" t="s">
        <v>1900</v>
      </c>
      <c r="ZC43" t="s">
        <v>1900</v>
      </c>
      <c r="ZD43" t="s">
        <v>1900</v>
      </c>
      <c r="ZE43" t="s">
        <v>1900</v>
      </c>
      <c r="ZF43" t="s">
        <v>1900</v>
      </c>
      <c r="ZG43" t="s">
        <v>1900</v>
      </c>
      <c r="ZH43" t="s">
        <v>1900</v>
      </c>
      <c r="ZI43" t="s">
        <v>1900</v>
      </c>
      <c r="ZJ43" t="s">
        <v>1900</v>
      </c>
      <c r="ZK43" t="s">
        <v>1900</v>
      </c>
      <c r="ZL43" t="s">
        <v>1900</v>
      </c>
      <c r="ZM43" t="s">
        <v>1900</v>
      </c>
      <c r="ZN43" t="s">
        <v>1900</v>
      </c>
      <c r="ZO43" t="s">
        <v>1900</v>
      </c>
      <c r="ZP43" t="s">
        <v>1900</v>
      </c>
      <c r="ZQ43" t="s">
        <v>1900</v>
      </c>
      <c r="ZR43" t="s">
        <v>1900</v>
      </c>
      <c r="ZS43" t="s">
        <v>1900</v>
      </c>
      <c r="ZT43" t="s">
        <v>1900</v>
      </c>
      <c r="ZU43" t="s">
        <v>1900</v>
      </c>
      <c r="ZV43" t="s">
        <v>1900</v>
      </c>
      <c r="ZW43" t="s">
        <v>1900</v>
      </c>
      <c r="ZX43" t="s">
        <v>1900</v>
      </c>
      <c r="ZY43" t="s">
        <v>1900</v>
      </c>
      <c r="ZZ43" t="s">
        <v>1900</v>
      </c>
      <c r="AAA43" t="s">
        <v>1900</v>
      </c>
      <c r="AAB43" t="s">
        <v>1900</v>
      </c>
      <c r="AAC43" t="s">
        <v>1900</v>
      </c>
      <c r="AAD43" t="s">
        <v>1900</v>
      </c>
      <c r="AAE43" t="s">
        <v>1900</v>
      </c>
      <c r="AAF43" t="s">
        <v>1900</v>
      </c>
      <c r="AAG43" t="s">
        <v>1900</v>
      </c>
      <c r="AAH43" t="s">
        <v>1900</v>
      </c>
      <c r="AAI43" t="s">
        <v>1900</v>
      </c>
      <c r="AAJ43" t="s">
        <v>1900</v>
      </c>
      <c r="AAK43" t="s">
        <v>1900</v>
      </c>
      <c r="AAL43" t="s">
        <v>1900</v>
      </c>
      <c r="AAM43" t="s">
        <v>1900</v>
      </c>
      <c r="AAN43" t="s">
        <v>1900</v>
      </c>
      <c r="AAO43" t="s">
        <v>1900</v>
      </c>
      <c r="AAP43" t="s">
        <v>1900</v>
      </c>
      <c r="AAQ43" t="s">
        <v>1900</v>
      </c>
      <c r="AAR43" t="s">
        <v>1900</v>
      </c>
      <c r="AAS43" t="s">
        <v>1900</v>
      </c>
      <c r="AAT43" t="s">
        <v>1900</v>
      </c>
      <c r="AAU43" t="s">
        <v>1900</v>
      </c>
      <c r="AAV43" t="s">
        <v>1900</v>
      </c>
      <c r="AAW43" t="s">
        <v>1900</v>
      </c>
      <c r="AAX43" t="s">
        <v>1900</v>
      </c>
      <c r="AAY43" t="s">
        <v>1900</v>
      </c>
      <c r="AAZ43" t="s">
        <v>1900</v>
      </c>
      <c r="ABA43" t="s">
        <v>1900</v>
      </c>
      <c r="ABB43" t="s">
        <v>1900</v>
      </c>
      <c r="ABC43" t="s">
        <v>1900</v>
      </c>
      <c r="ABD43" t="s">
        <v>1900</v>
      </c>
      <c r="ABE43" t="s">
        <v>1900</v>
      </c>
      <c r="ABF43" t="s">
        <v>1900</v>
      </c>
      <c r="ABG43" t="s">
        <v>1900</v>
      </c>
      <c r="ABH43" t="s">
        <v>1900</v>
      </c>
      <c r="ABI43" t="s">
        <v>1900</v>
      </c>
      <c r="ABJ43" t="s">
        <v>1900</v>
      </c>
      <c r="ABK43" t="s">
        <v>1900</v>
      </c>
      <c r="ABL43" t="s">
        <v>1900</v>
      </c>
      <c r="ABM43" t="s">
        <v>1900</v>
      </c>
      <c r="ABN43" t="s">
        <v>1900</v>
      </c>
      <c r="ABO43" t="s">
        <v>1900</v>
      </c>
      <c r="ABP43" t="s">
        <v>1900</v>
      </c>
      <c r="ABQ43" t="s">
        <v>1900</v>
      </c>
      <c r="ABR43" t="s">
        <v>1900</v>
      </c>
      <c r="ABS43" t="s">
        <v>1900</v>
      </c>
      <c r="ABT43" t="s">
        <v>1900</v>
      </c>
      <c r="ABU43" t="s">
        <v>1900</v>
      </c>
      <c r="ABV43" t="s">
        <v>1900</v>
      </c>
      <c r="ABW43" t="s">
        <v>1900</v>
      </c>
      <c r="ABX43" t="s">
        <v>1900</v>
      </c>
      <c r="ABY43" t="s">
        <v>1900</v>
      </c>
      <c r="ABZ43" t="s">
        <v>1900</v>
      </c>
      <c r="ACA43" t="s">
        <v>1900</v>
      </c>
      <c r="ACB43" t="s">
        <v>1900</v>
      </c>
      <c r="ACC43" t="s">
        <v>1900</v>
      </c>
      <c r="ACD43" t="s">
        <v>1900</v>
      </c>
      <c r="ACE43">
        <v>4.22</v>
      </c>
      <c r="ACF43">
        <v>3.955</v>
      </c>
      <c r="ACG43">
        <v>5.874</v>
      </c>
      <c r="ACH43">
        <v>6.138</v>
      </c>
      <c r="ACI43">
        <v>0.701</v>
      </c>
      <c r="ACJ43">
        <v>4.485</v>
      </c>
      <c r="ACK43">
        <v>4.181</v>
      </c>
      <c r="ACL43">
        <v>6.124</v>
      </c>
      <c r="ACM43">
        <v>6.511</v>
      </c>
      <c r="ACN43">
        <v>1.036</v>
      </c>
      <c r="ACO43">
        <v>3.517</v>
      </c>
      <c r="ACP43">
        <v>3.393</v>
      </c>
      <c r="ACQ43">
        <v>4.831</v>
      </c>
      <c r="ACR43">
        <v>4.87</v>
      </c>
      <c r="ACS43">
        <v>0.531</v>
      </c>
      <c r="ACT43">
        <v>5.934</v>
      </c>
      <c r="ACU43">
        <v>5.253</v>
      </c>
      <c r="ACV43">
        <v>7.114</v>
      </c>
      <c r="ACW43">
        <v>4.603</v>
      </c>
      <c r="ACX43">
        <v>0.526</v>
      </c>
      <c r="ACY43">
        <v>6.199</v>
      </c>
      <c r="ACZ43">
        <v>5.479</v>
      </c>
      <c r="ADA43">
        <v>7.365</v>
      </c>
      <c r="ADB43">
        <v>4.977</v>
      </c>
      <c r="ADC43">
        <v>0.861</v>
      </c>
      <c r="ADD43">
        <v>4.946</v>
      </c>
      <c r="ADE43">
        <v>4.506</v>
      </c>
      <c r="ADF43">
        <v>5.851</v>
      </c>
      <c r="ADG43">
        <v>3.653</v>
      </c>
      <c r="ADH43">
        <v>0.398</v>
      </c>
      <c r="ADI43">
        <v>1.856</v>
      </c>
      <c r="ADJ43">
        <v>1.801</v>
      </c>
      <c r="ADK43">
        <v>1.846</v>
      </c>
      <c r="ADL43">
        <v>1.952</v>
      </c>
      <c r="ADM43">
        <v>0.25</v>
      </c>
      <c r="ADN43">
        <v>95.548</v>
      </c>
      <c r="ADO43">
        <v>95.309</v>
      </c>
      <c r="ADP43">
        <v>96.848</v>
      </c>
      <c r="ADQ43">
        <v>95.26000000000001</v>
      </c>
      <c r="ADR43">
        <v>94.28700000000001</v>
      </c>
      <c r="ADS43">
        <v>0.274389455</v>
      </c>
      <c r="ADT43">
        <v>-2.702440056</v>
      </c>
      <c r="ADU43">
        <v>0.111398764</v>
      </c>
      <c r="ADV43">
        <v>2.070821222</v>
      </c>
      <c r="ADW43">
        <v>0.369907906</v>
      </c>
      <c r="ADX43">
        <v>0.274</v>
      </c>
      <c r="ADY43">
        <v>-2.702</v>
      </c>
      <c r="ADZ43">
        <v>0.118</v>
      </c>
      <c r="AEA43">
        <v>2.102</v>
      </c>
      <c r="AEB43">
        <v>0.411</v>
      </c>
      <c r="AEC43">
        <v>0.274</v>
      </c>
      <c r="AED43">
        <v>-2.702</v>
      </c>
      <c r="AEE43">
        <v>0.111</v>
      </c>
      <c r="AEF43">
        <v>2.071</v>
      </c>
      <c r="AEG43">
        <v>0.37</v>
      </c>
      <c r="AEH43" t="s">
        <v>1900</v>
      </c>
      <c r="AEI43" t="s">
        <v>1900</v>
      </c>
      <c r="AEJ43">
        <v>2.242</v>
      </c>
      <c r="AEK43">
        <v>1.495</v>
      </c>
      <c r="AEL43">
        <v>0.228</v>
      </c>
      <c r="AEM43">
        <v>0.275144422</v>
      </c>
      <c r="AEN43">
        <v>-2.631329941</v>
      </c>
      <c r="AEO43">
        <v>0.111522999</v>
      </c>
      <c r="AEP43">
        <v>2.114611036</v>
      </c>
      <c r="AEQ43">
        <v>0.371281304</v>
      </c>
      <c r="AER43">
        <v>1.002880018</v>
      </c>
      <c r="AES43">
        <v>0.9724272819999999</v>
      </c>
      <c r="AET43">
        <v>1.001151572</v>
      </c>
      <c r="AEU43">
        <v>1.022221788</v>
      </c>
      <c r="AEV43">
        <v>1.003938664</v>
      </c>
      <c r="AEW43" t="s">
        <v>1900</v>
      </c>
      <c r="AEX43" t="s">
        <v>1900</v>
      </c>
      <c r="AEY43" t="s">
        <v>1900</v>
      </c>
      <c r="AEZ43" t="s">
        <v>1900</v>
      </c>
      <c r="AFA43" t="s">
        <v>1900</v>
      </c>
      <c r="AFB43" t="s">
        <v>1900</v>
      </c>
      <c r="AFC43" t="s">
        <v>1900</v>
      </c>
      <c r="AFD43" t="s">
        <v>1900</v>
      </c>
      <c r="AFE43" t="s">
        <v>1900</v>
      </c>
      <c r="AFF43" t="s">
        <v>1900</v>
      </c>
      <c r="AFG43">
        <v>2.274</v>
      </c>
      <c r="AFH43">
        <v>2.196</v>
      </c>
      <c r="AFI43">
        <v>3.182</v>
      </c>
      <c r="AFJ43">
        <v>3.144</v>
      </c>
      <c r="AFK43">
        <v>2.801</v>
      </c>
      <c r="AFL43">
        <v>2.36</v>
      </c>
      <c r="AFM43">
        <v>-26.202</v>
      </c>
      <c r="AFN43">
        <v>1.417</v>
      </c>
      <c r="AFO43">
        <v>17.427</v>
      </c>
      <c r="AFP43">
        <v>3.095</v>
      </c>
      <c r="AFQ43">
        <v>375.498</v>
      </c>
      <c r="AFR43">
        <v>453.575</v>
      </c>
      <c r="AFS43">
        <v>700.6319999999999</v>
      </c>
      <c r="AFT43">
        <v>468.574</v>
      </c>
      <c r="AFU43">
        <v>170.628</v>
      </c>
      <c r="AFV43">
        <v>84.169</v>
      </c>
      <c r="AFW43">
        <v>100.505</v>
      </c>
      <c r="AFX43">
        <v>84.065</v>
      </c>
      <c r="AFY43">
        <v>73.127</v>
      </c>
      <c r="AFZ43">
        <v>55.951</v>
      </c>
      <c r="AGA43">
        <v>2.452</v>
      </c>
      <c r="AGB43">
        <v>0.476</v>
      </c>
      <c r="AGC43">
        <v>0.011</v>
      </c>
      <c r="AGD43">
        <v>0.739</v>
      </c>
      <c r="AGE43">
        <v>0.138</v>
      </c>
      <c r="AGF43" t="s">
        <v>1900</v>
      </c>
      <c r="AGG43" t="s">
        <v>1900</v>
      </c>
      <c r="AGH43" t="s">
        <v>1900</v>
      </c>
      <c r="AGI43" t="s">
        <v>1900</v>
      </c>
      <c r="AGJ43" t="s">
        <v>1900</v>
      </c>
      <c r="AGK43" t="s">
        <v>1900</v>
      </c>
      <c r="AGL43" t="s">
        <v>1900</v>
      </c>
      <c r="AGM43" t="s">
        <v>1900</v>
      </c>
      <c r="AGN43" t="s">
        <v>1900</v>
      </c>
      <c r="AGO43" t="s">
        <v>1900</v>
      </c>
      <c r="AGP43" t="s">
        <v>1900</v>
      </c>
      <c r="AGQ43" t="s">
        <v>1900</v>
      </c>
      <c r="AGR43" t="s">
        <v>1900</v>
      </c>
      <c r="AGS43" t="s">
        <v>1900</v>
      </c>
      <c r="AGT43" t="s">
        <v>1900</v>
      </c>
      <c r="AGU43">
        <v>0</v>
      </c>
      <c r="AGV43">
        <v>0</v>
      </c>
      <c r="AGW43">
        <v>0</v>
      </c>
      <c r="AGX43">
        <v>0</v>
      </c>
      <c r="AGY43">
        <v>0</v>
      </c>
      <c r="AGZ43">
        <v>4.473</v>
      </c>
      <c r="AHA43">
        <v>5.185</v>
      </c>
      <c r="AHB43">
        <v>4.196</v>
      </c>
      <c r="AHC43">
        <v>3.577</v>
      </c>
      <c r="AHD43">
        <v>3.035</v>
      </c>
      <c r="AHE43">
        <v>4.442</v>
      </c>
      <c r="AHF43">
        <v>5.156</v>
      </c>
      <c r="AHG43">
        <v>4.174</v>
      </c>
      <c r="AHH43">
        <v>3.551</v>
      </c>
      <c r="AHI43">
        <v>2.983</v>
      </c>
      <c r="AHJ43" t="s">
        <v>1901</v>
      </c>
      <c r="AHK43" t="s">
        <v>1901</v>
      </c>
      <c r="AHL43" t="s">
        <v>1901</v>
      </c>
      <c r="AHM43" t="s">
        <v>1901</v>
      </c>
      <c r="AHN43" t="s">
        <v>1901</v>
      </c>
      <c r="AHO43">
        <v>83.33799999999999</v>
      </c>
      <c r="AHP43">
        <v>85.79000000000001</v>
      </c>
      <c r="AHQ43">
        <v>82.244</v>
      </c>
      <c r="AHR43">
        <v>79.348</v>
      </c>
      <c r="AHS43">
        <v>75.68300000000001</v>
      </c>
      <c r="AHT43" t="s">
        <v>1901</v>
      </c>
      <c r="AHU43" t="s">
        <v>1901</v>
      </c>
      <c r="AHV43" t="s">
        <v>1901</v>
      </c>
      <c r="AHW43" t="s">
        <v>1901</v>
      </c>
      <c r="AHX43" t="s">
        <v>1901</v>
      </c>
      <c r="AHY43">
        <v>0</v>
      </c>
      <c r="AHZ43">
        <v>0</v>
      </c>
      <c r="AIA43">
        <v>0</v>
      </c>
      <c r="AIB43">
        <v>0</v>
      </c>
      <c r="AIC43">
        <v>0</v>
      </c>
      <c r="AID43">
        <v>25.477598571</v>
      </c>
      <c r="AIE43">
        <v>26.318310218</v>
      </c>
      <c r="AIF43">
        <v>25.502498994</v>
      </c>
      <c r="AIG43">
        <v>26.119509303</v>
      </c>
      <c r="AIH43">
        <v>26.115324175</v>
      </c>
      <c r="AII43">
        <v>29.701913074</v>
      </c>
      <c r="AIJ43">
        <v>20.671684755</v>
      </c>
      <c r="AIK43">
        <v>13.005395335</v>
      </c>
      <c r="AIL43">
        <v>22.650643336</v>
      </c>
      <c r="AIM43">
        <v>39.599826943</v>
      </c>
      <c r="AIN43">
        <v>15.370508271</v>
      </c>
      <c r="AIO43">
        <v>13.961554097</v>
      </c>
      <c r="AIP43">
        <v>17.748656356</v>
      </c>
      <c r="AIQ43">
        <v>20.140008045</v>
      </c>
      <c r="AIR43">
        <v>24.235467333</v>
      </c>
      <c r="AIS43">
        <v>5.981740915</v>
      </c>
      <c r="AIT43">
        <v>4.699801454</v>
      </c>
      <c r="AIU43">
        <v>4.527673937</v>
      </c>
      <c r="AIV43">
        <v>4.502014106</v>
      </c>
      <c r="AIW43">
        <v>10.258553136</v>
      </c>
      <c r="AIX43">
        <v>0.258696374679804</v>
      </c>
      <c r="AIY43">
        <v>0.302022050543785</v>
      </c>
      <c r="AIZ43">
        <v>0.339727936002612</v>
      </c>
      <c r="AJA43">
        <v>0.329381688816547</v>
      </c>
      <c r="AJB43">
        <v>0.0372792767167091</v>
      </c>
      <c r="AJC43">
        <v>13.9413877211785</v>
      </c>
      <c r="AJD43">
        <v>16.7707439115038</v>
      </c>
      <c r="AJE43">
        <v>18.4074827615106</v>
      </c>
      <c r="AJF43">
        <v>16.8740853217721</v>
      </c>
      <c r="AJG43">
        <v>14.8888719145226</v>
      </c>
      <c r="AJH43">
        <v>79.26900000000001</v>
      </c>
      <c r="AJI43">
        <v>82.72</v>
      </c>
      <c r="AJJ43">
        <v>85.423</v>
      </c>
      <c r="AJK43">
        <v>81.64100000000001</v>
      </c>
      <c r="AJL43">
        <v>81.78400000000001</v>
      </c>
      <c r="AJM43">
        <v>11.0511785484873</v>
      </c>
      <c r="AJN43">
        <v>13.8728038659439</v>
      </c>
      <c r="AJO43">
        <v>15.7242661604857</v>
      </c>
      <c r="AJP43">
        <v>13.7762196128011</v>
      </c>
      <c r="AJQ43">
        <v>12.1767431784171</v>
      </c>
      <c r="AJR43">
        <v>6.12976805510175</v>
      </c>
      <c r="AJS43">
        <v>7.63716451746559</v>
      </c>
      <c r="AJT43">
        <v>5.78407516407013</v>
      </c>
      <c r="AJU43">
        <v>5.3665071636343</v>
      </c>
      <c r="AJV43">
        <v>5.31550702389836</v>
      </c>
      <c r="AJW43">
        <v>3.20170969433641</v>
      </c>
      <c r="AJX43">
        <v>4.69690516291332</v>
      </c>
      <c r="AJY43">
        <v>4.32410845154464</v>
      </c>
      <c r="AJZ43">
        <v>3.42901538686752</v>
      </c>
      <c r="AKA43">
        <v>2.39558742792368</v>
      </c>
      <c r="AKB43">
        <v>7.35526849814236</v>
      </c>
      <c r="AKC43">
        <v>8.90220334019947</v>
      </c>
      <c r="AKD43">
        <v>7.03285517792046</v>
      </c>
      <c r="AKE43">
        <v>6.76325138220549</v>
      </c>
      <c r="AKF43">
        <v>7.02335805976093</v>
      </c>
      <c r="AKG43">
        <v>5.981740915</v>
      </c>
      <c r="AKH43">
        <v>4.699801454</v>
      </c>
      <c r="AKI43">
        <v>4.527673937</v>
      </c>
      <c r="AKJ43">
        <v>4.502014106</v>
      </c>
      <c r="AKK43">
        <v>10.258553136</v>
      </c>
      <c r="AKL43">
        <v>0.266313166</v>
      </c>
      <c r="AKM43">
        <v>0.220470652</v>
      </c>
      <c r="AKN43">
        <v>0.142728252</v>
      </c>
      <c r="AKO43">
        <v>0.213413646</v>
      </c>
      <c r="AKP43">
        <v>0.586069937</v>
      </c>
      <c r="AKQ43">
        <v>0.504777655</v>
      </c>
      <c r="AKR43">
        <v>0.415341732</v>
      </c>
      <c r="AKS43">
        <v>0.373570615</v>
      </c>
      <c r="AKT43">
        <v>0.532459861</v>
      </c>
      <c r="AKU43">
        <v>1.242414344</v>
      </c>
      <c r="AKV43">
        <v>0</v>
      </c>
      <c r="AKW43">
        <v>0</v>
      </c>
      <c r="AKX43">
        <v>0</v>
      </c>
      <c r="AKY43">
        <v>0</v>
      </c>
      <c r="AKZ43">
        <v>0</v>
      </c>
      <c r="ALA43">
        <v>0</v>
      </c>
      <c r="ALB43">
        <v>0</v>
      </c>
      <c r="ALC43">
        <v>0</v>
      </c>
      <c r="ALD43">
        <v>0</v>
      </c>
      <c r="ALE43">
        <v>0</v>
      </c>
      <c r="ALF43">
        <v>0</v>
      </c>
      <c r="ALG43">
        <v>0</v>
      </c>
      <c r="ALH43">
        <v>0</v>
      </c>
      <c r="ALI43">
        <v>0.006887167</v>
      </c>
      <c r="ALJ43">
        <v>0.044687299</v>
      </c>
      <c r="ALK43">
        <v>0</v>
      </c>
      <c r="ALL43">
        <v>0</v>
      </c>
      <c r="ALM43">
        <v>0</v>
      </c>
      <c r="ALN43">
        <v>0.017183249</v>
      </c>
      <c r="ALO43">
        <v>0.094732962</v>
      </c>
      <c r="ALP43">
        <v>23.380308362</v>
      </c>
      <c r="ALQ43">
        <v>27.91816673</v>
      </c>
      <c r="ALR43">
        <v>23.351252212</v>
      </c>
      <c r="ALS43">
        <v>20.31298126</v>
      </c>
      <c r="ALT43">
        <v>15.542043177</v>
      </c>
      <c r="ALU43">
        <v>2.913226882</v>
      </c>
      <c r="ALV43">
        <v>0.473152189</v>
      </c>
      <c r="ALW43">
        <v>0.012619858</v>
      </c>
      <c r="ALX43">
        <v>1.010194417</v>
      </c>
      <c r="ALY43">
        <v>0.246626979</v>
      </c>
      <c r="ALZ43">
        <v>95.54789868131471</v>
      </c>
      <c r="AMA43">
        <v>95.3089368884856</v>
      </c>
      <c r="AMB43">
        <v>96.8476473016017</v>
      </c>
      <c r="AMC43">
        <v>95.2595962332373</v>
      </c>
      <c r="AMD43">
        <v>94.2870117353982</v>
      </c>
      <c r="AME43">
        <v>95.54789868131471</v>
      </c>
      <c r="AMF43">
        <v>95.3089368884856</v>
      </c>
      <c r="AMG43">
        <v>96.8476473016017</v>
      </c>
      <c r="AMH43">
        <v>95.2595962332373</v>
      </c>
      <c r="AMI43">
        <v>94.2870117353982</v>
      </c>
      <c r="AMJ43">
        <v>2146.13037399449</v>
      </c>
      <c r="AMK43">
        <v>2031.71295339314</v>
      </c>
      <c r="AML43">
        <v>3072.23386998569</v>
      </c>
      <c r="AMM43">
        <v>2009.52494597928</v>
      </c>
      <c r="AMN43">
        <v>1650.39743420461</v>
      </c>
      <c r="AMO43">
        <v>1.00288001835089</v>
      </c>
      <c r="AMP43">
        <v>0.972427282017414</v>
      </c>
      <c r="AMQ43">
        <v>1.00115157208936</v>
      </c>
      <c r="AMR43">
        <v>1.02222178820695</v>
      </c>
      <c r="AMS43">
        <v>1.00393866389012</v>
      </c>
      <c r="AMT43">
        <v>1.00288001835089</v>
      </c>
      <c r="AMU43">
        <v>0.972427282017414</v>
      </c>
      <c r="AMV43">
        <v>1.00115157208936</v>
      </c>
      <c r="AMW43">
        <v>1.02222178820695</v>
      </c>
      <c r="AMX43">
        <v>1.00393866389012</v>
      </c>
      <c r="AMY43">
        <v>1.00288001835089</v>
      </c>
      <c r="AMZ43">
        <v>0.972427282017414</v>
      </c>
      <c r="ANA43">
        <v>1.00115157208936</v>
      </c>
      <c r="ANB43">
        <v>1.02222178820695</v>
      </c>
      <c r="ANC43">
        <v>1.00393866389012</v>
      </c>
      <c r="AND43">
        <v>0.274389454925366</v>
      </c>
      <c r="ANE43">
        <v>-2.70244005556322</v>
      </c>
      <c r="ANF43">
        <v>0.111398763845105</v>
      </c>
      <c r="ANG43">
        <v>2.07082122157462</v>
      </c>
      <c r="ANH43">
        <v>0.36990790551961</v>
      </c>
      <c r="ANI43">
        <v>0.274389454925366</v>
      </c>
      <c r="ANJ43">
        <v>-2.70244005556322</v>
      </c>
      <c r="ANK43">
        <v>0.111398763845105</v>
      </c>
      <c r="ANL43">
        <v>2.07082122157462</v>
      </c>
      <c r="ANM43">
        <v>0.36990790551961</v>
      </c>
      <c r="ANN43">
        <v>0.275144422205714</v>
      </c>
      <c r="ANO43">
        <v>-2.6313299412372</v>
      </c>
      <c r="ANP43">
        <v>0.111522999087491</v>
      </c>
      <c r="ANQ43">
        <v>2.11461103565471</v>
      </c>
      <c r="ANR43">
        <v>0.371281304416362</v>
      </c>
      <c r="ANS43">
        <v>0.624064321450712</v>
      </c>
      <c r="ANT43">
        <v>-5.93439218391707</v>
      </c>
      <c r="ANU43">
        <v>0.354520098116107</v>
      </c>
      <c r="ANV43">
        <v>6.51135214089099</v>
      </c>
      <c r="ANW43">
        <v>1.03612155871122</v>
      </c>
      <c r="ANX43">
        <v>95.54789868131471</v>
      </c>
      <c r="ANY43">
        <v>95.3089368884856</v>
      </c>
      <c r="ANZ43">
        <v>96.8476473016017</v>
      </c>
      <c r="AOA43">
        <v>95.2595962332373</v>
      </c>
      <c r="AOB43">
        <v>94.2870117353982</v>
      </c>
      <c r="AOC43">
        <v>95.8107933950711</v>
      </c>
      <c r="AOD43">
        <v>92.801044295464</v>
      </c>
      <c r="AOE43">
        <v>96.9556547024181</v>
      </c>
      <c r="AOF43">
        <v>97.2739661677055</v>
      </c>
      <c r="AOG43">
        <v>94.63708178246461</v>
      </c>
      <c r="AOH43" t="s">
        <v>1901</v>
      </c>
      <c r="AOI43" t="s">
        <v>1901</v>
      </c>
      <c r="AOJ43" t="s">
        <v>1901</v>
      </c>
      <c r="AOK43" t="s">
        <v>1901</v>
      </c>
      <c r="AOL43" t="s">
        <v>1901</v>
      </c>
      <c r="AOM43">
        <v>6.16314489011656</v>
      </c>
      <c r="AON43">
        <v>-57.6082647221259</v>
      </c>
      <c r="AOO43">
        <v>3.53382931743979</v>
      </c>
      <c r="AOP43">
        <v>43.6844902557494</v>
      </c>
      <c r="AOQ43">
        <v>6.47485848713526</v>
      </c>
      <c r="AOR43">
        <v>0.288001835088661</v>
      </c>
      <c r="AOS43">
        <v>-2.75727179825863</v>
      </c>
      <c r="AOT43">
        <v>0.11515720893562</v>
      </c>
      <c r="AOU43">
        <v>2.22217882069536</v>
      </c>
      <c r="AOV43">
        <v>0.39386638901223</v>
      </c>
      <c r="AOW43">
        <v>0.520085685593896</v>
      </c>
      <c r="AOX43">
        <v>-5.09109090766867</v>
      </c>
      <c r="AOY43">
        <v>0.291570198957881</v>
      </c>
      <c r="AOZ43">
        <v>5.16662921786268</v>
      </c>
      <c r="APA43">
        <v>0.7841707259834449</v>
      </c>
      <c r="APB43">
        <v>2.60922037359175</v>
      </c>
      <c r="APC43">
        <v>2.39199295106552</v>
      </c>
      <c r="APD43">
        <v>2.23551883520217</v>
      </c>
      <c r="APE43">
        <v>1.46399568723286</v>
      </c>
      <c r="APF43">
        <v>0.187786357600291</v>
      </c>
      <c r="APG43">
        <v>2.60922037359175</v>
      </c>
      <c r="APH43">
        <v>2.39199295106552</v>
      </c>
      <c r="API43">
        <v>2.23551883520217</v>
      </c>
      <c r="APJ43">
        <v>1.46399568723286</v>
      </c>
      <c r="APK43">
        <v>0.187786357600291</v>
      </c>
      <c r="APL43">
        <v>58.6064913356968</v>
      </c>
      <c r="APM43">
        <v>50.9904235821146</v>
      </c>
      <c r="APN43">
        <v>70.9158856601927</v>
      </c>
      <c r="APO43">
        <v>30.8833542302381</v>
      </c>
      <c r="APP43">
        <v>3.28700758522179</v>
      </c>
      <c r="APQ43">
        <v>2.73866302897662</v>
      </c>
      <c r="APR43">
        <v>2.44052581000982</v>
      </c>
      <c r="APS43">
        <v>2.31094224656607</v>
      </c>
      <c r="APT43">
        <v>1.5710000341239</v>
      </c>
      <c r="APU43">
        <v>0.199949050750593</v>
      </c>
      <c r="APV43">
        <v>2.61639949791275</v>
      </c>
      <c r="APW43">
        <v>2.32905172435185</v>
      </c>
      <c r="APX43">
        <v>2.23801195285235</v>
      </c>
      <c r="APY43">
        <v>1.4949535015966</v>
      </c>
      <c r="APZ43">
        <v>0.188483573238306</v>
      </c>
      <c r="AQA43">
        <v>4.94559153971181</v>
      </c>
      <c r="AQB43">
        <v>4.5062437330693</v>
      </c>
      <c r="AQC43">
        <v>5.8511481551115</v>
      </c>
      <c r="AQD43">
        <v>3.65261994308267</v>
      </c>
      <c r="AQE43">
        <v>0.398089800655533</v>
      </c>
      <c r="AQF43">
        <v>0.00288001835088661</v>
      </c>
      <c r="AQG43">
        <v>-0.0275727179825863</v>
      </c>
      <c r="AQH43">
        <v>0.0011515720893562</v>
      </c>
      <c r="AQI43">
        <v>0.0222217882069536</v>
      </c>
      <c r="AQJ43">
        <v>0.0039386638901223</v>
      </c>
      <c r="AQK43">
        <v>5</v>
      </c>
      <c r="AQO43" t="s">
        <v>1903</v>
      </c>
      <c r="AQP43">
        <v>8</v>
      </c>
      <c r="AQQ43">
        <v>1</v>
      </c>
      <c r="AQS43" t="s">
        <v>1905</v>
      </c>
      <c r="AQU43" t="s">
        <v>1906</v>
      </c>
      <c r="AQV43">
        <v>920131.5895977831</v>
      </c>
      <c r="AQW43">
        <v>888849.404104691</v>
      </c>
      <c r="AQX43">
        <v>1178078.90953587</v>
      </c>
      <c r="AQY43">
        <v>2524.74405329347</v>
      </c>
      <c r="AQZ43">
        <v>-24020.6223301601</v>
      </c>
      <c r="ARA43">
        <v>1312.36534234285</v>
      </c>
      <c r="ARB43">
        <v>2987059.903238344</v>
      </c>
      <c r="ARC43">
        <v>-20183.51293452378</v>
      </c>
      <c r="ARD43">
        <v>-0.006711632595478447</v>
      </c>
      <c r="ARE43">
        <v>-0.006711632595478447</v>
      </c>
      <c r="ARF43">
        <v>-0.006711632595478447</v>
      </c>
      <c r="ARG43">
        <v>-0.006711632595478447</v>
      </c>
      <c r="ARH43" t="s">
        <v>1907</v>
      </c>
      <c r="ARI43" t="s">
        <v>1907</v>
      </c>
      <c r="ARJ43" t="s">
        <v>1204</v>
      </c>
      <c r="ARK43" t="s">
        <v>1542</v>
      </c>
      <c r="ARL43" t="s">
        <v>1908</v>
      </c>
      <c r="ARM43" t="s">
        <v>1908</v>
      </c>
      <c r="ARN43" t="s">
        <v>1909</v>
      </c>
      <c r="ARO43" t="s">
        <v>1909</v>
      </c>
      <c r="ARP43" t="s">
        <v>1907</v>
      </c>
      <c r="ARQ43" t="s">
        <v>1944</v>
      </c>
      <c r="ARR43">
        <f>HYPERLINK("C:\Users\Usuario\Documents\Proyectos\llmthon\evidence\vasbe_com_234211.png", "Ver Evidencia")</f>
        <v>0</v>
      </c>
      <c r="ARS43">
        <v>100</v>
      </c>
    </row>
    <row r="44" spans="1:1163">
      <c r="A44">
        <v>254</v>
      </c>
      <c r="B44" t="s">
        <v>1205</v>
      </c>
      <c r="C44" t="s">
        <v>1328</v>
      </c>
      <c r="D44" t="s">
        <v>1416</v>
      </c>
      <c r="E44" s="2">
        <v>40389</v>
      </c>
      <c r="F44" t="s">
        <v>1431</v>
      </c>
      <c r="G44" t="s">
        <v>1433</v>
      </c>
      <c r="H44" t="s">
        <v>1434</v>
      </c>
      <c r="I44" t="s">
        <v>1437</v>
      </c>
      <c r="J44" t="s">
        <v>1453</v>
      </c>
      <c r="L44" t="s">
        <v>1543</v>
      </c>
      <c r="N44" t="s">
        <v>1627</v>
      </c>
      <c r="O44" t="s">
        <v>1651</v>
      </c>
      <c r="P44">
        <v>6910</v>
      </c>
      <c r="Q44">
        <v>6910</v>
      </c>
      <c r="R44" t="s">
        <v>1714</v>
      </c>
      <c r="S44" t="s">
        <v>1809</v>
      </c>
      <c r="Z44" t="s">
        <v>1899</v>
      </c>
      <c r="AA44" s="2">
        <v>45657</v>
      </c>
      <c r="AB44">
        <v>2024</v>
      </c>
      <c r="AC44">
        <v>3055211.86243609</v>
      </c>
      <c r="AD44">
        <v>3045336.10590942</v>
      </c>
      <c r="AE44">
        <v>2816795.91036912</v>
      </c>
      <c r="AF44">
        <v>2526282.26928048</v>
      </c>
      <c r="AG44">
        <v>2380916.97723026</v>
      </c>
      <c r="AH44">
        <v>3055211.86243609</v>
      </c>
      <c r="AI44">
        <v>3045336.10590942</v>
      </c>
      <c r="AJ44">
        <v>2816795.91036912</v>
      </c>
      <c r="AK44">
        <v>2526282.26928048</v>
      </c>
      <c r="AL44">
        <v>2380916.97723026</v>
      </c>
      <c r="AM44">
        <v>1844065.33334636</v>
      </c>
      <c r="AN44">
        <v>1733838.84122557</v>
      </c>
      <c r="AO44">
        <v>1759239.12723417</v>
      </c>
      <c r="AP44">
        <v>1604037.43846064</v>
      </c>
      <c r="AQ44">
        <v>1495282.99252381</v>
      </c>
      <c r="AR44">
        <v>1211146.52908973</v>
      </c>
      <c r="AS44">
        <v>1311497.26468386</v>
      </c>
      <c r="AT44">
        <v>1057556.78313494</v>
      </c>
      <c r="AU44">
        <v>922244.829687245</v>
      </c>
      <c r="AV44">
        <v>885633.984706449</v>
      </c>
      <c r="AW44">
        <v>1206925.8127029</v>
      </c>
      <c r="AX44">
        <v>1306337.54221824</v>
      </c>
      <c r="AY44">
        <v>1020922.54649561</v>
      </c>
      <c r="AZ44">
        <v>924671.8233886959</v>
      </c>
      <c r="BA44">
        <v>866576.60493359</v>
      </c>
      <c r="BB44">
        <v>4220.71638682842</v>
      </c>
      <c r="BC44">
        <v>5159.72246562004</v>
      </c>
      <c r="BD44">
        <v>36634.2366393328</v>
      </c>
      <c r="BE44">
        <v>-2426.99256885052</v>
      </c>
      <c r="BF44">
        <v>19057.3797728598</v>
      </c>
      <c r="BG44">
        <v>-2227.95123244882</v>
      </c>
      <c r="BH44">
        <v>-1564.68070220947</v>
      </c>
      <c r="BI44">
        <v>-5123.04799802303</v>
      </c>
      <c r="BJ44">
        <v>-3869.54027645588</v>
      </c>
      <c r="BK44">
        <v>-5278.45353345275</v>
      </c>
      <c r="BL44" t="s">
        <v>1900</v>
      </c>
      <c r="BM44" t="s">
        <v>1900</v>
      </c>
      <c r="BN44" t="s">
        <v>1900</v>
      </c>
      <c r="BO44" t="s">
        <v>1900</v>
      </c>
      <c r="BP44" t="s">
        <v>1900</v>
      </c>
      <c r="BQ44">
        <v>2227.95123244882</v>
      </c>
      <c r="BR44">
        <v>1564.68070220947</v>
      </c>
      <c r="BS44">
        <v>5123.04799802303</v>
      </c>
      <c r="BT44">
        <v>3869.54027645588</v>
      </c>
      <c r="BU44">
        <v>5278.45353345275</v>
      </c>
      <c r="BV44">
        <v>1992.76515437961</v>
      </c>
      <c r="BW44">
        <v>3595.04176341057</v>
      </c>
      <c r="BX44">
        <v>31511.1886413097</v>
      </c>
      <c r="BY44">
        <v>-6296.5328453064</v>
      </c>
      <c r="BZ44">
        <v>13778.9262394071</v>
      </c>
      <c r="CA44">
        <v>511.180130105019</v>
      </c>
      <c r="CB44">
        <v>898.763203353882</v>
      </c>
      <c r="CC44">
        <v>6395.39452756643</v>
      </c>
      <c r="CD44">
        <v>-1574.1332113266</v>
      </c>
      <c r="CE44">
        <v>3444.73769534826</v>
      </c>
      <c r="CF44">
        <v>1481.58502427459</v>
      </c>
      <c r="CG44">
        <v>2696.27745505619</v>
      </c>
      <c r="CH44">
        <v>25115.7930471438</v>
      </c>
      <c r="CI44">
        <v>-4722.39850137949</v>
      </c>
      <c r="CJ44">
        <v>10334.1885440588</v>
      </c>
      <c r="CK44" t="s">
        <v>1900</v>
      </c>
      <c r="CL44" t="s">
        <v>1900</v>
      </c>
      <c r="CM44" t="s">
        <v>1900</v>
      </c>
      <c r="CN44" t="s">
        <v>1900</v>
      </c>
      <c r="CO44" t="s">
        <v>1900</v>
      </c>
      <c r="CP44" t="s">
        <v>1900</v>
      </c>
      <c r="CQ44" t="s">
        <v>1900</v>
      </c>
      <c r="CR44" t="s">
        <v>1900</v>
      </c>
      <c r="CS44" t="s">
        <v>1900</v>
      </c>
      <c r="CT44" t="s">
        <v>1900</v>
      </c>
      <c r="CU44" t="s">
        <v>1900</v>
      </c>
      <c r="CV44" t="s">
        <v>1900</v>
      </c>
      <c r="CW44" t="s">
        <v>1900</v>
      </c>
      <c r="CX44" t="s">
        <v>1900</v>
      </c>
      <c r="CY44" t="s">
        <v>1900</v>
      </c>
      <c r="CZ44">
        <v>1481.58502427459</v>
      </c>
      <c r="DA44">
        <v>2696.27745505619</v>
      </c>
      <c r="DB44">
        <v>25115.7930471438</v>
      </c>
      <c r="DC44">
        <v>-4722.39850137949</v>
      </c>
      <c r="DD44">
        <v>10334.1885440588</v>
      </c>
      <c r="DE44" t="s">
        <v>1900</v>
      </c>
      <c r="DF44" t="s">
        <v>1900</v>
      </c>
      <c r="DG44" t="s">
        <v>1900</v>
      </c>
      <c r="DH44" t="s">
        <v>1900</v>
      </c>
      <c r="DI44" t="s">
        <v>1900</v>
      </c>
      <c r="DJ44">
        <v>1844065.33334636</v>
      </c>
      <c r="DK44">
        <v>1733838.84122557</v>
      </c>
      <c r="DL44">
        <v>1759239.12723417</v>
      </c>
      <c r="DM44">
        <v>1604037.43846064</v>
      </c>
      <c r="DN44">
        <v>1495282.99252381</v>
      </c>
      <c r="DO44">
        <v>919663.066682827</v>
      </c>
      <c r="DP44">
        <v>956216.024538002</v>
      </c>
      <c r="DQ44">
        <v>720274.261111051</v>
      </c>
      <c r="DR44">
        <v>622291.597726178</v>
      </c>
      <c r="DS44">
        <v>553235.485827673</v>
      </c>
      <c r="DT44">
        <v>5933.50850393057</v>
      </c>
      <c r="DU44">
        <v>12781.7506862926</v>
      </c>
      <c r="DV44">
        <v>13584.3070764124</v>
      </c>
      <c r="DW44">
        <v>15169.9918881655</v>
      </c>
      <c r="DX44">
        <v>18129.4472826302</v>
      </c>
      <c r="DY44">
        <v>281329.237516143</v>
      </c>
      <c r="DZ44">
        <v>337339.766993942</v>
      </c>
      <c r="EA44">
        <v>287063.978308147</v>
      </c>
      <c r="EB44">
        <v>287210.233774352</v>
      </c>
      <c r="EC44">
        <v>295211.671823287</v>
      </c>
      <c r="ED44">
        <v>2227.95123244882</v>
      </c>
      <c r="EE44">
        <v>1564.68070220947</v>
      </c>
      <c r="EF44">
        <v>5123.04799802303</v>
      </c>
      <c r="EG44">
        <v>3869.54027645588</v>
      </c>
      <c r="EH44">
        <v>5278.45353345275</v>
      </c>
      <c r="EI44" t="s">
        <v>1900</v>
      </c>
      <c r="EJ44" t="s">
        <v>1900</v>
      </c>
      <c r="EK44" t="s">
        <v>1900</v>
      </c>
      <c r="EL44" t="s">
        <v>1900</v>
      </c>
      <c r="EM44" t="s">
        <v>1900</v>
      </c>
      <c r="EN44">
        <v>7415.09352820516</v>
      </c>
      <c r="EO44">
        <v>15478.0292463493</v>
      </c>
      <c r="EP44">
        <v>38700.1011901557</v>
      </c>
      <c r="EQ44">
        <v>10447.5922541857</v>
      </c>
      <c r="ER44">
        <v>28463.635826689</v>
      </c>
      <c r="ES44">
        <v>929817.2915735859</v>
      </c>
      <c r="ET44">
        <v>974157.497689915</v>
      </c>
      <c r="EU44">
        <v>770492.8048267961</v>
      </c>
      <c r="EV44">
        <v>635034.595912893</v>
      </c>
      <c r="EW44">
        <v>590422.311656063</v>
      </c>
      <c r="EX44">
        <v>10154.224890759</v>
      </c>
      <c r="EY44">
        <v>17941.4731519127</v>
      </c>
      <c r="EZ44">
        <v>50218.5437157452</v>
      </c>
      <c r="FA44">
        <v>12742.999319315</v>
      </c>
      <c r="FB44">
        <v>37186.82705549</v>
      </c>
      <c r="FC44">
        <v>53645.3335346568</v>
      </c>
      <c r="FD44">
        <v>63369.6015894985</v>
      </c>
      <c r="FE44">
        <v>73504.9383852124</v>
      </c>
      <c r="FF44">
        <v>91028.37787528041</v>
      </c>
      <c r="FG44">
        <v>110146.151055932</v>
      </c>
      <c r="FH44">
        <v>-70269.09753646969</v>
      </c>
      <c r="FI44">
        <v>-69314.6921075821</v>
      </c>
      <c r="FJ44">
        <v>-56432.2536864817</v>
      </c>
      <c r="FK44">
        <v>-48802.5466923237</v>
      </c>
      <c r="FL44">
        <v>-40824.7457664484</v>
      </c>
      <c r="FM44">
        <v>112081.531524189</v>
      </c>
      <c r="FN44">
        <v>120098.514848738</v>
      </c>
      <c r="FO44">
        <v>117788.79455635</v>
      </c>
      <c r="FP44">
        <v>126930.788281631</v>
      </c>
      <c r="FQ44">
        <v>138699.905055171</v>
      </c>
      <c r="FR44">
        <v>11832.8995469379</v>
      </c>
      <c r="FS44">
        <v>12585.7788483429</v>
      </c>
      <c r="FT44">
        <v>12148.3975153446</v>
      </c>
      <c r="FU44">
        <v>12900.1362859726</v>
      </c>
      <c r="FV44">
        <v>12270.9929943085</v>
      </c>
      <c r="FW44">
        <v>-70269.09753646969</v>
      </c>
      <c r="FX44">
        <v>-69314.6921075821</v>
      </c>
      <c r="FY44">
        <v>-56432.2536864817</v>
      </c>
      <c r="FZ44">
        <v>-48802.5466923237</v>
      </c>
      <c r="GA44">
        <v>-40824.7457664484</v>
      </c>
      <c r="GB44">
        <v>112081.531524189</v>
      </c>
      <c r="GC44">
        <v>120098.514848738</v>
      </c>
      <c r="GD44">
        <v>117788.79455635</v>
      </c>
      <c r="GE44">
        <v>126930.788281631</v>
      </c>
      <c r="GF44">
        <v>138699.905055171</v>
      </c>
      <c r="GG44">
        <v>11832.8995469379</v>
      </c>
      <c r="GH44">
        <v>12585.7788483429</v>
      </c>
      <c r="GI44">
        <v>12148.3975153446</v>
      </c>
      <c r="GJ44">
        <v>12900.1362859726</v>
      </c>
      <c r="GK44">
        <v>12270.9929943085</v>
      </c>
      <c r="GL44">
        <v>935322.357906849</v>
      </c>
      <c r="GM44">
        <v>1130598.73849882</v>
      </c>
      <c r="GN44">
        <v>1015512.98854305</v>
      </c>
      <c r="GO44">
        <v>997897.457309103</v>
      </c>
      <c r="GP44">
        <v>868555.081676048</v>
      </c>
      <c r="GQ44">
        <v>0</v>
      </c>
      <c r="GR44">
        <v>0</v>
      </c>
      <c r="GS44">
        <v>0</v>
      </c>
      <c r="GT44">
        <v>0</v>
      </c>
      <c r="GU44">
        <v>0</v>
      </c>
      <c r="GV44">
        <v>903775.27989378</v>
      </c>
      <c r="GW44">
        <v>1057762.0230606</v>
      </c>
      <c r="GX44">
        <v>921466.07996763</v>
      </c>
      <c r="GY44">
        <v>843419.564349318</v>
      </c>
      <c r="GZ44">
        <v>751292.908156759</v>
      </c>
      <c r="HA44">
        <v>31547.0780130696</v>
      </c>
      <c r="HB44">
        <v>72836.71543822291</v>
      </c>
      <c r="HC44">
        <v>94046.90857542161</v>
      </c>
      <c r="HD44">
        <v>154477.892959785</v>
      </c>
      <c r="HE44">
        <v>117262.173519289</v>
      </c>
      <c r="HF44">
        <v>31547.0780130696</v>
      </c>
      <c r="HG44">
        <v>72836.71543822291</v>
      </c>
      <c r="HH44">
        <v>94046.90857542161</v>
      </c>
      <c r="HI44">
        <v>154477.892959785</v>
      </c>
      <c r="HJ44">
        <v>117262.173519289</v>
      </c>
      <c r="HK44">
        <v>988967.691441506</v>
      </c>
      <c r="HL44">
        <v>1193968.34008832</v>
      </c>
      <c r="HM44">
        <v>1089017.92692826</v>
      </c>
      <c r="HN44">
        <v>1088925.83518438</v>
      </c>
      <c r="HO44">
        <v>978701.23273198</v>
      </c>
      <c r="HP44">
        <v>41513.2932539117</v>
      </c>
      <c r="HQ44">
        <v>42578.7631088257</v>
      </c>
      <c r="HR44">
        <v>38496.4873478472</v>
      </c>
      <c r="HS44">
        <v>14208.6860512018</v>
      </c>
      <c r="HT44">
        <v>20510.6089311898</v>
      </c>
      <c r="HU44">
        <v>6233.3972454071</v>
      </c>
      <c r="HV44">
        <v>6630.00297546387</v>
      </c>
      <c r="HW44">
        <v>6399.59692955017</v>
      </c>
      <c r="HX44">
        <v>6795.6018447876</v>
      </c>
      <c r="HY44">
        <v>7362.59579658508</v>
      </c>
      <c r="HZ44">
        <v>35279.8949696051</v>
      </c>
      <c r="IA44">
        <v>35948.7601333618</v>
      </c>
      <c r="IB44">
        <v>32096.8904182971</v>
      </c>
      <c r="IC44">
        <v>7413.08307381392</v>
      </c>
      <c r="ID44">
        <v>13148.0131346047</v>
      </c>
      <c r="IE44">
        <v>83115.29813962099</v>
      </c>
      <c r="IF44">
        <v>106869.979311934</v>
      </c>
      <c r="IG44">
        <v>138090.566541803</v>
      </c>
      <c r="IH44">
        <v>158564.043045044</v>
      </c>
      <c r="II44">
        <v>171793.901920319</v>
      </c>
      <c r="IJ44">
        <v>83115.29813962099</v>
      </c>
      <c r="IK44">
        <v>106869.979311934</v>
      </c>
      <c r="IL44">
        <v>138090.566541803</v>
      </c>
      <c r="IM44">
        <v>158564.043045044</v>
      </c>
      <c r="IN44">
        <v>171793.901920319</v>
      </c>
      <c r="IO44">
        <v>0</v>
      </c>
      <c r="IP44">
        <v>0</v>
      </c>
      <c r="IQ44">
        <v>0</v>
      </c>
      <c r="IR44">
        <v>0</v>
      </c>
      <c r="IS44">
        <v>0</v>
      </c>
      <c r="IT44">
        <v>0</v>
      </c>
      <c r="IU44">
        <v>0</v>
      </c>
      <c r="IV44">
        <v>0</v>
      </c>
      <c r="IW44">
        <v>0</v>
      </c>
      <c r="IX44">
        <v>0</v>
      </c>
      <c r="IY44">
        <v>864339.100047973</v>
      </c>
      <c r="IZ44">
        <v>1044519.59766756</v>
      </c>
      <c r="JA44">
        <v>912430.8730386141</v>
      </c>
      <c r="JB44">
        <v>916153.106088138</v>
      </c>
      <c r="JC44">
        <v>786396.721880472</v>
      </c>
      <c r="JD44">
        <v>154887.537865839</v>
      </c>
      <c r="JE44">
        <v>131454.582845202</v>
      </c>
      <c r="JF44">
        <v>110092.703284842</v>
      </c>
      <c r="JG44">
        <v>109884.496746111</v>
      </c>
      <c r="JH44">
        <v>146734.043214363</v>
      </c>
      <c r="JI44">
        <v>161282.816437709</v>
      </c>
      <c r="JJ44">
        <v>334474.64435811</v>
      </c>
      <c r="JK44">
        <v>171725.600082117</v>
      </c>
      <c r="JL44">
        <v>248727.986387658</v>
      </c>
      <c r="JM44">
        <v>207995.490948296</v>
      </c>
      <c r="JN44">
        <v>548168.745744425</v>
      </c>
      <c r="JO44">
        <v>578590.369359248</v>
      </c>
      <c r="JP44">
        <v>630612.569671655</v>
      </c>
      <c r="JQ44">
        <v>557540.6229543691</v>
      </c>
      <c r="JR44">
        <v>431667.187717813</v>
      </c>
      <c r="JS44">
        <v>988967.691441506</v>
      </c>
      <c r="JT44">
        <v>1193968.34008832</v>
      </c>
      <c r="JU44">
        <v>1089017.92692826</v>
      </c>
      <c r="JV44">
        <v>1088925.83518438</v>
      </c>
      <c r="JW44">
        <v>978701.23273198</v>
      </c>
      <c r="JX44">
        <v>742492.462417171</v>
      </c>
      <c r="JY44">
        <v>723287.378702488</v>
      </c>
      <c r="JZ44">
        <v>749740.479885513</v>
      </c>
      <c r="KA44">
        <v>594691.5779616589</v>
      </c>
      <c r="KB44">
        <v>543297.417208463</v>
      </c>
      <c r="KC44" t="s">
        <v>1900</v>
      </c>
      <c r="KD44" t="s">
        <v>1900</v>
      </c>
      <c r="KE44" t="s">
        <v>1900</v>
      </c>
      <c r="KF44" t="s">
        <v>1900</v>
      </c>
      <c r="KG44" t="s">
        <v>1900</v>
      </c>
      <c r="KH44" t="s">
        <v>1900</v>
      </c>
      <c r="KI44" t="s">
        <v>1900</v>
      </c>
      <c r="KJ44" t="s">
        <v>1900</v>
      </c>
      <c r="KK44" t="s">
        <v>1900</v>
      </c>
      <c r="KL44" t="s">
        <v>1900</v>
      </c>
      <c r="KM44">
        <v>15</v>
      </c>
      <c r="KN44">
        <v>17</v>
      </c>
      <c r="KO44">
        <v>14</v>
      </c>
      <c r="KP44">
        <v>13</v>
      </c>
      <c r="KQ44">
        <v>12</v>
      </c>
      <c r="KR44" t="s">
        <v>1900</v>
      </c>
      <c r="KS44" t="s">
        <v>1900</v>
      </c>
      <c r="KT44" t="s">
        <v>1900</v>
      </c>
      <c r="KU44" t="s">
        <v>1900</v>
      </c>
      <c r="KV44" t="s">
        <v>1900</v>
      </c>
      <c r="KW44" t="s">
        <v>1900</v>
      </c>
      <c r="KX44" t="s">
        <v>1900</v>
      </c>
      <c r="KY44" t="s">
        <v>1900</v>
      </c>
      <c r="KZ44" t="s">
        <v>1900</v>
      </c>
      <c r="LA44" t="s">
        <v>1900</v>
      </c>
      <c r="LB44" t="s">
        <v>1900</v>
      </c>
      <c r="LC44" t="s">
        <v>1900</v>
      </c>
      <c r="LD44" t="s">
        <v>1900</v>
      </c>
      <c r="LE44" t="s">
        <v>1900</v>
      </c>
      <c r="LF44" t="s">
        <v>1900</v>
      </c>
      <c r="LG44" t="s">
        <v>1900</v>
      </c>
      <c r="LH44" t="s">
        <v>1900</v>
      </c>
      <c r="LI44" t="s">
        <v>1900</v>
      </c>
      <c r="LJ44" t="s">
        <v>1900</v>
      </c>
      <c r="LK44" t="s">
        <v>1900</v>
      </c>
      <c r="LL44" t="s">
        <v>1900</v>
      </c>
      <c r="LM44" t="s">
        <v>1900</v>
      </c>
      <c r="LN44" t="s">
        <v>1900</v>
      </c>
      <c r="LO44" t="s">
        <v>1900</v>
      </c>
      <c r="LP44" t="s">
        <v>1900</v>
      </c>
      <c r="LQ44" t="s">
        <v>1900</v>
      </c>
      <c r="LR44" t="s">
        <v>1900</v>
      </c>
      <c r="LS44" t="s">
        <v>1900</v>
      </c>
      <c r="LT44" t="s">
        <v>1900</v>
      </c>
      <c r="LU44" t="s">
        <v>1900</v>
      </c>
      <c r="LV44" t="s">
        <v>1900</v>
      </c>
      <c r="LW44" t="s">
        <v>1900</v>
      </c>
      <c r="LX44" t="s">
        <v>1900</v>
      </c>
      <c r="LY44" t="s">
        <v>1900</v>
      </c>
      <c r="LZ44" t="s">
        <v>1900</v>
      </c>
      <c r="MA44" t="s">
        <v>1900</v>
      </c>
      <c r="MB44" t="s">
        <v>1900</v>
      </c>
      <c r="MC44" t="s">
        <v>1900</v>
      </c>
      <c r="MD44" t="s">
        <v>1900</v>
      </c>
      <c r="ME44" t="s">
        <v>1900</v>
      </c>
      <c r="MF44" t="s">
        <v>1900</v>
      </c>
      <c r="MG44" t="s">
        <v>1900</v>
      </c>
      <c r="MH44" t="s">
        <v>1900</v>
      </c>
      <c r="MI44" t="s">
        <v>1900</v>
      </c>
      <c r="MJ44" t="s">
        <v>1900</v>
      </c>
      <c r="MK44" t="s">
        <v>1900</v>
      </c>
      <c r="ML44" t="s">
        <v>1900</v>
      </c>
      <c r="MM44" t="s">
        <v>1900</v>
      </c>
      <c r="MN44" t="s">
        <v>1900</v>
      </c>
      <c r="MO44" t="s">
        <v>1900</v>
      </c>
      <c r="MP44">
        <v>31547.0780130696</v>
      </c>
      <c r="MQ44">
        <v>72836.71543822291</v>
      </c>
      <c r="MR44">
        <v>94046.90857542161</v>
      </c>
      <c r="MS44">
        <v>154477.892959785</v>
      </c>
      <c r="MT44">
        <v>117262.173519289</v>
      </c>
      <c r="MU44" t="s">
        <v>1900</v>
      </c>
      <c r="MV44" t="s">
        <v>1900</v>
      </c>
      <c r="MW44" t="s">
        <v>1900</v>
      </c>
      <c r="MX44" t="s">
        <v>1900</v>
      </c>
      <c r="MY44" t="s">
        <v>1900</v>
      </c>
      <c r="MZ44" t="s">
        <v>1900</v>
      </c>
      <c r="NA44" t="s">
        <v>1900</v>
      </c>
      <c r="NB44" t="s">
        <v>1900</v>
      </c>
      <c r="NC44" t="s">
        <v>1900</v>
      </c>
      <c r="ND44" t="s">
        <v>1900</v>
      </c>
      <c r="NE44" t="s">
        <v>1900</v>
      </c>
      <c r="NF44" t="s">
        <v>1900</v>
      </c>
      <c r="NG44" t="s">
        <v>1900</v>
      </c>
      <c r="NH44" t="s">
        <v>1900</v>
      </c>
      <c r="NI44" t="s">
        <v>1900</v>
      </c>
      <c r="NJ44" t="s">
        <v>1900</v>
      </c>
      <c r="NK44" t="s">
        <v>1900</v>
      </c>
      <c r="NL44" t="s">
        <v>1900</v>
      </c>
      <c r="NM44" t="s">
        <v>1900</v>
      </c>
      <c r="NN44" t="s">
        <v>1900</v>
      </c>
      <c r="NO44" t="s">
        <v>1900</v>
      </c>
      <c r="NP44" t="s">
        <v>1900</v>
      </c>
      <c r="NQ44" t="s">
        <v>1900</v>
      </c>
      <c r="NR44" t="s">
        <v>1900</v>
      </c>
      <c r="NS44" t="s">
        <v>1900</v>
      </c>
      <c r="NT44">
        <v>53645.3335346568</v>
      </c>
      <c r="NU44">
        <v>63369.6015894985</v>
      </c>
      <c r="NV44">
        <v>73504.9383852124</v>
      </c>
      <c r="NW44">
        <v>91028.37787528041</v>
      </c>
      <c r="NX44">
        <v>110146.151055932</v>
      </c>
      <c r="NY44" t="s">
        <v>1900</v>
      </c>
      <c r="NZ44" t="s">
        <v>1900</v>
      </c>
      <c r="OA44" t="s">
        <v>1900</v>
      </c>
      <c r="OB44" t="s">
        <v>1900</v>
      </c>
      <c r="OC44" t="s">
        <v>1900</v>
      </c>
      <c r="OD44" t="s">
        <v>1900</v>
      </c>
      <c r="OE44" t="s">
        <v>1900</v>
      </c>
      <c r="OF44" t="s">
        <v>1900</v>
      </c>
      <c r="OG44" t="s">
        <v>1900</v>
      </c>
      <c r="OH44" t="s">
        <v>1900</v>
      </c>
      <c r="OI44" t="s">
        <v>1900</v>
      </c>
      <c r="OJ44" t="s">
        <v>1900</v>
      </c>
      <c r="OK44" t="s">
        <v>1900</v>
      </c>
      <c r="OL44" t="s">
        <v>1900</v>
      </c>
      <c r="OM44" t="s">
        <v>1900</v>
      </c>
      <c r="ON44" t="s">
        <v>1900</v>
      </c>
      <c r="OO44" t="s">
        <v>1900</v>
      </c>
      <c r="OP44" t="s">
        <v>1900</v>
      </c>
      <c r="OQ44" t="s">
        <v>1900</v>
      </c>
      <c r="OR44" t="s">
        <v>1900</v>
      </c>
      <c r="OS44" t="s">
        <v>1900</v>
      </c>
      <c r="OT44" t="s">
        <v>1900</v>
      </c>
      <c r="OU44" t="s">
        <v>1900</v>
      </c>
      <c r="OV44" t="s">
        <v>1900</v>
      </c>
      <c r="OW44" t="s">
        <v>1900</v>
      </c>
      <c r="OX44" t="s">
        <v>1900</v>
      </c>
      <c r="OY44" t="s">
        <v>1900</v>
      </c>
      <c r="OZ44" t="s">
        <v>1900</v>
      </c>
      <c r="PA44" t="s">
        <v>1900</v>
      </c>
      <c r="PB44" t="s">
        <v>1900</v>
      </c>
      <c r="PC44" t="s">
        <v>1900</v>
      </c>
      <c r="PD44" t="s">
        <v>1900</v>
      </c>
      <c r="PE44" t="s">
        <v>1900</v>
      </c>
      <c r="PF44" t="s">
        <v>1900</v>
      </c>
      <c r="PG44" t="s">
        <v>1900</v>
      </c>
      <c r="PH44" t="s">
        <v>1900</v>
      </c>
      <c r="PI44" t="s">
        <v>1900</v>
      </c>
      <c r="PJ44" t="s">
        <v>1900</v>
      </c>
      <c r="PK44" t="s">
        <v>1900</v>
      </c>
      <c r="PL44" t="s">
        <v>1900</v>
      </c>
      <c r="PM44" t="s">
        <v>1900</v>
      </c>
      <c r="PN44" t="s">
        <v>1900</v>
      </c>
      <c r="PO44" t="s">
        <v>1900</v>
      </c>
      <c r="PP44" t="s">
        <v>1900</v>
      </c>
      <c r="PQ44" t="s">
        <v>1900</v>
      </c>
      <c r="PR44" t="s">
        <v>1900</v>
      </c>
      <c r="PS44" t="s">
        <v>1900</v>
      </c>
      <c r="PT44" t="s">
        <v>1900</v>
      </c>
      <c r="PU44" t="s">
        <v>1900</v>
      </c>
      <c r="PV44" t="s">
        <v>1900</v>
      </c>
      <c r="PW44" t="s">
        <v>1900</v>
      </c>
      <c r="PX44" t="s">
        <v>1900</v>
      </c>
      <c r="PY44" t="s">
        <v>1900</v>
      </c>
      <c r="PZ44" t="s">
        <v>1900</v>
      </c>
      <c r="QA44" t="s">
        <v>1900</v>
      </c>
      <c r="QB44" t="s">
        <v>1900</v>
      </c>
      <c r="QC44" t="s">
        <v>1900</v>
      </c>
      <c r="QD44" t="s">
        <v>1900</v>
      </c>
      <c r="QE44" t="s">
        <v>1900</v>
      </c>
      <c r="QF44" t="s">
        <v>1900</v>
      </c>
      <c r="QG44" t="s">
        <v>1900</v>
      </c>
      <c r="QH44" t="s">
        <v>1900</v>
      </c>
      <c r="QI44" t="s">
        <v>1900</v>
      </c>
      <c r="QJ44" t="s">
        <v>1900</v>
      </c>
      <c r="QK44" t="s">
        <v>1900</v>
      </c>
      <c r="QL44" t="s">
        <v>1900</v>
      </c>
      <c r="QM44" t="s">
        <v>1900</v>
      </c>
      <c r="QN44" t="s">
        <v>1900</v>
      </c>
      <c r="QO44" t="s">
        <v>1900</v>
      </c>
      <c r="QP44" t="s">
        <v>1900</v>
      </c>
      <c r="QQ44" t="s">
        <v>1900</v>
      </c>
      <c r="QR44" t="s">
        <v>1900</v>
      </c>
      <c r="QS44" t="s">
        <v>1900</v>
      </c>
      <c r="QT44" t="s">
        <v>1900</v>
      </c>
      <c r="QU44" t="s">
        <v>1900</v>
      </c>
      <c r="QV44" t="s">
        <v>1900</v>
      </c>
      <c r="QW44" t="s">
        <v>1900</v>
      </c>
      <c r="QX44" t="s">
        <v>1900</v>
      </c>
      <c r="QY44" t="s">
        <v>1900</v>
      </c>
      <c r="QZ44" t="s">
        <v>1900</v>
      </c>
      <c r="RA44" t="s">
        <v>1900</v>
      </c>
      <c r="RB44" t="s">
        <v>1900</v>
      </c>
      <c r="RC44" t="s">
        <v>1900</v>
      </c>
      <c r="RD44" t="s">
        <v>1900</v>
      </c>
      <c r="RE44" t="s">
        <v>1900</v>
      </c>
      <c r="RF44" t="s">
        <v>1900</v>
      </c>
      <c r="RG44" t="s">
        <v>1900</v>
      </c>
      <c r="RH44" t="s">
        <v>1900</v>
      </c>
      <c r="RI44" t="s">
        <v>1900</v>
      </c>
      <c r="RJ44" t="s">
        <v>1900</v>
      </c>
      <c r="RK44" t="s">
        <v>1900</v>
      </c>
      <c r="RL44" t="s">
        <v>1900</v>
      </c>
      <c r="RM44" t="s">
        <v>1900</v>
      </c>
      <c r="RN44" t="s">
        <v>1900</v>
      </c>
      <c r="RO44" t="s">
        <v>1900</v>
      </c>
      <c r="RP44" t="s">
        <v>1900</v>
      </c>
      <c r="RQ44" t="s">
        <v>1900</v>
      </c>
      <c r="RR44" t="s">
        <v>1900</v>
      </c>
      <c r="RS44" t="s">
        <v>1900</v>
      </c>
      <c r="RT44" t="s">
        <v>1900</v>
      </c>
      <c r="RU44" t="s">
        <v>1900</v>
      </c>
      <c r="RV44" t="s">
        <v>1900</v>
      </c>
      <c r="RW44" t="s">
        <v>1900</v>
      </c>
      <c r="RX44" t="s">
        <v>1900</v>
      </c>
      <c r="RY44" t="s">
        <v>1900</v>
      </c>
      <c r="RZ44" t="s">
        <v>1900</v>
      </c>
      <c r="SA44" t="s">
        <v>1900</v>
      </c>
      <c r="SB44" t="s">
        <v>1900</v>
      </c>
      <c r="SC44" t="s">
        <v>1900</v>
      </c>
      <c r="SD44" t="s">
        <v>1900</v>
      </c>
      <c r="SE44" t="s">
        <v>1900</v>
      </c>
      <c r="SF44" t="s">
        <v>1900</v>
      </c>
      <c r="SG44" t="s">
        <v>1900</v>
      </c>
      <c r="SH44" t="s">
        <v>1900</v>
      </c>
      <c r="SI44" t="s">
        <v>1900</v>
      </c>
      <c r="SJ44">
        <v>11832.8995469379</v>
      </c>
      <c r="SK44">
        <v>12585.7788483429</v>
      </c>
      <c r="SL44">
        <v>12148.3975153446</v>
      </c>
      <c r="SM44">
        <v>12900.1362859726</v>
      </c>
      <c r="SN44">
        <v>12270.9929943085</v>
      </c>
      <c r="SO44" t="s">
        <v>1900</v>
      </c>
      <c r="SP44" t="s">
        <v>1900</v>
      </c>
      <c r="SQ44" t="s">
        <v>1900</v>
      </c>
      <c r="SR44" t="s">
        <v>1900</v>
      </c>
      <c r="SS44" t="s">
        <v>1900</v>
      </c>
      <c r="ST44" t="s">
        <v>1900</v>
      </c>
      <c r="SU44" t="s">
        <v>1900</v>
      </c>
      <c r="SV44" t="s">
        <v>1900</v>
      </c>
      <c r="SW44" t="s">
        <v>1900</v>
      </c>
      <c r="SX44" t="s">
        <v>1900</v>
      </c>
      <c r="SY44" t="s">
        <v>1900</v>
      </c>
      <c r="SZ44" t="s">
        <v>1900</v>
      </c>
      <c r="TA44" t="s">
        <v>1900</v>
      </c>
      <c r="TB44" t="s">
        <v>1900</v>
      </c>
      <c r="TC44" t="s">
        <v>1900</v>
      </c>
      <c r="TD44" t="s">
        <v>1900</v>
      </c>
      <c r="TE44" t="s">
        <v>1900</v>
      </c>
      <c r="TF44" t="s">
        <v>1900</v>
      </c>
      <c r="TG44" t="s">
        <v>1900</v>
      </c>
      <c r="TH44" t="s">
        <v>1900</v>
      </c>
      <c r="TI44" t="s">
        <v>1900</v>
      </c>
      <c r="TJ44" t="s">
        <v>1900</v>
      </c>
      <c r="TK44" t="s">
        <v>1900</v>
      </c>
      <c r="TL44" t="s">
        <v>1900</v>
      </c>
      <c r="TM44" t="s">
        <v>1900</v>
      </c>
      <c r="TN44" t="s">
        <v>1900</v>
      </c>
      <c r="TO44" t="s">
        <v>1900</v>
      </c>
      <c r="TP44" t="s">
        <v>1900</v>
      </c>
      <c r="TQ44" t="s">
        <v>1900</v>
      </c>
      <c r="TR44" t="s">
        <v>1900</v>
      </c>
      <c r="TS44">
        <v>988967.691441506</v>
      </c>
      <c r="TT44">
        <v>1193968.34008832</v>
      </c>
      <c r="TU44">
        <v>1089017.92692826</v>
      </c>
      <c r="TV44">
        <v>1088925.83518438</v>
      </c>
      <c r="TW44">
        <v>978701.23273198</v>
      </c>
      <c r="TX44" t="s">
        <v>1900</v>
      </c>
      <c r="TY44" t="s">
        <v>1900</v>
      </c>
      <c r="TZ44" t="s">
        <v>1900</v>
      </c>
      <c r="UA44" t="s">
        <v>1900</v>
      </c>
      <c r="UB44" t="s">
        <v>1900</v>
      </c>
      <c r="UC44">
        <v>154887.537865839</v>
      </c>
      <c r="UD44">
        <v>131454.582845202</v>
      </c>
      <c r="UE44">
        <v>110092.703284842</v>
      </c>
      <c r="UF44">
        <v>109884.496746111</v>
      </c>
      <c r="UG44">
        <v>146734.043214363</v>
      </c>
      <c r="UH44" t="s">
        <v>1900</v>
      </c>
      <c r="UI44" t="s">
        <v>1900</v>
      </c>
      <c r="UJ44" t="s">
        <v>1900</v>
      </c>
      <c r="UK44" t="s">
        <v>1900</v>
      </c>
      <c r="UL44" t="s">
        <v>1900</v>
      </c>
      <c r="UM44" t="s">
        <v>1900</v>
      </c>
      <c r="UN44" t="s">
        <v>1900</v>
      </c>
      <c r="UO44" t="s">
        <v>1900</v>
      </c>
      <c r="UP44" t="s">
        <v>1900</v>
      </c>
      <c r="UQ44" t="s">
        <v>1900</v>
      </c>
      <c r="UR44" t="s">
        <v>1900</v>
      </c>
      <c r="US44" t="s">
        <v>1900</v>
      </c>
      <c r="UT44" t="s">
        <v>1900</v>
      </c>
      <c r="UU44" t="s">
        <v>1900</v>
      </c>
      <c r="UV44" t="s">
        <v>1900</v>
      </c>
      <c r="UW44" t="s">
        <v>1900</v>
      </c>
      <c r="UX44" t="s">
        <v>1900</v>
      </c>
      <c r="UY44" t="s">
        <v>1900</v>
      </c>
      <c r="UZ44" t="s">
        <v>1900</v>
      </c>
      <c r="VA44" t="s">
        <v>1900</v>
      </c>
      <c r="VB44" t="s">
        <v>1900</v>
      </c>
      <c r="VC44" t="s">
        <v>1900</v>
      </c>
      <c r="VD44" t="s">
        <v>1900</v>
      </c>
      <c r="VE44" t="s">
        <v>1900</v>
      </c>
      <c r="VF44" t="s">
        <v>1900</v>
      </c>
      <c r="VG44" t="s">
        <v>1900</v>
      </c>
      <c r="VH44" t="s">
        <v>1900</v>
      </c>
      <c r="VI44" t="s">
        <v>1900</v>
      </c>
      <c r="VJ44" t="s">
        <v>1900</v>
      </c>
      <c r="VK44" t="s">
        <v>1900</v>
      </c>
      <c r="VL44" t="s">
        <v>1900</v>
      </c>
      <c r="VM44" t="s">
        <v>1900</v>
      </c>
      <c r="VN44" t="s">
        <v>1900</v>
      </c>
      <c r="VO44" t="s">
        <v>1900</v>
      </c>
      <c r="VP44" t="s">
        <v>1900</v>
      </c>
      <c r="VQ44" t="s">
        <v>1900</v>
      </c>
      <c r="VR44" t="s">
        <v>1900</v>
      </c>
      <c r="VS44" t="s">
        <v>1900</v>
      </c>
      <c r="VT44" t="s">
        <v>1900</v>
      </c>
      <c r="VU44" t="s">
        <v>1900</v>
      </c>
      <c r="VV44" t="s">
        <v>1900</v>
      </c>
      <c r="VW44" t="s">
        <v>1900</v>
      </c>
      <c r="VX44" t="s">
        <v>1900</v>
      </c>
      <c r="VY44" t="s">
        <v>1900</v>
      </c>
      <c r="VZ44" t="s">
        <v>1900</v>
      </c>
      <c r="WA44">
        <v>548168.745744425</v>
      </c>
      <c r="WB44">
        <v>578590.369359248</v>
      </c>
      <c r="WC44">
        <v>630612.569671655</v>
      </c>
      <c r="WD44">
        <v>557540.6229543691</v>
      </c>
      <c r="WE44">
        <v>431667.187717813</v>
      </c>
      <c r="WF44" t="s">
        <v>1900</v>
      </c>
      <c r="WG44" t="s">
        <v>1900</v>
      </c>
      <c r="WH44" t="s">
        <v>1900</v>
      </c>
      <c r="WI44" t="s">
        <v>1900</v>
      </c>
      <c r="WJ44" t="s">
        <v>1900</v>
      </c>
      <c r="WK44" t="s">
        <v>1900</v>
      </c>
      <c r="WL44" t="s">
        <v>1900</v>
      </c>
      <c r="WM44" t="s">
        <v>1900</v>
      </c>
      <c r="WN44" t="s">
        <v>1900</v>
      </c>
      <c r="WO44" t="s">
        <v>1900</v>
      </c>
      <c r="WP44" t="s">
        <v>1900</v>
      </c>
      <c r="WQ44" t="s">
        <v>1900</v>
      </c>
      <c r="WR44" t="s">
        <v>1900</v>
      </c>
      <c r="WS44" t="s">
        <v>1900</v>
      </c>
      <c r="WT44" t="s">
        <v>1900</v>
      </c>
      <c r="WU44" t="s">
        <v>1900</v>
      </c>
      <c r="WV44" t="s">
        <v>1900</v>
      </c>
      <c r="WW44" t="s">
        <v>1900</v>
      </c>
      <c r="WX44" t="s">
        <v>1900</v>
      </c>
      <c r="WY44" t="s">
        <v>1900</v>
      </c>
      <c r="WZ44" t="s">
        <v>1900</v>
      </c>
      <c r="XA44" t="s">
        <v>1900</v>
      </c>
      <c r="XB44" t="s">
        <v>1900</v>
      </c>
      <c r="XC44" t="s">
        <v>1900</v>
      </c>
      <c r="XD44" t="s">
        <v>1900</v>
      </c>
      <c r="XE44" t="s">
        <v>1900</v>
      </c>
      <c r="XF44" t="s">
        <v>1900</v>
      </c>
      <c r="XG44" t="s">
        <v>1900</v>
      </c>
      <c r="XH44" t="s">
        <v>1900</v>
      </c>
      <c r="XI44" t="s">
        <v>1900</v>
      </c>
      <c r="XJ44">
        <v>0</v>
      </c>
      <c r="XK44">
        <v>0</v>
      </c>
      <c r="XL44">
        <v>0</v>
      </c>
      <c r="XM44">
        <v>0</v>
      </c>
      <c r="XN44">
        <v>0</v>
      </c>
      <c r="XO44" t="s">
        <v>1900</v>
      </c>
      <c r="XP44" t="s">
        <v>1900</v>
      </c>
      <c r="XQ44" t="s">
        <v>1900</v>
      </c>
      <c r="XR44" t="s">
        <v>1900</v>
      </c>
      <c r="XS44" t="s">
        <v>1900</v>
      </c>
      <c r="XT44" t="s">
        <v>1900</v>
      </c>
      <c r="XU44" t="s">
        <v>1900</v>
      </c>
      <c r="XV44" t="s">
        <v>1900</v>
      </c>
      <c r="XW44" t="s">
        <v>1900</v>
      </c>
      <c r="XX44" t="s">
        <v>1900</v>
      </c>
      <c r="XY44">
        <v>0</v>
      </c>
      <c r="XZ44">
        <v>0</v>
      </c>
      <c r="YA44">
        <v>0</v>
      </c>
      <c r="YB44">
        <v>0</v>
      </c>
      <c r="YC44">
        <v>0</v>
      </c>
      <c r="YD44" t="s">
        <v>1900</v>
      </c>
      <c r="YE44" t="s">
        <v>1900</v>
      </c>
      <c r="YF44" t="s">
        <v>1900</v>
      </c>
      <c r="YG44" t="s">
        <v>1900</v>
      </c>
      <c r="YH44" t="s">
        <v>1900</v>
      </c>
      <c r="YI44" t="s">
        <v>1900</v>
      </c>
      <c r="YJ44" t="s">
        <v>1900</v>
      </c>
      <c r="YK44" t="s">
        <v>1900</v>
      </c>
      <c r="YL44" t="s">
        <v>1900</v>
      </c>
      <c r="YM44" t="s">
        <v>1900</v>
      </c>
      <c r="YN44" t="s">
        <v>1900</v>
      </c>
      <c r="YO44" t="s">
        <v>1900</v>
      </c>
      <c r="YP44" t="s">
        <v>1900</v>
      </c>
      <c r="YQ44" t="s">
        <v>1900</v>
      </c>
      <c r="YR44" t="s">
        <v>1900</v>
      </c>
      <c r="YS44" t="s">
        <v>1900</v>
      </c>
      <c r="YT44" t="s">
        <v>1900</v>
      </c>
      <c r="YU44" t="s">
        <v>1900</v>
      </c>
      <c r="YV44" t="s">
        <v>1900</v>
      </c>
      <c r="YW44" t="s">
        <v>1900</v>
      </c>
      <c r="YX44" t="s">
        <v>1900</v>
      </c>
      <c r="YY44" t="s">
        <v>1900</v>
      </c>
      <c r="YZ44" t="s">
        <v>1900</v>
      </c>
      <c r="ZA44" t="s">
        <v>1900</v>
      </c>
      <c r="ZB44" t="s">
        <v>1900</v>
      </c>
      <c r="ZC44" t="s">
        <v>1900</v>
      </c>
      <c r="ZD44" t="s">
        <v>1900</v>
      </c>
      <c r="ZE44" t="s">
        <v>1900</v>
      </c>
      <c r="ZF44" t="s">
        <v>1900</v>
      </c>
      <c r="ZG44" t="s">
        <v>1900</v>
      </c>
      <c r="ZH44" t="s">
        <v>1900</v>
      </c>
      <c r="ZI44" t="s">
        <v>1900</v>
      </c>
      <c r="ZJ44" t="s">
        <v>1900</v>
      </c>
      <c r="ZK44" t="s">
        <v>1900</v>
      </c>
      <c r="ZL44" t="s">
        <v>1900</v>
      </c>
      <c r="ZM44" t="s">
        <v>1900</v>
      </c>
      <c r="ZN44" t="s">
        <v>1900</v>
      </c>
      <c r="ZO44" t="s">
        <v>1900</v>
      </c>
      <c r="ZP44" t="s">
        <v>1900</v>
      </c>
      <c r="ZQ44" t="s">
        <v>1900</v>
      </c>
      <c r="ZR44" t="s">
        <v>1900</v>
      </c>
      <c r="ZS44" t="s">
        <v>1900</v>
      </c>
      <c r="ZT44" t="s">
        <v>1900</v>
      </c>
      <c r="ZU44" t="s">
        <v>1900</v>
      </c>
      <c r="ZV44" t="s">
        <v>1900</v>
      </c>
      <c r="ZW44" t="s">
        <v>1900</v>
      </c>
      <c r="ZX44" t="s">
        <v>1900</v>
      </c>
      <c r="ZY44" t="s">
        <v>1900</v>
      </c>
      <c r="ZZ44" t="s">
        <v>1900</v>
      </c>
      <c r="AAA44" t="s">
        <v>1900</v>
      </c>
      <c r="AAB44" t="s">
        <v>1900</v>
      </c>
      <c r="AAC44" t="s">
        <v>1900</v>
      </c>
      <c r="AAD44" t="s">
        <v>1900</v>
      </c>
      <c r="AAE44" t="s">
        <v>1900</v>
      </c>
      <c r="AAF44" t="s">
        <v>1900</v>
      </c>
      <c r="AAG44" t="s">
        <v>1900</v>
      </c>
      <c r="AAH44" t="s">
        <v>1900</v>
      </c>
      <c r="AAI44" t="s">
        <v>1900</v>
      </c>
      <c r="AAJ44" t="s">
        <v>1900</v>
      </c>
      <c r="AAK44" t="s">
        <v>1900</v>
      </c>
      <c r="AAL44" t="s">
        <v>1900</v>
      </c>
      <c r="AAM44" t="s">
        <v>1900</v>
      </c>
      <c r="AAN44" t="s">
        <v>1900</v>
      </c>
      <c r="AAO44" t="s">
        <v>1900</v>
      </c>
      <c r="AAP44" t="s">
        <v>1900</v>
      </c>
      <c r="AAQ44" t="s">
        <v>1900</v>
      </c>
      <c r="AAR44" t="s">
        <v>1900</v>
      </c>
      <c r="AAS44" t="s">
        <v>1900</v>
      </c>
      <c r="AAT44" t="s">
        <v>1900</v>
      </c>
      <c r="AAU44" t="s">
        <v>1900</v>
      </c>
      <c r="AAV44" t="s">
        <v>1900</v>
      </c>
      <c r="AAW44" t="s">
        <v>1900</v>
      </c>
      <c r="AAX44" t="s">
        <v>1900</v>
      </c>
      <c r="AAY44" t="s">
        <v>1900</v>
      </c>
      <c r="AAZ44" t="s">
        <v>1900</v>
      </c>
      <c r="ABA44" t="s">
        <v>1900</v>
      </c>
      <c r="ABB44" t="s">
        <v>1900</v>
      </c>
      <c r="ABC44" t="s">
        <v>1900</v>
      </c>
      <c r="ABD44" t="s">
        <v>1900</v>
      </c>
      <c r="ABE44" t="s">
        <v>1900</v>
      </c>
      <c r="ABF44" t="s">
        <v>1900</v>
      </c>
      <c r="ABG44" t="s">
        <v>1900</v>
      </c>
      <c r="ABH44" t="s">
        <v>1900</v>
      </c>
      <c r="ABI44" t="s">
        <v>1900</v>
      </c>
      <c r="ABJ44" t="s">
        <v>1900</v>
      </c>
      <c r="ABK44" t="s">
        <v>1900</v>
      </c>
      <c r="ABL44" t="s">
        <v>1900</v>
      </c>
      <c r="ABM44" t="s">
        <v>1900</v>
      </c>
      <c r="ABN44" t="s">
        <v>1900</v>
      </c>
      <c r="ABO44" t="s">
        <v>1900</v>
      </c>
      <c r="ABP44" t="s">
        <v>1900</v>
      </c>
      <c r="ABQ44" t="s">
        <v>1900</v>
      </c>
      <c r="ABR44" t="s">
        <v>1900</v>
      </c>
      <c r="ABS44" t="s">
        <v>1900</v>
      </c>
      <c r="ABT44" t="s">
        <v>1900</v>
      </c>
      <c r="ABU44" t="s">
        <v>1900</v>
      </c>
      <c r="ABV44" t="s">
        <v>1900</v>
      </c>
      <c r="ABW44" t="s">
        <v>1900</v>
      </c>
      <c r="ABX44" t="s">
        <v>1900</v>
      </c>
      <c r="ABY44" t="s">
        <v>1900</v>
      </c>
      <c r="ABZ44" t="s">
        <v>1900</v>
      </c>
      <c r="ACA44" t="s">
        <v>1900</v>
      </c>
      <c r="ACB44" t="s">
        <v>1900</v>
      </c>
      <c r="ACC44" t="s">
        <v>1900</v>
      </c>
      <c r="ACD44" t="s">
        <v>1900</v>
      </c>
      <c r="ACE44">
        <v>4.8</v>
      </c>
      <c r="ACF44">
        <v>8.443</v>
      </c>
      <c r="ACG44">
        <v>81.855</v>
      </c>
      <c r="ACH44">
        <v>-44.315</v>
      </c>
      <c r="ACI44">
        <v>67.18000000000001</v>
      </c>
      <c r="ACJ44">
        <v>3.387</v>
      </c>
      <c r="ACK44">
        <v>3.453</v>
      </c>
      <c r="ACL44">
        <v>20.746</v>
      </c>
      <c r="ACM44">
        <v>-1.405</v>
      </c>
      <c r="ACN44">
        <v>9.91</v>
      </c>
      <c r="ACO44">
        <v>0.201</v>
      </c>
      <c r="ACP44">
        <v>0.301</v>
      </c>
      <c r="ACQ44">
        <v>2.894</v>
      </c>
      <c r="ACR44">
        <v>-0.578</v>
      </c>
      <c r="ACS44">
        <v>1.408</v>
      </c>
      <c r="ACT44">
        <v>3.569</v>
      </c>
      <c r="ACU44">
        <v>6.332</v>
      </c>
      <c r="ACV44">
        <v>65.242</v>
      </c>
      <c r="ACW44">
        <v>-33.236</v>
      </c>
      <c r="ACX44">
        <v>50.385</v>
      </c>
      <c r="ACY44">
        <v>2.976</v>
      </c>
      <c r="ACZ44">
        <v>2.851</v>
      </c>
      <c r="ADA44">
        <v>17.124</v>
      </c>
      <c r="ADB44">
        <v>-0.494</v>
      </c>
      <c r="ADC44">
        <v>8.119</v>
      </c>
      <c r="ADD44">
        <v>0.15</v>
      </c>
      <c r="ADE44">
        <v>0.226</v>
      </c>
      <c r="ADF44">
        <v>2.306</v>
      </c>
      <c r="ADG44">
        <v>-0.434</v>
      </c>
      <c r="ADH44">
        <v>1.056</v>
      </c>
      <c r="ADI44">
        <v>0.065</v>
      </c>
      <c r="ADJ44">
        <v>0.118</v>
      </c>
      <c r="ADK44">
        <v>1.119</v>
      </c>
      <c r="ADL44">
        <v>-0.249</v>
      </c>
      <c r="ADM44">
        <v>0.579</v>
      </c>
      <c r="ADN44">
        <v>39.642</v>
      </c>
      <c r="ADO44">
        <v>43.066</v>
      </c>
      <c r="ADP44">
        <v>37.545</v>
      </c>
      <c r="ADQ44">
        <v>36.506</v>
      </c>
      <c r="ADR44">
        <v>37.197</v>
      </c>
      <c r="ADS44">
        <v>0.138148075</v>
      </c>
      <c r="ADT44">
        <v>0.169430312</v>
      </c>
      <c r="ADU44">
        <v>1.300564109</v>
      </c>
      <c r="ADV44">
        <v>-0.09606973100000001</v>
      </c>
      <c r="ADW44">
        <v>0.800421852</v>
      </c>
      <c r="ADX44">
        <v>0.332</v>
      </c>
      <c r="ADY44">
        <v>0.589</v>
      </c>
      <c r="ADZ44">
        <v>1.783</v>
      </c>
      <c r="AEA44">
        <v>0.504</v>
      </c>
      <c r="AEB44">
        <v>1.562</v>
      </c>
      <c r="AEC44">
        <v>0.138</v>
      </c>
      <c r="AED44">
        <v>0.169</v>
      </c>
      <c r="AEE44">
        <v>1.301</v>
      </c>
      <c r="AEF44">
        <v>-0.096</v>
      </c>
      <c r="AEG44">
        <v>0.8</v>
      </c>
      <c r="AEH44">
        <v>0.243</v>
      </c>
      <c r="AEI44">
        <v>0.508</v>
      </c>
      <c r="AEJ44">
        <v>1.374</v>
      </c>
      <c r="AEK44">
        <v>0.414</v>
      </c>
      <c r="AEL44">
        <v>1.195</v>
      </c>
      <c r="AEM44">
        <v>0.138339188</v>
      </c>
      <c r="AEN44">
        <v>0.169717866</v>
      </c>
      <c r="AEO44">
        <v>1.317701664</v>
      </c>
      <c r="AEP44">
        <v>-0.09597752499999999</v>
      </c>
      <c r="AEQ44">
        <v>0.806880299</v>
      </c>
      <c r="AER44">
        <v>1.00349708</v>
      </c>
      <c r="AES44">
        <v>1.003949762</v>
      </c>
      <c r="AET44">
        <v>1.035883463</v>
      </c>
      <c r="AEU44">
        <v>0.9973752930000001</v>
      </c>
      <c r="AEV44">
        <v>1.02199157</v>
      </c>
      <c r="AEW44" t="s">
        <v>1900</v>
      </c>
      <c r="AEX44" t="s">
        <v>1900</v>
      </c>
      <c r="AEY44" t="s">
        <v>1900</v>
      </c>
      <c r="AEZ44" t="s">
        <v>1900</v>
      </c>
      <c r="AFA44" t="s">
        <v>1900</v>
      </c>
      <c r="AFB44" t="s">
        <v>1900</v>
      </c>
      <c r="AFC44" t="s">
        <v>1900</v>
      </c>
      <c r="AFD44" t="s">
        <v>1900</v>
      </c>
      <c r="AFE44" t="s">
        <v>1900</v>
      </c>
      <c r="AFF44" t="s">
        <v>1900</v>
      </c>
      <c r="AFG44">
        <v>24.515</v>
      </c>
      <c r="AFH44">
        <v>20.377</v>
      </c>
      <c r="AFI44">
        <v>15.951</v>
      </c>
      <c r="AFJ44">
        <v>14.622</v>
      </c>
      <c r="AFK44">
        <v>12.381</v>
      </c>
      <c r="AFL44">
        <v>1.894</v>
      </c>
      <c r="AFM44">
        <v>3.298</v>
      </c>
      <c r="AFN44">
        <v>7.151</v>
      </c>
      <c r="AFO44">
        <v>-0.627</v>
      </c>
      <c r="AFP44">
        <v>3.61</v>
      </c>
      <c r="AFQ44" t="s">
        <v>1901</v>
      </c>
      <c r="AFR44" t="s">
        <v>1901</v>
      </c>
      <c r="AFS44" t="s">
        <v>1901</v>
      </c>
      <c r="AFT44" t="s">
        <v>1901</v>
      </c>
      <c r="AFU44" t="s">
        <v>1901</v>
      </c>
      <c r="AFV44">
        <v>106.493</v>
      </c>
      <c r="AFW44">
        <v>125.042</v>
      </c>
      <c r="AFX44">
        <v>117.768</v>
      </c>
      <c r="AFY44">
        <v>120.189</v>
      </c>
      <c r="AFZ44">
        <v>113.597</v>
      </c>
      <c r="AGA44">
        <v>19.004</v>
      </c>
      <c r="AGB44">
        <v>39.539</v>
      </c>
      <c r="AGC44">
        <v>21.947</v>
      </c>
      <c r="AGD44">
        <v>35.444</v>
      </c>
      <c r="AGE44">
        <v>31.449</v>
      </c>
      <c r="AGF44" t="s">
        <v>1900</v>
      </c>
      <c r="AGG44" t="s">
        <v>1900</v>
      </c>
      <c r="AGH44" t="s">
        <v>1900</v>
      </c>
      <c r="AGI44" t="s">
        <v>1900</v>
      </c>
      <c r="AGJ44" t="s">
        <v>1900</v>
      </c>
      <c r="AGK44" t="s">
        <v>1900</v>
      </c>
      <c r="AGL44" t="s">
        <v>1900</v>
      </c>
      <c r="AGM44" t="s">
        <v>1900</v>
      </c>
      <c r="AGN44" t="s">
        <v>1900</v>
      </c>
      <c r="AGO44" t="s">
        <v>1900</v>
      </c>
      <c r="AGP44" t="s">
        <v>1900</v>
      </c>
      <c r="AGQ44" t="s">
        <v>1900</v>
      </c>
      <c r="AGR44" t="s">
        <v>1900</v>
      </c>
      <c r="AGS44" t="s">
        <v>1900</v>
      </c>
      <c r="AGT44" t="s">
        <v>1900</v>
      </c>
      <c r="AGU44">
        <v>0</v>
      </c>
      <c r="AGV44">
        <v>0</v>
      </c>
      <c r="AGW44">
        <v>0</v>
      </c>
      <c r="AGX44">
        <v>0</v>
      </c>
      <c r="AGY44">
        <v>0</v>
      </c>
      <c r="AGZ44">
        <v>1.082</v>
      </c>
      <c r="AHA44">
        <v>1.082</v>
      </c>
      <c r="AHB44">
        <v>1.113</v>
      </c>
      <c r="AHC44">
        <v>1.089</v>
      </c>
      <c r="AHD44">
        <v>1.104</v>
      </c>
      <c r="AHE44">
        <v>1.082</v>
      </c>
      <c r="AHF44">
        <v>1.082</v>
      </c>
      <c r="AHG44">
        <v>1.113</v>
      </c>
      <c r="AHH44">
        <v>1.089</v>
      </c>
      <c r="AHI44">
        <v>1.104</v>
      </c>
      <c r="AHJ44">
        <v>0.499</v>
      </c>
      <c r="AHK44">
        <v>0.398</v>
      </c>
      <c r="AHL44">
        <v>0.279</v>
      </c>
      <c r="AHM44">
        <v>0.09</v>
      </c>
      <c r="AHN44">
        <v>0.119</v>
      </c>
      <c r="AHO44">
        <v>4.198</v>
      </c>
      <c r="AHP44">
        <v>3.566</v>
      </c>
      <c r="AHQ44">
        <v>3.535</v>
      </c>
      <c r="AHR44">
        <v>1.305</v>
      </c>
      <c r="AHS44">
        <v>2.096</v>
      </c>
      <c r="AHT44">
        <v>4.382</v>
      </c>
      <c r="AHU44">
        <v>3.698</v>
      </c>
      <c r="AHV44">
        <v>3.665</v>
      </c>
      <c r="AHW44">
        <v>1.322</v>
      </c>
      <c r="AHX44">
        <v>2.141</v>
      </c>
      <c r="AHY44">
        <v>573.317</v>
      </c>
      <c r="AHZ44">
        <v>559.726</v>
      </c>
      <c r="AIA44">
        <v>644.691</v>
      </c>
      <c r="AIB44" t="s">
        <v>1901</v>
      </c>
      <c r="AIC44" t="s">
        <v>1901</v>
      </c>
      <c r="AID44">
        <v>1.196490002</v>
      </c>
      <c r="AIE44">
        <v>1.054113281</v>
      </c>
      <c r="AIF44">
        <v>1.115536964</v>
      </c>
      <c r="AIG44">
        <v>1.184666198</v>
      </c>
      <c r="AIH44">
        <v>1.253803774</v>
      </c>
      <c r="AII44">
        <v>3.18989976</v>
      </c>
      <c r="AIJ44">
        <v>6.100389181</v>
      </c>
      <c r="AIK44">
        <v>8.635937596</v>
      </c>
      <c r="AIL44">
        <v>14.186263928</v>
      </c>
      <c r="AIM44">
        <v>11.981406541</v>
      </c>
      <c r="AIN44">
        <v>55.428377538</v>
      </c>
      <c r="AIO44">
        <v>48.45943983</v>
      </c>
      <c r="AIP44">
        <v>57.906537081</v>
      </c>
      <c r="AIQ44">
        <v>51.200973008</v>
      </c>
      <c r="AIR44">
        <v>44.10612486</v>
      </c>
      <c r="AIS44">
        <v>0</v>
      </c>
      <c r="AIT44">
        <v>0</v>
      </c>
      <c r="AIU44">
        <v>0</v>
      </c>
      <c r="AIV44">
        <v>0</v>
      </c>
      <c r="AIW44">
        <v>0</v>
      </c>
      <c r="AIX44">
        <v>0.132851356591821</v>
      </c>
      <c r="AIY44">
        <v>0.211472784906387</v>
      </c>
      <c r="AIZ44">
        <v>2.25079903629363</v>
      </c>
      <c r="AJA44">
        <v>-0.484348593285084</v>
      </c>
      <c r="AJB44">
        <v>1.14824344425082</v>
      </c>
      <c r="AJC44">
        <v>203.680790829073</v>
      </c>
      <c r="AJD44">
        <v>179.137418384672</v>
      </c>
      <c r="AJE44">
        <v>201.199707426394</v>
      </c>
      <c r="AJF44">
        <v>194.329405416391</v>
      </c>
      <c r="AJG44">
        <v>198.409748307038</v>
      </c>
      <c r="AJH44">
        <v>30.101</v>
      </c>
      <c r="AJI44">
        <v>31.399</v>
      </c>
      <c r="AJJ44">
        <v>25.571</v>
      </c>
      <c r="AJK44">
        <v>24.633</v>
      </c>
      <c r="AJL44">
        <v>23.236</v>
      </c>
      <c r="AJM44">
        <v>61.3108714584883</v>
      </c>
      <c r="AJN44">
        <v>56.2480015734119</v>
      </c>
      <c r="AJO44">
        <v>51.4481612031895</v>
      </c>
      <c r="AJP44">
        <v>47.8685840919828</v>
      </c>
      <c r="AJQ44">
        <v>46.1029575613391</v>
      </c>
      <c r="AJR44">
        <v>2.76755253729427</v>
      </c>
      <c r="AJS44">
        <v>2.50463279904842</v>
      </c>
      <c r="AJT44">
        <v>2.74974894390345</v>
      </c>
      <c r="AJU44">
        <v>1.09297628570795</v>
      </c>
      <c r="AJV44">
        <v>1.70921802448213</v>
      </c>
      <c r="AJW44">
        <v>49.4994979100379</v>
      </c>
      <c r="AJX44">
        <v>42.5463158742638</v>
      </c>
      <c r="AJY44">
        <v>53.5528915727651</v>
      </c>
      <c r="AJZ44">
        <v>45.7455055614352</v>
      </c>
      <c r="AKA44">
        <v>45.2747845628554</v>
      </c>
      <c r="AKB44">
        <v>65.9311797757336</v>
      </c>
      <c r="AKC44">
        <v>70.233431509901</v>
      </c>
      <c r="AKD44">
        <v>77.786995085333</v>
      </c>
      <c r="AKE44">
        <v>83.7635261319065</v>
      </c>
      <c r="AKF44">
        <v>81.55843585648179</v>
      </c>
      <c r="AKG44">
        <v>0</v>
      </c>
      <c r="AKH44">
        <v>0</v>
      </c>
      <c r="AKI44">
        <v>0</v>
      </c>
      <c r="AKJ44">
        <v>0</v>
      </c>
      <c r="AKK44">
        <v>0</v>
      </c>
      <c r="AKL44">
        <v>0</v>
      </c>
      <c r="AKM44">
        <v>0</v>
      </c>
      <c r="AKN44">
        <v>0</v>
      </c>
      <c r="AKO44">
        <v>0</v>
      </c>
      <c r="AKP44">
        <v>0</v>
      </c>
      <c r="AKQ44">
        <v>0</v>
      </c>
      <c r="AKR44">
        <v>0</v>
      </c>
      <c r="AKS44">
        <v>0</v>
      </c>
      <c r="AKT44">
        <v>0</v>
      </c>
      <c r="AKU44">
        <v>0</v>
      </c>
      <c r="AKV44">
        <v>-2.299974624</v>
      </c>
      <c r="AKW44">
        <v>-2.276093334</v>
      </c>
      <c r="AKX44">
        <v>-2.003420038</v>
      </c>
      <c r="AKY44">
        <v>-1.931793105</v>
      </c>
      <c r="AKZ44">
        <v>-1.714664819</v>
      </c>
      <c r="ALA44">
        <v>-7.105297589</v>
      </c>
      <c r="ALB44">
        <v>-5.80540453</v>
      </c>
      <c r="ALC44">
        <v>-5.181939828</v>
      </c>
      <c r="ALD44">
        <v>-4.481714467</v>
      </c>
      <c r="ALE44">
        <v>-4.171318519</v>
      </c>
      <c r="ALF44">
        <v>3.668535492</v>
      </c>
      <c r="ALG44">
        <v>3.943686696</v>
      </c>
      <c r="ALH44">
        <v>4.181658817</v>
      </c>
      <c r="ALI44">
        <v>5.024410369</v>
      </c>
      <c r="ALJ44">
        <v>5.825482635</v>
      </c>
      <c r="ALK44">
        <v>11.333184339</v>
      </c>
      <c r="ALL44">
        <v>10.058768798</v>
      </c>
      <c r="ALM44">
        <v>10.816056526</v>
      </c>
      <c r="ALN44">
        <v>11.656513619</v>
      </c>
      <c r="ALO44">
        <v>14.17183308</v>
      </c>
      <c r="ALP44">
        <v>29.581427429</v>
      </c>
      <c r="ALQ44">
        <v>34.733835159</v>
      </c>
      <c r="ALR44">
        <v>32.71327101</v>
      </c>
      <c r="ALS44">
        <v>33.385800732</v>
      </c>
      <c r="ALT44">
        <v>31.554771348</v>
      </c>
      <c r="ALU44">
        <v>17.845455616</v>
      </c>
      <c r="ALV44">
        <v>31.620973061</v>
      </c>
      <c r="ALW44">
        <v>18.636128211</v>
      </c>
      <c r="ALX44">
        <v>29.490421719</v>
      </c>
      <c r="ALY44">
        <v>27.685006565</v>
      </c>
      <c r="ALZ44">
        <v>39.6419817552036</v>
      </c>
      <c r="AMA44">
        <v>43.0657641414003</v>
      </c>
      <c r="AMB44">
        <v>37.5446719175462</v>
      </c>
      <c r="AMC44">
        <v>36.5060088851398</v>
      </c>
      <c r="AMD44">
        <v>37.1971804635001</v>
      </c>
      <c r="AME44">
        <v>39.6419817552036</v>
      </c>
      <c r="AMF44">
        <v>43.0657641414003</v>
      </c>
      <c r="AMG44">
        <v>37.5446719175462</v>
      </c>
      <c r="AMH44">
        <v>36.5060088851398</v>
      </c>
      <c r="AMI44">
        <v>37.1971804635001</v>
      </c>
      <c r="AMJ44">
        <v>65.6780704668367</v>
      </c>
      <c r="AMK44">
        <v>75.6412437823127</v>
      </c>
      <c r="AML44">
        <v>60.1144419063487</v>
      </c>
      <c r="AMM44">
        <v>57.4952184764656</v>
      </c>
      <c r="AMN44">
        <v>59.2285198945275</v>
      </c>
      <c r="AMO44">
        <v>1.00349708022018</v>
      </c>
      <c r="AMP44">
        <v>1.00394976206292</v>
      </c>
      <c r="AMQ44">
        <v>1.03588346321186</v>
      </c>
      <c r="AMR44">
        <v>0.997375291816986</v>
      </c>
      <c r="AMS44">
        <v>1.0219915696597</v>
      </c>
      <c r="AMT44">
        <v>1.00349708022018</v>
      </c>
      <c r="AMU44">
        <v>1.00394976206292</v>
      </c>
      <c r="AMV44">
        <v>1.03588346321186</v>
      </c>
      <c r="AMW44">
        <v>0.997375293041853</v>
      </c>
      <c r="AMX44">
        <v>1.0219915696597</v>
      </c>
      <c r="AMY44">
        <v>1.00349708022018</v>
      </c>
      <c r="AMZ44">
        <v>1.00394976206292</v>
      </c>
      <c r="ANA44">
        <v>1.03588346321186</v>
      </c>
      <c r="ANB44">
        <v>0.997375293041853</v>
      </c>
      <c r="ANC44">
        <v>1.0219915696597</v>
      </c>
      <c r="AND44">
        <v>0.138148075382995</v>
      </c>
      <c r="ANE44">
        <v>0.16943031199767</v>
      </c>
      <c r="ANF44">
        <v>1.30056410918788</v>
      </c>
      <c r="ANG44">
        <v>-0.0960697305428881</v>
      </c>
      <c r="ANH44">
        <v>0.800421852383506</v>
      </c>
      <c r="ANI44">
        <v>0.138148075382995</v>
      </c>
      <c r="ANJ44">
        <v>0.16943031199767</v>
      </c>
      <c r="ANK44">
        <v>1.30056410918788</v>
      </c>
      <c r="ANL44">
        <v>-0.0960697305428881</v>
      </c>
      <c r="ANM44">
        <v>0.800421852383506</v>
      </c>
      <c r="ANN44">
        <v>0.138339188309145</v>
      </c>
      <c r="ANO44">
        <v>0.169717865506714</v>
      </c>
      <c r="ANP44">
        <v>1.3177016640973</v>
      </c>
      <c r="ANQ44">
        <v>-0.0959775251930534</v>
      </c>
      <c r="ANR44">
        <v>0.806880298616208</v>
      </c>
      <c r="ANS44">
        <v>3.38663571467393</v>
      </c>
      <c r="ANT44">
        <v>3.45250310042309</v>
      </c>
      <c r="ANU44">
        <v>20.7457091742556</v>
      </c>
      <c r="ANV44">
        <v>-1.40473127995711</v>
      </c>
      <c r="ANW44">
        <v>9.91000142871081</v>
      </c>
      <c r="ANX44">
        <v>39.6419817552035</v>
      </c>
      <c r="ANY44">
        <v>43.0657641414003</v>
      </c>
      <c r="ANZ44">
        <v>37.5446719175462</v>
      </c>
      <c r="AOA44">
        <v>36.5060089299725</v>
      </c>
      <c r="AOB44">
        <v>37.1971804635001</v>
      </c>
      <c r="AOC44">
        <v>39.6968221509934</v>
      </c>
      <c r="AOD44">
        <v>43.1388544370652</v>
      </c>
      <c r="AOE44">
        <v>38.0393986841836</v>
      </c>
      <c r="AOF44">
        <v>36.4709713212651</v>
      </c>
      <c r="AOG44">
        <v>37.4973171843008</v>
      </c>
      <c r="AOH44" t="s">
        <v>1901</v>
      </c>
      <c r="AOI44" t="s">
        <v>1901</v>
      </c>
      <c r="AOJ44">
        <v>97.11105363691659</v>
      </c>
      <c r="AOK44">
        <v>84.693080087597</v>
      </c>
      <c r="AOL44">
        <v>90.4907396748914</v>
      </c>
      <c r="AOM44">
        <v>0.228881065681617</v>
      </c>
      <c r="AON44">
        <v>0.297589507336961</v>
      </c>
      <c r="AOO44">
        <v>2.08239096506045</v>
      </c>
      <c r="AOP44">
        <v>-0.151305232076108</v>
      </c>
      <c r="AOQ44">
        <v>1.27449986846262</v>
      </c>
      <c r="AOR44">
        <v>0.349708022018036</v>
      </c>
      <c r="AOS44">
        <v>0.394976206291869</v>
      </c>
      <c r="AOT44">
        <v>3.58834632118591</v>
      </c>
      <c r="AOU44">
        <v>-0.262470695814671</v>
      </c>
      <c r="AOV44">
        <v>2.19915696596959</v>
      </c>
      <c r="AOW44">
        <v>0.426780007411199</v>
      </c>
      <c r="AOX44">
        <v>0.43214901872845</v>
      </c>
      <c r="AOY44">
        <v>3.3639700259724</v>
      </c>
      <c r="AOZ44">
        <v>-0.22287951028727</v>
      </c>
      <c r="APA44">
        <v>1.94721117492234</v>
      </c>
      <c r="APB44">
        <v>0.0484936917956726</v>
      </c>
      <c r="APC44">
        <v>0.0885379268916856</v>
      </c>
      <c r="APD44">
        <v>0.891644046865029</v>
      </c>
      <c r="APE44">
        <v>-0.186930754286792</v>
      </c>
      <c r="APF44">
        <v>0.434042372871005</v>
      </c>
      <c r="APG44">
        <v>0.0484936917956726</v>
      </c>
      <c r="APH44">
        <v>0.0885379268916856</v>
      </c>
      <c r="API44">
        <v>0.891644046865029</v>
      </c>
      <c r="APJ44">
        <v>-0.186930754286792</v>
      </c>
      <c r="APK44">
        <v>0.434042372871005</v>
      </c>
      <c r="APL44">
        <v>0.0803434128652051</v>
      </c>
      <c r="APM44">
        <v>0.155509116011631</v>
      </c>
      <c r="APN44">
        <v>1.42765088942912</v>
      </c>
      <c r="APO44">
        <v>-0.294406999995679</v>
      </c>
      <c r="APP44">
        <v>0.691119246037587</v>
      </c>
      <c r="APQ44">
        <v>0.122756925792861</v>
      </c>
      <c r="APR44">
        <v>0.206399752584447</v>
      </c>
      <c r="APS44">
        <v>2.46010758929319</v>
      </c>
      <c r="APT44">
        <v>-0.510710760502365</v>
      </c>
      <c r="APU44">
        <v>1.19253029509731</v>
      </c>
      <c r="APV44">
        <v>0.0485607775752839</v>
      </c>
      <c r="APW44">
        <v>0.0886881915713701</v>
      </c>
      <c r="APX44">
        <v>0.903393255308394</v>
      </c>
      <c r="APY44">
        <v>-0.186751342775003</v>
      </c>
      <c r="APZ44">
        <v>0.437544575265347</v>
      </c>
      <c r="AQA44">
        <v>0.149811266545528</v>
      </c>
      <c r="AQB44">
        <v>0.2258248702689</v>
      </c>
      <c r="AQC44">
        <v>2.30627911865387</v>
      </c>
      <c r="AQD44">
        <v>-0.43367494358143</v>
      </c>
      <c r="AQE44">
        <v>1.05590840171025</v>
      </c>
      <c r="AQF44">
        <v>0.00349708022018036</v>
      </c>
      <c r="AQG44">
        <v>0.00394976206291869</v>
      </c>
      <c r="AQH44">
        <v>0.0358834632118591</v>
      </c>
      <c r="AQI44">
        <v>-0.00262470695814671</v>
      </c>
      <c r="AQJ44">
        <v>0.0219915696596959</v>
      </c>
      <c r="AQK44">
        <v>5</v>
      </c>
      <c r="AQO44" t="s">
        <v>1903</v>
      </c>
      <c r="AQP44">
        <v>5</v>
      </c>
      <c r="AQQ44">
        <v>0</v>
      </c>
      <c r="AQS44" t="s">
        <v>1905</v>
      </c>
      <c r="AQU44" t="s">
        <v>1906</v>
      </c>
      <c r="AQV44">
        <v>3055211.86243609</v>
      </c>
      <c r="AQW44">
        <v>3045336.10590942</v>
      </c>
      <c r="AQX44">
        <v>2816795.91036912</v>
      </c>
      <c r="AQY44">
        <v>4220.71638682842</v>
      </c>
      <c r="AQZ44">
        <v>5159.72246562004</v>
      </c>
      <c r="ARA44">
        <v>36634.2366393328</v>
      </c>
      <c r="ARB44">
        <v>8917343.87871463</v>
      </c>
      <c r="ARC44">
        <v>46014.67549178126</v>
      </c>
      <c r="ARD44">
        <v>0.005186897525464918</v>
      </c>
      <c r="ARE44">
        <v>0.005186897525464918</v>
      </c>
      <c r="ARF44">
        <v>0.005186897525464918</v>
      </c>
      <c r="ARG44">
        <v>0.005186897525464918</v>
      </c>
      <c r="ARH44">
        <v>0.005186897525464918</v>
      </c>
      <c r="ARI44">
        <v>0.005186897525464918</v>
      </c>
      <c r="ARJ44" t="s">
        <v>1205</v>
      </c>
      <c r="ARK44" t="s">
        <v>1543</v>
      </c>
      <c r="ARL44" t="s">
        <v>1908</v>
      </c>
      <c r="ARM44" t="s">
        <v>1908</v>
      </c>
      <c r="ARN44" t="s">
        <v>1909</v>
      </c>
      <c r="ARO44" t="s">
        <v>1908</v>
      </c>
      <c r="ARP44" t="s">
        <v>1907</v>
      </c>
      <c r="ARQ44" t="s">
        <v>1945</v>
      </c>
      <c r="ARR44">
        <f>HYPERLINK("C:\Users\Usuario\Documents\Proyectos\llmthon\evidence\fourlaw_es_234232.png", "Ver Evidencia")</f>
        <v>0</v>
      </c>
      <c r="ARS44">
        <v>100</v>
      </c>
    </row>
    <row r="45" spans="1:1163">
      <c r="A45">
        <v>175</v>
      </c>
      <c r="B45" t="s">
        <v>1206</v>
      </c>
      <c r="C45" t="s">
        <v>1329</v>
      </c>
      <c r="E45" s="2">
        <v>37722</v>
      </c>
      <c r="F45" t="s">
        <v>1431</v>
      </c>
      <c r="G45" t="s">
        <v>1433</v>
      </c>
      <c r="H45" t="s">
        <v>1434</v>
      </c>
      <c r="I45" t="s">
        <v>1437</v>
      </c>
      <c r="J45" t="s">
        <v>1453</v>
      </c>
      <c r="L45" t="s">
        <v>1544</v>
      </c>
      <c r="N45" t="s">
        <v>1640</v>
      </c>
      <c r="O45" t="s">
        <v>1664</v>
      </c>
      <c r="P45">
        <v>8299</v>
      </c>
      <c r="Q45">
        <v>8299</v>
      </c>
      <c r="R45" t="s">
        <v>1715</v>
      </c>
      <c r="S45" t="s">
        <v>1810</v>
      </c>
      <c r="T45" t="s">
        <v>1856</v>
      </c>
      <c r="U45" t="s">
        <v>1873</v>
      </c>
      <c r="X45" t="s">
        <v>1883</v>
      </c>
      <c r="Z45" t="s">
        <v>1899</v>
      </c>
      <c r="AA45" s="2">
        <v>45291</v>
      </c>
      <c r="AB45">
        <v>2023</v>
      </c>
      <c r="AC45" t="s">
        <v>1900</v>
      </c>
      <c r="AD45">
        <v>5179175.07115013</v>
      </c>
      <c r="AE45">
        <v>4504090.24522094</v>
      </c>
      <c r="AF45">
        <v>4158024.54966409</v>
      </c>
      <c r="AG45">
        <v>3759854.94129506</v>
      </c>
      <c r="AH45" t="s">
        <v>1900</v>
      </c>
      <c r="AI45">
        <v>5179175.07115013</v>
      </c>
      <c r="AJ45">
        <v>4504090.24522094</v>
      </c>
      <c r="AK45">
        <v>4158024.54966409</v>
      </c>
      <c r="AL45">
        <v>3751684.54725676</v>
      </c>
      <c r="AM45" t="s">
        <v>1900</v>
      </c>
      <c r="AN45">
        <v>3162245.33517685</v>
      </c>
      <c r="AO45">
        <v>2874903.81318364</v>
      </c>
      <c r="AP45">
        <v>2674925.77562442</v>
      </c>
      <c r="AQ45">
        <v>2127758.79601301</v>
      </c>
      <c r="AR45" t="s">
        <v>1900</v>
      </c>
      <c r="AS45">
        <v>2016929.73597328</v>
      </c>
      <c r="AT45">
        <v>1629186.4320373</v>
      </c>
      <c r="AU45">
        <v>1483098.77290707</v>
      </c>
      <c r="AV45">
        <v>1632096.14528205</v>
      </c>
      <c r="AW45" t="s">
        <v>1900</v>
      </c>
      <c r="AX45">
        <v>1667354.36478815</v>
      </c>
      <c r="AY45">
        <v>1468868.13481409</v>
      </c>
      <c r="AZ45">
        <v>1320769.10679638</v>
      </c>
      <c r="BA45">
        <v>1406298.19342855</v>
      </c>
      <c r="BB45" t="s">
        <v>1900</v>
      </c>
      <c r="BC45">
        <v>349575.371185131</v>
      </c>
      <c r="BD45">
        <v>160318.297223204</v>
      </c>
      <c r="BE45">
        <v>162329.66724329</v>
      </c>
      <c r="BF45">
        <v>225797.953080606</v>
      </c>
      <c r="BG45" t="s">
        <v>1900</v>
      </c>
      <c r="BH45">
        <v>1828.82002075195</v>
      </c>
      <c r="BI45">
        <v>-111.566306471825</v>
      </c>
      <c r="BJ45">
        <v>-440.422955560684</v>
      </c>
      <c r="BK45">
        <v>-8421.48432404995</v>
      </c>
      <c r="BL45" t="s">
        <v>1900</v>
      </c>
      <c r="BM45">
        <v>1855.81518286705</v>
      </c>
      <c r="BN45" t="s">
        <v>1900</v>
      </c>
      <c r="BO45" t="s">
        <v>1900</v>
      </c>
      <c r="BP45" t="s">
        <v>1900</v>
      </c>
      <c r="BQ45" t="s">
        <v>1900</v>
      </c>
      <c r="BR45">
        <v>26.995162115097</v>
      </c>
      <c r="BS45">
        <v>111.566306471825</v>
      </c>
      <c r="BT45">
        <v>440.422955560684</v>
      </c>
      <c r="BU45">
        <v>8421.48432404995</v>
      </c>
      <c r="BV45" t="s">
        <v>1900</v>
      </c>
      <c r="BW45">
        <v>351404.191205883</v>
      </c>
      <c r="BX45">
        <v>160206.730916733</v>
      </c>
      <c r="BY45">
        <v>161889.244287729</v>
      </c>
      <c r="BZ45">
        <v>217376.468756557</v>
      </c>
      <c r="CA45" t="s">
        <v>1900</v>
      </c>
      <c r="CB45">
        <v>87678.1428488731</v>
      </c>
      <c r="CC45">
        <v>43645.1230675936</v>
      </c>
      <c r="CD45">
        <v>40895.8865979195</v>
      </c>
      <c r="CE45">
        <v>54428.9342927158</v>
      </c>
      <c r="CF45" t="s">
        <v>1900</v>
      </c>
      <c r="CG45">
        <v>263726.04835701</v>
      </c>
      <c r="CH45">
        <v>116561.60678254</v>
      </c>
      <c r="CI45">
        <v>120993.35768981</v>
      </c>
      <c r="CJ45">
        <v>162947.534463841</v>
      </c>
      <c r="CK45" t="s">
        <v>1900</v>
      </c>
      <c r="CL45" t="s">
        <v>1900</v>
      </c>
      <c r="CM45" t="s">
        <v>1900</v>
      </c>
      <c r="CN45" t="s">
        <v>1900</v>
      </c>
      <c r="CO45" t="s">
        <v>1900</v>
      </c>
      <c r="CP45" t="s">
        <v>1900</v>
      </c>
      <c r="CQ45" t="s">
        <v>1900</v>
      </c>
      <c r="CR45" t="s">
        <v>1900</v>
      </c>
      <c r="CS45" t="s">
        <v>1900</v>
      </c>
      <c r="CT45" t="s">
        <v>1900</v>
      </c>
      <c r="CU45" t="s">
        <v>1900</v>
      </c>
      <c r="CV45" t="s">
        <v>1900</v>
      </c>
      <c r="CW45" t="s">
        <v>1900</v>
      </c>
      <c r="CX45" t="s">
        <v>1900</v>
      </c>
      <c r="CY45" t="s">
        <v>1900</v>
      </c>
      <c r="CZ45" t="s">
        <v>1900</v>
      </c>
      <c r="DA45">
        <v>263726.04835701</v>
      </c>
      <c r="DB45">
        <v>116561.60678254</v>
      </c>
      <c r="DC45">
        <v>120993.35768981</v>
      </c>
      <c r="DD45">
        <v>162947.534463841</v>
      </c>
      <c r="DE45" t="s">
        <v>1900</v>
      </c>
      <c r="DF45" t="s">
        <v>1900</v>
      </c>
      <c r="DG45" t="s">
        <v>1900</v>
      </c>
      <c r="DH45" t="s">
        <v>1900</v>
      </c>
      <c r="DI45" t="s">
        <v>1900</v>
      </c>
      <c r="DJ45" t="s">
        <v>1900</v>
      </c>
      <c r="DK45">
        <v>3162245.33517685</v>
      </c>
      <c r="DL45">
        <v>2874903.81318364</v>
      </c>
      <c r="DM45">
        <v>2674925.77562442</v>
      </c>
      <c r="DN45">
        <v>2127758.79601301</v>
      </c>
      <c r="DO45" t="s">
        <v>1900</v>
      </c>
      <c r="DP45">
        <v>1512042.63338615</v>
      </c>
      <c r="DQ45">
        <v>1297187.35430907</v>
      </c>
      <c r="DR45">
        <v>1332791.90823219</v>
      </c>
      <c r="DS45">
        <v>1285857.75909777</v>
      </c>
      <c r="DT45" t="s">
        <v>1900</v>
      </c>
      <c r="DU45">
        <v>1939.27587032318</v>
      </c>
      <c r="DV45">
        <v>2812.23887472153</v>
      </c>
      <c r="DW45">
        <v>4517.47826035023</v>
      </c>
      <c r="DX45">
        <v>5302.24698886871</v>
      </c>
      <c r="DY45" t="s">
        <v>1900</v>
      </c>
      <c r="DZ45">
        <v>153372.455531673</v>
      </c>
      <c r="EA45">
        <v>168868.542696899</v>
      </c>
      <c r="EB45">
        <v>-16540.2796961546</v>
      </c>
      <c r="EC45">
        <v>115138.187341905</v>
      </c>
      <c r="ED45" t="s">
        <v>1900</v>
      </c>
      <c r="EE45" t="s">
        <v>1900</v>
      </c>
      <c r="EF45" t="s">
        <v>1900</v>
      </c>
      <c r="EG45">
        <v>419.062113761902</v>
      </c>
      <c r="EH45">
        <v>8421.48432404995</v>
      </c>
      <c r="EI45" t="s">
        <v>1900</v>
      </c>
      <c r="EJ45" t="s">
        <v>1900</v>
      </c>
      <c r="EK45" t="s">
        <v>1900</v>
      </c>
      <c r="EL45" t="s">
        <v>1900</v>
      </c>
      <c r="EM45" t="s">
        <v>1900</v>
      </c>
      <c r="EN45" t="s">
        <v>1900</v>
      </c>
      <c r="EO45">
        <v>265665.324227333</v>
      </c>
      <c r="EP45">
        <v>119373.845657261</v>
      </c>
      <c r="EQ45">
        <v>125510.83595016</v>
      </c>
      <c r="ER45">
        <v>168249.781452709</v>
      </c>
      <c r="ES45" t="s">
        <v>1900</v>
      </c>
      <c r="ET45">
        <v>1865386.10046236</v>
      </c>
      <c r="EU45">
        <v>1460206.32410052</v>
      </c>
      <c r="EV45">
        <v>1499617.69289403</v>
      </c>
      <c r="EW45">
        <v>1516957.95916725</v>
      </c>
      <c r="EX45" t="s">
        <v>1900</v>
      </c>
      <c r="EY45">
        <v>351514.647055454</v>
      </c>
      <c r="EZ45">
        <v>163130.536097926</v>
      </c>
      <c r="FA45">
        <v>166847.14550364</v>
      </c>
      <c r="FB45">
        <v>231100.198842376</v>
      </c>
      <c r="FC45" t="s">
        <v>1900</v>
      </c>
      <c r="FD45">
        <v>5968.35077852249</v>
      </c>
      <c r="FE45">
        <v>3189.71909961104</v>
      </c>
      <c r="FF45">
        <v>7566.16646397114</v>
      </c>
      <c r="FG45">
        <v>11902.7895785213</v>
      </c>
      <c r="FH45" t="s">
        <v>1900</v>
      </c>
      <c r="FI45">
        <v>373.125517454147</v>
      </c>
      <c r="FJ45">
        <v>1687.5630443275</v>
      </c>
      <c r="FK45">
        <v>4276.39295890331</v>
      </c>
      <c r="FL45">
        <v>5066.88934323788</v>
      </c>
      <c r="FM45" t="s">
        <v>1900</v>
      </c>
      <c r="FN45">
        <v>2818.55791493416</v>
      </c>
      <c r="FO45">
        <v>1103.63182249069</v>
      </c>
      <c r="FP45">
        <v>1051.29093139172</v>
      </c>
      <c r="FQ45">
        <v>1431.38679080009</v>
      </c>
      <c r="FR45" t="s">
        <v>1900</v>
      </c>
      <c r="FS45">
        <v>2776.66734613419</v>
      </c>
      <c r="FT45">
        <v>398.524232792854</v>
      </c>
      <c r="FU45">
        <v>2238.4814410758</v>
      </c>
      <c r="FV45">
        <v>5404.51344448328</v>
      </c>
      <c r="FW45" t="s">
        <v>1900</v>
      </c>
      <c r="FX45">
        <v>373.125517454147</v>
      </c>
      <c r="FY45">
        <v>1687.5630443275</v>
      </c>
      <c r="FZ45">
        <v>4276.39295890331</v>
      </c>
      <c r="GA45">
        <v>5066.88934323788</v>
      </c>
      <c r="GB45" t="s">
        <v>1900</v>
      </c>
      <c r="GC45">
        <v>2818.55791493416</v>
      </c>
      <c r="GD45">
        <v>1103.63182249069</v>
      </c>
      <c r="GE45">
        <v>1051.29093139172</v>
      </c>
      <c r="GF45">
        <v>1431.38679080009</v>
      </c>
      <c r="GG45" t="s">
        <v>1900</v>
      </c>
      <c r="GH45">
        <v>2776.66734613419</v>
      </c>
      <c r="GI45">
        <v>398.524232792854</v>
      </c>
      <c r="GJ45">
        <v>2238.4814410758</v>
      </c>
      <c r="GK45">
        <v>5404.51344448328</v>
      </c>
      <c r="GL45" t="s">
        <v>1900</v>
      </c>
      <c r="GM45">
        <v>914435.900537596</v>
      </c>
      <c r="GN45">
        <v>842129.338224447</v>
      </c>
      <c r="GO45">
        <v>620952.467752647</v>
      </c>
      <c r="GP45">
        <v>521466.670308959</v>
      </c>
      <c r="GQ45" t="s">
        <v>1900</v>
      </c>
      <c r="GR45">
        <v>0</v>
      </c>
      <c r="GS45">
        <v>0</v>
      </c>
      <c r="GT45">
        <v>0</v>
      </c>
      <c r="GU45">
        <v>0</v>
      </c>
      <c r="GV45" t="s">
        <v>1900</v>
      </c>
      <c r="GW45">
        <v>391212.397621317</v>
      </c>
      <c r="GX45">
        <v>359453.744264406</v>
      </c>
      <c r="GY45">
        <v>268076.503242159</v>
      </c>
      <c r="GZ45">
        <v>175094.664054865</v>
      </c>
      <c r="HA45" t="s">
        <v>1900</v>
      </c>
      <c r="HB45">
        <v>523223.502916279</v>
      </c>
      <c r="HC45">
        <v>482675.593960041</v>
      </c>
      <c r="HD45">
        <v>352875.964510488</v>
      </c>
      <c r="HE45">
        <v>346372.006254095</v>
      </c>
      <c r="HF45" t="s">
        <v>1900</v>
      </c>
      <c r="HG45">
        <v>464967.059071503</v>
      </c>
      <c r="HH45">
        <v>461802.935264492</v>
      </c>
      <c r="HI45">
        <v>335336.765321159</v>
      </c>
      <c r="HJ45">
        <v>329561.690718353</v>
      </c>
      <c r="HK45" t="s">
        <v>1900</v>
      </c>
      <c r="HL45">
        <v>920404.2513161181</v>
      </c>
      <c r="HM45">
        <v>845319.057324058</v>
      </c>
      <c r="HN45">
        <v>628518.634216618</v>
      </c>
      <c r="HO45">
        <v>533369.4598874809</v>
      </c>
      <c r="HP45" t="s">
        <v>1900</v>
      </c>
      <c r="HQ45">
        <v>375045.024865599</v>
      </c>
      <c r="HR45">
        <v>344235.502765936</v>
      </c>
      <c r="HS45">
        <v>241762.279302692</v>
      </c>
      <c r="HT45">
        <v>130845.328336465</v>
      </c>
      <c r="HU45" t="s">
        <v>1900</v>
      </c>
      <c r="HV45">
        <v>4478.56700992584</v>
      </c>
      <c r="HW45">
        <v>4322.92772591114</v>
      </c>
      <c r="HX45">
        <v>4590.42904615402</v>
      </c>
      <c r="HY45">
        <v>4973.43346059322</v>
      </c>
      <c r="HZ45" t="s">
        <v>1900</v>
      </c>
      <c r="IA45">
        <v>370566.457855673</v>
      </c>
      <c r="IB45">
        <v>339912.575040025</v>
      </c>
      <c r="IC45">
        <v>237171.850256538</v>
      </c>
      <c r="ID45">
        <v>125871.893648773</v>
      </c>
      <c r="IE45" t="s">
        <v>1900</v>
      </c>
      <c r="IF45">
        <v>20228.9346784973</v>
      </c>
      <c r="IG45">
        <v>10745.445878464</v>
      </c>
      <c r="IH45">
        <v>6787.26590652466</v>
      </c>
      <c r="II45">
        <v>38344.644328475</v>
      </c>
      <c r="IJ45" t="s">
        <v>1900</v>
      </c>
      <c r="IK45">
        <v>0</v>
      </c>
      <c r="IL45">
        <v>0</v>
      </c>
      <c r="IM45">
        <v>0</v>
      </c>
      <c r="IN45">
        <v>35149.2900237501</v>
      </c>
      <c r="IO45" t="s">
        <v>1900</v>
      </c>
      <c r="IP45">
        <v>20228.9346784973</v>
      </c>
      <c r="IQ45">
        <v>10745.445878464</v>
      </c>
      <c r="IR45">
        <v>6787.26590652466</v>
      </c>
      <c r="IS45">
        <v>3195.35430472493</v>
      </c>
      <c r="IT45" t="s">
        <v>1900</v>
      </c>
      <c r="IU45" t="s">
        <v>1900</v>
      </c>
      <c r="IV45" t="s">
        <v>1900</v>
      </c>
      <c r="IW45" t="s">
        <v>1900</v>
      </c>
      <c r="IX45" t="s">
        <v>1900</v>
      </c>
      <c r="IY45" t="s">
        <v>1900</v>
      </c>
      <c r="IZ45">
        <v>525130.291772022</v>
      </c>
      <c r="JA45">
        <v>490338.108679658</v>
      </c>
      <c r="JB45">
        <v>379969.089007401</v>
      </c>
      <c r="JC45">
        <v>364179.48722254</v>
      </c>
      <c r="JD45" t="s">
        <v>1900</v>
      </c>
      <c r="JE45">
        <v>0</v>
      </c>
      <c r="JF45">
        <v>0</v>
      </c>
      <c r="JG45">
        <v>7550.67249176502</v>
      </c>
      <c r="JH45">
        <v>0</v>
      </c>
      <c r="JI45" t="s">
        <v>1900</v>
      </c>
      <c r="JJ45">
        <v>182857.338464127</v>
      </c>
      <c r="JK45">
        <v>189331.37120508</v>
      </c>
      <c r="JL45">
        <v>151229.198867869</v>
      </c>
      <c r="JM45">
        <v>141614.229078341</v>
      </c>
      <c r="JN45" t="s">
        <v>1900</v>
      </c>
      <c r="JO45">
        <v>342272.953307896</v>
      </c>
      <c r="JP45">
        <v>301006.737474579</v>
      </c>
      <c r="JQ45">
        <v>221189.217647767</v>
      </c>
      <c r="JR45">
        <v>222565.2581442</v>
      </c>
      <c r="JS45" t="s">
        <v>1900</v>
      </c>
      <c r="JT45">
        <v>920404.2513161181</v>
      </c>
      <c r="JU45">
        <v>845319.057324058</v>
      </c>
      <c r="JV45">
        <v>628518.634216618</v>
      </c>
      <c r="JW45">
        <v>533369.4598874809</v>
      </c>
      <c r="JX45" t="s">
        <v>1900</v>
      </c>
      <c r="JY45">
        <v>208355.05915719</v>
      </c>
      <c r="JZ45">
        <v>170122.373059326</v>
      </c>
      <c r="KA45">
        <v>116847.303241689</v>
      </c>
      <c r="KB45">
        <v>33480.4349765241</v>
      </c>
      <c r="KC45" t="s">
        <v>1900</v>
      </c>
      <c r="KD45" t="s">
        <v>1900</v>
      </c>
      <c r="KE45" t="s">
        <v>1900</v>
      </c>
      <c r="KF45" t="s">
        <v>1900</v>
      </c>
      <c r="KG45" t="s">
        <v>1900</v>
      </c>
      <c r="KH45" t="s">
        <v>1900</v>
      </c>
      <c r="KI45" t="s">
        <v>1900</v>
      </c>
      <c r="KJ45" t="s">
        <v>1900</v>
      </c>
      <c r="KK45" t="s">
        <v>1900</v>
      </c>
      <c r="KL45" t="s">
        <v>1900</v>
      </c>
      <c r="KM45" t="s">
        <v>1900</v>
      </c>
      <c r="KN45">
        <v>46</v>
      </c>
      <c r="KO45">
        <v>43</v>
      </c>
      <c r="KP45">
        <v>44</v>
      </c>
      <c r="KQ45">
        <v>55</v>
      </c>
      <c r="KR45" t="s">
        <v>1900</v>
      </c>
      <c r="KS45" t="s">
        <v>1900</v>
      </c>
      <c r="KT45" t="s">
        <v>1900</v>
      </c>
      <c r="KU45" t="s">
        <v>1900</v>
      </c>
      <c r="KV45" t="s">
        <v>1900</v>
      </c>
      <c r="KW45" t="s">
        <v>1900</v>
      </c>
      <c r="KX45" t="s">
        <v>1900</v>
      </c>
      <c r="KY45" t="s">
        <v>1900</v>
      </c>
      <c r="KZ45" t="s">
        <v>1900</v>
      </c>
      <c r="LA45" t="s">
        <v>1900</v>
      </c>
      <c r="LB45" t="s">
        <v>1900</v>
      </c>
      <c r="LC45" t="s">
        <v>1900</v>
      </c>
      <c r="LD45" t="s">
        <v>1900</v>
      </c>
      <c r="LE45" t="s">
        <v>1900</v>
      </c>
      <c r="LF45" t="s">
        <v>1900</v>
      </c>
      <c r="LG45" t="s">
        <v>1900</v>
      </c>
      <c r="LH45" t="s">
        <v>1900</v>
      </c>
      <c r="LI45" t="s">
        <v>1900</v>
      </c>
      <c r="LJ45" t="s">
        <v>1900</v>
      </c>
      <c r="LK45" t="s">
        <v>1900</v>
      </c>
      <c r="LL45" t="s">
        <v>1900</v>
      </c>
      <c r="LM45" t="s">
        <v>1900</v>
      </c>
      <c r="LN45" t="s">
        <v>1900</v>
      </c>
      <c r="LO45" t="s">
        <v>1900</v>
      </c>
      <c r="LP45" t="s">
        <v>1900</v>
      </c>
      <c r="LQ45" t="s">
        <v>1900</v>
      </c>
      <c r="LR45" t="s">
        <v>1900</v>
      </c>
      <c r="LS45" t="s">
        <v>1900</v>
      </c>
      <c r="LT45" t="s">
        <v>1900</v>
      </c>
      <c r="LU45" t="s">
        <v>1900</v>
      </c>
      <c r="LV45" t="s">
        <v>1900</v>
      </c>
      <c r="LW45" t="s">
        <v>1900</v>
      </c>
      <c r="LX45" t="s">
        <v>1900</v>
      </c>
      <c r="LY45" t="s">
        <v>1900</v>
      </c>
      <c r="LZ45" t="s">
        <v>1900</v>
      </c>
      <c r="MA45" t="s">
        <v>1900</v>
      </c>
      <c r="MB45" t="s">
        <v>1900</v>
      </c>
      <c r="MC45" t="s">
        <v>1900</v>
      </c>
      <c r="MD45" t="s">
        <v>1900</v>
      </c>
      <c r="ME45" t="s">
        <v>1900</v>
      </c>
      <c r="MF45" t="s">
        <v>1900</v>
      </c>
      <c r="MG45" t="s">
        <v>1900</v>
      </c>
      <c r="MH45" t="s">
        <v>1900</v>
      </c>
      <c r="MI45" t="s">
        <v>1900</v>
      </c>
      <c r="MJ45" t="s">
        <v>1900</v>
      </c>
      <c r="MK45" t="s">
        <v>1900</v>
      </c>
      <c r="ML45" t="s">
        <v>1900</v>
      </c>
      <c r="MM45" t="s">
        <v>1900</v>
      </c>
      <c r="MN45" t="s">
        <v>1900</v>
      </c>
      <c r="MO45" t="s">
        <v>1900</v>
      </c>
      <c r="MP45" t="s">
        <v>1900</v>
      </c>
      <c r="MQ45">
        <v>523223.502916279</v>
      </c>
      <c r="MR45">
        <v>482675.593960041</v>
      </c>
      <c r="MS45">
        <v>352875.964510488</v>
      </c>
      <c r="MT45">
        <v>346372.006254095</v>
      </c>
      <c r="MU45" t="s">
        <v>1900</v>
      </c>
      <c r="MV45" t="s">
        <v>1900</v>
      </c>
      <c r="MW45" t="s">
        <v>1900</v>
      </c>
      <c r="MX45" t="s">
        <v>1900</v>
      </c>
      <c r="MY45" t="s">
        <v>1900</v>
      </c>
      <c r="MZ45" t="s">
        <v>1900</v>
      </c>
      <c r="NA45" t="s">
        <v>1900</v>
      </c>
      <c r="NB45" t="s">
        <v>1900</v>
      </c>
      <c r="NC45" t="s">
        <v>1900</v>
      </c>
      <c r="ND45" t="s">
        <v>1900</v>
      </c>
      <c r="NE45" t="s">
        <v>1900</v>
      </c>
      <c r="NF45" t="s">
        <v>1900</v>
      </c>
      <c r="NG45" t="s">
        <v>1900</v>
      </c>
      <c r="NH45" t="s">
        <v>1900</v>
      </c>
      <c r="NI45" t="s">
        <v>1900</v>
      </c>
      <c r="NJ45" t="s">
        <v>1900</v>
      </c>
      <c r="NK45" t="s">
        <v>1900</v>
      </c>
      <c r="NL45" t="s">
        <v>1900</v>
      </c>
      <c r="NM45" t="s">
        <v>1900</v>
      </c>
      <c r="NN45" t="s">
        <v>1900</v>
      </c>
      <c r="NO45" t="s">
        <v>1900</v>
      </c>
      <c r="NP45" t="s">
        <v>1900</v>
      </c>
      <c r="NQ45" t="s">
        <v>1900</v>
      </c>
      <c r="NR45" t="s">
        <v>1900</v>
      </c>
      <c r="NS45" t="s">
        <v>1900</v>
      </c>
      <c r="NT45" t="s">
        <v>1900</v>
      </c>
      <c r="NU45">
        <v>5968.35077852249</v>
      </c>
      <c r="NV45">
        <v>3189.71909961104</v>
      </c>
      <c r="NW45">
        <v>7566.16646397114</v>
      </c>
      <c r="NX45">
        <v>11902.7895785213</v>
      </c>
      <c r="NY45" t="s">
        <v>1900</v>
      </c>
      <c r="NZ45" t="s">
        <v>1900</v>
      </c>
      <c r="OA45" t="s">
        <v>1900</v>
      </c>
      <c r="OB45" t="s">
        <v>1900</v>
      </c>
      <c r="OC45" t="s">
        <v>1900</v>
      </c>
      <c r="OD45" t="s">
        <v>1900</v>
      </c>
      <c r="OE45" t="s">
        <v>1900</v>
      </c>
      <c r="OF45" t="s">
        <v>1900</v>
      </c>
      <c r="OG45" t="s">
        <v>1900</v>
      </c>
      <c r="OH45" t="s">
        <v>1900</v>
      </c>
      <c r="OI45" t="s">
        <v>1900</v>
      </c>
      <c r="OJ45" t="s">
        <v>1900</v>
      </c>
      <c r="OK45" t="s">
        <v>1900</v>
      </c>
      <c r="OL45" t="s">
        <v>1900</v>
      </c>
      <c r="OM45" t="s">
        <v>1900</v>
      </c>
      <c r="ON45" t="s">
        <v>1900</v>
      </c>
      <c r="OO45" t="s">
        <v>1900</v>
      </c>
      <c r="OP45" t="s">
        <v>1900</v>
      </c>
      <c r="OQ45" t="s">
        <v>1900</v>
      </c>
      <c r="OR45" t="s">
        <v>1900</v>
      </c>
      <c r="OS45" t="s">
        <v>1900</v>
      </c>
      <c r="OT45" t="s">
        <v>1900</v>
      </c>
      <c r="OU45" t="s">
        <v>1900</v>
      </c>
      <c r="OV45" t="s">
        <v>1900</v>
      </c>
      <c r="OW45" t="s">
        <v>1900</v>
      </c>
      <c r="OX45" t="s">
        <v>1900</v>
      </c>
      <c r="OY45" t="s">
        <v>1900</v>
      </c>
      <c r="OZ45" t="s">
        <v>1900</v>
      </c>
      <c r="PA45" t="s">
        <v>1900</v>
      </c>
      <c r="PB45" t="s">
        <v>1900</v>
      </c>
      <c r="PC45" t="s">
        <v>1900</v>
      </c>
      <c r="PD45" t="s">
        <v>1900</v>
      </c>
      <c r="PE45" t="s">
        <v>1900</v>
      </c>
      <c r="PF45" t="s">
        <v>1900</v>
      </c>
      <c r="PG45" t="s">
        <v>1900</v>
      </c>
      <c r="PH45" t="s">
        <v>1900</v>
      </c>
      <c r="PI45" t="s">
        <v>1900</v>
      </c>
      <c r="PJ45" t="s">
        <v>1900</v>
      </c>
      <c r="PK45" t="s">
        <v>1900</v>
      </c>
      <c r="PL45" t="s">
        <v>1900</v>
      </c>
      <c r="PM45" t="s">
        <v>1900</v>
      </c>
      <c r="PN45" t="s">
        <v>1900</v>
      </c>
      <c r="PO45" t="s">
        <v>1900</v>
      </c>
      <c r="PP45" t="s">
        <v>1900</v>
      </c>
      <c r="PQ45" t="s">
        <v>1900</v>
      </c>
      <c r="PR45" t="s">
        <v>1900</v>
      </c>
      <c r="PS45" t="s">
        <v>1900</v>
      </c>
      <c r="PT45" t="s">
        <v>1900</v>
      </c>
      <c r="PU45" t="s">
        <v>1900</v>
      </c>
      <c r="PV45" t="s">
        <v>1900</v>
      </c>
      <c r="PW45" t="s">
        <v>1900</v>
      </c>
      <c r="PX45" t="s">
        <v>1900</v>
      </c>
      <c r="PY45" t="s">
        <v>1900</v>
      </c>
      <c r="PZ45" t="s">
        <v>1900</v>
      </c>
      <c r="QA45" t="s">
        <v>1900</v>
      </c>
      <c r="QB45" t="s">
        <v>1900</v>
      </c>
      <c r="QC45" t="s">
        <v>1900</v>
      </c>
      <c r="QD45" t="s">
        <v>1900</v>
      </c>
      <c r="QE45" t="s">
        <v>1900</v>
      </c>
      <c r="QF45" t="s">
        <v>1900</v>
      </c>
      <c r="QG45" t="s">
        <v>1900</v>
      </c>
      <c r="QH45" t="s">
        <v>1900</v>
      </c>
      <c r="QI45" t="s">
        <v>1900</v>
      </c>
      <c r="QJ45" t="s">
        <v>1900</v>
      </c>
      <c r="QK45" t="s">
        <v>1900</v>
      </c>
      <c r="QL45" t="s">
        <v>1900</v>
      </c>
      <c r="QM45" t="s">
        <v>1900</v>
      </c>
      <c r="QN45" t="s">
        <v>1900</v>
      </c>
      <c r="QO45" t="s">
        <v>1900</v>
      </c>
      <c r="QP45" t="s">
        <v>1900</v>
      </c>
      <c r="QQ45" t="s">
        <v>1900</v>
      </c>
      <c r="QR45" t="s">
        <v>1900</v>
      </c>
      <c r="QS45" t="s">
        <v>1900</v>
      </c>
      <c r="QT45" t="s">
        <v>1900</v>
      </c>
      <c r="QU45" t="s">
        <v>1900</v>
      </c>
      <c r="QV45" t="s">
        <v>1900</v>
      </c>
      <c r="QW45" t="s">
        <v>1900</v>
      </c>
      <c r="QX45" t="s">
        <v>1900</v>
      </c>
      <c r="QY45" t="s">
        <v>1900</v>
      </c>
      <c r="QZ45" t="s">
        <v>1900</v>
      </c>
      <c r="RA45" t="s">
        <v>1900</v>
      </c>
      <c r="RB45" t="s">
        <v>1900</v>
      </c>
      <c r="RC45" t="s">
        <v>1900</v>
      </c>
      <c r="RD45" t="s">
        <v>1900</v>
      </c>
      <c r="RE45" t="s">
        <v>1900</v>
      </c>
      <c r="RF45" t="s">
        <v>1900</v>
      </c>
      <c r="RG45" t="s">
        <v>1900</v>
      </c>
      <c r="RH45" t="s">
        <v>1900</v>
      </c>
      <c r="RI45" t="s">
        <v>1900</v>
      </c>
      <c r="RJ45" t="s">
        <v>1900</v>
      </c>
      <c r="RK45" t="s">
        <v>1900</v>
      </c>
      <c r="RL45" t="s">
        <v>1900</v>
      </c>
      <c r="RM45" t="s">
        <v>1900</v>
      </c>
      <c r="RN45" t="s">
        <v>1900</v>
      </c>
      <c r="RO45" t="s">
        <v>1900</v>
      </c>
      <c r="RP45" t="s">
        <v>1900</v>
      </c>
      <c r="RQ45" t="s">
        <v>1900</v>
      </c>
      <c r="RR45" t="s">
        <v>1900</v>
      </c>
      <c r="RS45" t="s">
        <v>1900</v>
      </c>
      <c r="RT45" t="s">
        <v>1900</v>
      </c>
      <c r="RU45" t="s">
        <v>1900</v>
      </c>
      <c r="RV45" t="s">
        <v>1900</v>
      </c>
      <c r="RW45" t="s">
        <v>1900</v>
      </c>
      <c r="RX45" t="s">
        <v>1900</v>
      </c>
      <c r="RY45" t="s">
        <v>1900</v>
      </c>
      <c r="RZ45" t="s">
        <v>1900</v>
      </c>
      <c r="SA45" t="s">
        <v>1900</v>
      </c>
      <c r="SB45" t="s">
        <v>1900</v>
      </c>
      <c r="SC45" t="s">
        <v>1900</v>
      </c>
      <c r="SD45" t="s">
        <v>1900</v>
      </c>
      <c r="SE45" t="s">
        <v>1900</v>
      </c>
      <c r="SF45" t="s">
        <v>1900</v>
      </c>
      <c r="SG45" t="s">
        <v>1900</v>
      </c>
      <c r="SH45" t="s">
        <v>1900</v>
      </c>
      <c r="SI45" t="s">
        <v>1900</v>
      </c>
      <c r="SJ45" t="s">
        <v>1900</v>
      </c>
      <c r="SK45">
        <v>2776.66734613419</v>
      </c>
      <c r="SL45">
        <v>398.524232792854</v>
      </c>
      <c r="SM45">
        <v>2238.4814410758</v>
      </c>
      <c r="SN45">
        <v>5404.51344448328</v>
      </c>
      <c r="SO45" t="s">
        <v>1900</v>
      </c>
      <c r="SP45" t="s">
        <v>1900</v>
      </c>
      <c r="SQ45" t="s">
        <v>1900</v>
      </c>
      <c r="SR45" t="s">
        <v>1900</v>
      </c>
      <c r="SS45" t="s">
        <v>1900</v>
      </c>
      <c r="ST45" t="s">
        <v>1900</v>
      </c>
      <c r="SU45" t="s">
        <v>1900</v>
      </c>
      <c r="SV45" t="s">
        <v>1900</v>
      </c>
      <c r="SW45" t="s">
        <v>1900</v>
      </c>
      <c r="SX45" t="s">
        <v>1900</v>
      </c>
      <c r="SY45" t="s">
        <v>1900</v>
      </c>
      <c r="SZ45" t="s">
        <v>1900</v>
      </c>
      <c r="TA45" t="s">
        <v>1900</v>
      </c>
      <c r="TB45" t="s">
        <v>1900</v>
      </c>
      <c r="TC45" t="s">
        <v>1900</v>
      </c>
      <c r="TD45" t="s">
        <v>1900</v>
      </c>
      <c r="TE45" t="s">
        <v>1900</v>
      </c>
      <c r="TF45" t="s">
        <v>1900</v>
      </c>
      <c r="TG45" t="s">
        <v>1900</v>
      </c>
      <c r="TH45" t="s">
        <v>1900</v>
      </c>
      <c r="TI45" t="s">
        <v>1900</v>
      </c>
      <c r="TJ45" t="s">
        <v>1900</v>
      </c>
      <c r="TK45" t="s">
        <v>1900</v>
      </c>
      <c r="TL45" t="s">
        <v>1900</v>
      </c>
      <c r="TM45" t="s">
        <v>1900</v>
      </c>
      <c r="TN45" t="s">
        <v>1900</v>
      </c>
      <c r="TO45" t="s">
        <v>1900</v>
      </c>
      <c r="TP45" t="s">
        <v>1900</v>
      </c>
      <c r="TQ45" t="s">
        <v>1900</v>
      </c>
      <c r="TR45" t="s">
        <v>1900</v>
      </c>
      <c r="TS45" t="s">
        <v>1900</v>
      </c>
      <c r="TT45">
        <v>920404.2513161181</v>
      </c>
      <c r="TU45">
        <v>845319.057324058</v>
      </c>
      <c r="TV45">
        <v>628518.634216618</v>
      </c>
      <c r="TW45">
        <v>533369.4598874809</v>
      </c>
      <c r="TX45" t="s">
        <v>1900</v>
      </c>
      <c r="TY45" t="s">
        <v>1900</v>
      </c>
      <c r="TZ45" t="s">
        <v>1900</v>
      </c>
      <c r="UA45" t="s">
        <v>1900</v>
      </c>
      <c r="UB45" t="s">
        <v>1900</v>
      </c>
      <c r="UC45" t="s">
        <v>1900</v>
      </c>
      <c r="UD45">
        <v>0</v>
      </c>
      <c r="UE45">
        <v>0</v>
      </c>
      <c r="UF45">
        <v>7550.67249176502</v>
      </c>
      <c r="UG45">
        <v>0</v>
      </c>
      <c r="UH45" t="s">
        <v>1900</v>
      </c>
      <c r="UI45" t="s">
        <v>1900</v>
      </c>
      <c r="UJ45" t="s">
        <v>1900</v>
      </c>
      <c r="UK45" t="s">
        <v>1900</v>
      </c>
      <c r="UL45" t="s">
        <v>1900</v>
      </c>
      <c r="UM45" t="s">
        <v>1900</v>
      </c>
      <c r="UN45" t="s">
        <v>1900</v>
      </c>
      <c r="UO45" t="s">
        <v>1900</v>
      </c>
      <c r="UP45" t="s">
        <v>1900</v>
      </c>
      <c r="UQ45" t="s">
        <v>1900</v>
      </c>
      <c r="UR45" t="s">
        <v>1900</v>
      </c>
      <c r="US45" t="s">
        <v>1900</v>
      </c>
      <c r="UT45" t="s">
        <v>1900</v>
      </c>
      <c r="UU45" t="s">
        <v>1900</v>
      </c>
      <c r="UV45" t="s">
        <v>1900</v>
      </c>
      <c r="UW45" t="s">
        <v>1900</v>
      </c>
      <c r="UX45" t="s">
        <v>1900</v>
      </c>
      <c r="UY45" t="s">
        <v>1900</v>
      </c>
      <c r="UZ45" t="s">
        <v>1900</v>
      </c>
      <c r="VA45" t="s">
        <v>1900</v>
      </c>
      <c r="VB45" t="s">
        <v>1900</v>
      </c>
      <c r="VC45" t="s">
        <v>1900</v>
      </c>
      <c r="VD45" t="s">
        <v>1900</v>
      </c>
      <c r="VE45" t="s">
        <v>1900</v>
      </c>
      <c r="VF45" t="s">
        <v>1900</v>
      </c>
      <c r="VG45" t="s">
        <v>1900</v>
      </c>
      <c r="VH45" t="s">
        <v>1900</v>
      </c>
      <c r="VI45" t="s">
        <v>1900</v>
      </c>
      <c r="VJ45" t="s">
        <v>1900</v>
      </c>
      <c r="VK45" t="s">
        <v>1900</v>
      </c>
      <c r="VL45" t="s">
        <v>1900</v>
      </c>
      <c r="VM45" t="s">
        <v>1900</v>
      </c>
      <c r="VN45" t="s">
        <v>1900</v>
      </c>
      <c r="VO45" t="s">
        <v>1900</v>
      </c>
      <c r="VP45" t="s">
        <v>1900</v>
      </c>
      <c r="VQ45" t="s">
        <v>1900</v>
      </c>
      <c r="VR45" t="s">
        <v>1900</v>
      </c>
      <c r="VS45" t="s">
        <v>1900</v>
      </c>
      <c r="VT45" t="s">
        <v>1900</v>
      </c>
      <c r="VU45" t="s">
        <v>1900</v>
      </c>
      <c r="VV45" t="s">
        <v>1900</v>
      </c>
      <c r="VW45" t="s">
        <v>1900</v>
      </c>
      <c r="VX45" t="s">
        <v>1900</v>
      </c>
      <c r="VY45" t="s">
        <v>1900</v>
      </c>
      <c r="VZ45" t="s">
        <v>1900</v>
      </c>
      <c r="WA45" t="s">
        <v>1900</v>
      </c>
      <c r="WB45">
        <v>342272.953307896</v>
      </c>
      <c r="WC45">
        <v>301006.737474579</v>
      </c>
      <c r="WD45">
        <v>221189.217647767</v>
      </c>
      <c r="WE45">
        <v>222565.2581442</v>
      </c>
      <c r="WF45" t="s">
        <v>1900</v>
      </c>
      <c r="WG45" t="s">
        <v>1900</v>
      </c>
      <c r="WH45" t="s">
        <v>1900</v>
      </c>
      <c r="WI45" t="s">
        <v>1900</v>
      </c>
      <c r="WJ45" t="s">
        <v>1900</v>
      </c>
      <c r="WK45" t="s">
        <v>1900</v>
      </c>
      <c r="WL45" t="s">
        <v>1900</v>
      </c>
      <c r="WM45" t="s">
        <v>1900</v>
      </c>
      <c r="WN45" t="s">
        <v>1900</v>
      </c>
      <c r="WO45" t="s">
        <v>1900</v>
      </c>
      <c r="WP45" t="s">
        <v>1900</v>
      </c>
      <c r="WQ45" t="s">
        <v>1900</v>
      </c>
      <c r="WR45" t="s">
        <v>1900</v>
      </c>
      <c r="WS45" t="s">
        <v>1900</v>
      </c>
      <c r="WT45" t="s">
        <v>1900</v>
      </c>
      <c r="WU45" t="s">
        <v>1900</v>
      </c>
      <c r="WV45" t="s">
        <v>1900</v>
      </c>
      <c r="WW45" t="s">
        <v>1900</v>
      </c>
      <c r="WX45" t="s">
        <v>1900</v>
      </c>
      <c r="WY45" t="s">
        <v>1900</v>
      </c>
      <c r="WZ45" t="s">
        <v>1900</v>
      </c>
      <c r="XA45" t="s">
        <v>1900</v>
      </c>
      <c r="XB45" t="s">
        <v>1900</v>
      </c>
      <c r="XC45" t="s">
        <v>1900</v>
      </c>
      <c r="XD45" t="s">
        <v>1900</v>
      </c>
      <c r="XE45" t="s">
        <v>1900</v>
      </c>
      <c r="XF45" t="s">
        <v>1900</v>
      </c>
      <c r="XG45" t="s">
        <v>1900</v>
      </c>
      <c r="XH45" t="s">
        <v>1900</v>
      </c>
      <c r="XI45" t="s">
        <v>1900</v>
      </c>
      <c r="XJ45" t="s">
        <v>1900</v>
      </c>
      <c r="XK45">
        <v>20228.9346784973</v>
      </c>
      <c r="XL45">
        <v>10745.445878464</v>
      </c>
      <c r="XM45">
        <v>6787.26590652466</v>
      </c>
      <c r="XN45">
        <v>3195.35430472493</v>
      </c>
      <c r="XO45" t="s">
        <v>1900</v>
      </c>
      <c r="XP45" t="s">
        <v>1900</v>
      </c>
      <c r="XQ45" t="s">
        <v>1900</v>
      </c>
      <c r="XR45" t="s">
        <v>1900</v>
      </c>
      <c r="XS45" t="s">
        <v>1900</v>
      </c>
      <c r="XT45" t="s">
        <v>1900</v>
      </c>
      <c r="XU45" t="s">
        <v>1900</v>
      </c>
      <c r="XV45" t="s">
        <v>1900</v>
      </c>
      <c r="XW45" t="s">
        <v>1900</v>
      </c>
      <c r="XX45" t="s">
        <v>1900</v>
      </c>
      <c r="XY45" t="s">
        <v>1900</v>
      </c>
      <c r="XZ45" t="s">
        <v>1900</v>
      </c>
      <c r="YA45" t="s">
        <v>1900</v>
      </c>
      <c r="YB45" t="s">
        <v>1900</v>
      </c>
      <c r="YC45" t="s">
        <v>1900</v>
      </c>
      <c r="YD45" t="s">
        <v>1900</v>
      </c>
      <c r="YE45" t="s">
        <v>1900</v>
      </c>
      <c r="YF45" t="s">
        <v>1900</v>
      </c>
      <c r="YG45" t="s">
        <v>1900</v>
      </c>
      <c r="YH45" t="s">
        <v>1900</v>
      </c>
      <c r="YI45" t="s">
        <v>1900</v>
      </c>
      <c r="YJ45" t="s">
        <v>1900</v>
      </c>
      <c r="YK45" t="s">
        <v>1900</v>
      </c>
      <c r="YL45" t="s">
        <v>1900</v>
      </c>
      <c r="YM45" t="s">
        <v>1900</v>
      </c>
      <c r="YN45" t="s">
        <v>1900</v>
      </c>
      <c r="YO45" t="s">
        <v>1900</v>
      </c>
      <c r="YP45" t="s">
        <v>1900</v>
      </c>
      <c r="YQ45" t="s">
        <v>1900</v>
      </c>
      <c r="YR45" t="s">
        <v>1900</v>
      </c>
      <c r="YS45" t="s">
        <v>1900</v>
      </c>
      <c r="YT45" t="s">
        <v>1900</v>
      </c>
      <c r="YU45" t="s">
        <v>1900</v>
      </c>
      <c r="YV45" t="s">
        <v>1900</v>
      </c>
      <c r="YW45" t="s">
        <v>1900</v>
      </c>
      <c r="YX45" t="s">
        <v>1900</v>
      </c>
      <c r="YY45" t="s">
        <v>1900</v>
      </c>
      <c r="YZ45" t="s">
        <v>1900</v>
      </c>
      <c r="ZA45" t="s">
        <v>1900</v>
      </c>
      <c r="ZB45" t="s">
        <v>1900</v>
      </c>
      <c r="ZC45" t="s">
        <v>1900</v>
      </c>
      <c r="ZD45" t="s">
        <v>1900</v>
      </c>
      <c r="ZE45" t="s">
        <v>1900</v>
      </c>
      <c r="ZF45" t="s">
        <v>1900</v>
      </c>
      <c r="ZG45" t="s">
        <v>1900</v>
      </c>
      <c r="ZH45" t="s">
        <v>1900</v>
      </c>
      <c r="ZI45" t="s">
        <v>1900</v>
      </c>
      <c r="ZJ45" t="s">
        <v>1900</v>
      </c>
      <c r="ZK45" t="s">
        <v>1900</v>
      </c>
      <c r="ZL45" t="s">
        <v>1900</v>
      </c>
      <c r="ZM45" t="s">
        <v>1900</v>
      </c>
      <c r="ZN45" t="s">
        <v>1900</v>
      </c>
      <c r="ZO45" t="s">
        <v>1900</v>
      </c>
      <c r="ZP45" t="s">
        <v>1900</v>
      </c>
      <c r="ZQ45" t="s">
        <v>1900</v>
      </c>
      <c r="ZR45" t="s">
        <v>1900</v>
      </c>
      <c r="ZS45" t="s">
        <v>1900</v>
      </c>
      <c r="ZT45" t="s">
        <v>1900</v>
      </c>
      <c r="ZU45" t="s">
        <v>1900</v>
      </c>
      <c r="ZV45" t="s">
        <v>1900</v>
      </c>
      <c r="ZW45" t="s">
        <v>1900</v>
      </c>
      <c r="ZX45" t="s">
        <v>1900</v>
      </c>
      <c r="ZY45" t="s">
        <v>1900</v>
      </c>
      <c r="ZZ45" t="s">
        <v>1900</v>
      </c>
      <c r="AAA45" t="s">
        <v>1900</v>
      </c>
      <c r="AAB45" t="s">
        <v>1900</v>
      </c>
      <c r="AAC45" t="s">
        <v>1900</v>
      </c>
      <c r="AAD45" t="s">
        <v>1900</v>
      </c>
      <c r="AAE45" t="s">
        <v>1900</v>
      </c>
      <c r="AAF45" t="s">
        <v>1900</v>
      </c>
      <c r="AAG45" t="s">
        <v>1900</v>
      </c>
      <c r="AAH45" t="s">
        <v>1900</v>
      </c>
      <c r="AAI45" t="s">
        <v>1900</v>
      </c>
      <c r="AAJ45" t="s">
        <v>1900</v>
      </c>
      <c r="AAK45" t="s">
        <v>1900</v>
      </c>
      <c r="AAL45" t="s">
        <v>1900</v>
      </c>
      <c r="AAM45" t="s">
        <v>1900</v>
      </c>
      <c r="AAN45" t="s">
        <v>1900</v>
      </c>
      <c r="AAO45" t="s">
        <v>1900</v>
      </c>
      <c r="AAP45" t="s">
        <v>1900</v>
      </c>
      <c r="AAQ45" t="s">
        <v>1900</v>
      </c>
      <c r="AAR45" t="s">
        <v>1900</v>
      </c>
      <c r="AAS45" t="s">
        <v>1900</v>
      </c>
      <c r="AAT45" t="s">
        <v>1900</v>
      </c>
      <c r="AAU45" t="s">
        <v>1900</v>
      </c>
      <c r="AAV45" t="s">
        <v>1900</v>
      </c>
      <c r="AAW45" t="s">
        <v>1900</v>
      </c>
      <c r="AAX45" t="s">
        <v>1900</v>
      </c>
      <c r="AAY45" t="s">
        <v>1900</v>
      </c>
      <c r="AAZ45" t="s">
        <v>1900</v>
      </c>
      <c r="ABA45" t="s">
        <v>1900</v>
      </c>
      <c r="ABB45" t="s">
        <v>1900</v>
      </c>
      <c r="ABC45" t="s">
        <v>1900</v>
      </c>
      <c r="ABD45" t="s">
        <v>1900</v>
      </c>
      <c r="ABE45" t="s">
        <v>1900</v>
      </c>
      <c r="ABF45" t="s">
        <v>1900</v>
      </c>
      <c r="ABG45" t="s">
        <v>1900</v>
      </c>
      <c r="ABH45" t="s">
        <v>1900</v>
      </c>
      <c r="ABI45" t="s">
        <v>1900</v>
      </c>
      <c r="ABJ45" t="s">
        <v>1900</v>
      </c>
      <c r="ABK45" t="s">
        <v>1900</v>
      </c>
      <c r="ABL45" t="s">
        <v>1900</v>
      </c>
      <c r="ABM45" t="s">
        <v>1900</v>
      </c>
      <c r="ABN45" t="s">
        <v>1900</v>
      </c>
      <c r="ABO45" t="s">
        <v>1900</v>
      </c>
      <c r="ABP45" t="s">
        <v>1900</v>
      </c>
      <c r="ABQ45" t="s">
        <v>1900</v>
      </c>
      <c r="ABR45" t="s">
        <v>1900</v>
      </c>
      <c r="ABS45" t="s">
        <v>1900</v>
      </c>
      <c r="ABT45" t="s">
        <v>1900</v>
      </c>
      <c r="ABU45" t="s">
        <v>1900</v>
      </c>
      <c r="ABV45" t="s">
        <v>1900</v>
      </c>
      <c r="ABW45" t="s">
        <v>1900</v>
      </c>
      <c r="ABX45" t="s">
        <v>1900</v>
      </c>
      <c r="ABY45" t="s">
        <v>1900</v>
      </c>
      <c r="ABZ45" t="s">
        <v>1900</v>
      </c>
      <c r="ACA45" t="s">
        <v>1900</v>
      </c>
      <c r="ACB45" t="s">
        <v>1900</v>
      </c>
      <c r="ACC45" t="s">
        <v>1900</v>
      </c>
      <c r="ACD45" t="s">
        <v>1900</v>
      </c>
      <c r="ACE45" t="s">
        <v>1900</v>
      </c>
      <c r="ACF45">
        <v>93.697</v>
      </c>
      <c r="ACG45">
        <v>46.54</v>
      </c>
      <c r="ACH45">
        <v>66.962</v>
      </c>
      <c r="ACI45">
        <v>166.132</v>
      </c>
      <c r="ACJ45" t="s">
        <v>1900</v>
      </c>
      <c r="ACK45" t="s">
        <v>1900</v>
      </c>
      <c r="ACL45" t="s">
        <v>1900</v>
      </c>
      <c r="ACM45">
        <v>65.30200000000001</v>
      </c>
      <c r="ACN45">
        <v>133.458</v>
      </c>
      <c r="ACO45" t="s">
        <v>1900</v>
      </c>
      <c r="ACP45">
        <v>38.179</v>
      </c>
      <c r="ACQ45">
        <v>18.952</v>
      </c>
      <c r="ACR45">
        <v>25.757</v>
      </c>
      <c r="ACS45">
        <v>40.755</v>
      </c>
      <c r="ACT45" t="s">
        <v>1900</v>
      </c>
      <c r="ACU45">
        <v>70.319</v>
      </c>
      <c r="ACV45">
        <v>33.861</v>
      </c>
      <c r="ACW45">
        <v>50.046</v>
      </c>
      <c r="ACX45">
        <v>124.534</v>
      </c>
      <c r="ACY45" t="s">
        <v>1900</v>
      </c>
      <c r="ACZ45" t="s">
        <v>1900</v>
      </c>
      <c r="ADA45" t="s">
        <v>1900</v>
      </c>
      <c r="ADB45">
        <v>48.848</v>
      </c>
      <c r="ADC45">
        <v>101.288</v>
      </c>
      <c r="ADD45" t="s">
        <v>1900</v>
      </c>
      <c r="ADE45">
        <v>28.653</v>
      </c>
      <c r="ADF45">
        <v>13.789</v>
      </c>
      <c r="ADG45">
        <v>19.251</v>
      </c>
      <c r="ADH45">
        <v>30.551</v>
      </c>
      <c r="ADI45" t="s">
        <v>1900</v>
      </c>
      <c r="ADJ45">
        <v>6.785</v>
      </c>
      <c r="ADK45">
        <v>3.557</v>
      </c>
      <c r="ADL45">
        <v>3.893</v>
      </c>
      <c r="ADM45">
        <v>5.782</v>
      </c>
      <c r="ADN45" t="s">
        <v>1900</v>
      </c>
      <c r="ADO45">
        <v>38.943</v>
      </c>
      <c r="ADP45">
        <v>36.171</v>
      </c>
      <c r="ADQ45">
        <v>35.668</v>
      </c>
      <c r="ADR45">
        <v>43.408</v>
      </c>
      <c r="ADS45" t="s">
        <v>1900</v>
      </c>
      <c r="ADT45">
        <v>6.749634187</v>
      </c>
      <c r="ADU45">
        <v>3.55939354</v>
      </c>
      <c r="ADV45">
        <v>3.904009351</v>
      </c>
      <c r="ADW45">
        <v>6.005496398</v>
      </c>
      <c r="ADX45" t="s">
        <v>1900</v>
      </c>
      <c r="ADY45">
        <v>6.787</v>
      </c>
      <c r="ADZ45">
        <v>3.622</v>
      </c>
      <c r="AEA45">
        <v>4.013</v>
      </c>
      <c r="AEB45">
        <v>6.147</v>
      </c>
      <c r="AEC45" t="s">
        <v>1900</v>
      </c>
      <c r="AED45">
        <v>6.75</v>
      </c>
      <c r="AEE45">
        <v>3.559</v>
      </c>
      <c r="AEF45">
        <v>3.904</v>
      </c>
      <c r="AEG45">
        <v>6.005</v>
      </c>
      <c r="AEH45" t="s">
        <v>1900</v>
      </c>
      <c r="AEI45">
        <v>5.129</v>
      </c>
      <c r="AEJ45">
        <v>2.65</v>
      </c>
      <c r="AEK45">
        <v>3.019</v>
      </c>
      <c r="AEL45">
        <v>4.475</v>
      </c>
      <c r="AEM45" t="s">
        <v>1900</v>
      </c>
      <c r="AEN45">
        <v>7.23818521</v>
      </c>
      <c r="AEO45">
        <v>3.690762295</v>
      </c>
      <c r="AEP45">
        <v>4.062614189</v>
      </c>
      <c r="AEQ45">
        <v>6.389199547</v>
      </c>
      <c r="AER45" t="s">
        <v>1900</v>
      </c>
      <c r="AES45">
        <v>1.209658714</v>
      </c>
      <c r="AET45">
        <v>1.109144105</v>
      </c>
      <c r="AEU45">
        <v>1.122905409</v>
      </c>
      <c r="AEV45">
        <v>1.160561931</v>
      </c>
      <c r="AEW45" t="s">
        <v>1900</v>
      </c>
      <c r="AEX45" t="s">
        <v>1900</v>
      </c>
      <c r="AEY45" t="s">
        <v>1900</v>
      </c>
      <c r="AEZ45" t="s">
        <v>1900</v>
      </c>
      <c r="AFA45" t="s">
        <v>1900</v>
      </c>
      <c r="AFB45" t="s">
        <v>1900</v>
      </c>
      <c r="AFC45" t="s">
        <v>1900</v>
      </c>
      <c r="AFD45" t="s">
        <v>1900</v>
      </c>
      <c r="AFE45" t="s">
        <v>1900</v>
      </c>
      <c r="AFF45" t="s">
        <v>1900</v>
      </c>
      <c r="AFG45" t="s">
        <v>1900</v>
      </c>
      <c r="AFH45">
        <v>13.103</v>
      </c>
      <c r="AFI45">
        <v>12.688</v>
      </c>
      <c r="AFJ45">
        <v>16.729</v>
      </c>
      <c r="AFK45">
        <v>22.223</v>
      </c>
      <c r="AFL45" t="s">
        <v>1900</v>
      </c>
      <c r="AFM45" t="s">
        <v>1900</v>
      </c>
      <c r="AFN45" t="s">
        <v>1900</v>
      </c>
      <c r="AFO45">
        <v>387.364</v>
      </c>
      <c r="AFP45">
        <v>26.812</v>
      </c>
      <c r="AFQ45" t="s">
        <v>1900</v>
      </c>
      <c r="AFR45" t="s">
        <v>1901</v>
      </c>
      <c r="AFS45" t="s">
        <v>1901</v>
      </c>
      <c r="AFT45" t="s">
        <v>1901</v>
      </c>
      <c r="AFU45" t="s">
        <v>1901</v>
      </c>
      <c r="AFV45" t="s">
        <v>1900</v>
      </c>
      <c r="AFW45">
        <v>27.193</v>
      </c>
      <c r="AFX45">
        <v>28.73</v>
      </c>
      <c r="AFY45">
        <v>23.21</v>
      </c>
      <c r="AFZ45">
        <v>16.765</v>
      </c>
      <c r="AGA45" t="s">
        <v>1900</v>
      </c>
      <c r="AGB45">
        <v>12.71</v>
      </c>
      <c r="AGC45">
        <v>15.133</v>
      </c>
      <c r="AGD45">
        <v>13.093</v>
      </c>
      <c r="AGE45">
        <v>13.559</v>
      </c>
      <c r="AGF45" t="s">
        <v>1900</v>
      </c>
      <c r="AGG45" t="s">
        <v>1900</v>
      </c>
      <c r="AGH45" t="s">
        <v>1900</v>
      </c>
      <c r="AGI45" t="s">
        <v>1900</v>
      </c>
      <c r="AGJ45" t="s">
        <v>1900</v>
      </c>
      <c r="AGK45" t="s">
        <v>1900</v>
      </c>
      <c r="AGL45" t="s">
        <v>1900</v>
      </c>
      <c r="AGM45" t="s">
        <v>1900</v>
      </c>
      <c r="AGN45" t="s">
        <v>1900</v>
      </c>
      <c r="AGO45" t="s">
        <v>1900</v>
      </c>
      <c r="AGP45" t="s">
        <v>1900</v>
      </c>
      <c r="AGQ45" t="s">
        <v>1900</v>
      </c>
      <c r="AGR45" t="s">
        <v>1900</v>
      </c>
      <c r="AGS45" t="s">
        <v>1900</v>
      </c>
      <c r="AGT45" t="s">
        <v>1900</v>
      </c>
      <c r="AGU45">
        <v>0</v>
      </c>
      <c r="AGV45">
        <v>0</v>
      </c>
      <c r="AGW45">
        <v>0</v>
      </c>
      <c r="AGX45">
        <v>0</v>
      </c>
      <c r="AGY45">
        <v>0</v>
      </c>
      <c r="AGZ45" t="s">
        <v>1900</v>
      </c>
      <c r="AHA45">
        <v>1.741</v>
      </c>
      <c r="AHB45">
        <v>1.717</v>
      </c>
      <c r="AHC45">
        <v>1.634</v>
      </c>
      <c r="AHD45">
        <v>1.432</v>
      </c>
      <c r="AHE45" t="s">
        <v>1900</v>
      </c>
      <c r="AHF45">
        <v>1.741</v>
      </c>
      <c r="AHG45">
        <v>1.717</v>
      </c>
      <c r="AHH45">
        <v>1.634</v>
      </c>
      <c r="AHI45">
        <v>1.432</v>
      </c>
      <c r="AHJ45" t="s">
        <v>1900</v>
      </c>
      <c r="AHK45">
        <v>18.54</v>
      </c>
      <c r="AHL45">
        <v>32.035</v>
      </c>
      <c r="AHM45">
        <v>35.62</v>
      </c>
      <c r="AHN45">
        <v>3.412</v>
      </c>
      <c r="AHO45" t="s">
        <v>1900</v>
      </c>
      <c r="AHP45">
        <v>40.748</v>
      </c>
      <c r="AHQ45">
        <v>40.723</v>
      </c>
      <c r="AHR45">
        <v>38.465</v>
      </c>
      <c r="AHS45">
        <v>24.532</v>
      </c>
      <c r="AHT45" t="s">
        <v>1900</v>
      </c>
      <c r="AHU45">
        <v>68.77</v>
      </c>
      <c r="AHV45">
        <v>68.69799999999999</v>
      </c>
      <c r="AHW45">
        <v>62.51</v>
      </c>
      <c r="AHX45">
        <v>32.506</v>
      </c>
      <c r="AHY45" t="s">
        <v>1900</v>
      </c>
      <c r="AHZ45">
        <v>5.394</v>
      </c>
      <c r="AIA45">
        <v>3.122</v>
      </c>
      <c r="AIB45">
        <v>5.931</v>
      </c>
      <c r="AIC45">
        <v>29.305</v>
      </c>
      <c r="AID45" t="s">
        <v>1900</v>
      </c>
      <c r="AIE45">
        <v>0.301679109</v>
      </c>
      <c r="AIF45">
        <v>0.04714483</v>
      </c>
      <c r="AIG45">
        <v>0.356151961</v>
      </c>
      <c r="AIH45">
        <v>1.013277634</v>
      </c>
      <c r="AII45" t="s">
        <v>1900</v>
      </c>
      <c r="AIJ45">
        <v>56.847141044</v>
      </c>
      <c r="AIK45">
        <v>57.099812169</v>
      </c>
      <c r="AIL45">
        <v>56.144073588</v>
      </c>
      <c r="AIM45">
        <v>64.940352289</v>
      </c>
      <c r="AIN45" t="s">
        <v>1900</v>
      </c>
      <c r="AIO45">
        <v>37.187241673</v>
      </c>
      <c r="AIP45">
        <v>35.6086539</v>
      </c>
      <c r="AIQ45">
        <v>35.192149541</v>
      </c>
      <c r="AIR45">
        <v>41.72815935</v>
      </c>
      <c r="AIS45" t="s">
        <v>1900</v>
      </c>
      <c r="AIT45">
        <v>0</v>
      </c>
      <c r="AIU45">
        <v>0</v>
      </c>
      <c r="AIV45">
        <v>0</v>
      </c>
      <c r="AIW45">
        <v>0</v>
      </c>
      <c r="AIX45" t="s">
        <v>1900</v>
      </c>
      <c r="AIY45">
        <v>7.63922202838898</v>
      </c>
      <c r="AIZ45">
        <v>3.7257376058358</v>
      </c>
      <c r="AJA45">
        <v>3.67930080061197</v>
      </c>
      <c r="AJB45">
        <v>3.95229909727395</v>
      </c>
      <c r="AJC45" t="s">
        <v>1900</v>
      </c>
      <c r="AJD45">
        <v>112.590762464351</v>
      </c>
      <c r="AJE45">
        <v>104.746284822189</v>
      </c>
      <c r="AJF45">
        <v>94.5005577924657</v>
      </c>
      <c r="AJG45">
        <v>68.3609988433939</v>
      </c>
      <c r="AJH45" t="s">
        <v>1900</v>
      </c>
      <c r="AJI45">
        <v>29.195</v>
      </c>
      <c r="AJJ45">
        <v>28.8</v>
      </c>
      <c r="AJK45">
        <v>32.053</v>
      </c>
      <c r="AJL45">
        <v>34.2</v>
      </c>
      <c r="AJM45" t="s">
        <v>1900</v>
      </c>
      <c r="AJN45">
        <v>32.8704917418728</v>
      </c>
      <c r="AJO45">
        <v>30.1671474273646</v>
      </c>
      <c r="AJP45">
        <v>30.2907247237587</v>
      </c>
      <c r="AJQ45">
        <v>23.3792320951504</v>
      </c>
      <c r="AJR45" t="s">
        <v>1900</v>
      </c>
      <c r="AJS45">
        <v>8.15315223403454</v>
      </c>
      <c r="AJT45">
        <v>8.005476585268379</v>
      </c>
      <c r="AJU45">
        <v>5.4945974628067</v>
      </c>
      <c r="AJV45">
        <v>2.37900563509047</v>
      </c>
      <c r="AJW45" t="s">
        <v>1900</v>
      </c>
      <c r="AJX45">
        <v>4.52945780776501</v>
      </c>
      <c r="AJY45">
        <v>3.95633428199828</v>
      </c>
      <c r="AJZ45">
        <v>2.65562039951563</v>
      </c>
      <c r="AKA45">
        <v>0.608735739163756</v>
      </c>
      <c r="AKB45" t="s">
        <v>1900</v>
      </c>
      <c r="AKC45">
        <v>20.008787639698</v>
      </c>
      <c r="AKD45">
        <v>19.6585826292479</v>
      </c>
      <c r="AKE45">
        <v>14.2845147743869</v>
      </c>
      <c r="AKF45">
        <v>9.697627101181149</v>
      </c>
      <c r="AKG45" t="s">
        <v>1900</v>
      </c>
      <c r="AKH45">
        <v>0</v>
      </c>
      <c r="AKI45">
        <v>0</v>
      </c>
      <c r="AKJ45">
        <v>0</v>
      </c>
      <c r="AKK45">
        <v>0</v>
      </c>
      <c r="AKL45" t="s">
        <v>1900</v>
      </c>
      <c r="AKM45">
        <v>0</v>
      </c>
      <c r="AKN45">
        <v>0</v>
      </c>
      <c r="AKO45">
        <v>0</v>
      </c>
      <c r="AKP45">
        <v>0</v>
      </c>
      <c r="AKQ45" t="s">
        <v>1900</v>
      </c>
      <c r="AKR45">
        <v>0</v>
      </c>
      <c r="AKS45">
        <v>0</v>
      </c>
      <c r="AKT45">
        <v>0</v>
      </c>
      <c r="AKU45">
        <v>0</v>
      </c>
      <c r="AKV45" t="s">
        <v>1900</v>
      </c>
      <c r="AKW45">
        <v>0.007204343</v>
      </c>
      <c r="AKX45">
        <v>0.037467345</v>
      </c>
      <c r="AKY45">
        <v>0.102846746</v>
      </c>
      <c r="AKZ45">
        <v>0.134762894</v>
      </c>
      <c r="ALA45" t="s">
        <v>1900</v>
      </c>
      <c r="ALB45">
        <v>0.040539308</v>
      </c>
      <c r="ALC45">
        <v>0.199636224</v>
      </c>
      <c r="ALD45">
        <v>0.68039239</v>
      </c>
      <c r="ALE45">
        <v>0.949977403</v>
      </c>
      <c r="ALF45" t="s">
        <v>1900</v>
      </c>
      <c r="ALG45">
        <v>0.054420982</v>
      </c>
      <c r="ALH45">
        <v>0.02450288</v>
      </c>
      <c r="ALI45">
        <v>0.025283423</v>
      </c>
      <c r="ALJ45">
        <v>0.038070266</v>
      </c>
      <c r="ALK45" t="s">
        <v>1900</v>
      </c>
      <c r="ALL45">
        <v>0.306230432</v>
      </c>
      <c r="ALM45">
        <v>0.13055802</v>
      </c>
      <c r="ALN45">
        <v>0.167264879</v>
      </c>
      <c r="ALO45">
        <v>0.268366845</v>
      </c>
      <c r="ALP45" t="s">
        <v>1900</v>
      </c>
      <c r="ALQ45">
        <v>7.553565814</v>
      </c>
      <c r="ALR45">
        <v>7.980607064</v>
      </c>
      <c r="ALS45">
        <v>6.447208285</v>
      </c>
      <c r="ALT45">
        <v>4.656952643</v>
      </c>
      <c r="ALU45" t="s">
        <v>1900</v>
      </c>
      <c r="ALV45">
        <v>46.741192144</v>
      </c>
      <c r="ALW45">
        <v>52.671970796</v>
      </c>
      <c r="ALX45">
        <v>56.412701986</v>
      </c>
      <c r="ALY45">
        <v>80.87866631599999</v>
      </c>
      <c r="ALZ45" t="s">
        <v>1900</v>
      </c>
      <c r="AMA45">
        <v>38.943069277737</v>
      </c>
      <c r="AMB45">
        <v>36.1712653019318</v>
      </c>
      <c r="AMC45">
        <v>35.6683505638967</v>
      </c>
      <c r="AMD45">
        <v>43.408487049766</v>
      </c>
      <c r="AME45" t="s">
        <v>1900</v>
      </c>
      <c r="AMF45">
        <v>38.943069277737</v>
      </c>
      <c r="AMG45">
        <v>36.1712653019318</v>
      </c>
      <c r="AMH45">
        <v>35.6683505638967</v>
      </c>
      <c r="AMI45">
        <v>43.5030217685931</v>
      </c>
      <c r="AMJ45" t="s">
        <v>1900</v>
      </c>
      <c r="AMK45">
        <v>63.781570441007</v>
      </c>
      <c r="AML45">
        <v>56.6692501003416</v>
      </c>
      <c r="AMM45">
        <v>55.4444832234968</v>
      </c>
      <c r="AMN45">
        <v>76.70494176032889</v>
      </c>
      <c r="AMO45" t="s">
        <v>1900</v>
      </c>
      <c r="AMP45">
        <v>1.20965871356899</v>
      </c>
      <c r="AMQ45">
        <v>1.10914410451384</v>
      </c>
      <c r="AMR45">
        <v>1.12290540812575</v>
      </c>
      <c r="AMS45">
        <v>1.16056192983013</v>
      </c>
      <c r="AMT45" t="s">
        <v>1900</v>
      </c>
      <c r="AMU45">
        <v>1.20965871356899</v>
      </c>
      <c r="AMV45">
        <v>1.10914410451384</v>
      </c>
      <c r="AMW45">
        <v>1.12290540898328</v>
      </c>
      <c r="AMX45">
        <v>1.1605619307027</v>
      </c>
      <c r="AMY45" t="s">
        <v>1900</v>
      </c>
      <c r="AMZ45">
        <v>1.20965871356899</v>
      </c>
      <c r="ANA45">
        <v>1.10914410451384</v>
      </c>
      <c r="ANB45">
        <v>1.12290540898328</v>
      </c>
      <c r="ANC45">
        <v>1.1605619308428</v>
      </c>
      <c r="AND45" t="s">
        <v>1900</v>
      </c>
      <c r="ANE45">
        <v>6.74963418657909</v>
      </c>
      <c r="ANF45">
        <v>3.55939353997869</v>
      </c>
      <c r="ANG45">
        <v>3.90400935118105</v>
      </c>
      <c r="ANH45">
        <v>6.00549639829539</v>
      </c>
      <c r="ANI45" t="s">
        <v>1900</v>
      </c>
      <c r="ANJ45">
        <v>6.74963418657909</v>
      </c>
      <c r="ANK45">
        <v>3.55939353997869</v>
      </c>
      <c r="ANL45">
        <v>3.90400935118105</v>
      </c>
      <c r="ANM45">
        <v>6.01857512902332</v>
      </c>
      <c r="ANN45" t="s">
        <v>1900</v>
      </c>
      <c r="ANO45">
        <v>7.23818521000124</v>
      </c>
      <c r="ANP45">
        <v>3.69076229467119</v>
      </c>
      <c r="ANQ45">
        <v>4.06261418902291</v>
      </c>
      <c r="ANR45">
        <v>6.38919954696849</v>
      </c>
      <c r="ANS45" t="s">
        <v>1900</v>
      </c>
      <c r="ANT45">
        <v>88.4387556388301</v>
      </c>
      <c r="ANU45">
        <v>45.1625074065038</v>
      </c>
      <c r="ANV45">
        <v>65.31078828032</v>
      </c>
      <c r="ANW45">
        <v>133.458236043203</v>
      </c>
      <c r="ANX45" t="s">
        <v>1900</v>
      </c>
      <c r="ANY45">
        <v>38.943069277737</v>
      </c>
      <c r="ANZ45">
        <v>36.1712653019318</v>
      </c>
      <c r="AOA45">
        <v>35.6683505911355</v>
      </c>
      <c r="AOB45">
        <v>43.408487049766</v>
      </c>
      <c r="AOC45" t="s">
        <v>1900</v>
      </c>
      <c r="AOD45">
        <v>41.7618407585187</v>
      </c>
      <c r="AOE45">
        <v>37.506260723201</v>
      </c>
      <c r="AOF45">
        <v>37.117418034896</v>
      </c>
      <c r="AOG45">
        <v>46.1819419076955</v>
      </c>
      <c r="AOH45" t="s">
        <v>1900</v>
      </c>
      <c r="AOI45" t="s">
        <v>1901</v>
      </c>
      <c r="AOJ45" t="s">
        <v>1901</v>
      </c>
      <c r="AOK45" t="s">
        <v>1901</v>
      </c>
      <c r="AOL45" t="s">
        <v>1901</v>
      </c>
      <c r="AOM45" t="s">
        <v>1900</v>
      </c>
      <c r="AON45">
        <v>11.0546568698023</v>
      </c>
      <c r="AOO45">
        <v>5.57647516720462</v>
      </c>
      <c r="AOP45">
        <v>6.06856716259339</v>
      </c>
      <c r="AOQ45">
        <v>10.6120089130265</v>
      </c>
      <c r="AOR45" t="s">
        <v>1900</v>
      </c>
      <c r="AOS45">
        <v>20.9658713568994</v>
      </c>
      <c r="AOT45">
        <v>10.9144104513844</v>
      </c>
      <c r="AOU45">
        <v>12.2905408983279</v>
      </c>
      <c r="AOV45">
        <v>16.05619307027</v>
      </c>
      <c r="AOW45" t="s">
        <v>1900</v>
      </c>
      <c r="AOX45">
        <v>37.9806341273697</v>
      </c>
      <c r="AOY45">
        <v>18.9654185403921</v>
      </c>
      <c r="AOZ45">
        <v>25.8273435990671</v>
      </c>
      <c r="APA45">
        <v>42.3342485953809</v>
      </c>
      <c r="APB45" t="s">
        <v>1900</v>
      </c>
      <c r="APC45">
        <v>5.09204737692802</v>
      </c>
      <c r="APD45">
        <v>2.5879056687689</v>
      </c>
      <c r="APE45">
        <v>2.90987598184297</v>
      </c>
      <c r="APF45">
        <v>4.33387822158145</v>
      </c>
      <c r="APG45" t="s">
        <v>1900</v>
      </c>
      <c r="APH45">
        <v>5.09204737692802</v>
      </c>
      <c r="API45">
        <v>2.5879056687689</v>
      </c>
      <c r="APJ45">
        <v>2.90987598184297</v>
      </c>
      <c r="APK45">
        <v>4.34331651319107</v>
      </c>
      <c r="APL45" t="s">
        <v>1900</v>
      </c>
      <c r="APM45">
        <v>8.339835161532809</v>
      </c>
      <c r="APN45">
        <v>4.05445240456446</v>
      </c>
      <c r="APO45">
        <v>4.52324168365254</v>
      </c>
      <c r="APP45">
        <v>7.65817698740908</v>
      </c>
      <c r="APQ45" t="s">
        <v>1900</v>
      </c>
      <c r="APR45">
        <v>15.8170364936501</v>
      </c>
      <c r="APS45">
        <v>7.93547113044917</v>
      </c>
      <c r="APT45">
        <v>9.16082584512349</v>
      </c>
      <c r="APU45">
        <v>11.5869831324021</v>
      </c>
      <c r="APV45" t="s">
        <v>1900</v>
      </c>
      <c r="APW45">
        <v>5.46061919705108</v>
      </c>
      <c r="APX45">
        <v>2.68341911541348</v>
      </c>
      <c r="APY45">
        <v>3.02809301636429</v>
      </c>
      <c r="APZ45">
        <v>4.6107783492809</v>
      </c>
      <c r="AQA45" t="s">
        <v>1900</v>
      </c>
      <c r="AQB45">
        <v>28.6532844649401</v>
      </c>
      <c r="AQC45">
        <v>13.7890664800019</v>
      </c>
      <c r="AQD45">
        <v>19.2505601429964</v>
      </c>
      <c r="AQE45">
        <v>30.550593297602</v>
      </c>
      <c r="AQF45" t="s">
        <v>1900</v>
      </c>
      <c r="AQG45">
        <v>0.209658713568994</v>
      </c>
      <c r="AQH45">
        <v>0.109144104513844</v>
      </c>
      <c r="AQI45">
        <v>0.122905408983279</v>
      </c>
      <c r="AQJ45">
        <v>0.160561930842802</v>
      </c>
      <c r="AQK45">
        <v>4</v>
      </c>
      <c r="AQO45" t="s">
        <v>1903</v>
      </c>
      <c r="AQP45">
        <v>5</v>
      </c>
      <c r="AQQ45">
        <v>2</v>
      </c>
      <c r="AQS45" t="s">
        <v>1905</v>
      </c>
      <c r="AQU45" t="s">
        <v>1906</v>
      </c>
      <c r="AQV45" t="s">
        <v>1900</v>
      </c>
      <c r="AQW45">
        <v>5179175.07115013</v>
      </c>
      <c r="AQX45">
        <v>4504090.24522094</v>
      </c>
      <c r="AQY45" t="s">
        <v>1900</v>
      </c>
      <c r="AQZ45">
        <v>349575.371185131</v>
      </c>
      <c r="ARA45">
        <v>160318.297223204</v>
      </c>
      <c r="ARB45">
        <v>9683265.316371068</v>
      </c>
      <c r="ARC45">
        <v>509893.668408335</v>
      </c>
      <c r="ARD45">
        <v>0.05558410669228414</v>
      </c>
      <c r="ARE45">
        <v>0.05558410669228414</v>
      </c>
      <c r="ARF45">
        <v>0.05558410669228414</v>
      </c>
      <c r="ARG45">
        <v>0.05558410669228414</v>
      </c>
      <c r="ARH45">
        <v>0.05558410669228414</v>
      </c>
      <c r="ARI45">
        <v>0.05558410669228414</v>
      </c>
      <c r="ARJ45" t="s">
        <v>1206</v>
      </c>
      <c r="ARK45" t="s">
        <v>1544</v>
      </c>
      <c r="ARL45" t="s">
        <v>1909</v>
      </c>
      <c r="ARP45" t="s">
        <v>1907</v>
      </c>
      <c r="ARQ45" t="s">
        <v>1911</v>
      </c>
    </row>
    <row r="46" spans="1:1163">
      <c r="A46">
        <v>644</v>
      </c>
      <c r="B46" t="s">
        <v>1207</v>
      </c>
      <c r="C46" t="s">
        <v>1330</v>
      </c>
      <c r="E46" s="2">
        <v>40750</v>
      </c>
      <c r="F46" t="s">
        <v>1431</v>
      </c>
      <c r="G46" t="s">
        <v>1433</v>
      </c>
      <c r="H46" t="s">
        <v>1434</v>
      </c>
      <c r="I46" t="s">
        <v>1443</v>
      </c>
      <c r="J46" t="s">
        <v>1473</v>
      </c>
      <c r="L46" t="s">
        <v>1545</v>
      </c>
      <c r="N46" t="s">
        <v>1624</v>
      </c>
      <c r="O46" t="s">
        <v>1648</v>
      </c>
      <c r="P46">
        <v>6209</v>
      </c>
      <c r="Q46">
        <v>6209</v>
      </c>
      <c r="R46" t="s">
        <v>1716</v>
      </c>
      <c r="S46" t="s">
        <v>1811</v>
      </c>
      <c r="Z46" t="s">
        <v>1899</v>
      </c>
      <c r="AA46" s="2">
        <v>45657</v>
      </c>
      <c r="AB46">
        <v>2024</v>
      </c>
      <c r="AC46">
        <v>874173.780217942</v>
      </c>
      <c r="AD46">
        <v>418910.108001709</v>
      </c>
      <c r="AE46">
        <v>309857.337364167</v>
      </c>
      <c r="AF46">
        <v>235623.087292099</v>
      </c>
      <c r="AG46">
        <v>204309.579156637</v>
      </c>
      <c r="AH46">
        <v>846170.502817836</v>
      </c>
      <c r="AI46">
        <v>350823.878095446</v>
      </c>
      <c r="AJ46">
        <v>127019.80781942</v>
      </c>
      <c r="AK46">
        <v>78425.8776241064</v>
      </c>
      <c r="AL46">
        <v>47799.0640298069</v>
      </c>
      <c r="AM46">
        <v>232095.975274754</v>
      </c>
      <c r="AN46">
        <v>79275.884828043</v>
      </c>
      <c r="AO46">
        <v>13376.1708522737</v>
      </c>
      <c r="AP46">
        <v>32441.9427089453</v>
      </c>
      <c r="AQ46">
        <v>13097.861586237</v>
      </c>
      <c r="AR46">
        <v>642077.804943188</v>
      </c>
      <c r="AS46">
        <v>339634.222068665</v>
      </c>
      <c r="AT46">
        <v>296481.166511893</v>
      </c>
      <c r="AU46">
        <v>203181.144583154</v>
      </c>
      <c r="AV46">
        <v>191211.7175704</v>
      </c>
      <c r="AW46">
        <v>816887.05184745</v>
      </c>
      <c r="AX46">
        <v>581976.865484066</v>
      </c>
      <c r="AY46">
        <v>618182.844808688</v>
      </c>
      <c r="AZ46">
        <v>572626.2247936249</v>
      </c>
      <c r="BA46">
        <v>649607.987171185</v>
      </c>
      <c r="BB46">
        <v>-174809.246904261</v>
      </c>
      <c r="BC46">
        <v>-242342.6423104</v>
      </c>
      <c r="BD46">
        <v>-321701.679363394</v>
      </c>
      <c r="BE46">
        <v>-369445.080210471</v>
      </c>
      <c r="BF46">
        <v>-458396.269600785</v>
      </c>
      <c r="BG46">
        <v>-47787.3530273497</v>
      </c>
      <c r="BH46">
        <v>-44464.4133050823</v>
      </c>
      <c r="BI46">
        <v>-19028.5935083091</v>
      </c>
      <c r="BJ46">
        <v>-18006.2382521153</v>
      </c>
      <c r="BK46">
        <v>-11128.8948633492</v>
      </c>
      <c r="BL46">
        <v>1207.81421725631</v>
      </c>
      <c r="BM46" t="s">
        <v>1900</v>
      </c>
      <c r="BN46" t="s">
        <v>1900</v>
      </c>
      <c r="BO46" t="s">
        <v>1900</v>
      </c>
      <c r="BP46" t="s">
        <v>1900</v>
      </c>
      <c r="BQ46">
        <v>48995.167244606</v>
      </c>
      <c r="BR46">
        <v>44464.4133050823</v>
      </c>
      <c r="BS46">
        <v>19028.5935083091</v>
      </c>
      <c r="BT46">
        <v>18006.2382521153</v>
      </c>
      <c r="BU46">
        <v>11128.8948633492</v>
      </c>
      <c r="BV46">
        <v>-222596.599931611</v>
      </c>
      <c r="BW46">
        <v>-286807.055615482</v>
      </c>
      <c r="BX46">
        <v>-340730.272871703</v>
      </c>
      <c r="BY46">
        <v>-387451.318462586</v>
      </c>
      <c r="BZ46">
        <v>-469525.164464134</v>
      </c>
      <c r="CA46">
        <v>-71943.4399815631</v>
      </c>
      <c r="CB46">
        <v>-85447.2794476891</v>
      </c>
      <c r="CC46">
        <v>-60533.6913626611</v>
      </c>
      <c r="CD46">
        <v>-105163.818664598</v>
      </c>
      <c r="CE46">
        <v>-132621.149629623</v>
      </c>
      <c r="CF46">
        <v>-150653.159950048</v>
      </c>
      <c r="CG46">
        <v>-201359.776167793</v>
      </c>
      <c r="CH46">
        <v>-280196.580442442</v>
      </c>
      <c r="CI46">
        <v>-282287.499797988</v>
      </c>
      <c r="CJ46">
        <v>-336904.014834511</v>
      </c>
      <c r="CK46" t="s">
        <v>1900</v>
      </c>
      <c r="CL46" t="s">
        <v>1900</v>
      </c>
      <c r="CM46" t="s">
        <v>1900</v>
      </c>
      <c r="CN46" t="s">
        <v>1900</v>
      </c>
      <c r="CO46" t="s">
        <v>1900</v>
      </c>
      <c r="CP46" t="s">
        <v>1900</v>
      </c>
      <c r="CQ46" t="s">
        <v>1900</v>
      </c>
      <c r="CR46" t="s">
        <v>1900</v>
      </c>
      <c r="CS46" t="s">
        <v>1900</v>
      </c>
      <c r="CT46" t="s">
        <v>1900</v>
      </c>
      <c r="CU46" t="s">
        <v>1900</v>
      </c>
      <c r="CV46" t="s">
        <v>1900</v>
      </c>
      <c r="CW46" t="s">
        <v>1900</v>
      </c>
      <c r="CX46" t="s">
        <v>1900</v>
      </c>
      <c r="CY46" t="s">
        <v>1900</v>
      </c>
      <c r="CZ46">
        <v>-150653.159950048</v>
      </c>
      <c r="DA46">
        <v>-201359.776167793</v>
      </c>
      <c r="DB46">
        <v>-280196.580442442</v>
      </c>
      <c r="DC46">
        <v>-282287.499797988</v>
      </c>
      <c r="DD46">
        <v>-336904.014834511</v>
      </c>
      <c r="DE46" t="s">
        <v>1900</v>
      </c>
      <c r="DF46" t="s">
        <v>1900</v>
      </c>
      <c r="DG46" t="s">
        <v>1900</v>
      </c>
      <c r="DH46" t="s">
        <v>1900</v>
      </c>
      <c r="DI46" t="s">
        <v>1900</v>
      </c>
      <c r="DJ46">
        <v>104797.796453935</v>
      </c>
      <c r="DK46">
        <v>63790.3857783413</v>
      </c>
      <c r="DL46">
        <v>54796.7193651915</v>
      </c>
      <c r="DM46">
        <v>32441.9427089453</v>
      </c>
      <c r="DN46">
        <v>13097.861586237</v>
      </c>
      <c r="DO46">
        <v>380201.192544759</v>
      </c>
      <c r="DP46">
        <v>263534.772771168</v>
      </c>
      <c r="DQ46">
        <v>268621.310562718</v>
      </c>
      <c r="DR46">
        <v>247750.518344307</v>
      </c>
      <c r="DS46">
        <v>387492.889121574</v>
      </c>
      <c r="DT46">
        <v>142518.223318948</v>
      </c>
      <c r="DU46">
        <v>193851.54089819</v>
      </c>
      <c r="DV46">
        <v>253000.790401256</v>
      </c>
      <c r="DW46">
        <v>251357.589825511</v>
      </c>
      <c r="DX46">
        <v>242100.556281209</v>
      </c>
      <c r="DY46">
        <v>294167.635983742</v>
      </c>
      <c r="DZ46">
        <v>124590.550709708</v>
      </c>
      <c r="EA46">
        <v>96560.7449113131</v>
      </c>
      <c r="EB46">
        <v>73518.116623807</v>
      </c>
      <c r="EC46">
        <v>20014.5405413026</v>
      </c>
      <c r="ED46">
        <v>48995.167244606</v>
      </c>
      <c r="EE46">
        <v>44464.4133050823</v>
      </c>
      <c r="EF46">
        <v>19028.5935083091</v>
      </c>
      <c r="EG46">
        <v>18006.2382521153</v>
      </c>
      <c r="EH46">
        <v>11128.8948633492</v>
      </c>
      <c r="EI46" t="s">
        <v>1900</v>
      </c>
      <c r="EJ46" t="s">
        <v>1900</v>
      </c>
      <c r="EK46" t="s">
        <v>1900</v>
      </c>
      <c r="EL46" t="s">
        <v>1900</v>
      </c>
      <c r="EM46" t="s">
        <v>1900</v>
      </c>
      <c r="EN46">
        <v>-8134.93559220064</v>
      </c>
      <c r="EO46">
        <v>-7508.23416460323</v>
      </c>
      <c r="EP46">
        <v>-27195.7900411862</v>
      </c>
      <c r="EQ46">
        <v>-30929.909972477</v>
      </c>
      <c r="ER46">
        <v>-94803.45855330231</v>
      </c>
      <c r="ES46">
        <v>349117.983176702</v>
      </c>
      <c r="ET46">
        <v>215043.670253957</v>
      </c>
      <c r="EU46">
        <v>199920.420533981</v>
      </c>
      <c r="EV46">
        <v>129663.026826746</v>
      </c>
      <c r="EW46">
        <v>171197.175801998</v>
      </c>
      <c r="EX46">
        <v>-32291.022546414</v>
      </c>
      <c r="EY46">
        <v>-48491.1014122105</v>
      </c>
      <c r="EZ46">
        <v>-68700.8889621377</v>
      </c>
      <c r="FA46">
        <v>-118087.49038496</v>
      </c>
      <c r="FB46">
        <v>-216295.713319576</v>
      </c>
      <c r="FC46">
        <v>1163705.93995114</v>
      </c>
      <c r="FD46">
        <v>1105458.85011635</v>
      </c>
      <c r="FE46">
        <v>1012242.16521835</v>
      </c>
      <c r="FF46">
        <v>1124923.97296872</v>
      </c>
      <c r="FG46">
        <v>1270268.14967411</v>
      </c>
      <c r="FH46">
        <v>450691.55490545</v>
      </c>
      <c r="FI46">
        <v>423821.481605873</v>
      </c>
      <c r="FJ46">
        <v>424590.121732754</v>
      </c>
      <c r="FK46">
        <v>547802.684074831</v>
      </c>
      <c r="FL46">
        <v>731018.417672765</v>
      </c>
      <c r="FM46">
        <v>4821.79249420762</v>
      </c>
      <c r="FN46">
        <v>4906.26850187302</v>
      </c>
      <c r="FO46">
        <v>16916.5345336497</v>
      </c>
      <c r="FP46">
        <v>35348.3536619425</v>
      </c>
      <c r="FQ46">
        <v>60337.9696141601</v>
      </c>
      <c r="FR46">
        <v>708192.592551484</v>
      </c>
      <c r="FS46">
        <v>676731.100008602</v>
      </c>
      <c r="FT46">
        <v>570735.50895195</v>
      </c>
      <c r="FU46">
        <v>541772.935231948</v>
      </c>
      <c r="FV46">
        <v>478911.762387186</v>
      </c>
      <c r="FW46">
        <v>450691.55490545</v>
      </c>
      <c r="FX46">
        <v>423821.481605873</v>
      </c>
      <c r="FY46">
        <v>424590.121732754</v>
      </c>
      <c r="FZ46">
        <v>547802.684074831</v>
      </c>
      <c r="GA46">
        <v>731018.417672765</v>
      </c>
      <c r="GB46">
        <v>4821.79249420762</v>
      </c>
      <c r="GC46">
        <v>4906.26850187302</v>
      </c>
      <c r="GD46">
        <v>16916.5345336497</v>
      </c>
      <c r="GE46">
        <v>35348.3536619425</v>
      </c>
      <c r="GF46">
        <v>60337.9696141601</v>
      </c>
      <c r="GG46">
        <v>708192.592551484</v>
      </c>
      <c r="GH46">
        <v>676731.100008602</v>
      </c>
      <c r="GI46">
        <v>570735.50895195</v>
      </c>
      <c r="GJ46">
        <v>541772.935231948</v>
      </c>
      <c r="GK46">
        <v>478911.762387186</v>
      </c>
      <c r="GL46">
        <v>1453909.03139685</v>
      </c>
      <c r="GM46">
        <v>1492750.38552803</v>
      </c>
      <c r="GN46">
        <v>392051.957774174</v>
      </c>
      <c r="GO46">
        <v>594836.31295495</v>
      </c>
      <c r="GP46">
        <v>235276.55890913</v>
      </c>
      <c r="GQ46">
        <v>599824.129542458</v>
      </c>
      <c r="GR46">
        <v>815190.52409749</v>
      </c>
      <c r="GS46">
        <v>175572.237806547</v>
      </c>
      <c r="GT46">
        <v>142452.9509094</v>
      </c>
      <c r="GU46">
        <v>151749.615264899</v>
      </c>
      <c r="GV46">
        <v>461645.005213025</v>
      </c>
      <c r="GW46">
        <v>360840.89544096</v>
      </c>
      <c r="GX46">
        <v>177385.168954724</v>
      </c>
      <c r="GY46">
        <v>141870.749047351</v>
      </c>
      <c r="GZ46">
        <v>74299.67229421739</v>
      </c>
      <c r="HA46">
        <v>392439.896641369</v>
      </c>
      <c r="HB46">
        <v>316718.96598958</v>
      </c>
      <c r="HC46">
        <v>39094.5510129035</v>
      </c>
      <c r="HD46">
        <v>310512.612998199</v>
      </c>
      <c r="HE46">
        <v>9227.271350014211</v>
      </c>
      <c r="HF46">
        <v>391607.717331116</v>
      </c>
      <c r="HG46">
        <v>315756.93045783</v>
      </c>
      <c r="HH46">
        <v>38181.4885209799</v>
      </c>
      <c r="HI46">
        <v>303987.442128825</v>
      </c>
      <c r="HJ46">
        <v>5932.98829976916</v>
      </c>
      <c r="HK46">
        <v>2617614.97134799</v>
      </c>
      <c r="HL46">
        <v>2598209.23564438</v>
      </c>
      <c r="HM46">
        <v>1404294.12299253</v>
      </c>
      <c r="HN46">
        <v>1719760.28592367</v>
      </c>
      <c r="HO46">
        <v>1505544.70858324</v>
      </c>
      <c r="HP46">
        <v>1796118.31184857</v>
      </c>
      <c r="HQ46">
        <v>1515369.53572923</v>
      </c>
      <c r="HR46">
        <v>580319.7692995369</v>
      </c>
      <c r="HS46">
        <v>825410.415314412</v>
      </c>
      <c r="HT46">
        <v>763368.043831885</v>
      </c>
      <c r="HU46">
        <v>48745.1664590836</v>
      </c>
      <c r="HV46">
        <v>49334.9571409225</v>
      </c>
      <c r="HW46">
        <v>41175.0066447258</v>
      </c>
      <c r="HX46">
        <v>43722.9022693634</v>
      </c>
      <c r="HY46">
        <v>39861.0936427116</v>
      </c>
      <c r="HZ46">
        <v>1747373.14538949</v>
      </c>
      <c r="IA46">
        <v>1466034.5785883</v>
      </c>
      <c r="IB46">
        <v>539144.761588212</v>
      </c>
      <c r="IC46">
        <v>781687.511912448</v>
      </c>
      <c r="ID46">
        <v>723506.948962074</v>
      </c>
      <c r="IE46">
        <v>326440.665829008</v>
      </c>
      <c r="IF46">
        <v>578045.804119854</v>
      </c>
      <c r="IG46">
        <v>495180.982324106</v>
      </c>
      <c r="IH46">
        <v>666591.605156207</v>
      </c>
      <c r="II46">
        <v>308989.518215311</v>
      </c>
      <c r="IJ46">
        <v>325729.705317187</v>
      </c>
      <c r="IK46">
        <v>573099.810850153</v>
      </c>
      <c r="IL46">
        <v>474619.429367292</v>
      </c>
      <c r="IM46">
        <v>615301.188628507</v>
      </c>
      <c r="IN46">
        <v>205311.886135405</v>
      </c>
      <c r="IO46">
        <v>710.960511820316</v>
      </c>
      <c r="IP46">
        <v>4945.993269701</v>
      </c>
      <c r="IQ46">
        <v>20561.5529568136</v>
      </c>
      <c r="IR46">
        <v>51290.4165277004</v>
      </c>
      <c r="IS46">
        <v>103677.632079905</v>
      </c>
      <c r="IT46" t="s">
        <v>1900</v>
      </c>
      <c r="IU46" t="s">
        <v>1900</v>
      </c>
      <c r="IV46" t="s">
        <v>1900</v>
      </c>
      <c r="IW46" t="s">
        <v>1900</v>
      </c>
      <c r="IX46" t="s">
        <v>1900</v>
      </c>
      <c r="IY46">
        <v>495055.993670416</v>
      </c>
      <c r="IZ46">
        <v>504793.895795298</v>
      </c>
      <c r="JA46">
        <v>328793.371368885</v>
      </c>
      <c r="JB46">
        <v>227758.265453053</v>
      </c>
      <c r="JC46">
        <v>433187.146536046</v>
      </c>
      <c r="JD46">
        <v>115331.79107187</v>
      </c>
      <c r="JE46">
        <v>97778.1457316303</v>
      </c>
      <c r="JF46">
        <v>75596.06001191741</v>
      </c>
      <c r="JG46">
        <v>87646.3540751696</v>
      </c>
      <c r="JH46">
        <v>158451.086771929</v>
      </c>
      <c r="JI46">
        <v>144793.579537448</v>
      </c>
      <c r="JJ46">
        <v>106345.722876654</v>
      </c>
      <c r="JK46">
        <v>181270.118932772</v>
      </c>
      <c r="JL46">
        <v>113471.577831888</v>
      </c>
      <c r="JM46">
        <v>121962.822805619</v>
      </c>
      <c r="JN46">
        <v>234930.623061098</v>
      </c>
      <c r="JO46">
        <v>300670.027187014</v>
      </c>
      <c r="JP46">
        <v>71927.1913575965</v>
      </c>
      <c r="JQ46">
        <v>26640.3335459948</v>
      </c>
      <c r="JR46">
        <v>152773.235731398</v>
      </c>
      <c r="JS46">
        <v>2617614.97134799</v>
      </c>
      <c r="JT46">
        <v>2598209.23564438</v>
      </c>
      <c r="JU46">
        <v>1404294.12299253</v>
      </c>
      <c r="JV46">
        <v>1719760.28592367</v>
      </c>
      <c r="JW46">
        <v>1505544.70858324</v>
      </c>
      <c r="JX46">
        <v>916675.555218035</v>
      </c>
      <c r="JY46">
        <v>1069685.6966618</v>
      </c>
      <c r="JZ46">
        <v>171687.287828499</v>
      </c>
      <c r="KA46">
        <v>170852.122124863</v>
      </c>
      <c r="KB46">
        <v>104086.464753497</v>
      </c>
      <c r="KC46" t="s">
        <v>1900</v>
      </c>
      <c r="KD46" t="s">
        <v>1900</v>
      </c>
      <c r="KE46" t="s">
        <v>1900</v>
      </c>
      <c r="KF46" t="s">
        <v>1900</v>
      </c>
      <c r="KG46" t="s">
        <v>1900</v>
      </c>
      <c r="KH46" t="s">
        <v>1900</v>
      </c>
      <c r="KI46" t="s">
        <v>1900</v>
      </c>
      <c r="KJ46" t="s">
        <v>1900</v>
      </c>
      <c r="KK46" t="s">
        <v>1900</v>
      </c>
      <c r="KL46" t="s">
        <v>1900</v>
      </c>
      <c r="KM46">
        <v>10</v>
      </c>
      <c r="KN46">
        <v>7</v>
      </c>
      <c r="KO46">
        <v>8</v>
      </c>
      <c r="KP46">
        <v>9</v>
      </c>
      <c r="KQ46">
        <v>13</v>
      </c>
      <c r="KR46" t="s">
        <v>1900</v>
      </c>
      <c r="KS46" t="s">
        <v>1900</v>
      </c>
      <c r="KT46" t="s">
        <v>1900</v>
      </c>
      <c r="KU46" t="s">
        <v>1900</v>
      </c>
      <c r="KV46" t="s">
        <v>1900</v>
      </c>
      <c r="KW46" t="s">
        <v>1900</v>
      </c>
      <c r="KX46" t="s">
        <v>1900</v>
      </c>
      <c r="KY46" t="s">
        <v>1900</v>
      </c>
      <c r="KZ46" t="s">
        <v>1900</v>
      </c>
      <c r="LA46" t="s">
        <v>1900</v>
      </c>
      <c r="LB46" t="s">
        <v>1900</v>
      </c>
      <c r="LC46" t="s">
        <v>1900</v>
      </c>
      <c r="LD46" t="s">
        <v>1900</v>
      </c>
      <c r="LE46" t="s">
        <v>1900</v>
      </c>
      <c r="LF46" t="s">
        <v>1900</v>
      </c>
      <c r="LG46" t="s">
        <v>1900</v>
      </c>
      <c r="LH46" t="s">
        <v>1900</v>
      </c>
      <c r="LI46" t="s">
        <v>1900</v>
      </c>
      <c r="LJ46" t="s">
        <v>1900</v>
      </c>
      <c r="LK46" t="s">
        <v>1900</v>
      </c>
      <c r="LL46" t="s">
        <v>1900</v>
      </c>
      <c r="LM46" t="s">
        <v>1900</v>
      </c>
      <c r="LN46" t="s">
        <v>1900</v>
      </c>
      <c r="LO46" t="s">
        <v>1900</v>
      </c>
      <c r="LP46" t="s">
        <v>1900</v>
      </c>
      <c r="LQ46" t="s">
        <v>1900</v>
      </c>
      <c r="LR46" t="s">
        <v>1900</v>
      </c>
      <c r="LS46" t="s">
        <v>1900</v>
      </c>
      <c r="LT46" t="s">
        <v>1900</v>
      </c>
      <c r="LU46" t="s">
        <v>1900</v>
      </c>
      <c r="LV46" t="s">
        <v>1900</v>
      </c>
      <c r="LW46" t="s">
        <v>1900</v>
      </c>
      <c r="LX46" t="s">
        <v>1900</v>
      </c>
      <c r="LY46" t="s">
        <v>1900</v>
      </c>
      <c r="LZ46" t="s">
        <v>1900</v>
      </c>
      <c r="MA46" t="s">
        <v>1900</v>
      </c>
      <c r="MB46" t="s">
        <v>1900</v>
      </c>
      <c r="MC46" t="s">
        <v>1900</v>
      </c>
      <c r="MD46" t="s">
        <v>1900</v>
      </c>
      <c r="ME46" t="s">
        <v>1900</v>
      </c>
      <c r="MF46" t="s">
        <v>1900</v>
      </c>
      <c r="MG46" t="s">
        <v>1900</v>
      </c>
      <c r="MH46" t="s">
        <v>1900</v>
      </c>
      <c r="MI46" t="s">
        <v>1900</v>
      </c>
      <c r="MJ46" t="s">
        <v>1900</v>
      </c>
      <c r="MK46" t="s">
        <v>1900</v>
      </c>
      <c r="ML46" t="s">
        <v>1900</v>
      </c>
      <c r="MM46" t="s">
        <v>1900</v>
      </c>
      <c r="MN46" t="s">
        <v>1900</v>
      </c>
      <c r="MO46" t="s">
        <v>1900</v>
      </c>
      <c r="MP46">
        <v>392439.896641369</v>
      </c>
      <c r="MQ46">
        <v>316718.96598958</v>
      </c>
      <c r="MR46">
        <v>39094.5510129035</v>
      </c>
      <c r="MS46">
        <v>310512.612998199</v>
      </c>
      <c r="MT46">
        <v>9227.271350014211</v>
      </c>
      <c r="MU46" t="s">
        <v>1900</v>
      </c>
      <c r="MV46" t="s">
        <v>1900</v>
      </c>
      <c r="MW46" t="s">
        <v>1900</v>
      </c>
      <c r="MX46" t="s">
        <v>1900</v>
      </c>
      <c r="MY46" t="s">
        <v>1900</v>
      </c>
      <c r="MZ46" t="s">
        <v>1900</v>
      </c>
      <c r="NA46" t="s">
        <v>1900</v>
      </c>
      <c r="NB46" t="s">
        <v>1900</v>
      </c>
      <c r="NC46" t="s">
        <v>1900</v>
      </c>
      <c r="ND46" t="s">
        <v>1900</v>
      </c>
      <c r="NE46" t="s">
        <v>1900</v>
      </c>
      <c r="NF46" t="s">
        <v>1900</v>
      </c>
      <c r="NG46" t="s">
        <v>1900</v>
      </c>
      <c r="NH46" t="s">
        <v>1900</v>
      </c>
      <c r="NI46" t="s">
        <v>1900</v>
      </c>
      <c r="NJ46" t="s">
        <v>1900</v>
      </c>
      <c r="NK46" t="s">
        <v>1900</v>
      </c>
      <c r="NL46" t="s">
        <v>1900</v>
      </c>
      <c r="NM46" t="s">
        <v>1900</v>
      </c>
      <c r="NN46" t="s">
        <v>1900</v>
      </c>
      <c r="NO46" t="s">
        <v>1900</v>
      </c>
      <c r="NP46" t="s">
        <v>1900</v>
      </c>
      <c r="NQ46" t="s">
        <v>1900</v>
      </c>
      <c r="NR46" t="s">
        <v>1900</v>
      </c>
      <c r="NS46" t="s">
        <v>1900</v>
      </c>
      <c r="NT46">
        <v>1163705.93995114</v>
      </c>
      <c r="NU46">
        <v>1105458.85011635</v>
      </c>
      <c r="NV46">
        <v>1012242.16521835</v>
      </c>
      <c r="NW46">
        <v>1124923.97296872</v>
      </c>
      <c r="NX46">
        <v>1270268.14967411</v>
      </c>
      <c r="NY46" t="s">
        <v>1900</v>
      </c>
      <c r="NZ46" t="s">
        <v>1900</v>
      </c>
      <c r="OA46" t="s">
        <v>1900</v>
      </c>
      <c r="OB46" t="s">
        <v>1900</v>
      </c>
      <c r="OC46" t="s">
        <v>1900</v>
      </c>
      <c r="OD46" t="s">
        <v>1900</v>
      </c>
      <c r="OE46" t="s">
        <v>1900</v>
      </c>
      <c r="OF46" t="s">
        <v>1900</v>
      </c>
      <c r="OG46" t="s">
        <v>1900</v>
      </c>
      <c r="OH46" t="s">
        <v>1900</v>
      </c>
      <c r="OI46" t="s">
        <v>1900</v>
      </c>
      <c r="OJ46" t="s">
        <v>1900</v>
      </c>
      <c r="OK46" t="s">
        <v>1900</v>
      </c>
      <c r="OL46" t="s">
        <v>1900</v>
      </c>
      <c r="OM46" t="s">
        <v>1900</v>
      </c>
      <c r="ON46" t="s">
        <v>1900</v>
      </c>
      <c r="OO46" t="s">
        <v>1900</v>
      </c>
      <c r="OP46" t="s">
        <v>1900</v>
      </c>
      <c r="OQ46" t="s">
        <v>1900</v>
      </c>
      <c r="OR46" t="s">
        <v>1900</v>
      </c>
      <c r="OS46" t="s">
        <v>1900</v>
      </c>
      <c r="OT46" t="s">
        <v>1900</v>
      </c>
      <c r="OU46" t="s">
        <v>1900</v>
      </c>
      <c r="OV46" t="s">
        <v>1900</v>
      </c>
      <c r="OW46" t="s">
        <v>1900</v>
      </c>
      <c r="OX46" t="s">
        <v>1900</v>
      </c>
      <c r="OY46" t="s">
        <v>1900</v>
      </c>
      <c r="OZ46" t="s">
        <v>1900</v>
      </c>
      <c r="PA46" t="s">
        <v>1900</v>
      </c>
      <c r="PB46" t="s">
        <v>1900</v>
      </c>
      <c r="PC46" t="s">
        <v>1900</v>
      </c>
      <c r="PD46" t="s">
        <v>1900</v>
      </c>
      <c r="PE46" t="s">
        <v>1900</v>
      </c>
      <c r="PF46" t="s">
        <v>1900</v>
      </c>
      <c r="PG46" t="s">
        <v>1900</v>
      </c>
      <c r="PH46" t="s">
        <v>1900</v>
      </c>
      <c r="PI46" t="s">
        <v>1900</v>
      </c>
      <c r="PJ46" t="s">
        <v>1900</v>
      </c>
      <c r="PK46" t="s">
        <v>1900</v>
      </c>
      <c r="PL46" t="s">
        <v>1900</v>
      </c>
      <c r="PM46" t="s">
        <v>1900</v>
      </c>
      <c r="PN46" t="s">
        <v>1900</v>
      </c>
      <c r="PO46" t="s">
        <v>1900</v>
      </c>
      <c r="PP46" t="s">
        <v>1900</v>
      </c>
      <c r="PQ46" t="s">
        <v>1900</v>
      </c>
      <c r="PR46" t="s">
        <v>1900</v>
      </c>
      <c r="PS46" t="s">
        <v>1900</v>
      </c>
      <c r="PT46" t="s">
        <v>1900</v>
      </c>
      <c r="PU46" t="s">
        <v>1900</v>
      </c>
      <c r="PV46" t="s">
        <v>1900</v>
      </c>
      <c r="PW46" t="s">
        <v>1900</v>
      </c>
      <c r="PX46" t="s">
        <v>1900</v>
      </c>
      <c r="PY46" t="s">
        <v>1900</v>
      </c>
      <c r="PZ46" t="s">
        <v>1900</v>
      </c>
      <c r="QA46" t="s">
        <v>1900</v>
      </c>
      <c r="QB46" t="s">
        <v>1900</v>
      </c>
      <c r="QC46" t="s">
        <v>1900</v>
      </c>
      <c r="QD46" t="s">
        <v>1900</v>
      </c>
      <c r="QE46" t="s">
        <v>1900</v>
      </c>
      <c r="QF46" t="s">
        <v>1900</v>
      </c>
      <c r="QG46" t="s">
        <v>1900</v>
      </c>
      <c r="QH46" t="s">
        <v>1900</v>
      </c>
      <c r="QI46" t="s">
        <v>1900</v>
      </c>
      <c r="QJ46" t="s">
        <v>1900</v>
      </c>
      <c r="QK46" t="s">
        <v>1900</v>
      </c>
      <c r="QL46" t="s">
        <v>1900</v>
      </c>
      <c r="QM46" t="s">
        <v>1900</v>
      </c>
      <c r="QN46" t="s">
        <v>1900</v>
      </c>
      <c r="QO46" t="s">
        <v>1900</v>
      </c>
      <c r="QP46" t="s">
        <v>1900</v>
      </c>
      <c r="QQ46" t="s">
        <v>1900</v>
      </c>
      <c r="QR46" t="s">
        <v>1900</v>
      </c>
      <c r="QS46" t="s">
        <v>1900</v>
      </c>
      <c r="QT46" t="s">
        <v>1900</v>
      </c>
      <c r="QU46" t="s">
        <v>1900</v>
      </c>
      <c r="QV46" t="s">
        <v>1900</v>
      </c>
      <c r="QW46" t="s">
        <v>1900</v>
      </c>
      <c r="QX46" t="s">
        <v>1900</v>
      </c>
      <c r="QY46" t="s">
        <v>1900</v>
      </c>
      <c r="QZ46" t="s">
        <v>1900</v>
      </c>
      <c r="RA46" t="s">
        <v>1900</v>
      </c>
      <c r="RB46" t="s">
        <v>1900</v>
      </c>
      <c r="RC46" t="s">
        <v>1900</v>
      </c>
      <c r="RD46" t="s">
        <v>1900</v>
      </c>
      <c r="RE46" t="s">
        <v>1900</v>
      </c>
      <c r="RF46" t="s">
        <v>1900</v>
      </c>
      <c r="RG46" t="s">
        <v>1900</v>
      </c>
      <c r="RH46" t="s">
        <v>1900</v>
      </c>
      <c r="RI46" t="s">
        <v>1900</v>
      </c>
      <c r="RJ46" t="s">
        <v>1900</v>
      </c>
      <c r="RK46" t="s">
        <v>1900</v>
      </c>
      <c r="RL46" t="s">
        <v>1900</v>
      </c>
      <c r="RM46" t="s">
        <v>1900</v>
      </c>
      <c r="RN46" t="s">
        <v>1900</v>
      </c>
      <c r="RO46" t="s">
        <v>1900</v>
      </c>
      <c r="RP46" t="s">
        <v>1900</v>
      </c>
      <c r="RQ46" t="s">
        <v>1900</v>
      </c>
      <c r="RR46" t="s">
        <v>1900</v>
      </c>
      <c r="RS46" t="s">
        <v>1900</v>
      </c>
      <c r="RT46" t="s">
        <v>1900</v>
      </c>
      <c r="RU46" t="s">
        <v>1900</v>
      </c>
      <c r="RV46" t="s">
        <v>1900</v>
      </c>
      <c r="RW46" t="s">
        <v>1900</v>
      </c>
      <c r="RX46" t="s">
        <v>1900</v>
      </c>
      <c r="RY46" t="s">
        <v>1900</v>
      </c>
      <c r="RZ46" t="s">
        <v>1900</v>
      </c>
      <c r="SA46" t="s">
        <v>1900</v>
      </c>
      <c r="SB46" t="s">
        <v>1900</v>
      </c>
      <c r="SC46" t="s">
        <v>1900</v>
      </c>
      <c r="SD46" t="s">
        <v>1900</v>
      </c>
      <c r="SE46" t="s">
        <v>1900</v>
      </c>
      <c r="SF46" t="s">
        <v>1900</v>
      </c>
      <c r="SG46" t="s">
        <v>1900</v>
      </c>
      <c r="SH46" t="s">
        <v>1900</v>
      </c>
      <c r="SI46" t="s">
        <v>1900</v>
      </c>
      <c r="SJ46">
        <v>708192.592551484</v>
      </c>
      <c r="SK46">
        <v>676731.100008602</v>
      </c>
      <c r="SL46">
        <v>570735.50895195</v>
      </c>
      <c r="SM46">
        <v>541772.935231948</v>
      </c>
      <c r="SN46">
        <v>478911.762387186</v>
      </c>
      <c r="SO46" t="s">
        <v>1900</v>
      </c>
      <c r="SP46" t="s">
        <v>1900</v>
      </c>
      <c r="SQ46" t="s">
        <v>1900</v>
      </c>
      <c r="SR46" t="s">
        <v>1900</v>
      </c>
      <c r="SS46" t="s">
        <v>1900</v>
      </c>
      <c r="ST46" t="s">
        <v>1900</v>
      </c>
      <c r="SU46" t="s">
        <v>1900</v>
      </c>
      <c r="SV46" t="s">
        <v>1900</v>
      </c>
      <c r="SW46" t="s">
        <v>1900</v>
      </c>
      <c r="SX46" t="s">
        <v>1900</v>
      </c>
      <c r="SY46" t="s">
        <v>1900</v>
      </c>
      <c r="SZ46" t="s">
        <v>1900</v>
      </c>
      <c r="TA46" t="s">
        <v>1900</v>
      </c>
      <c r="TB46" t="s">
        <v>1900</v>
      </c>
      <c r="TC46" t="s">
        <v>1900</v>
      </c>
      <c r="TD46" t="s">
        <v>1900</v>
      </c>
      <c r="TE46" t="s">
        <v>1900</v>
      </c>
      <c r="TF46" t="s">
        <v>1900</v>
      </c>
      <c r="TG46" t="s">
        <v>1900</v>
      </c>
      <c r="TH46" t="s">
        <v>1900</v>
      </c>
      <c r="TI46" t="s">
        <v>1900</v>
      </c>
      <c r="TJ46" t="s">
        <v>1900</v>
      </c>
      <c r="TK46" t="s">
        <v>1900</v>
      </c>
      <c r="TL46" t="s">
        <v>1900</v>
      </c>
      <c r="TM46" t="s">
        <v>1900</v>
      </c>
      <c r="TN46" t="s">
        <v>1900</v>
      </c>
      <c r="TO46" t="s">
        <v>1900</v>
      </c>
      <c r="TP46" t="s">
        <v>1900</v>
      </c>
      <c r="TQ46" t="s">
        <v>1900</v>
      </c>
      <c r="TR46" t="s">
        <v>1900</v>
      </c>
      <c r="TS46">
        <v>2617614.97134799</v>
      </c>
      <c r="TT46">
        <v>2598209.23564438</v>
      </c>
      <c r="TU46">
        <v>1404294.12299253</v>
      </c>
      <c r="TV46">
        <v>1719760.28592367</v>
      </c>
      <c r="TW46">
        <v>1505544.70858324</v>
      </c>
      <c r="TX46" t="s">
        <v>1900</v>
      </c>
      <c r="TY46" t="s">
        <v>1900</v>
      </c>
      <c r="TZ46" t="s">
        <v>1900</v>
      </c>
      <c r="UA46" t="s">
        <v>1900</v>
      </c>
      <c r="UB46" t="s">
        <v>1900</v>
      </c>
      <c r="UC46">
        <v>115331.79107187</v>
      </c>
      <c r="UD46">
        <v>97778.1457316303</v>
      </c>
      <c r="UE46">
        <v>75596.06001191741</v>
      </c>
      <c r="UF46">
        <v>87646.3540751696</v>
      </c>
      <c r="UG46">
        <v>158451.086771929</v>
      </c>
      <c r="UH46" t="s">
        <v>1900</v>
      </c>
      <c r="UI46" t="s">
        <v>1900</v>
      </c>
      <c r="UJ46" t="s">
        <v>1900</v>
      </c>
      <c r="UK46" t="s">
        <v>1900</v>
      </c>
      <c r="UL46" t="s">
        <v>1900</v>
      </c>
      <c r="UM46" t="s">
        <v>1900</v>
      </c>
      <c r="UN46" t="s">
        <v>1900</v>
      </c>
      <c r="UO46" t="s">
        <v>1900</v>
      </c>
      <c r="UP46" t="s">
        <v>1900</v>
      </c>
      <c r="UQ46" t="s">
        <v>1900</v>
      </c>
      <c r="UR46" t="s">
        <v>1900</v>
      </c>
      <c r="US46" t="s">
        <v>1900</v>
      </c>
      <c r="UT46" t="s">
        <v>1900</v>
      </c>
      <c r="UU46" t="s">
        <v>1900</v>
      </c>
      <c r="UV46" t="s">
        <v>1900</v>
      </c>
      <c r="UW46" t="s">
        <v>1900</v>
      </c>
      <c r="UX46" t="s">
        <v>1900</v>
      </c>
      <c r="UY46" t="s">
        <v>1900</v>
      </c>
      <c r="UZ46" t="s">
        <v>1900</v>
      </c>
      <c r="VA46" t="s">
        <v>1900</v>
      </c>
      <c r="VB46" t="s">
        <v>1900</v>
      </c>
      <c r="VC46" t="s">
        <v>1900</v>
      </c>
      <c r="VD46" t="s">
        <v>1900</v>
      </c>
      <c r="VE46" t="s">
        <v>1900</v>
      </c>
      <c r="VF46" t="s">
        <v>1900</v>
      </c>
      <c r="VG46" t="s">
        <v>1900</v>
      </c>
      <c r="VH46" t="s">
        <v>1900</v>
      </c>
      <c r="VI46" t="s">
        <v>1900</v>
      </c>
      <c r="VJ46" t="s">
        <v>1900</v>
      </c>
      <c r="VK46" t="s">
        <v>1900</v>
      </c>
      <c r="VL46" t="s">
        <v>1900</v>
      </c>
      <c r="VM46" t="s">
        <v>1900</v>
      </c>
      <c r="VN46" t="s">
        <v>1900</v>
      </c>
      <c r="VO46" t="s">
        <v>1900</v>
      </c>
      <c r="VP46" t="s">
        <v>1900</v>
      </c>
      <c r="VQ46" t="s">
        <v>1900</v>
      </c>
      <c r="VR46" t="s">
        <v>1900</v>
      </c>
      <c r="VS46" t="s">
        <v>1900</v>
      </c>
      <c r="VT46" t="s">
        <v>1900</v>
      </c>
      <c r="VU46" t="s">
        <v>1900</v>
      </c>
      <c r="VV46" t="s">
        <v>1900</v>
      </c>
      <c r="VW46" t="s">
        <v>1900</v>
      </c>
      <c r="VX46" t="s">
        <v>1900</v>
      </c>
      <c r="VY46" t="s">
        <v>1900</v>
      </c>
      <c r="VZ46" t="s">
        <v>1900</v>
      </c>
      <c r="WA46">
        <v>234930.623061098</v>
      </c>
      <c r="WB46">
        <v>300670.027187014</v>
      </c>
      <c r="WC46">
        <v>71927.1913575965</v>
      </c>
      <c r="WD46">
        <v>26640.3335459948</v>
      </c>
      <c r="WE46">
        <v>152773.235731398</v>
      </c>
      <c r="WF46" t="s">
        <v>1900</v>
      </c>
      <c r="WG46" t="s">
        <v>1900</v>
      </c>
      <c r="WH46" t="s">
        <v>1900</v>
      </c>
      <c r="WI46" t="s">
        <v>1900</v>
      </c>
      <c r="WJ46" t="s">
        <v>1900</v>
      </c>
      <c r="WK46" t="s">
        <v>1900</v>
      </c>
      <c r="WL46" t="s">
        <v>1900</v>
      </c>
      <c r="WM46" t="s">
        <v>1900</v>
      </c>
      <c r="WN46" t="s">
        <v>1900</v>
      </c>
      <c r="WO46" t="s">
        <v>1900</v>
      </c>
      <c r="WP46" t="s">
        <v>1900</v>
      </c>
      <c r="WQ46" t="s">
        <v>1900</v>
      </c>
      <c r="WR46" t="s">
        <v>1900</v>
      </c>
      <c r="WS46" t="s">
        <v>1900</v>
      </c>
      <c r="WT46" t="s">
        <v>1900</v>
      </c>
      <c r="WU46" t="s">
        <v>1900</v>
      </c>
      <c r="WV46" t="s">
        <v>1900</v>
      </c>
      <c r="WW46" t="s">
        <v>1900</v>
      </c>
      <c r="WX46" t="s">
        <v>1900</v>
      </c>
      <c r="WY46" t="s">
        <v>1900</v>
      </c>
      <c r="WZ46" t="s">
        <v>1900</v>
      </c>
      <c r="XA46" t="s">
        <v>1900</v>
      </c>
      <c r="XB46" t="s">
        <v>1900</v>
      </c>
      <c r="XC46" t="s">
        <v>1900</v>
      </c>
      <c r="XD46" t="s">
        <v>1900</v>
      </c>
      <c r="XE46" t="s">
        <v>1900</v>
      </c>
      <c r="XF46" t="s">
        <v>1900</v>
      </c>
      <c r="XG46" t="s">
        <v>1900</v>
      </c>
      <c r="XH46" t="s">
        <v>1900</v>
      </c>
      <c r="XI46" t="s">
        <v>1900</v>
      </c>
      <c r="XJ46">
        <v>710.960511820316</v>
      </c>
      <c r="XK46">
        <v>4945.993269701</v>
      </c>
      <c r="XL46">
        <v>20561.5529568136</v>
      </c>
      <c r="XM46">
        <v>51290.4165277004</v>
      </c>
      <c r="XN46">
        <v>103677.632079905</v>
      </c>
      <c r="XO46" t="s">
        <v>1900</v>
      </c>
      <c r="XP46" t="s">
        <v>1900</v>
      </c>
      <c r="XQ46" t="s">
        <v>1900</v>
      </c>
      <c r="XR46" t="s">
        <v>1900</v>
      </c>
      <c r="XS46" t="s">
        <v>1900</v>
      </c>
      <c r="XT46" t="s">
        <v>1900</v>
      </c>
      <c r="XU46" t="s">
        <v>1900</v>
      </c>
      <c r="XV46" t="s">
        <v>1900</v>
      </c>
      <c r="XW46" t="s">
        <v>1900</v>
      </c>
      <c r="XX46" t="s">
        <v>1900</v>
      </c>
      <c r="XY46" t="s">
        <v>1900</v>
      </c>
      <c r="XZ46" t="s">
        <v>1900</v>
      </c>
      <c r="YA46" t="s">
        <v>1900</v>
      </c>
      <c r="YB46" t="s">
        <v>1900</v>
      </c>
      <c r="YC46" t="s">
        <v>1900</v>
      </c>
      <c r="YD46" t="s">
        <v>1900</v>
      </c>
      <c r="YE46" t="s">
        <v>1900</v>
      </c>
      <c r="YF46" t="s">
        <v>1900</v>
      </c>
      <c r="YG46" t="s">
        <v>1900</v>
      </c>
      <c r="YH46" t="s">
        <v>1900</v>
      </c>
      <c r="YI46" t="s">
        <v>1900</v>
      </c>
      <c r="YJ46" t="s">
        <v>1900</v>
      </c>
      <c r="YK46" t="s">
        <v>1900</v>
      </c>
      <c r="YL46" t="s">
        <v>1900</v>
      </c>
      <c r="YM46" t="s">
        <v>1900</v>
      </c>
      <c r="YN46" t="s">
        <v>1900</v>
      </c>
      <c r="YO46" t="s">
        <v>1900</v>
      </c>
      <c r="YP46" t="s">
        <v>1900</v>
      </c>
      <c r="YQ46" t="s">
        <v>1900</v>
      </c>
      <c r="YR46" t="s">
        <v>1900</v>
      </c>
      <c r="YS46" t="s">
        <v>1900</v>
      </c>
      <c r="YT46" t="s">
        <v>1900</v>
      </c>
      <c r="YU46" t="s">
        <v>1900</v>
      </c>
      <c r="YV46" t="s">
        <v>1900</v>
      </c>
      <c r="YW46" t="s">
        <v>1900</v>
      </c>
      <c r="YX46" t="s">
        <v>1900</v>
      </c>
      <c r="YY46" t="s">
        <v>1900</v>
      </c>
      <c r="YZ46" t="s">
        <v>1900</v>
      </c>
      <c r="ZA46" t="s">
        <v>1900</v>
      </c>
      <c r="ZB46" t="s">
        <v>1900</v>
      </c>
      <c r="ZC46" t="s">
        <v>1900</v>
      </c>
      <c r="ZD46" t="s">
        <v>1900</v>
      </c>
      <c r="ZE46" t="s">
        <v>1900</v>
      </c>
      <c r="ZF46" t="s">
        <v>1900</v>
      </c>
      <c r="ZG46" t="s">
        <v>1900</v>
      </c>
      <c r="ZH46" t="s">
        <v>1900</v>
      </c>
      <c r="ZI46" t="s">
        <v>1900</v>
      </c>
      <c r="ZJ46" t="s">
        <v>1900</v>
      </c>
      <c r="ZK46" t="s">
        <v>1900</v>
      </c>
      <c r="ZL46" t="s">
        <v>1900</v>
      </c>
      <c r="ZM46" t="s">
        <v>1900</v>
      </c>
      <c r="ZN46" t="s">
        <v>1900</v>
      </c>
      <c r="ZO46" t="s">
        <v>1900</v>
      </c>
      <c r="ZP46" t="s">
        <v>1900</v>
      </c>
      <c r="ZQ46" t="s">
        <v>1900</v>
      </c>
      <c r="ZR46" t="s">
        <v>1900</v>
      </c>
      <c r="ZS46" t="s">
        <v>1900</v>
      </c>
      <c r="ZT46" t="s">
        <v>1900</v>
      </c>
      <c r="ZU46" t="s">
        <v>1900</v>
      </c>
      <c r="ZV46" t="s">
        <v>1900</v>
      </c>
      <c r="ZW46" t="s">
        <v>1900</v>
      </c>
      <c r="ZX46" t="s">
        <v>1900</v>
      </c>
      <c r="ZY46" t="s">
        <v>1900</v>
      </c>
      <c r="ZZ46" t="s">
        <v>1900</v>
      </c>
      <c r="AAA46" t="s">
        <v>1900</v>
      </c>
      <c r="AAB46" t="s">
        <v>1900</v>
      </c>
      <c r="AAC46" t="s">
        <v>1900</v>
      </c>
      <c r="AAD46" t="s">
        <v>1900</v>
      </c>
      <c r="AAE46" t="s">
        <v>1900</v>
      </c>
      <c r="AAF46" t="s">
        <v>1900</v>
      </c>
      <c r="AAG46" t="s">
        <v>1900</v>
      </c>
      <c r="AAH46" t="s">
        <v>1900</v>
      </c>
      <c r="AAI46" t="s">
        <v>1900</v>
      </c>
      <c r="AAJ46" t="s">
        <v>1900</v>
      </c>
      <c r="AAK46" t="s">
        <v>1900</v>
      </c>
      <c r="AAL46" t="s">
        <v>1900</v>
      </c>
      <c r="AAM46" t="s">
        <v>1900</v>
      </c>
      <c r="AAN46" t="s">
        <v>1900</v>
      </c>
      <c r="AAO46" t="s">
        <v>1900</v>
      </c>
      <c r="AAP46" t="s">
        <v>1900</v>
      </c>
      <c r="AAQ46" t="s">
        <v>1900</v>
      </c>
      <c r="AAR46" t="s">
        <v>1900</v>
      </c>
      <c r="AAS46" t="s">
        <v>1900</v>
      </c>
      <c r="AAT46" t="s">
        <v>1900</v>
      </c>
      <c r="AAU46" t="s">
        <v>1900</v>
      </c>
      <c r="AAV46" t="s">
        <v>1900</v>
      </c>
      <c r="AAW46" t="s">
        <v>1900</v>
      </c>
      <c r="AAX46" t="s">
        <v>1900</v>
      </c>
      <c r="AAY46" t="s">
        <v>1900</v>
      </c>
      <c r="AAZ46" t="s">
        <v>1900</v>
      </c>
      <c r="ABA46" t="s">
        <v>1900</v>
      </c>
      <c r="ABB46" t="s">
        <v>1900</v>
      </c>
      <c r="ABC46" t="s">
        <v>1900</v>
      </c>
      <c r="ABD46" t="s">
        <v>1900</v>
      </c>
      <c r="ABE46" t="s">
        <v>1900</v>
      </c>
      <c r="ABF46" t="s">
        <v>1900</v>
      </c>
      <c r="ABG46" t="s">
        <v>1900</v>
      </c>
      <c r="ABH46" t="s">
        <v>1900</v>
      </c>
      <c r="ABI46" t="s">
        <v>1900</v>
      </c>
      <c r="ABJ46" t="s">
        <v>1900</v>
      </c>
      <c r="ABK46" t="s">
        <v>1900</v>
      </c>
      <c r="ABL46" t="s">
        <v>1900</v>
      </c>
      <c r="ABM46" t="s">
        <v>1900</v>
      </c>
      <c r="ABN46" t="s">
        <v>1900</v>
      </c>
      <c r="ABO46" t="s">
        <v>1900</v>
      </c>
      <c r="ABP46" t="s">
        <v>1900</v>
      </c>
      <c r="ABQ46" t="s">
        <v>1900</v>
      </c>
      <c r="ABR46" t="s">
        <v>1900</v>
      </c>
      <c r="ABS46" t="s">
        <v>1900</v>
      </c>
      <c r="ABT46" t="s">
        <v>1900</v>
      </c>
      <c r="ABU46" t="s">
        <v>1900</v>
      </c>
      <c r="ABV46" t="s">
        <v>1900</v>
      </c>
      <c r="ABW46" t="s">
        <v>1900</v>
      </c>
      <c r="ABX46" t="s">
        <v>1900</v>
      </c>
      <c r="ABY46" t="s">
        <v>1900</v>
      </c>
      <c r="ABZ46" t="s">
        <v>1900</v>
      </c>
      <c r="ACA46" t="s">
        <v>1900</v>
      </c>
      <c r="ACB46" t="s">
        <v>1900</v>
      </c>
      <c r="ACC46" t="s">
        <v>1900</v>
      </c>
      <c r="ACD46" t="s">
        <v>1900</v>
      </c>
      <c r="ACE46">
        <v>-12.393</v>
      </c>
      <c r="ACF46">
        <v>-18.927</v>
      </c>
      <c r="ACG46">
        <v>-58.714</v>
      </c>
      <c r="ACH46">
        <v>-46.94</v>
      </c>
      <c r="ACI46">
        <v>-61.507</v>
      </c>
      <c r="ACJ46">
        <v>-8.179</v>
      </c>
      <c r="ACK46">
        <v>-11.576</v>
      </c>
      <c r="ACL46">
        <v>-29.912</v>
      </c>
      <c r="ACM46">
        <v>-24.762</v>
      </c>
      <c r="ACN46">
        <v>-42.747</v>
      </c>
      <c r="ACO46">
        <v>-8.504</v>
      </c>
      <c r="ACP46">
        <v>-11.039</v>
      </c>
      <c r="ACQ46">
        <v>-24.263</v>
      </c>
      <c r="ACR46">
        <v>-22.529</v>
      </c>
      <c r="ACS46">
        <v>-31.186</v>
      </c>
      <c r="ACT46">
        <v>-8.388</v>
      </c>
      <c r="ACU46">
        <v>-13.288</v>
      </c>
      <c r="ACV46">
        <v>-48.283</v>
      </c>
      <c r="ACW46">
        <v>-34.2</v>
      </c>
      <c r="ACX46">
        <v>-44.134</v>
      </c>
      <c r="ACY46">
        <v>-4.789</v>
      </c>
      <c r="ACZ46">
        <v>-7.495</v>
      </c>
      <c r="ADA46">
        <v>-24.283</v>
      </c>
      <c r="ADB46">
        <v>-17.713</v>
      </c>
      <c r="ADC46">
        <v>-30.379</v>
      </c>
      <c r="ADD46">
        <v>-5.755</v>
      </c>
      <c r="ADE46">
        <v>-7.75</v>
      </c>
      <c r="ADF46">
        <v>-19.953</v>
      </c>
      <c r="ADG46">
        <v>-16.414</v>
      </c>
      <c r="ADH46">
        <v>-22.378</v>
      </c>
      <c r="ADI46">
        <v>-25.464</v>
      </c>
      <c r="ADJ46">
        <v>-68.465</v>
      </c>
      <c r="ADK46" t="s">
        <v>1901</v>
      </c>
      <c r="ADL46" t="s">
        <v>1901</v>
      </c>
      <c r="ADM46" t="s">
        <v>1901</v>
      </c>
      <c r="ADN46">
        <v>73.45</v>
      </c>
      <c r="ADO46">
        <v>81.07599999999999</v>
      </c>
      <c r="ADP46">
        <v>95.68300000000001</v>
      </c>
      <c r="ADQ46">
        <v>86.23099999999999</v>
      </c>
      <c r="ADR46">
        <v>93.589</v>
      </c>
      <c r="ADS46">
        <v>-19.997081914</v>
      </c>
      <c r="ADT46">
        <v>-57.850750717</v>
      </c>
      <c r="ADU46">
        <v>-103.822514613</v>
      </c>
      <c r="ADV46">
        <v>-156.794940791</v>
      </c>
      <c r="ADW46">
        <v>-224.363571935</v>
      </c>
      <c r="ADX46">
        <v>-3.694</v>
      </c>
      <c r="ADY46">
        <v>-11.576</v>
      </c>
      <c r="ADZ46">
        <v>-22.172</v>
      </c>
      <c r="AEA46">
        <v>-50.117</v>
      </c>
      <c r="AEB46" t="s">
        <v>1901</v>
      </c>
      <c r="AEC46">
        <v>-19.997</v>
      </c>
      <c r="AED46">
        <v>-57.851</v>
      </c>
      <c r="AEE46" t="s">
        <v>1901</v>
      </c>
      <c r="AEF46" t="s">
        <v>1901</v>
      </c>
      <c r="AEG46" t="s">
        <v>1901</v>
      </c>
      <c r="AEH46">
        <v>-0.931</v>
      </c>
      <c r="AEI46">
        <v>-1.792</v>
      </c>
      <c r="AEJ46">
        <v>-8.776999999999999</v>
      </c>
      <c r="AEK46">
        <v>-13.127</v>
      </c>
      <c r="AEL46">
        <v>-46.402</v>
      </c>
      <c r="AEM46">
        <v>-16.664640169</v>
      </c>
      <c r="AEN46">
        <v>-36.649018427</v>
      </c>
      <c r="AEO46">
        <v>-50.937706666</v>
      </c>
      <c r="AEP46">
        <v>-61.058422844</v>
      </c>
      <c r="AEQ46">
        <v>-69.170397464</v>
      </c>
      <c r="AER46">
        <v>0.786005609</v>
      </c>
      <c r="AES46">
        <v>0.583587155</v>
      </c>
      <c r="AET46">
        <v>0.47960109</v>
      </c>
      <c r="AEU46">
        <v>0.354823331</v>
      </c>
      <c r="AEV46">
        <v>0.294349394</v>
      </c>
      <c r="AEW46" t="s">
        <v>1900</v>
      </c>
      <c r="AEX46" t="s">
        <v>1900</v>
      </c>
      <c r="AEY46" t="s">
        <v>1900</v>
      </c>
      <c r="AEZ46" t="s">
        <v>1900</v>
      </c>
      <c r="AFA46" t="s">
        <v>1900</v>
      </c>
      <c r="AFB46" t="s">
        <v>1900</v>
      </c>
      <c r="AFC46" t="s">
        <v>1900</v>
      </c>
      <c r="AFD46" t="s">
        <v>1900</v>
      </c>
      <c r="AFE46" t="s">
        <v>1900</v>
      </c>
      <c r="AFF46" t="s">
        <v>1900</v>
      </c>
      <c r="AFG46">
        <v>0.412</v>
      </c>
      <c r="AFH46">
        <v>0.2</v>
      </c>
      <c r="AFI46">
        <v>0.288</v>
      </c>
      <c r="AFJ46">
        <v>0.158</v>
      </c>
      <c r="AFK46">
        <v>0.191</v>
      </c>
      <c r="AFL46">
        <v>-3.568</v>
      </c>
      <c r="AFM46">
        <v>-5.45</v>
      </c>
      <c r="AFN46">
        <v>-16.906</v>
      </c>
      <c r="AFO46">
        <v>-20.518</v>
      </c>
      <c r="AFP46">
        <v>-41.19</v>
      </c>
      <c r="AFQ46">
        <v>1.457</v>
      </c>
      <c r="AFR46">
        <v>0.514</v>
      </c>
      <c r="AFS46">
        <v>1.765</v>
      </c>
      <c r="AFT46">
        <v>1.654</v>
      </c>
      <c r="AFU46">
        <v>1.346</v>
      </c>
      <c r="AFV46">
        <v>190.113</v>
      </c>
      <c r="AFW46">
        <v>310.097</v>
      </c>
      <c r="AFX46">
        <v>206.091</v>
      </c>
      <c r="AFY46">
        <v>216.759</v>
      </c>
      <c r="AFZ46">
        <v>130.918</v>
      </c>
      <c r="AGA46">
        <v>59.629</v>
      </c>
      <c r="AGB46">
        <v>91.39100000000001</v>
      </c>
      <c r="AGC46">
        <v>210.604</v>
      </c>
      <c r="AGD46">
        <v>173.369</v>
      </c>
      <c r="AGE46">
        <v>214.902</v>
      </c>
      <c r="AGF46" t="s">
        <v>1900</v>
      </c>
      <c r="AGG46" t="s">
        <v>1900</v>
      </c>
      <c r="AGH46" t="s">
        <v>1900</v>
      </c>
      <c r="AGI46" t="s">
        <v>1900</v>
      </c>
      <c r="AGJ46" t="s">
        <v>1900</v>
      </c>
      <c r="AGK46" t="s">
        <v>1900</v>
      </c>
      <c r="AGL46" t="s">
        <v>1900</v>
      </c>
      <c r="AGM46" t="s">
        <v>1900</v>
      </c>
      <c r="AGN46" t="s">
        <v>1900</v>
      </c>
      <c r="AGO46" t="s">
        <v>1900</v>
      </c>
      <c r="AGP46" t="s">
        <v>1900</v>
      </c>
      <c r="AGQ46" t="s">
        <v>1900</v>
      </c>
      <c r="AGR46" t="s">
        <v>1900</v>
      </c>
      <c r="AGS46" t="s">
        <v>1900</v>
      </c>
      <c r="AGT46" t="s">
        <v>1900</v>
      </c>
      <c r="AGU46">
        <v>0</v>
      </c>
      <c r="AGV46">
        <v>0</v>
      </c>
      <c r="AGW46">
        <v>0</v>
      </c>
      <c r="AGX46">
        <v>0</v>
      </c>
      <c r="AGY46">
        <v>0</v>
      </c>
      <c r="AGZ46">
        <v>2.937</v>
      </c>
      <c r="AHA46">
        <v>2.957</v>
      </c>
      <c r="AHB46">
        <v>1.192</v>
      </c>
      <c r="AHC46">
        <v>2.612</v>
      </c>
      <c r="AHD46">
        <v>0.543</v>
      </c>
      <c r="AHE46">
        <v>1.725</v>
      </c>
      <c r="AHF46">
        <v>1.342</v>
      </c>
      <c r="AHG46">
        <v>0.658</v>
      </c>
      <c r="AHH46">
        <v>1.986</v>
      </c>
      <c r="AHI46">
        <v>0.193</v>
      </c>
      <c r="AHJ46">
        <v>5.502</v>
      </c>
      <c r="AHK46">
        <v>2.622</v>
      </c>
      <c r="AHL46">
        <v>1.172</v>
      </c>
      <c r="AHM46">
        <v>1.238</v>
      </c>
      <c r="AHN46">
        <v>2.471</v>
      </c>
      <c r="AHO46">
        <v>68.617</v>
      </c>
      <c r="AHP46">
        <v>58.324</v>
      </c>
      <c r="AHQ46">
        <v>41.325</v>
      </c>
      <c r="AHR46">
        <v>47.996</v>
      </c>
      <c r="AHS46">
        <v>50.704</v>
      </c>
      <c r="AHT46" t="s">
        <v>1901</v>
      </c>
      <c r="AHU46" t="s">
        <v>1901</v>
      </c>
      <c r="AHV46">
        <v>70.429</v>
      </c>
      <c r="AHW46">
        <v>92.292</v>
      </c>
      <c r="AHX46" t="s">
        <v>1901</v>
      </c>
      <c r="AHY46">
        <v>24.596</v>
      </c>
      <c r="AHZ46">
        <v>44.598</v>
      </c>
      <c r="AIA46">
        <v>98.35599999999999</v>
      </c>
      <c r="AIB46">
        <v>91.377</v>
      </c>
      <c r="AIC46">
        <v>61.234</v>
      </c>
      <c r="AID46">
        <v>27.054880122</v>
      </c>
      <c r="AIE46">
        <v>26.046058598</v>
      </c>
      <c r="AIF46">
        <v>40.642163177</v>
      </c>
      <c r="AIG46">
        <v>31.502816972</v>
      </c>
      <c r="AIH46">
        <v>31.809866532</v>
      </c>
      <c r="AII46">
        <v>14.992269716</v>
      </c>
      <c r="AIJ46">
        <v>12.189894549</v>
      </c>
      <c r="AIK46">
        <v>2.783928977</v>
      </c>
      <c r="AIL46">
        <v>18.055575276</v>
      </c>
      <c r="AIM46">
        <v>0.612885907</v>
      </c>
      <c r="AIN46">
        <v>8.974987752000001</v>
      </c>
      <c r="AIO46">
        <v>11.572202233</v>
      </c>
      <c r="AIP46">
        <v>5.121946334</v>
      </c>
      <c r="AIQ46">
        <v>1.549072494</v>
      </c>
      <c r="AIR46">
        <v>10.147372898</v>
      </c>
      <c r="AIS46">
        <v>258.437971116</v>
      </c>
      <c r="AIT46" t="s">
        <v>1901</v>
      </c>
      <c r="AIU46" t="s">
        <v>1901</v>
      </c>
      <c r="AIV46">
        <v>439.101172786</v>
      </c>
      <c r="AIW46" t="s">
        <v>1901</v>
      </c>
      <c r="AIX46">
        <v>-22.2596599931611</v>
      </c>
      <c r="AIY46">
        <v>-40.9724360429258</v>
      </c>
      <c r="AIZ46">
        <v>-42.5912843756127</v>
      </c>
      <c r="AJA46">
        <v>-43.0501467475319</v>
      </c>
      <c r="AJB46">
        <v>-36.1173204377872</v>
      </c>
      <c r="AJC46">
        <v>87.41737802179421</v>
      </c>
      <c r="AJD46">
        <v>59.8443008273869</v>
      </c>
      <c r="AJE46">
        <v>38.7321674371707</v>
      </c>
      <c r="AJF46">
        <v>26.180342654922</v>
      </c>
      <c r="AJG46">
        <v>15.716120907234</v>
      </c>
      <c r="AJH46">
        <v>43.493</v>
      </c>
      <c r="AJI46">
        <v>62.91</v>
      </c>
      <c r="AJJ46">
        <v>86.69199999999999</v>
      </c>
      <c r="AJK46" t="s">
        <v>1901</v>
      </c>
      <c r="AJL46" t="s">
        <v>1901</v>
      </c>
      <c r="AJM46">
        <v>38.0201192544759</v>
      </c>
      <c r="AJN46">
        <v>37.647824365881</v>
      </c>
      <c r="AJO46">
        <v>33.5776643536395</v>
      </c>
      <c r="AJP46">
        <v>27.5278357491231</v>
      </c>
      <c r="AJQ46">
        <v>29.8071451282597</v>
      </c>
      <c r="AJR46">
        <v>179.611831184857</v>
      </c>
      <c r="AJS46">
        <v>216.481362089175</v>
      </c>
      <c r="AJT46">
        <v>72.53997089579219</v>
      </c>
      <c r="AJU46">
        <v>91.7122679907346</v>
      </c>
      <c r="AJV46">
        <v>58.7206183787298</v>
      </c>
      <c r="AJW46">
        <v>91.66755552180349</v>
      </c>
      <c r="AJX46">
        <v>152.812242380257</v>
      </c>
      <c r="AJY46">
        <v>21.4609107119125</v>
      </c>
      <c r="AJZ46">
        <v>18.9835692508292</v>
      </c>
      <c r="AKA46">
        <v>8.006651134884359</v>
      </c>
      <c r="AKB46">
        <v>261.761497134799</v>
      </c>
      <c r="AKC46">
        <v>371.172748422769</v>
      </c>
      <c r="AKD46">
        <v>175.536765907366</v>
      </c>
      <c r="AKE46">
        <v>191.084476087897</v>
      </c>
      <c r="AKF46">
        <v>115.811131051911</v>
      </c>
      <c r="AKG46">
        <v>258.437971116</v>
      </c>
      <c r="AKH46" t="s">
        <v>1901</v>
      </c>
      <c r="AKI46" t="s">
        <v>1901</v>
      </c>
      <c r="AKJ46">
        <v>439.101172786</v>
      </c>
      <c r="AKK46" t="s">
        <v>1901</v>
      </c>
      <c r="AKL46">
        <v>68.616119943</v>
      </c>
      <c r="AKM46">
        <v>194.597959927</v>
      </c>
      <c r="AKN46">
        <v>56.662281842</v>
      </c>
      <c r="AKO46">
        <v>60.45797657</v>
      </c>
      <c r="AKP46">
        <v>74.27435164400001</v>
      </c>
      <c r="AKQ46">
        <v>22.914910562</v>
      </c>
      <c r="AKR46">
        <v>31.375091464</v>
      </c>
      <c r="AKS46">
        <v>12.502525997</v>
      </c>
      <c r="AKT46">
        <v>8.283302741</v>
      </c>
      <c r="AKU46">
        <v>10.079382857</v>
      </c>
      <c r="AKV46">
        <v>51.556288361</v>
      </c>
      <c r="AKW46">
        <v>101.172417068</v>
      </c>
      <c r="AKX46">
        <v>137.027615788</v>
      </c>
      <c r="AKY46">
        <v>232.491090058</v>
      </c>
      <c r="AKZ46">
        <v>357.799384978</v>
      </c>
      <c r="ALA46">
        <v>17.217641244</v>
      </c>
      <c r="ALB46">
        <v>16.312061238</v>
      </c>
      <c r="ALC46">
        <v>30.235127726</v>
      </c>
      <c r="ALD46">
        <v>31.85343263</v>
      </c>
      <c r="ALE46">
        <v>48.555078671</v>
      </c>
      <c r="ALF46">
        <v>0.551582832</v>
      </c>
      <c r="ALG46">
        <v>1.171198405</v>
      </c>
      <c r="ALH46">
        <v>5.459459078</v>
      </c>
      <c r="ALI46">
        <v>15.00207559</v>
      </c>
      <c r="ALJ46">
        <v>29.53261901</v>
      </c>
      <c r="ALK46">
        <v>0.184205567</v>
      </c>
      <c r="ALL46">
        <v>0.188832694</v>
      </c>
      <c r="ALM46">
        <v>1.20462902</v>
      </c>
      <c r="ALN46">
        <v>2.055423302</v>
      </c>
      <c r="ALO46">
        <v>4.007716893</v>
      </c>
      <c r="ALP46">
        <v>52.809294406</v>
      </c>
      <c r="ALQ46">
        <v>86.138025449</v>
      </c>
      <c r="ALR46">
        <v>57.247367599</v>
      </c>
      <c r="ALS46">
        <v>60.210886241</v>
      </c>
      <c r="ALT46">
        <v>36.366220615</v>
      </c>
      <c r="ALU46">
        <v>31.36470186</v>
      </c>
      <c r="ALV46">
        <v>29.471638115</v>
      </c>
      <c r="ALW46">
        <v>102.19012108</v>
      </c>
      <c r="ALX46">
        <v>79.982363238</v>
      </c>
      <c r="ALY46">
        <v>164.149879858</v>
      </c>
      <c r="ALZ46">
        <v>73.44967550766749</v>
      </c>
      <c r="AMA46">
        <v>81.0756808158183</v>
      </c>
      <c r="AMB46">
        <v>95.68311953944369</v>
      </c>
      <c r="AMC46">
        <v>86.23142448315031</v>
      </c>
      <c r="AMD46">
        <v>93.5892082787781</v>
      </c>
      <c r="AME46">
        <v>75.8804286848812</v>
      </c>
      <c r="AMF46">
        <v>96.81046339048341</v>
      </c>
      <c r="AMG46" t="s">
        <v>1901</v>
      </c>
      <c r="AMH46" t="s">
        <v>1901</v>
      </c>
      <c r="AMI46" t="s">
        <v>1901</v>
      </c>
      <c r="AMJ46">
        <v>276.643230966457</v>
      </c>
      <c r="AMK46">
        <v>428.420600798546</v>
      </c>
      <c r="AML46">
        <v>2216.48758666608</v>
      </c>
      <c r="AMM46">
        <v>626.291546119802</v>
      </c>
      <c r="AMN46">
        <v>1459.86973760146</v>
      </c>
      <c r="AMO46">
        <v>0.786005609332505</v>
      </c>
      <c r="AMP46">
        <v>0.5835871530497539</v>
      </c>
      <c r="AMQ46">
        <v>0.479601090521441</v>
      </c>
      <c r="AMR46">
        <v>0.354823331146562</v>
      </c>
      <c r="AMS46">
        <v>0.294349394321736</v>
      </c>
      <c r="AMT46">
        <v>0.786005609332505</v>
      </c>
      <c r="AMU46">
        <v>0.583587154948455</v>
      </c>
      <c r="AMV46">
        <v>0.479601088796062</v>
      </c>
      <c r="AMW46">
        <v>0.354823331146561</v>
      </c>
      <c r="AMX46">
        <v>0.294349394321736</v>
      </c>
      <c r="AMY46">
        <v>0.814857041578022</v>
      </c>
      <c r="AMZ46">
        <v>0.594380070283568</v>
      </c>
      <c r="ANA46">
        <v>0.442228313406425</v>
      </c>
      <c r="ANB46">
        <v>0.354823331146561</v>
      </c>
      <c r="ANC46">
        <v>0.294349394321736</v>
      </c>
      <c r="AND46">
        <v>-19.9970819143854</v>
      </c>
      <c r="ANE46">
        <v>-57.8507507174812</v>
      </c>
      <c r="ANF46" t="s">
        <v>1901</v>
      </c>
      <c r="ANG46" t="s">
        <v>1901</v>
      </c>
      <c r="ANH46" t="s">
        <v>1901</v>
      </c>
      <c r="ANI46">
        <v>-20.6588679612594</v>
      </c>
      <c r="ANJ46">
        <v>-69.0781493055806</v>
      </c>
      <c r="ANK46" t="s">
        <v>1901</v>
      </c>
      <c r="ANL46" t="s">
        <v>1901</v>
      </c>
      <c r="ANM46" t="s">
        <v>1901</v>
      </c>
      <c r="ANN46">
        <v>-16.6646401690441</v>
      </c>
      <c r="ANO46">
        <v>-36.64901842692</v>
      </c>
      <c r="ANP46">
        <v>-50.9377066660055</v>
      </c>
      <c r="ANQ46">
        <v>-61.0584228443817</v>
      </c>
      <c r="ANR46">
        <v>-69.1703974637135</v>
      </c>
      <c r="ANS46">
        <v>-8.235778074611179</v>
      </c>
      <c r="ANT46">
        <v>-11.5764243099447</v>
      </c>
      <c r="ANU46">
        <v>-29.9118042342354</v>
      </c>
      <c r="ANV46">
        <v>-24.7617010661914</v>
      </c>
      <c r="ANW46">
        <v>-42.7465880620712</v>
      </c>
      <c r="ANX46">
        <v>88.0117890944055</v>
      </c>
      <c r="ANY46">
        <v>84.7722973115557</v>
      </c>
      <c r="ANZ46">
        <v>82.31550047149911</v>
      </c>
      <c r="AOA46">
        <v>86.23142448315031</v>
      </c>
      <c r="AOB46">
        <v>93.5892082787781</v>
      </c>
      <c r="AOC46">
        <v>61.2095513789842</v>
      </c>
      <c r="AOD46">
        <v>51.3622396138782</v>
      </c>
      <c r="AOE46">
        <v>46.9443327795584</v>
      </c>
      <c r="AOF46">
        <v>33.5798766974947</v>
      </c>
      <c r="AOG46">
        <v>28.8531809292046</v>
      </c>
      <c r="AOH46">
        <v>24.5291157015555</v>
      </c>
      <c r="AOI46">
        <v>13.0718580093275</v>
      </c>
      <c r="AOJ46">
        <v>21.1124693650428</v>
      </c>
      <c r="AOK46">
        <v>11.8145038146422</v>
      </c>
      <c r="AOL46">
        <v>12.7005007875412</v>
      </c>
      <c r="AOM46">
        <v>-75.3176554213502</v>
      </c>
      <c r="AON46">
        <v>-305.695285314146</v>
      </c>
      <c r="AOO46">
        <v>-2405.03566316746</v>
      </c>
      <c r="AOP46">
        <v>-1138.78839971135</v>
      </c>
      <c r="AOQ46">
        <v>-3499.7794608126</v>
      </c>
      <c r="AOR46">
        <v>-21.3994390667495</v>
      </c>
      <c r="AOS46">
        <v>-41.6412845051545</v>
      </c>
      <c r="AOT46">
        <v>-52.0398911203938</v>
      </c>
      <c r="AOU46">
        <v>-64.5176668853439</v>
      </c>
      <c r="AOV46">
        <v>-70.56506056782639</v>
      </c>
      <c r="AOW46">
        <v>-6.67818792365172</v>
      </c>
      <c r="AOX46">
        <v>-9.327295084081131</v>
      </c>
      <c r="AOY46">
        <v>-22.9084259555151</v>
      </c>
      <c r="AOZ46">
        <v>-21.4823590958809</v>
      </c>
      <c r="APA46">
        <v>-30.447204057603</v>
      </c>
      <c r="APB46">
        <v>-17.2337770085587</v>
      </c>
      <c r="APC46">
        <v>-48.0675381953237</v>
      </c>
      <c r="APD46">
        <v>-90.42760866209051</v>
      </c>
      <c r="APE46">
        <v>-119.804685967823</v>
      </c>
      <c r="APF46">
        <v>-164.898785570998</v>
      </c>
      <c r="APG46">
        <v>-17.8041138811099</v>
      </c>
      <c r="APH46">
        <v>-57.396257421512</v>
      </c>
      <c r="API46">
        <v>-220.592823475838</v>
      </c>
      <c r="APJ46">
        <v>-359.941779868867</v>
      </c>
      <c r="APK46">
        <v>-704.833916045767</v>
      </c>
      <c r="APL46">
        <v>-64.9098545425898</v>
      </c>
      <c r="APM46">
        <v>-253.998774790798</v>
      </c>
      <c r="APN46">
        <v>-2094.74432957631</v>
      </c>
      <c r="APO46">
        <v>-870.1313060396729</v>
      </c>
      <c r="APP46">
        <v>-2572.20625379432</v>
      </c>
      <c r="APQ46">
        <v>-18.4423488668763</v>
      </c>
      <c r="APR46">
        <v>-34.5992750073166</v>
      </c>
      <c r="APS46">
        <v>-45.3258421509831</v>
      </c>
      <c r="APT46">
        <v>-49.2969912266461</v>
      </c>
      <c r="APU46">
        <v>-51.8626650977015</v>
      </c>
      <c r="APV46">
        <v>-14.3618300825469</v>
      </c>
      <c r="APW46">
        <v>-30.4512572647527</v>
      </c>
      <c r="APX46">
        <v>-44.3658586167114</v>
      </c>
      <c r="APY46">
        <v>-46.6538342222059</v>
      </c>
      <c r="APZ46">
        <v>-50.837640178702</v>
      </c>
      <c r="AQA46">
        <v>-5.75535980650607</v>
      </c>
      <c r="AQB46">
        <v>-7.74994459281314</v>
      </c>
      <c r="AQC46">
        <v>-19.9528414920194</v>
      </c>
      <c r="AQD46">
        <v>-16.4143515877489</v>
      </c>
      <c r="AQE46">
        <v>-22.3775496611819</v>
      </c>
      <c r="AQF46">
        <v>-0.185142958421978</v>
      </c>
      <c r="AQG46">
        <v>-0.405619929716432</v>
      </c>
      <c r="AQH46">
        <v>-0.557771686593575</v>
      </c>
      <c r="AQI46">
        <v>-0.6451766688534381</v>
      </c>
      <c r="AQJ46">
        <v>-0.705650605678264</v>
      </c>
      <c r="AQK46">
        <v>7</v>
      </c>
      <c r="AQO46" t="s">
        <v>1902</v>
      </c>
      <c r="AQP46">
        <v>6</v>
      </c>
      <c r="AQQ46">
        <v>0</v>
      </c>
      <c r="AQS46" t="s">
        <v>1905</v>
      </c>
      <c r="AQU46" t="s">
        <v>1906</v>
      </c>
      <c r="AQV46">
        <v>874173.780217942</v>
      </c>
      <c r="AQW46">
        <v>418910.108001709</v>
      </c>
      <c r="AQX46">
        <v>309857.337364167</v>
      </c>
      <c r="AQY46">
        <v>-174809.246904261</v>
      </c>
      <c r="AQZ46">
        <v>-242342.6423104</v>
      </c>
      <c r="ARA46">
        <v>-321701.679363394</v>
      </c>
      <c r="ARB46">
        <v>1602941.225583818</v>
      </c>
      <c r="ARC46">
        <v>-738853.5685780549</v>
      </c>
      <c r="ARD46">
        <v>-0.3155073922019244</v>
      </c>
      <c r="ARE46">
        <v>-0.3155073922019244</v>
      </c>
      <c r="ARF46">
        <v>-0.3155073922019244</v>
      </c>
      <c r="ARG46" t="s">
        <v>1907</v>
      </c>
      <c r="ARH46" t="s">
        <v>1907</v>
      </c>
      <c r="ARI46" t="s">
        <v>1907</v>
      </c>
      <c r="ARJ46" t="s">
        <v>1207</v>
      </c>
      <c r="ARK46" t="s">
        <v>1545</v>
      </c>
      <c r="ARL46" t="s">
        <v>1908</v>
      </c>
      <c r="ARM46" t="s">
        <v>1908</v>
      </c>
      <c r="ARN46" t="s">
        <v>1909</v>
      </c>
      <c r="ARO46" t="s">
        <v>1908</v>
      </c>
      <c r="ARP46" t="s">
        <v>1907</v>
      </c>
      <c r="ARQ46" t="s">
        <v>1946</v>
      </c>
      <c r="ARR46">
        <f>HYPERLINK("C:\Users\Usuario\Documents\Proyectos\llmthon\evidence\visualfy_com_234259.png", "Ver Evidencia")</f>
        <v>0</v>
      </c>
      <c r="ARS46">
        <v>100</v>
      </c>
    </row>
    <row r="47" spans="1:1163">
      <c r="A47">
        <v>745</v>
      </c>
      <c r="B47" t="s">
        <v>1208</v>
      </c>
      <c r="C47" t="s">
        <v>1331</v>
      </c>
      <c r="E47" s="2">
        <v>21266</v>
      </c>
      <c r="F47" t="s">
        <v>1431</v>
      </c>
      <c r="G47" t="s">
        <v>1433</v>
      </c>
      <c r="H47" t="s">
        <v>1434</v>
      </c>
      <c r="I47" t="s">
        <v>1436</v>
      </c>
      <c r="J47" t="s">
        <v>1474</v>
      </c>
      <c r="L47" t="s">
        <v>1546</v>
      </c>
      <c r="N47" t="s">
        <v>1641</v>
      </c>
      <c r="O47" t="s">
        <v>1665</v>
      </c>
      <c r="P47">
        <v>8299</v>
      </c>
      <c r="Q47">
        <v>8299</v>
      </c>
      <c r="R47" t="s">
        <v>1717</v>
      </c>
      <c r="Z47" t="s">
        <v>1899</v>
      </c>
      <c r="AA47" s="2">
        <v>45291</v>
      </c>
      <c r="AB47">
        <v>2023</v>
      </c>
      <c r="AC47" t="s">
        <v>1900</v>
      </c>
      <c r="AD47">
        <v>68117.8439704514</v>
      </c>
      <c r="AE47">
        <v>98386.09127753379</v>
      </c>
      <c r="AF47">
        <v>1416850.24116333</v>
      </c>
      <c r="AG47">
        <v>802711.461093146</v>
      </c>
      <c r="AH47" t="s">
        <v>1900</v>
      </c>
      <c r="AI47">
        <v>68117.8439704514</v>
      </c>
      <c r="AJ47">
        <v>96252.8923010171</v>
      </c>
      <c r="AK47">
        <v>1341896.13458769</v>
      </c>
      <c r="AL47">
        <v>775049.391070831</v>
      </c>
      <c r="AM47" t="s">
        <v>1900</v>
      </c>
      <c r="AN47" t="s">
        <v>1900</v>
      </c>
      <c r="AO47" t="s">
        <v>1900</v>
      </c>
      <c r="AP47">
        <v>50322.5869129658</v>
      </c>
      <c r="AQ47">
        <v>2654.32622360587</v>
      </c>
      <c r="AR47" t="s">
        <v>1900</v>
      </c>
      <c r="AS47">
        <v>68117.8439704514</v>
      </c>
      <c r="AT47">
        <v>98386.09127753379</v>
      </c>
      <c r="AU47">
        <v>1366527.65425036</v>
      </c>
      <c r="AV47">
        <v>800057.13486954</v>
      </c>
      <c r="AW47" t="s">
        <v>1900</v>
      </c>
      <c r="AX47">
        <v>158216.324655542</v>
      </c>
      <c r="AY47">
        <v>168136.80211798</v>
      </c>
      <c r="AZ47">
        <v>1268416.92278445</v>
      </c>
      <c r="BA47">
        <v>1103324.33319281</v>
      </c>
      <c r="BB47" t="s">
        <v>1900</v>
      </c>
      <c r="BC47">
        <v>-90098.480685091</v>
      </c>
      <c r="BD47">
        <v>-69750.7108404458</v>
      </c>
      <c r="BE47">
        <v>98110.7314659119</v>
      </c>
      <c r="BF47">
        <v>-303267.198323268</v>
      </c>
      <c r="BG47" t="s">
        <v>1900</v>
      </c>
      <c r="BH47">
        <v>46467.2930039501</v>
      </c>
      <c r="BI47">
        <v>137362.953702903</v>
      </c>
      <c r="BJ47">
        <v>8498371.585762881</v>
      </c>
      <c r="BK47">
        <v>-12312.4075956643</v>
      </c>
      <c r="BL47" t="s">
        <v>1900</v>
      </c>
      <c r="BM47">
        <v>46467.2930039501</v>
      </c>
      <c r="BN47">
        <v>137362.953702903</v>
      </c>
      <c r="BO47">
        <v>8505983.42999725</v>
      </c>
      <c r="BP47">
        <v>2921.87068386078</v>
      </c>
      <c r="BQ47" t="s">
        <v>1900</v>
      </c>
      <c r="BR47" t="s">
        <v>1900</v>
      </c>
      <c r="BS47" t="s">
        <v>1900</v>
      </c>
      <c r="BT47">
        <v>7611.84423437119</v>
      </c>
      <c r="BU47">
        <v>15234.2770524257</v>
      </c>
      <c r="BV47" t="s">
        <v>1900</v>
      </c>
      <c r="BW47">
        <v>-43631.1876811409</v>
      </c>
      <c r="BX47">
        <v>67612.242862457</v>
      </c>
      <c r="BY47">
        <v>8596482.31722879</v>
      </c>
      <c r="BZ47">
        <v>-315579.605918932</v>
      </c>
      <c r="CA47" t="s">
        <v>1900</v>
      </c>
      <c r="CB47" t="s">
        <v>1900</v>
      </c>
      <c r="CC47">
        <v>16226.9353005111</v>
      </c>
      <c r="CD47">
        <v>1502954.91102598</v>
      </c>
      <c r="CE47" t="s">
        <v>1900</v>
      </c>
      <c r="CF47" t="s">
        <v>1900</v>
      </c>
      <c r="CG47">
        <v>-43631.1876811409</v>
      </c>
      <c r="CH47">
        <v>51385.3075619459</v>
      </c>
      <c r="CI47">
        <v>7093527.40620282</v>
      </c>
      <c r="CJ47">
        <v>-315579.605918932</v>
      </c>
      <c r="CK47" t="s">
        <v>1900</v>
      </c>
      <c r="CL47" t="s">
        <v>1900</v>
      </c>
      <c r="CM47" t="s">
        <v>1900</v>
      </c>
      <c r="CN47" t="s">
        <v>1900</v>
      </c>
      <c r="CO47" t="s">
        <v>1900</v>
      </c>
      <c r="CP47" t="s">
        <v>1900</v>
      </c>
      <c r="CQ47" t="s">
        <v>1900</v>
      </c>
      <c r="CR47" t="s">
        <v>1900</v>
      </c>
      <c r="CS47" t="s">
        <v>1900</v>
      </c>
      <c r="CT47" t="s">
        <v>1900</v>
      </c>
      <c r="CU47" t="s">
        <v>1900</v>
      </c>
      <c r="CV47" t="s">
        <v>1900</v>
      </c>
      <c r="CW47" t="s">
        <v>1900</v>
      </c>
      <c r="CX47" t="s">
        <v>1900</v>
      </c>
      <c r="CY47" t="s">
        <v>1900</v>
      </c>
      <c r="CZ47" t="s">
        <v>1900</v>
      </c>
      <c r="DA47">
        <v>-43631.1876811409</v>
      </c>
      <c r="DB47">
        <v>51385.3075619459</v>
      </c>
      <c r="DC47">
        <v>7093527.40620282</v>
      </c>
      <c r="DD47">
        <v>-315579.605918932</v>
      </c>
      <c r="DE47" t="s">
        <v>1900</v>
      </c>
      <c r="DF47" t="s">
        <v>1900</v>
      </c>
      <c r="DG47" t="s">
        <v>1900</v>
      </c>
      <c r="DH47" t="s">
        <v>1900</v>
      </c>
      <c r="DI47" t="s">
        <v>1900</v>
      </c>
      <c r="DJ47" t="s">
        <v>1900</v>
      </c>
      <c r="DK47" t="s">
        <v>1900</v>
      </c>
      <c r="DL47" t="s">
        <v>1900</v>
      </c>
      <c r="DM47">
        <v>50322.5869129658</v>
      </c>
      <c r="DN47">
        <v>2654.32622360587</v>
      </c>
      <c r="DO47" t="s">
        <v>1900</v>
      </c>
      <c r="DP47">
        <v>135783.665388041</v>
      </c>
      <c r="DQ47">
        <v>73690.61202412839</v>
      </c>
      <c r="DR47">
        <v>246592.208009863</v>
      </c>
      <c r="DS47">
        <v>326971.971272862</v>
      </c>
      <c r="DT47" t="s">
        <v>1900</v>
      </c>
      <c r="DU47" t="s">
        <v>1900</v>
      </c>
      <c r="DV47" t="s">
        <v>1900</v>
      </c>
      <c r="DW47">
        <v>311752.685748839</v>
      </c>
      <c r="DX47">
        <v>339944.631917578</v>
      </c>
      <c r="DY47" t="s">
        <v>1900</v>
      </c>
      <c r="DZ47">
        <v>22432.6592675018</v>
      </c>
      <c r="EA47">
        <v>94446.1900938511</v>
      </c>
      <c r="EB47">
        <v>710072.029025745</v>
      </c>
      <c r="EC47">
        <v>436407.730002367</v>
      </c>
      <c r="ED47" t="s">
        <v>1900</v>
      </c>
      <c r="EE47" t="s">
        <v>1900</v>
      </c>
      <c r="EF47" t="s">
        <v>1900</v>
      </c>
      <c r="EG47">
        <v>7611.84423437119</v>
      </c>
      <c r="EH47">
        <v>7560.29376471639</v>
      </c>
      <c r="EI47" t="s">
        <v>1900</v>
      </c>
      <c r="EJ47" t="s">
        <v>1900</v>
      </c>
      <c r="EK47" t="s">
        <v>1900</v>
      </c>
      <c r="EL47" t="s">
        <v>1900</v>
      </c>
      <c r="EM47" t="s">
        <v>1900</v>
      </c>
      <c r="EN47" t="s">
        <v>1900</v>
      </c>
      <c r="EO47" t="s">
        <v>1900</v>
      </c>
      <c r="EP47" t="s">
        <v>1900</v>
      </c>
      <c r="EQ47">
        <v>7405280.09195166</v>
      </c>
      <c r="ER47">
        <v>24365.025998646</v>
      </c>
      <c r="ES47" t="s">
        <v>1900</v>
      </c>
      <c r="ET47">
        <v>92152.4777068996</v>
      </c>
      <c r="EU47">
        <v>141302.854886585</v>
      </c>
      <c r="EV47">
        <v>9162439.054089271</v>
      </c>
      <c r="EW47">
        <v>358897.291036224</v>
      </c>
      <c r="EX47" t="s">
        <v>1900</v>
      </c>
      <c r="EY47">
        <v>-90098.480685091</v>
      </c>
      <c r="EZ47">
        <v>-69750.7108404458</v>
      </c>
      <c r="FA47">
        <v>409863.417214751</v>
      </c>
      <c r="FB47">
        <v>36677.4335943103</v>
      </c>
      <c r="FC47" t="s">
        <v>1900</v>
      </c>
      <c r="FD47">
        <v>148008.053824196</v>
      </c>
      <c r="FE47">
        <v>119292.070541096</v>
      </c>
      <c r="FF47">
        <v>125367.53935926</v>
      </c>
      <c r="FG47">
        <v>3235033.08822473</v>
      </c>
      <c r="FH47" t="s">
        <v>1900</v>
      </c>
      <c r="FI47">
        <v>0</v>
      </c>
      <c r="FJ47">
        <v>0</v>
      </c>
      <c r="FK47">
        <v>0</v>
      </c>
      <c r="FL47">
        <v>0</v>
      </c>
      <c r="FM47" t="s">
        <v>1900</v>
      </c>
      <c r="FN47">
        <v>138636.699318447</v>
      </c>
      <c r="FO47">
        <v>112170.023114169</v>
      </c>
      <c r="FP47">
        <v>118148.356325483</v>
      </c>
      <c r="FQ47">
        <v>3160892.16576688</v>
      </c>
      <c r="FR47" t="s">
        <v>1900</v>
      </c>
      <c r="FS47">
        <v>9371.35340074825</v>
      </c>
      <c r="FT47">
        <v>7122.04742692709</v>
      </c>
      <c r="FU47">
        <v>7219.18303377628</v>
      </c>
      <c r="FV47">
        <v>74140.9212307507</v>
      </c>
      <c r="FW47" t="s">
        <v>1900</v>
      </c>
      <c r="FX47">
        <v>0</v>
      </c>
      <c r="FY47">
        <v>0</v>
      </c>
      <c r="FZ47">
        <v>0</v>
      </c>
      <c r="GA47">
        <v>0</v>
      </c>
      <c r="GB47" t="s">
        <v>1900</v>
      </c>
      <c r="GC47">
        <v>138636.699318447</v>
      </c>
      <c r="GD47">
        <v>112170.023114169</v>
      </c>
      <c r="GE47">
        <v>118148.356325483</v>
      </c>
      <c r="GF47">
        <v>3160892.16576688</v>
      </c>
      <c r="GG47" t="s">
        <v>1900</v>
      </c>
      <c r="GH47">
        <v>9371.35340074825</v>
      </c>
      <c r="GI47">
        <v>7122.04742692709</v>
      </c>
      <c r="GJ47">
        <v>7219.18303377628</v>
      </c>
      <c r="GK47">
        <v>74140.9212307507</v>
      </c>
      <c r="GL47" t="s">
        <v>1900</v>
      </c>
      <c r="GM47">
        <v>3230883.72278091</v>
      </c>
      <c r="GN47">
        <v>3571221.88714458</v>
      </c>
      <c r="GO47">
        <v>11709950.5468194</v>
      </c>
      <c r="GP47">
        <v>609464.353914779</v>
      </c>
      <c r="GQ47" t="s">
        <v>1900</v>
      </c>
      <c r="GR47">
        <v>0</v>
      </c>
      <c r="GS47">
        <v>0</v>
      </c>
      <c r="GT47">
        <v>0</v>
      </c>
      <c r="GU47">
        <v>29526.8928276598</v>
      </c>
      <c r="GV47" t="s">
        <v>1900</v>
      </c>
      <c r="GW47">
        <v>62775.531222887</v>
      </c>
      <c r="GX47">
        <v>73839.47731470469</v>
      </c>
      <c r="GY47">
        <v>3323576.09715614</v>
      </c>
      <c r="GZ47">
        <v>192047.678968138</v>
      </c>
      <c r="HA47" t="s">
        <v>1900</v>
      </c>
      <c r="HB47">
        <v>3168108.19155803</v>
      </c>
      <c r="HC47">
        <v>3497382.40982988</v>
      </c>
      <c r="HD47">
        <v>8386374.44966326</v>
      </c>
      <c r="HE47">
        <v>387889.782118982</v>
      </c>
      <c r="HF47" t="s">
        <v>1900</v>
      </c>
      <c r="HG47">
        <v>234661.90541338</v>
      </c>
      <c r="HH47">
        <v>3336952.08766242</v>
      </c>
      <c r="HI47">
        <v>8214674.46294823</v>
      </c>
      <c r="HJ47">
        <v>63292.9474371195</v>
      </c>
      <c r="HK47" t="s">
        <v>1900</v>
      </c>
      <c r="HL47">
        <v>3378891.77660511</v>
      </c>
      <c r="HM47">
        <v>3690513.95768568</v>
      </c>
      <c r="HN47">
        <v>11835318.0861787</v>
      </c>
      <c r="HO47">
        <v>3844497.44213951</v>
      </c>
      <c r="HP47" t="s">
        <v>1900</v>
      </c>
      <c r="HQ47">
        <v>3367446.32511853</v>
      </c>
      <c r="HR47">
        <v>3617654.12000295</v>
      </c>
      <c r="HS47">
        <v>10271380.5994499</v>
      </c>
      <c r="HT47">
        <v>3629948.56602763</v>
      </c>
      <c r="HU47" t="s">
        <v>1900</v>
      </c>
      <c r="HV47">
        <v>773500.3471374511</v>
      </c>
      <c r="HW47">
        <v>746619.641780853</v>
      </c>
      <c r="HX47">
        <v>792820.21522522</v>
      </c>
      <c r="HY47">
        <v>858969.509601593</v>
      </c>
      <c r="HZ47" t="s">
        <v>1900</v>
      </c>
      <c r="IA47">
        <v>2593945.97687608</v>
      </c>
      <c r="IB47">
        <v>2871034.4771555</v>
      </c>
      <c r="IC47">
        <v>9478560.38422465</v>
      </c>
      <c r="ID47">
        <v>2770979.05642604</v>
      </c>
      <c r="IE47" t="s">
        <v>1900</v>
      </c>
      <c r="IF47">
        <v>0</v>
      </c>
      <c r="IG47">
        <v>0</v>
      </c>
      <c r="IH47">
        <v>0</v>
      </c>
      <c r="II47">
        <v>176874.706569612</v>
      </c>
      <c r="IJ47" t="s">
        <v>1900</v>
      </c>
      <c r="IK47" t="s">
        <v>1900</v>
      </c>
      <c r="IL47" t="s">
        <v>1900</v>
      </c>
      <c r="IM47" t="s">
        <v>1900</v>
      </c>
      <c r="IN47">
        <v>176874.706569612</v>
      </c>
      <c r="IO47" t="s">
        <v>1900</v>
      </c>
      <c r="IP47" t="s">
        <v>1900</v>
      </c>
      <c r="IQ47" t="s">
        <v>1900</v>
      </c>
      <c r="IR47" t="s">
        <v>1900</v>
      </c>
      <c r="IS47">
        <v>0</v>
      </c>
      <c r="IT47" t="s">
        <v>1900</v>
      </c>
      <c r="IU47" t="s">
        <v>1900</v>
      </c>
      <c r="IV47" t="s">
        <v>1900</v>
      </c>
      <c r="IW47" t="s">
        <v>1900</v>
      </c>
      <c r="IX47">
        <v>0</v>
      </c>
      <c r="IY47" t="s">
        <v>1900</v>
      </c>
      <c r="IZ47">
        <v>11445.451486578</v>
      </c>
      <c r="JA47">
        <v>72859.837682724</v>
      </c>
      <c r="JB47">
        <v>1563937.48672879</v>
      </c>
      <c r="JC47">
        <v>37674.169542259</v>
      </c>
      <c r="JD47" t="s">
        <v>1900</v>
      </c>
      <c r="JE47">
        <v>0</v>
      </c>
      <c r="JF47">
        <v>0</v>
      </c>
      <c r="JG47">
        <v>0</v>
      </c>
      <c r="JH47">
        <v>0</v>
      </c>
      <c r="JI47" t="s">
        <v>1900</v>
      </c>
      <c r="JJ47">
        <v>0</v>
      </c>
      <c r="JK47">
        <v>10194.9205525994</v>
      </c>
      <c r="JL47">
        <v>0</v>
      </c>
      <c r="JM47">
        <v>0</v>
      </c>
      <c r="JN47" t="s">
        <v>1900</v>
      </c>
      <c r="JO47">
        <v>11445.451486578</v>
      </c>
      <c r="JP47">
        <v>62664.9171301246</v>
      </c>
      <c r="JQ47">
        <v>1563937.48672879</v>
      </c>
      <c r="JR47">
        <v>37674.169542259</v>
      </c>
      <c r="JS47" t="s">
        <v>1900</v>
      </c>
      <c r="JT47">
        <v>3378891.77660511</v>
      </c>
      <c r="JU47">
        <v>3690513.95768568</v>
      </c>
      <c r="JV47">
        <v>11835318.0861787</v>
      </c>
      <c r="JW47">
        <v>3844497.44213951</v>
      </c>
      <c r="JX47" t="s">
        <v>1900</v>
      </c>
      <c r="JY47">
        <v>62775.531222887</v>
      </c>
      <c r="JZ47">
        <v>63644.5567621052</v>
      </c>
      <c r="KA47">
        <v>3323576.09715614</v>
      </c>
      <c r="KB47">
        <v>221574.571795797</v>
      </c>
      <c r="KC47" t="s">
        <v>1900</v>
      </c>
      <c r="KD47" t="s">
        <v>1900</v>
      </c>
      <c r="KE47" t="s">
        <v>1900</v>
      </c>
      <c r="KF47" t="s">
        <v>1900</v>
      </c>
      <c r="KG47" t="s">
        <v>1900</v>
      </c>
      <c r="KH47" t="s">
        <v>1900</v>
      </c>
      <c r="KI47" t="s">
        <v>1900</v>
      </c>
      <c r="KJ47" t="s">
        <v>1900</v>
      </c>
      <c r="KK47" t="s">
        <v>1900</v>
      </c>
      <c r="KL47" t="s">
        <v>1900</v>
      </c>
      <c r="KM47" t="s">
        <v>1900</v>
      </c>
      <c r="KN47">
        <v>1</v>
      </c>
      <c r="KO47">
        <v>1</v>
      </c>
      <c r="KP47">
        <v>8</v>
      </c>
      <c r="KQ47">
        <v>8</v>
      </c>
      <c r="KR47" t="s">
        <v>1900</v>
      </c>
      <c r="KS47" t="s">
        <v>1900</v>
      </c>
      <c r="KT47" t="s">
        <v>1900</v>
      </c>
      <c r="KU47" t="s">
        <v>1900</v>
      </c>
      <c r="KV47" t="s">
        <v>1900</v>
      </c>
      <c r="KW47" t="s">
        <v>1900</v>
      </c>
      <c r="KX47" t="s">
        <v>1900</v>
      </c>
      <c r="KY47" t="s">
        <v>1900</v>
      </c>
      <c r="KZ47" t="s">
        <v>1900</v>
      </c>
      <c r="LA47" t="s">
        <v>1900</v>
      </c>
      <c r="LB47" t="s">
        <v>1900</v>
      </c>
      <c r="LC47" t="s">
        <v>1900</v>
      </c>
      <c r="LD47" t="s">
        <v>1900</v>
      </c>
      <c r="LE47" t="s">
        <v>1900</v>
      </c>
      <c r="LF47" t="s">
        <v>1900</v>
      </c>
      <c r="LG47" t="s">
        <v>1900</v>
      </c>
      <c r="LH47" t="s">
        <v>1900</v>
      </c>
      <c r="LI47" t="s">
        <v>1900</v>
      </c>
      <c r="LJ47" t="s">
        <v>1900</v>
      </c>
      <c r="LK47" t="s">
        <v>1900</v>
      </c>
      <c r="LL47" t="s">
        <v>1900</v>
      </c>
      <c r="LM47" t="s">
        <v>1900</v>
      </c>
      <c r="LN47" t="s">
        <v>1900</v>
      </c>
      <c r="LO47" t="s">
        <v>1900</v>
      </c>
      <c r="LP47" t="s">
        <v>1900</v>
      </c>
      <c r="LQ47" t="s">
        <v>1900</v>
      </c>
      <c r="LR47" t="s">
        <v>1900</v>
      </c>
      <c r="LS47" t="s">
        <v>1900</v>
      </c>
      <c r="LT47" t="s">
        <v>1900</v>
      </c>
      <c r="LU47" t="s">
        <v>1900</v>
      </c>
      <c r="LV47" t="s">
        <v>1900</v>
      </c>
      <c r="LW47" t="s">
        <v>1900</v>
      </c>
      <c r="LX47" t="s">
        <v>1900</v>
      </c>
      <c r="LY47" t="s">
        <v>1900</v>
      </c>
      <c r="LZ47" t="s">
        <v>1900</v>
      </c>
      <c r="MA47" t="s">
        <v>1900</v>
      </c>
      <c r="MB47" t="s">
        <v>1900</v>
      </c>
      <c r="MC47" t="s">
        <v>1900</v>
      </c>
      <c r="MD47" t="s">
        <v>1900</v>
      </c>
      <c r="ME47" t="s">
        <v>1900</v>
      </c>
      <c r="MF47" t="s">
        <v>1900</v>
      </c>
      <c r="MG47" t="s">
        <v>1900</v>
      </c>
      <c r="MH47" t="s">
        <v>1900</v>
      </c>
      <c r="MI47" t="s">
        <v>1900</v>
      </c>
      <c r="MJ47" t="s">
        <v>1900</v>
      </c>
      <c r="MK47" t="s">
        <v>1900</v>
      </c>
      <c r="ML47" t="s">
        <v>1900</v>
      </c>
      <c r="MM47" t="s">
        <v>1900</v>
      </c>
      <c r="MN47" t="s">
        <v>1900</v>
      </c>
      <c r="MO47" t="s">
        <v>1900</v>
      </c>
      <c r="MP47" t="s">
        <v>1900</v>
      </c>
      <c r="MQ47">
        <v>3168108.19155803</v>
      </c>
      <c r="MR47">
        <v>3497382.40982988</v>
      </c>
      <c r="MS47">
        <v>8386374.44966326</v>
      </c>
      <c r="MT47">
        <v>387889.782118982</v>
      </c>
      <c r="MU47" t="s">
        <v>1900</v>
      </c>
      <c r="MV47" t="s">
        <v>1900</v>
      </c>
      <c r="MW47" t="s">
        <v>1900</v>
      </c>
      <c r="MX47" t="s">
        <v>1900</v>
      </c>
      <c r="MY47" t="s">
        <v>1900</v>
      </c>
      <c r="MZ47" t="s">
        <v>1900</v>
      </c>
      <c r="NA47" t="s">
        <v>1900</v>
      </c>
      <c r="NB47" t="s">
        <v>1900</v>
      </c>
      <c r="NC47" t="s">
        <v>1900</v>
      </c>
      <c r="ND47" t="s">
        <v>1900</v>
      </c>
      <c r="NE47" t="s">
        <v>1900</v>
      </c>
      <c r="NF47" t="s">
        <v>1900</v>
      </c>
      <c r="NG47" t="s">
        <v>1900</v>
      </c>
      <c r="NH47" t="s">
        <v>1900</v>
      </c>
      <c r="NI47" t="s">
        <v>1900</v>
      </c>
      <c r="NJ47" t="s">
        <v>1900</v>
      </c>
      <c r="NK47" t="s">
        <v>1900</v>
      </c>
      <c r="NL47" t="s">
        <v>1900</v>
      </c>
      <c r="NM47" t="s">
        <v>1900</v>
      </c>
      <c r="NN47" t="s">
        <v>1900</v>
      </c>
      <c r="NO47" t="s">
        <v>1900</v>
      </c>
      <c r="NP47" t="s">
        <v>1900</v>
      </c>
      <c r="NQ47" t="s">
        <v>1900</v>
      </c>
      <c r="NR47" t="s">
        <v>1900</v>
      </c>
      <c r="NS47" t="s">
        <v>1900</v>
      </c>
      <c r="NT47" t="s">
        <v>1900</v>
      </c>
      <c r="NU47">
        <v>148008.053824196</v>
      </c>
      <c r="NV47">
        <v>119292.070541096</v>
      </c>
      <c r="NW47">
        <v>125367.53935926</v>
      </c>
      <c r="NX47">
        <v>3235033.08822473</v>
      </c>
      <c r="NY47" t="s">
        <v>1900</v>
      </c>
      <c r="NZ47" t="s">
        <v>1900</v>
      </c>
      <c r="OA47" t="s">
        <v>1900</v>
      </c>
      <c r="OB47" t="s">
        <v>1900</v>
      </c>
      <c r="OC47" t="s">
        <v>1900</v>
      </c>
      <c r="OD47" t="s">
        <v>1900</v>
      </c>
      <c r="OE47" t="s">
        <v>1900</v>
      </c>
      <c r="OF47" t="s">
        <v>1900</v>
      </c>
      <c r="OG47" t="s">
        <v>1900</v>
      </c>
      <c r="OH47" t="s">
        <v>1900</v>
      </c>
      <c r="OI47" t="s">
        <v>1900</v>
      </c>
      <c r="OJ47" t="s">
        <v>1900</v>
      </c>
      <c r="OK47" t="s">
        <v>1900</v>
      </c>
      <c r="OL47" t="s">
        <v>1900</v>
      </c>
      <c r="OM47" t="s">
        <v>1900</v>
      </c>
      <c r="ON47" t="s">
        <v>1900</v>
      </c>
      <c r="OO47" t="s">
        <v>1900</v>
      </c>
      <c r="OP47" t="s">
        <v>1900</v>
      </c>
      <c r="OQ47" t="s">
        <v>1900</v>
      </c>
      <c r="OR47" t="s">
        <v>1900</v>
      </c>
      <c r="OS47" t="s">
        <v>1900</v>
      </c>
      <c r="OT47" t="s">
        <v>1900</v>
      </c>
      <c r="OU47" t="s">
        <v>1900</v>
      </c>
      <c r="OV47" t="s">
        <v>1900</v>
      </c>
      <c r="OW47" t="s">
        <v>1900</v>
      </c>
      <c r="OX47" t="s">
        <v>1900</v>
      </c>
      <c r="OY47" t="s">
        <v>1900</v>
      </c>
      <c r="OZ47" t="s">
        <v>1900</v>
      </c>
      <c r="PA47" t="s">
        <v>1900</v>
      </c>
      <c r="PB47" t="s">
        <v>1900</v>
      </c>
      <c r="PC47" t="s">
        <v>1900</v>
      </c>
      <c r="PD47" t="s">
        <v>1900</v>
      </c>
      <c r="PE47" t="s">
        <v>1900</v>
      </c>
      <c r="PF47" t="s">
        <v>1900</v>
      </c>
      <c r="PG47" t="s">
        <v>1900</v>
      </c>
      <c r="PH47" t="s">
        <v>1900</v>
      </c>
      <c r="PI47" t="s">
        <v>1900</v>
      </c>
      <c r="PJ47" t="s">
        <v>1900</v>
      </c>
      <c r="PK47" t="s">
        <v>1900</v>
      </c>
      <c r="PL47" t="s">
        <v>1900</v>
      </c>
      <c r="PM47" t="s">
        <v>1900</v>
      </c>
      <c r="PN47" t="s">
        <v>1900</v>
      </c>
      <c r="PO47" t="s">
        <v>1900</v>
      </c>
      <c r="PP47" t="s">
        <v>1900</v>
      </c>
      <c r="PQ47" t="s">
        <v>1900</v>
      </c>
      <c r="PR47" t="s">
        <v>1900</v>
      </c>
      <c r="PS47" t="s">
        <v>1900</v>
      </c>
      <c r="PT47" t="s">
        <v>1900</v>
      </c>
      <c r="PU47" t="s">
        <v>1900</v>
      </c>
      <c r="PV47" t="s">
        <v>1900</v>
      </c>
      <c r="PW47" t="s">
        <v>1900</v>
      </c>
      <c r="PX47" t="s">
        <v>1900</v>
      </c>
      <c r="PY47" t="s">
        <v>1900</v>
      </c>
      <c r="PZ47" t="s">
        <v>1900</v>
      </c>
      <c r="QA47" t="s">
        <v>1900</v>
      </c>
      <c r="QB47" t="s">
        <v>1900</v>
      </c>
      <c r="QC47" t="s">
        <v>1900</v>
      </c>
      <c r="QD47" t="s">
        <v>1900</v>
      </c>
      <c r="QE47" t="s">
        <v>1900</v>
      </c>
      <c r="QF47" t="s">
        <v>1900</v>
      </c>
      <c r="QG47" t="s">
        <v>1900</v>
      </c>
      <c r="QH47" t="s">
        <v>1900</v>
      </c>
      <c r="QI47" t="s">
        <v>1900</v>
      </c>
      <c r="QJ47" t="s">
        <v>1900</v>
      </c>
      <c r="QK47" t="s">
        <v>1900</v>
      </c>
      <c r="QL47" t="s">
        <v>1900</v>
      </c>
      <c r="QM47" t="s">
        <v>1900</v>
      </c>
      <c r="QN47" t="s">
        <v>1900</v>
      </c>
      <c r="QO47" t="s">
        <v>1900</v>
      </c>
      <c r="QP47" t="s">
        <v>1900</v>
      </c>
      <c r="QQ47" t="s">
        <v>1900</v>
      </c>
      <c r="QR47" t="s">
        <v>1900</v>
      </c>
      <c r="QS47" t="s">
        <v>1900</v>
      </c>
      <c r="QT47" t="s">
        <v>1900</v>
      </c>
      <c r="QU47" t="s">
        <v>1900</v>
      </c>
      <c r="QV47" t="s">
        <v>1900</v>
      </c>
      <c r="QW47" t="s">
        <v>1900</v>
      </c>
      <c r="QX47" t="s">
        <v>1900</v>
      </c>
      <c r="QY47" t="s">
        <v>1900</v>
      </c>
      <c r="QZ47" t="s">
        <v>1900</v>
      </c>
      <c r="RA47" t="s">
        <v>1900</v>
      </c>
      <c r="RB47" t="s">
        <v>1900</v>
      </c>
      <c r="RC47" t="s">
        <v>1900</v>
      </c>
      <c r="RD47" t="s">
        <v>1900</v>
      </c>
      <c r="RE47" t="s">
        <v>1900</v>
      </c>
      <c r="RF47" t="s">
        <v>1900</v>
      </c>
      <c r="RG47" t="s">
        <v>1900</v>
      </c>
      <c r="RH47" t="s">
        <v>1900</v>
      </c>
      <c r="RI47" t="s">
        <v>1900</v>
      </c>
      <c r="RJ47" t="s">
        <v>1900</v>
      </c>
      <c r="RK47" t="s">
        <v>1900</v>
      </c>
      <c r="RL47" t="s">
        <v>1900</v>
      </c>
      <c r="RM47" t="s">
        <v>1900</v>
      </c>
      <c r="RN47" t="s">
        <v>1900</v>
      </c>
      <c r="RO47" t="s">
        <v>1900</v>
      </c>
      <c r="RP47" t="s">
        <v>1900</v>
      </c>
      <c r="RQ47" t="s">
        <v>1900</v>
      </c>
      <c r="RR47" t="s">
        <v>1900</v>
      </c>
      <c r="RS47" t="s">
        <v>1900</v>
      </c>
      <c r="RT47" t="s">
        <v>1900</v>
      </c>
      <c r="RU47" t="s">
        <v>1900</v>
      </c>
      <c r="RV47" t="s">
        <v>1900</v>
      </c>
      <c r="RW47" t="s">
        <v>1900</v>
      </c>
      <c r="RX47" t="s">
        <v>1900</v>
      </c>
      <c r="RY47" t="s">
        <v>1900</v>
      </c>
      <c r="RZ47" t="s">
        <v>1900</v>
      </c>
      <c r="SA47" t="s">
        <v>1900</v>
      </c>
      <c r="SB47" t="s">
        <v>1900</v>
      </c>
      <c r="SC47" t="s">
        <v>1900</v>
      </c>
      <c r="SD47" t="s">
        <v>1900</v>
      </c>
      <c r="SE47" t="s">
        <v>1900</v>
      </c>
      <c r="SF47" t="s">
        <v>1900</v>
      </c>
      <c r="SG47" t="s">
        <v>1900</v>
      </c>
      <c r="SH47" t="s">
        <v>1900</v>
      </c>
      <c r="SI47" t="s">
        <v>1900</v>
      </c>
      <c r="SJ47" t="s">
        <v>1900</v>
      </c>
      <c r="SK47">
        <v>9371.35340074825</v>
      </c>
      <c r="SL47">
        <v>7122.04742692709</v>
      </c>
      <c r="SM47">
        <v>7219.18303377628</v>
      </c>
      <c r="SN47">
        <v>74140.9212307507</v>
      </c>
      <c r="SO47" t="s">
        <v>1900</v>
      </c>
      <c r="SP47" t="s">
        <v>1900</v>
      </c>
      <c r="SQ47" t="s">
        <v>1900</v>
      </c>
      <c r="SR47" t="s">
        <v>1900</v>
      </c>
      <c r="SS47" t="s">
        <v>1900</v>
      </c>
      <c r="ST47" t="s">
        <v>1900</v>
      </c>
      <c r="SU47" t="s">
        <v>1900</v>
      </c>
      <c r="SV47" t="s">
        <v>1900</v>
      </c>
      <c r="SW47" t="s">
        <v>1900</v>
      </c>
      <c r="SX47" t="s">
        <v>1900</v>
      </c>
      <c r="SY47" t="s">
        <v>1900</v>
      </c>
      <c r="SZ47" t="s">
        <v>1900</v>
      </c>
      <c r="TA47" t="s">
        <v>1900</v>
      </c>
      <c r="TB47" t="s">
        <v>1900</v>
      </c>
      <c r="TC47" t="s">
        <v>1900</v>
      </c>
      <c r="TD47" t="s">
        <v>1900</v>
      </c>
      <c r="TE47" t="s">
        <v>1900</v>
      </c>
      <c r="TF47" t="s">
        <v>1900</v>
      </c>
      <c r="TG47" t="s">
        <v>1900</v>
      </c>
      <c r="TH47" t="s">
        <v>1900</v>
      </c>
      <c r="TI47" t="s">
        <v>1900</v>
      </c>
      <c r="TJ47" t="s">
        <v>1900</v>
      </c>
      <c r="TK47" t="s">
        <v>1900</v>
      </c>
      <c r="TL47" t="s">
        <v>1900</v>
      </c>
      <c r="TM47" t="s">
        <v>1900</v>
      </c>
      <c r="TN47" t="s">
        <v>1900</v>
      </c>
      <c r="TO47" t="s">
        <v>1900</v>
      </c>
      <c r="TP47" t="s">
        <v>1900</v>
      </c>
      <c r="TQ47" t="s">
        <v>1900</v>
      </c>
      <c r="TR47" t="s">
        <v>1900</v>
      </c>
      <c r="TS47" t="s">
        <v>1900</v>
      </c>
      <c r="TT47">
        <v>3378891.77660511</v>
      </c>
      <c r="TU47">
        <v>3690513.95768568</v>
      </c>
      <c r="TV47">
        <v>11835318.0861787</v>
      </c>
      <c r="TW47">
        <v>3844497.44213951</v>
      </c>
      <c r="TX47" t="s">
        <v>1900</v>
      </c>
      <c r="TY47" t="s">
        <v>1900</v>
      </c>
      <c r="TZ47" t="s">
        <v>1900</v>
      </c>
      <c r="UA47" t="s">
        <v>1900</v>
      </c>
      <c r="UB47" t="s">
        <v>1900</v>
      </c>
      <c r="UC47" t="s">
        <v>1900</v>
      </c>
      <c r="UD47">
        <v>0</v>
      </c>
      <c r="UE47">
        <v>0</v>
      </c>
      <c r="UF47">
        <v>0</v>
      </c>
      <c r="UG47">
        <v>0</v>
      </c>
      <c r="UH47" t="s">
        <v>1900</v>
      </c>
      <c r="UI47" t="s">
        <v>1900</v>
      </c>
      <c r="UJ47" t="s">
        <v>1900</v>
      </c>
      <c r="UK47" t="s">
        <v>1900</v>
      </c>
      <c r="UL47" t="s">
        <v>1900</v>
      </c>
      <c r="UM47" t="s">
        <v>1900</v>
      </c>
      <c r="UN47" t="s">
        <v>1900</v>
      </c>
      <c r="UO47" t="s">
        <v>1900</v>
      </c>
      <c r="UP47" t="s">
        <v>1900</v>
      </c>
      <c r="UQ47" t="s">
        <v>1900</v>
      </c>
      <c r="UR47" t="s">
        <v>1900</v>
      </c>
      <c r="US47" t="s">
        <v>1900</v>
      </c>
      <c r="UT47" t="s">
        <v>1900</v>
      </c>
      <c r="UU47" t="s">
        <v>1900</v>
      </c>
      <c r="UV47" t="s">
        <v>1900</v>
      </c>
      <c r="UW47" t="s">
        <v>1900</v>
      </c>
      <c r="UX47" t="s">
        <v>1900</v>
      </c>
      <c r="UY47" t="s">
        <v>1900</v>
      </c>
      <c r="UZ47" t="s">
        <v>1900</v>
      </c>
      <c r="VA47" t="s">
        <v>1900</v>
      </c>
      <c r="VB47" t="s">
        <v>1900</v>
      </c>
      <c r="VC47" t="s">
        <v>1900</v>
      </c>
      <c r="VD47" t="s">
        <v>1900</v>
      </c>
      <c r="VE47" t="s">
        <v>1900</v>
      </c>
      <c r="VF47" t="s">
        <v>1900</v>
      </c>
      <c r="VG47" t="s">
        <v>1900</v>
      </c>
      <c r="VH47" t="s">
        <v>1900</v>
      </c>
      <c r="VI47" t="s">
        <v>1900</v>
      </c>
      <c r="VJ47" t="s">
        <v>1900</v>
      </c>
      <c r="VK47" t="s">
        <v>1900</v>
      </c>
      <c r="VL47" t="s">
        <v>1900</v>
      </c>
      <c r="VM47" t="s">
        <v>1900</v>
      </c>
      <c r="VN47" t="s">
        <v>1900</v>
      </c>
      <c r="VO47" t="s">
        <v>1900</v>
      </c>
      <c r="VP47" t="s">
        <v>1900</v>
      </c>
      <c r="VQ47" t="s">
        <v>1900</v>
      </c>
      <c r="VR47" t="s">
        <v>1900</v>
      </c>
      <c r="VS47" t="s">
        <v>1900</v>
      </c>
      <c r="VT47" t="s">
        <v>1900</v>
      </c>
      <c r="VU47" t="s">
        <v>1900</v>
      </c>
      <c r="VV47" t="s">
        <v>1900</v>
      </c>
      <c r="VW47" t="s">
        <v>1900</v>
      </c>
      <c r="VX47" t="s">
        <v>1900</v>
      </c>
      <c r="VY47" t="s">
        <v>1900</v>
      </c>
      <c r="VZ47" t="s">
        <v>1900</v>
      </c>
      <c r="WA47" t="s">
        <v>1900</v>
      </c>
      <c r="WB47">
        <v>11445.451486578</v>
      </c>
      <c r="WC47">
        <v>62664.9171301246</v>
      </c>
      <c r="WD47">
        <v>1563937.48672879</v>
      </c>
      <c r="WE47">
        <v>37674.169542259</v>
      </c>
      <c r="WF47" t="s">
        <v>1900</v>
      </c>
      <c r="WG47" t="s">
        <v>1900</v>
      </c>
      <c r="WH47" t="s">
        <v>1900</v>
      </c>
      <c r="WI47" t="s">
        <v>1900</v>
      </c>
      <c r="WJ47" t="s">
        <v>1900</v>
      </c>
      <c r="WK47" t="s">
        <v>1900</v>
      </c>
      <c r="WL47" t="s">
        <v>1900</v>
      </c>
      <c r="WM47" t="s">
        <v>1900</v>
      </c>
      <c r="WN47" t="s">
        <v>1900</v>
      </c>
      <c r="WO47" t="s">
        <v>1900</v>
      </c>
      <c r="WP47" t="s">
        <v>1900</v>
      </c>
      <c r="WQ47" t="s">
        <v>1900</v>
      </c>
      <c r="WR47" t="s">
        <v>1900</v>
      </c>
      <c r="WS47" t="s">
        <v>1900</v>
      </c>
      <c r="WT47" t="s">
        <v>1900</v>
      </c>
      <c r="WU47" t="s">
        <v>1900</v>
      </c>
      <c r="WV47" t="s">
        <v>1900</v>
      </c>
      <c r="WW47" t="s">
        <v>1900</v>
      </c>
      <c r="WX47" t="s">
        <v>1900</v>
      </c>
      <c r="WY47" t="s">
        <v>1900</v>
      </c>
      <c r="WZ47" t="s">
        <v>1900</v>
      </c>
      <c r="XA47" t="s">
        <v>1900</v>
      </c>
      <c r="XB47" t="s">
        <v>1900</v>
      </c>
      <c r="XC47" t="s">
        <v>1900</v>
      </c>
      <c r="XD47" t="s">
        <v>1900</v>
      </c>
      <c r="XE47" t="s">
        <v>1900</v>
      </c>
      <c r="XF47" t="s">
        <v>1900</v>
      </c>
      <c r="XG47" t="s">
        <v>1900</v>
      </c>
      <c r="XH47" t="s">
        <v>1900</v>
      </c>
      <c r="XI47" t="s">
        <v>1900</v>
      </c>
      <c r="XJ47" t="s">
        <v>1900</v>
      </c>
      <c r="XK47" t="s">
        <v>1900</v>
      </c>
      <c r="XL47" t="s">
        <v>1900</v>
      </c>
      <c r="XM47" t="s">
        <v>1900</v>
      </c>
      <c r="XN47">
        <v>0</v>
      </c>
      <c r="XO47" t="s">
        <v>1900</v>
      </c>
      <c r="XP47" t="s">
        <v>1900</v>
      </c>
      <c r="XQ47" t="s">
        <v>1900</v>
      </c>
      <c r="XR47" t="s">
        <v>1900</v>
      </c>
      <c r="XS47" t="s">
        <v>1900</v>
      </c>
      <c r="XT47" t="s">
        <v>1900</v>
      </c>
      <c r="XU47" t="s">
        <v>1900</v>
      </c>
      <c r="XV47" t="s">
        <v>1900</v>
      </c>
      <c r="XW47" t="s">
        <v>1900</v>
      </c>
      <c r="XX47" t="s">
        <v>1900</v>
      </c>
      <c r="XY47" t="s">
        <v>1900</v>
      </c>
      <c r="XZ47" t="s">
        <v>1900</v>
      </c>
      <c r="YA47" t="s">
        <v>1900</v>
      </c>
      <c r="YB47" t="s">
        <v>1900</v>
      </c>
      <c r="YC47">
        <v>0</v>
      </c>
      <c r="YD47" t="s">
        <v>1900</v>
      </c>
      <c r="YE47" t="s">
        <v>1900</v>
      </c>
      <c r="YF47" t="s">
        <v>1900</v>
      </c>
      <c r="YG47" t="s">
        <v>1900</v>
      </c>
      <c r="YH47" t="s">
        <v>1900</v>
      </c>
      <c r="YI47" t="s">
        <v>1900</v>
      </c>
      <c r="YJ47" t="s">
        <v>1900</v>
      </c>
      <c r="YK47" t="s">
        <v>1900</v>
      </c>
      <c r="YL47" t="s">
        <v>1900</v>
      </c>
      <c r="YM47" t="s">
        <v>1900</v>
      </c>
      <c r="YN47" t="s">
        <v>1900</v>
      </c>
      <c r="YO47" t="s">
        <v>1900</v>
      </c>
      <c r="YP47" t="s">
        <v>1900</v>
      </c>
      <c r="YQ47" t="s">
        <v>1900</v>
      </c>
      <c r="YR47" t="s">
        <v>1900</v>
      </c>
      <c r="YS47" t="s">
        <v>1900</v>
      </c>
      <c r="YT47" t="s">
        <v>1900</v>
      </c>
      <c r="YU47" t="s">
        <v>1900</v>
      </c>
      <c r="YV47" t="s">
        <v>1900</v>
      </c>
      <c r="YW47" t="s">
        <v>1900</v>
      </c>
      <c r="YX47" t="s">
        <v>1900</v>
      </c>
      <c r="YY47" t="s">
        <v>1900</v>
      </c>
      <c r="YZ47" t="s">
        <v>1900</v>
      </c>
      <c r="ZA47" t="s">
        <v>1900</v>
      </c>
      <c r="ZB47" t="s">
        <v>1900</v>
      </c>
      <c r="ZC47" t="s">
        <v>1900</v>
      </c>
      <c r="ZD47" t="s">
        <v>1900</v>
      </c>
      <c r="ZE47" t="s">
        <v>1900</v>
      </c>
      <c r="ZF47" t="s">
        <v>1900</v>
      </c>
      <c r="ZG47" t="s">
        <v>1900</v>
      </c>
      <c r="ZH47" t="s">
        <v>1900</v>
      </c>
      <c r="ZI47" t="s">
        <v>1900</v>
      </c>
      <c r="ZJ47" t="s">
        <v>1900</v>
      </c>
      <c r="ZK47" t="s">
        <v>1900</v>
      </c>
      <c r="ZL47" t="s">
        <v>1900</v>
      </c>
      <c r="ZM47" t="s">
        <v>1900</v>
      </c>
      <c r="ZN47" t="s">
        <v>1900</v>
      </c>
      <c r="ZO47" t="s">
        <v>1900</v>
      </c>
      <c r="ZP47" t="s">
        <v>1900</v>
      </c>
      <c r="ZQ47" t="s">
        <v>1900</v>
      </c>
      <c r="ZR47" t="s">
        <v>1900</v>
      </c>
      <c r="ZS47" t="s">
        <v>1900</v>
      </c>
      <c r="ZT47" t="s">
        <v>1900</v>
      </c>
      <c r="ZU47" t="s">
        <v>1900</v>
      </c>
      <c r="ZV47" t="s">
        <v>1900</v>
      </c>
      <c r="ZW47" t="s">
        <v>1900</v>
      </c>
      <c r="ZX47" t="s">
        <v>1900</v>
      </c>
      <c r="ZY47" t="s">
        <v>1900</v>
      </c>
      <c r="ZZ47" t="s">
        <v>1900</v>
      </c>
      <c r="AAA47" t="s">
        <v>1900</v>
      </c>
      <c r="AAB47" t="s">
        <v>1900</v>
      </c>
      <c r="AAC47" t="s">
        <v>1900</v>
      </c>
      <c r="AAD47" t="s">
        <v>1900</v>
      </c>
      <c r="AAE47" t="s">
        <v>1900</v>
      </c>
      <c r="AAF47" t="s">
        <v>1900</v>
      </c>
      <c r="AAG47" t="s">
        <v>1900</v>
      </c>
      <c r="AAH47" t="s">
        <v>1900</v>
      </c>
      <c r="AAI47" t="s">
        <v>1900</v>
      </c>
      <c r="AAJ47" t="s">
        <v>1900</v>
      </c>
      <c r="AAK47" t="s">
        <v>1900</v>
      </c>
      <c r="AAL47" t="s">
        <v>1900</v>
      </c>
      <c r="AAM47" t="s">
        <v>1900</v>
      </c>
      <c r="AAN47" t="s">
        <v>1900</v>
      </c>
      <c r="AAO47" t="s">
        <v>1900</v>
      </c>
      <c r="AAP47" t="s">
        <v>1900</v>
      </c>
      <c r="AAQ47" t="s">
        <v>1900</v>
      </c>
      <c r="AAR47" t="s">
        <v>1900</v>
      </c>
      <c r="AAS47" t="s">
        <v>1900</v>
      </c>
      <c r="AAT47" t="s">
        <v>1900</v>
      </c>
      <c r="AAU47" t="s">
        <v>1900</v>
      </c>
      <c r="AAV47" t="s">
        <v>1900</v>
      </c>
      <c r="AAW47" t="s">
        <v>1900</v>
      </c>
      <c r="AAX47" t="s">
        <v>1900</v>
      </c>
      <c r="AAY47" t="s">
        <v>1900</v>
      </c>
      <c r="AAZ47" t="s">
        <v>1900</v>
      </c>
      <c r="ABA47" t="s">
        <v>1900</v>
      </c>
      <c r="ABB47" t="s">
        <v>1900</v>
      </c>
      <c r="ABC47" t="s">
        <v>1900</v>
      </c>
      <c r="ABD47" t="s">
        <v>1900</v>
      </c>
      <c r="ABE47" t="s">
        <v>1900</v>
      </c>
      <c r="ABF47" t="s">
        <v>1900</v>
      </c>
      <c r="ABG47" t="s">
        <v>1900</v>
      </c>
      <c r="ABH47" t="s">
        <v>1900</v>
      </c>
      <c r="ABI47" t="s">
        <v>1900</v>
      </c>
      <c r="ABJ47" t="s">
        <v>1900</v>
      </c>
      <c r="ABK47" t="s">
        <v>1900</v>
      </c>
      <c r="ABL47" t="s">
        <v>1900</v>
      </c>
      <c r="ABM47" t="s">
        <v>1900</v>
      </c>
      <c r="ABN47" t="s">
        <v>1900</v>
      </c>
      <c r="ABO47" t="s">
        <v>1900</v>
      </c>
      <c r="ABP47" t="s">
        <v>1900</v>
      </c>
      <c r="ABQ47" t="s">
        <v>1900</v>
      </c>
      <c r="ABR47" t="s">
        <v>1900</v>
      </c>
      <c r="ABS47" t="s">
        <v>1900</v>
      </c>
      <c r="ABT47" t="s">
        <v>1900</v>
      </c>
      <c r="ABU47" t="s">
        <v>1900</v>
      </c>
      <c r="ABV47" t="s">
        <v>1900</v>
      </c>
      <c r="ABW47" t="s">
        <v>1900</v>
      </c>
      <c r="ABX47" t="s">
        <v>1900</v>
      </c>
      <c r="ABY47" t="s">
        <v>1900</v>
      </c>
      <c r="ABZ47" t="s">
        <v>1900</v>
      </c>
      <c r="ACA47" t="s">
        <v>1900</v>
      </c>
      <c r="ACB47" t="s">
        <v>1900</v>
      </c>
      <c r="ACC47" t="s">
        <v>1900</v>
      </c>
      <c r="ACD47" t="s">
        <v>1900</v>
      </c>
      <c r="ACE47" t="s">
        <v>1900</v>
      </c>
      <c r="ACF47">
        <v>-1.296</v>
      </c>
      <c r="ACG47">
        <v>1.869</v>
      </c>
      <c r="ACH47">
        <v>83.694</v>
      </c>
      <c r="ACI47">
        <v>-8.694000000000001</v>
      </c>
      <c r="ACJ47" t="s">
        <v>1900</v>
      </c>
      <c r="ACK47" t="s">
        <v>1900</v>
      </c>
      <c r="ACL47" t="s">
        <v>1900</v>
      </c>
      <c r="ACM47">
        <v>83.768</v>
      </c>
      <c r="ACN47">
        <v>-8.090999999999999</v>
      </c>
      <c r="ACO47" t="s">
        <v>1900</v>
      </c>
      <c r="ACP47">
        <v>-1.291</v>
      </c>
      <c r="ACQ47">
        <v>1.832</v>
      </c>
      <c r="ACR47">
        <v>72.634</v>
      </c>
      <c r="ACS47">
        <v>-8.209</v>
      </c>
      <c r="ACT47" t="s">
        <v>1900</v>
      </c>
      <c r="ACU47">
        <v>-1.296</v>
      </c>
      <c r="ACV47">
        <v>1.42</v>
      </c>
      <c r="ACW47">
        <v>69.06100000000001</v>
      </c>
      <c r="ACX47">
        <v>-8.694000000000001</v>
      </c>
      <c r="ACY47" t="s">
        <v>1900</v>
      </c>
      <c r="ACZ47" t="s">
        <v>1900</v>
      </c>
      <c r="ADA47" t="s">
        <v>1900</v>
      </c>
      <c r="ADB47">
        <v>69.13500000000001</v>
      </c>
      <c r="ADC47">
        <v>-8.090999999999999</v>
      </c>
      <c r="ADD47" t="s">
        <v>1900</v>
      </c>
      <c r="ADE47">
        <v>-1.291</v>
      </c>
      <c r="ADF47">
        <v>1.392</v>
      </c>
      <c r="ADG47">
        <v>59.935</v>
      </c>
      <c r="ADH47">
        <v>-8.209</v>
      </c>
      <c r="ADI47" t="s">
        <v>1900</v>
      </c>
      <c r="ADJ47">
        <v>-64.053</v>
      </c>
      <c r="ADK47">
        <v>68.721</v>
      </c>
      <c r="ADL47" t="s">
        <v>1901</v>
      </c>
      <c r="ADM47">
        <v>-39.314</v>
      </c>
      <c r="ADN47" t="s">
        <v>1900</v>
      </c>
      <c r="ADO47">
        <v>100</v>
      </c>
      <c r="ADP47">
        <v>100</v>
      </c>
      <c r="ADQ47">
        <v>96.44799999999999</v>
      </c>
      <c r="ADR47">
        <v>99.669</v>
      </c>
      <c r="ADS47" t="s">
        <v>1900</v>
      </c>
      <c r="ADT47">
        <v>-132.268544383</v>
      </c>
      <c r="ADU47">
        <v>-70.894889648</v>
      </c>
      <c r="ADV47">
        <v>6.924566098</v>
      </c>
      <c r="ADW47">
        <v>-37.780349855</v>
      </c>
      <c r="ADX47" t="s">
        <v>1900</v>
      </c>
      <c r="ADY47" t="s">
        <v>1901</v>
      </c>
      <c r="ADZ47">
        <v>-70.895</v>
      </c>
      <c r="AEA47">
        <v>28.928</v>
      </c>
      <c r="AEB47">
        <v>4.569</v>
      </c>
      <c r="AEC47" t="s">
        <v>1900</v>
      </c>
      <c r="AED47" t="s">
        <v>1901</v>
      </c>
      <c r="AEE47">
        <v>-70.895</v>
      </c>
      <c r="AEF47">
        <v>6.925</v>
      </c>
      <c r="AEG47">
        <v>-37.78</v>
      </c>
      <c r="AEH47" t="s">
        <v>1900</v>
      </c>
      <c r="AEI47" t="s">
        <v>1900</v>
      </c>
      <c r="AEJ47" t="s">
        <v>1900</v>
      </c>
      <c r="AEK47" t="s">
        <v>1901</v>
      </c>
      <c r="AEL47">
        <v>3.035</v>
      </c>
      <c r="AEM47" t="s">
        <v>1900</v>
      </c>
      <c r="AEN47">
        <v>-56.946387095</v>
      </c>
      <c r="AEO47">
        <v>-41.484499504</v>
      </c>
      <c r="AEP47">
        <v>7.439735501</v>
      </c>
      <c r="AEQ47">
        <v>-27.420709771</v>
      </c>
      <c r="AER47" t="s">
        <v>1900</v>
      </c>
      <c r="AES47" t="s">
        <v>1900</v>
      </c>
      <c r="AET47" t="s">
        <v>1900</v>
      </c>
      <c r="AEU47">
        <v>1.077348961</v>
      </c>
      <c r="AEV47">
        <v>0.725133228</v>
      </c>
      <c r="AEW47" t="s">
        <v>1900</v>
      </c>
      <c r="AEX47" t="s">
        <v>1900</v>
      </c>
      <c r="AEY47" t="s">
        <v>1900</v>
      </c>
      <c r="AEZ47" t="s">
        <v>1900</v>
      </c>
      <c r="AFA47" t="s">
        <v>1900</v>
      </c>
      <c r="AFB47" t="s">
        <v>1900</v>
      </c>
      <c r="AFC47" t="s">
        <v>1900</v>
      </c>
      <c r="AFD47" t="s">
        <v>1900</v>
      </c>
      <c r="AFE47" t="s">
        <v>1900</v>
      </c>
      <c r="AFF47" t="s">
        <v>1900</v>
      </c>
      <c r="AFG47" t="s">
        <v>1900</v>
      </c>
      <c r="AFH47">
        <v>0.02</v>
      </c>
      <c r="AFI47">
        <v>0.027</v>
      </c>
      <c r="AFJ47">
        <v>0.138</v>
      </c>
      <c r="AFK47">
        <v>0.211</v>
      </c>
      <c r="AFL47" t="s">
        <v>1900</v>
      </c>
      <c r="AFM47" t="s">
        <v>1900</v>
      </c>
      <c r="AFN47" t="s">
        <v>1900</v>
      </c>
      <c r="AFO47">
        <v>12.889</v>
      </c>
      <c r="AFP47">
        <v>-40.113</v>
      </c>
      <c r="AFQ47" t="s">
        <v>1900</v>
      </c>
      <c r="AFR47" t="s">
        <v>1901</v>
      </c>
      <c r="AFS47" t="s">
        <v>1901</v>
      </c>
      <c r="AFT47" t="s">
        <v>1901</v>
      </c>
      <c r="AFU47">
        <v>27.186</v>
      </c>
      <c r="AFV47" t="s">
        <v>1900</v>
      </c>
      <c r="AFW47">
        <v>331.766</v>
      </c>
      <c r="AFX47">
        <v>270.183</v>
      </c>
      <c r="AFY47">
        <v>844.47</v>
      </c>
      <c r="AFZ47">
        <v>86.13</v>
      </c>
      <c r="AGA47" t="s">
        <v>1900</v>
      </c>
      <c r="AGB47">
        <v>0</v>
      </c>
      <c r="AGC47">
        <v>37.304</v>
      </c>
      <c r="AGD47">
        <v>0</v>
      </c>
      <c r="AGE47">
        <v>0</v>
      </c>
      <c r="AGF47" t="s">
        <v>1900</v>
      </c>
      <c r="AGG47" t="s">
        <v>1900</v>
      </c>
      <c r="AGH47" t="s">
        <v>1900</v>
      </c>
      <c r="AGI47" t="s">
        <v>1900</v>
      </c>
      <c r="AGJ47" t="s">
        <v>1900</v>
      </c>
      <c r="AGK47" t="s">
        <v>1900</v>
      </c>
      <c r="AGL47" t="s">
        <v>1900</v>
      </c>
      <c r="AGM47" t="s">
        <v>1900</v>
      </c>
      <c r="AGN47" t="s">
        <v>1900</v>
      </c>
      <c r="AGO47" t="s">
        <v>1900</v>
      </c>
      <c r="AGP47" t="s">
        <v>1900</v>
      </c>
      <c r="AGQ47" t="s">
        <v>1900</v>
      </c>
      <c r="AGR47" t="s">
        <v>1900</v>
      </c>
      <c r="AGS47" t="s">
        <v>1900</v>
      </c>
      <c r="AGT47" t="s">
        <v>1900</v>
      </c>
      <c r="AGU47">
        <v>0</v>
      </c>
      <c r="AGV47">
        <v>0</v>
      </c>
      <c r="AGW47">
        <v>0</v>
      </c>
      <c r="AGX47">
        <v>0</v>
      </c>
      <c r="AGY47">
        <v>0</v>
      </c>
      <c r="AGZ47" t="s">
        <v>1900</v>
      </c>
      <c r="AHA47" t="s">
        <v>1901</v>
      </c>
      <c r="AHB47">
        <v>49.015</v>
      </c>
      <c r="AHC47">
        <v>7.487</v>
      </c>
      <c r="AHD47">
        <v>16.177</v>
      </c>
      <c r="AHE47" t="s">
        <v>1900</v>
      </c>
      <c r="AHF47" t="s">
        <v>1901</v>
      </c>
      <c r="AHG47">
        <v>49.015</v>
      </c>
      <c r="AHH47">
        <v>7.487</v>
      </c>
      <c r="AHI47">
        <v>15.394</v>
      </c>
      <c r="AHJ47" t="s">
        <v>1900</v>
      </c>
      <c r="AHK47" t="s">
        <v>1901</v>
      </c>
      <c r="AHL47" t="s">
        <v>1901</v>
      </c>
      <c r="AHM47" t="s">
        <v>1901</v>
      </c>
      <c r="AHN47">
        <v>20.523</v>
      </c>
      <c r="AHO47" t="s">
        <v>1900</v>
      </c>
      <c r="AHP47">
        <v>99.661</v>
      </c>
      <c r="AHQ47">
        <v>98.026</v>
      </c>
      <c r="AHR47">
        <v>86.786</v>
      </c>
      <c r="AHS47">
        <v>94.419</v>
      </c>
      <c r="AHT47" t="s">
        <v>1900</v>
      </c>
      <c r="AHU47" t="s">
        <v>1901</v>
      </c>
      <c r="AHV47" t="s">
        <v>1901</v>
      </c>
      <c r="AHW47" t="s">
        <v>1901</v>
      </c>
      <c r="AHX47" t="s">
        <v>1901</v>
      </c>
      <c r="AHY47" t="s">
        <v>1900</v>
      </c>
      <c r="AHZ47">
        <v>0</v>
      </c>
      <c r="AIA47">
        <v>0</v>
      </c>
      <c r="AIB47">
        <v>0</v>
      </c>
      <c r="AIC47">
        <v>4.873</v>
      </c>
      <c r="AID47" t="s">
        <v>1900</v>
      </c>
      <c r="AIE47">
        <v>0.277349913</v>
      </c>
      <c r="AIF47">
        <v>0.192982536</v>
      </c>
      <c r="AIG47">
        <v>0.06099695</v>
      </c>
      <c r="AIH47">
        <v>1.928494487</v>
      </c>
      <c r="AII47" t="s">
        <v>1900</v>
      </c>
      <c r="AIJ47">
        <v>93.761753883</v>
      </c>
      <c r="AIK47">
        <v>94.766811613</v>
      </c>
      <c r="AIL47">
        <v>70.858885149</v>
      </c>
      <c r="AIM47">
        <v>10.089479521</v>
      </c>
      <c r="AIN47" t="s">
        <v>1900</v>
      </c>
      <c r="AIO47">
        <v>0.338733888</v>
      </c>
      <c r="AIP47">
        <v>1.697999733</v>
      </c>
      <c r="AIQ47">
        <v>13.214156775</v>
      </c>
      <c r="AIR47">
        <v>0.979950438</v>
      </c>
      <c r="AIS47" t="s">
        <v>1900</v>
      </c>
      <c r="AIT47" t="s">
        <v>1900</v>
      </c>
      <c r="AIU47" t="s">
        <v>1900</v>
      </c>
      <c r="AIV47">
        <v>0</v>
      </c>
      <c r="AIW47" t="s">
        <v>1901</v>
      </c>
      <c r="AIX47" t="s">
        <v>1900</v>
      </c>
      <c r="AIY47">
        <v>-43.6311876811409</v>
      </c>
      <c r="AIZ47">
        <v>67.61224286245699</v>
      </c>
      <c r="AJA47">
        <v>1074.5602896536</v>
      </c>
      <c r="AJB47">
        <v>-39.4474507398665</v>
      </c>
      <c r="AJC47" t="s">
        <v>1900</v>
      </c>
      <c r="AJD47">
        <v>68.1178439704514</v>
      </c>
      <c r="AJE47">
        <v>98.38609127753379</v>
      </c>
      <c r="AJF47">
        <v>177.106279862266</v>
      </c>
      <c r="AJG47">
        <v>100.338932943418</v>
      </c>
      <c r="AJH47" t="s">
        <v>1900</v>
      </c>
      <c r="AJI47" t="s">
        <v>1901</v>
      </c>
      <c r="AJJ47">
        <v>74.899</v>
      </c>
      <c r="AJK47">
        <v>17.404</v>
      </c>
      <c r="AJL47">
        <v>40.733</v>
      </c>
      <c r="AJM47" t="s">
        <v>1900</v>
      </c>
      <c r="AJN47">
        <v>135.783665388041</v>
      </c>
      <c r="AJO47">
        <v>73.6906120241284</v>
      </c>
      <c r="AJP47">
        <v>30.824026567533</v>
      </c>
      <c r="AJQ47">
        <v>40.8714970226574</v>
      </c>
      <c r="AJR47" t="s">
        <v>1900</v>
      </c>
      <c r="AJS47">
        <v>3367.44632511853</v>
      </c>
      <c r="AJT47">
        <v>3617.65412000295</v>
      </c>
      <c r="AJU47">
        <v>1283.92257549753</v>
      </c>
      <c r="AJV47">
        <v>453.74357044668</v>
      </c>
      <c r="AJW47" t="s">
        <v>1900</v>
      </c>
      <c r="AJX47">
        <v>62.775531222887</v>
      </c>
      <c r="AJY47">
        <v>63.6445567621052</v>
      </c>
      <c r="AJZ47">
        <v>415.447012144518</v>
      </c>
      <c r="AKA47">
        <v>27.6968214744747</v>
      </c>
      <c r="AKB47" t="s">
        <v>1900</v>
      </c>
      <c r="AKC47">
        <v>3378.89177660511</v>
      </c>
      <c r="AKD47">
        <v>3690.51395768568</v>
      </c>
      <c r="AKE47">
        <v>1479.41476048918</v>
      </c>
      <c r="AKF47">
        <v>480.562180267438</v>
      </c>
      <c r="AKG47" t="s">
        <v>1900</v>
      </c>
      <c r="AKH47" t="s">
        <v>1900</v>
      </c>
      <c r="AKI47" t="s">
        <v>1900</v>
      </c>
      <c r="AKJ47">
        <v>0</v>
      </c>
      <c r="AKK47" t="s">
        <v>1901</v>
      </c>
      <c r="AKL47" t="s">
        <v>1900</v>
      </c>
      <c r="AKM47">
        <v>0</v>
      </c>
      <c r="AKN47">
        <v>0</v>
      </c>
      <c r="AKO47">
        <v>0</v>
      </c>
      <c r="AKP47">
        <v>3.678394325</v>
      </c>
      <c r="AKQ47" t="s">
        <v>1900</v>
      </c>
      <c r="AKR47">
        <v>0</v>
      </c>
      <c r="AKS47">
        <v>0</v>
      </c>
      <c r="AKT47">
        <v>0</v>
      </c>
      <c r="AKU47">
        <v>0.768029977</v>
      </c>
      <c r="AKV47" t="s">
        <v>1900</v>
      </c>
      <c r="AKW47">
        <v>0</v>
      </c>
      <c r="AKX47">
        <v>0</v>
      </c>
      <c r="AKY47">
        <v>0</v>
      </c>
      <c r="AKZ47">
        <v>0</v>
      </c>
      <c r="ALA47" t="s">
        <v>1900</v>
      </c>
      <c r="ALB47">
        <v>0</v>
      </c>
      <c r="ALC47">
        <v>0</v>
      </c>
      <c r="ALD47">
        <v>0</v>
      </c>
      <c r="ALE47">
        <v>0</v>
      </c>
      <c r="ALF47" t="s">
        <v>1900</v>
      </c>
      <c r="ALG47">
        <v>203.524790624</v>
      </c>
      <c r="ALH47">
        <v>114.010041112</v>
      </c>
      <c r="ALI47">
        <v>8.338803416999999</v>
      </c>
      <c r="ALJ47">
        <v>393.776882351</v>
      </c>
      <c r="ALK47" t="s">
        <v>1900</v>
      </c>
      <c r="ALL47">
        <v>4.10302278</v>
      </c>
      <c r="ALM47">
        <v>3.039414683</v>
      </c>
      <c r="ALN47">
        <v>0.998269379</v>
      </c>
      <c r="ALO47">
        <v>82.218604989</v>
      </c>
      <c r="ALP47" t="s">
        <v>1900</v>
      </c>
      <c r="ALQ47">
        <v>92.157249208</v>
      </c>
      <c r="ALR47">
        <v>75.050727553</v>
      </c>
      <c r="ALS47">
        <v>234.57497487</v>
      </c>
      <c r="ALT47">
        <v>23.924870676</v>
      </c>
      <c r="ALU47" t="s">
        <v>1900</v>
      </c>
      <c r="ALV47">
        <v>0</v>
      </c>
      <c r="ALW47">
        <v>13.80686988</v>
      </c>
      <c r="ALX47">
        <v>0</v>
      </c>
      <c r="ALY47">
        <v>0</v>
      </c>
      <c r="ALZ47" t="s">
        <v>1900</v>
      </c>
      <c r="AMA47">
        <v>100</v>
      </c>
      <c r="AMB47">
        <v>100</v>
      </c>
      <c r="AMC47">
        <v>96.44827763365819</v>
      </c>
      <c r="AMD47">
        <v>99.6693299706982</v>
      </c>
      <c r="AME47" t="s">
        <v>1900</v>
      </c>
      <c r="AMF47">
        <v>100</v>
      </c>
      <c r="AMG47" t="s">
        <v>1901</v>
      </c>
      <c r="AMH47" t="s">
        <v>1901</v>
      </c>
      <c r="AMI47" t="s">
        <v>1901</v>
      </c>
      <c r="AMJ47" t="s">
        <v>1900</v>
      </c>
      <c r="AMK47" t="s">
        <v>1900</v>
      </c>
      <c r="AML47" t="s">
        <v>1900</v>
      </c>
      <c r="AMM47">
        <v>2715.53538496303</v>
      </c>
      <c r="AMN47">
        <v>30141.6279489064</v>
      </c>
      <c r="AMO47" t="s">
        <v>1900</v>
      </c>
      <c r="AMP47">
        <v>0.430536129054652</v>
      </c>
      <c r="AMQ47">
        <v>0.585155004961362</v>
      </c>
      <c r="AMR47">
        <v>1.07734896129463</v>
      </c>
      <c r="AMS47">
        <v>0.725133227646969</v>
      </c>
      <c r="AMT47" t="s">
        <v>1900</v>
      </c>
      <c r="AMU47">
        <v>0.430536129054652</v>
      </c>
      <c r="AMV47">
        <v>0.585155004961361</v>
      </c>
      <c r="AMW47">
        <v>1.07734896129463</v>
      </c>
      <c r="AMX47">
        <v>0.725133227646968</v>
      </c>
      <c r="AMY47" t="s">
        <v>1900</v>
      </c>
      <c r="AMZ47" t="s">
        <v>1900</v>
      </c>
      <c r="ANA47" t="s">
        <v>1900</v>
      </c>
      <c r="ANB47">
        <v>1.07734896129463</v>
      </c>
      <c r="ANC47">
        <v>0.725133227646969</v>
      </c>
      <c r="AND47" t="s">
        <v>1900</v>
      </c>
      <c r="ANE47" t="s">
        <v>1901</v>
      </c>
      <c r="ANF47">
        <v>-70.89488964826189</v>
      </c>
      <c r="ANG47">
        <v>6.92456609848594</v>
      </c>
      <c r="ANH47">
        <v>-37.7803498545135</v>
      </c>
      <c r="ANI47" t="s">
        <v>1900</v>
      </c>
      <c r="ANJ47" t="s">
        <v>1901</v>
      </c>
      <c r="ANK47">
        <v>-72.4660934055991</v>
      </c>
      <c r="ANL47">
        <v>7.31135062819575</v>
      </c>
      <c r="ANM47">
        <v>-39.1287577046238</v>
      </c>
      <c r="ANN47" t="s">
        <v>1900</v>
      </c>
      <c r="ANO47">
        <v>-56.9463870945348</v>
      </c>
      <c r="ANP47">
        <v>-41.4844995038639</v>
      </c>
      <c r="ANQ47">
        <v>7.43973550079071</v>
      </c>
      <c r="ANR47">
        <v>-27.4207097705928</v>
      </c>
      <c r="ANS47" t="s">
        <v>1900</v>
      </c>
      <c r="ANT47">
        <v>-2.67557288183115</v>
      </c>
      <c r="ANU47">
        <v>-1.9280646664029</v>
      </c>
      <c r="ANV47">
        <v>0.955185435063779</v>
      </c>
      <c r="ANW47">
        <v>-7.96641127278704</v>
      </c>
      <c r="ANX47" t="s">
        <v>1900</v>
      </c>
      <c r="ANY47" t="s">
        <v>1900</v>
      </c>
      <c r="ANZ47" t="s">
        <v>1900</v>
      </c>
      <c r="AOA47">
        <v>96.44827763365819</v>
      </c>
      <c r="AOB47">
        <v>99.6693299706982</v>
      </c>
      <c r="AOC47" t="s">
        <v>1900</v>
      </c>
      <c r="AOD47">
        <v>43.0536129054652</v>
      </c>
      <c r="AOE47">
        <v>58.5155004961362</v>
      </c>
      <c r="AOF47">
        <v>103.623774384671</v>
      </c>
      <c r="AOG47">
        <v>72.3392922691386</v>
      </c>
      <c r="AOH47" t="s">
        <v>1900</v>
      </c>
      <c r="AOI47">
        <v>2.01598182108371</v>
      </c>
      <c r="AOJ47">
        <v>2.66591841693593</v>
      </c>
      <c r="AOK47">
        <v>11.5461844312085</v>
      </c>
      <c r="AOL47">
        <v>20.8104478390366</v>
      </c>
      <c r="AOM47" t="s">
        <v>1900</v>
      </c>
      <c r="AON47" t="s">
        <v>1900</v>
      </c>
      <c r="AOO47" t="s">
        <v>1900</v>
      </c>
      <c r="AOP47">
        <v>194.963608758025</v>
      </c>
      <c r="AOQ47">
        <v>-11425.3928407972</v>
      </c>
      <c r="AOR47" t="s">
        <v>1900</v>
      </c>
      <c r="AOS47">
        <v>-56.9463870945348</v>
      </c>
      <c r="AOT47">
        <v>-41.4844995038639</v>
      </c>
      <c r="AOU47">
        <v>7.73489612946331</v>
      </c>
      <c r="AOV47">
        <v>-27.4866772353032</v>
      </c>
      <c r="AOW47" t="s">
        <v>1900</v>
      </c>
      <c r="AOX47">
        <v>-2.66650980978195</v>
      </c>
      <c r="AOY47">
        <v>-1.88999991979942</v>
      </c>
      <c r="AOZ47">
        <v>0.8289657341823879</v>
      </c>
      <c r="APA47">
        <v>-7.88834439058688</v>
      </c>
      <c r="APB47" t="s">
        <v>1900</v>
      </c>
      <c r="APC47">
        <v>-64.0525083266986</v>
      </c>
      <c r="APD47">
        <v>52.2282234152335</v>
      </c>
      <c r="APE47">
        <v>500.654705777413</v>
      </c>
      <c r="APF47">
        <v>-39.3142020781877</v>
      </c>
      <c r="APG47" t="s">
        <v>1900</v>
      </c>
      <c r="APH47">
        <v>-64.0525083266986</v>
      </c>
      <c r="API47">
        <v>53.3857282971256</v>
      </c>
      <c r="APJ47">
        <v>528.61970635174</v>
      </c>
      <c r="APK47">
        <v>-40.7173542169897</v>
      </c>
      <c r="APL47" t="s">
        <v>1900</v>
      </c>
      <c r="APM47" t="s">
        <v>1900</v>
      </c>
      <c r="APN47" t="s">
        <v>1900</v>
      </c>
      <c r="APO47">
        <v>14096.1103976456</v>
      </c>
      <c r="APP47">
        <v>-11889.2547235667</v>
      </c>
      <c r="APQ47" t="s">
        <v>1900</v>
      </c>
      <c r="APR47">
        <v>-27.5769189912177</v>
      </c>
      <c r="APS47">
        <v>30.5616063316641</v>
      </c>
      <c r="APT47">
        <v>559.242570702305</v>
      </c>
      <c r="APU47">
        <v>-28.6026145191329</v>
      </c>
      <c r="APV47" t="s">
        <v>1900</v>
      </c>
      <c r="APW47">
        <v>-27.5769189912177</v>
      </c>
      <c r="APX47">
        <v>30.5616063316641</v>
      </c>
      <c r="APY47">
        <v>537.902091659515</v>
      </c>
      <c r="APZ47">
        <v>-28.5339688277035</v>
      </c>
      <c r="AQA47" t="s">
        <v>1900</v>
      </c>
      <c r="AQB47">
        <v>-1.29128692381437</v>
      </c>
      <c r="AQC47">
        <v>1.39236182686516</v>
      </c>
      <c r="AQD47">
        <v>59.9352493490367</v>
      </c>
      <c r="AQE47">
        <v>-8.20860491308607</v>
      </c>
      <c r="AQF47" t="s">
        <v>1900</v>
      </c>
      <c r="AQG47" t="s">
        <v>1900</v>
      </c>
      <c r="AQH47" t="s">
        <v>1900</v>
      </c>
      <c r="AQI47">
        <v>0.0773489612946331</v>
      </c>
      <c r="AQJ47">
        <v>-0.274866772353031</v>
      </c>
      <c r="AQK47">
        <v>6</v>
      </c>
      <c r="AQO47" t="s">
        <v>1902</v>
      </c>
      <c r="AQP47">
        <v>1</v>
      </c>
      <c r="AQQ47">
        <v>0</v>
      </c>
      <c r="AQS47" t="s">
        <v>1905</v>
      </c>
      <c r="AQU47" t="s">
        <v>1906</v>
      </c>
      <c r="AQV47" t="s">
        <v>1900</v>
      </c>
      <c r="AQW47">
        <v>68117.8439704514</v>
      </c>
      <c r="AQX47">
        <v>98386.09127753379</v>
      </c>
      <c r="AQY47" t="s">
        <v>1900</v>
      </c>
      <c r="AQZ47">
        <v>-90098.480685091</v>
      </c>
      <c r="ARA47">
        <v>-69750.7108404458</v>
      </c>
      <c r="ARB47">
        <v>166503.9352479852</v>
      </c>
      <c r="ARC47">
        <v>-159849.1915255368</v>
      </c>
      <c r="ARD47">
        <v>-0.4898043818543424</v>
      </c>
      <c r="ARE47">
        <v>-0.4898043818543424</v>
      </c>
      <c r="ARF47">
        <v>-0.4898043818543424</v>
      </c>
      <c r="ARG47" t="s">
        <v>1907</v>
      </c>
      <c r="ARH47" t="s">
        <v>1907</v>
      </c>
      <c r="ARI47" t="s">
        <v>1907</v>
      </c>
      <c r="ARJ47" t="s">
        <v>1208</v>
      </c>
      <c r="ARK47" t="s">
        <v>1546</v>
      </c>
      <c r="ARL47" t="s">
        <v>1908</v>
      </c>
      <c r="ARM47" t="s">
        <v>1908</v>
      </c>
      <c r="ARN47" t="s">
        <v>1909</v>
      </c>
      <c r="ARO47" t="s">
        <v>1908</v>
      </c>
      <c r="ARP47" t="s">
        <v>1907</v>
      </c>
      <c r="ARQ47" t="s">
        <v>1947</v>
      </c>
      <c r="ARR47">
        <f>HYPERLINK("C:\Users\Usuario\Documents\Proyectos\llmthon\evidence\egaroa_com_234313.png", "Ver Evidencia")</f>
        <v>0</v>
      </c>
      <c r="ARS47">
        <v>100</v>
      </c>
    </row>
    <row r="48" spans="1:1163">
      <c r="A48">
        <v>385</v>
      </c>
      <c r="B48" t="s">
        <v>1209</v>
      </c>
      <c r="C48" t="s">
        <v>1332</v>
      </c>
      <c r="E48" s="2">
        <v>36889</v>
      </c>
      <c r="F48" t="s">
        <v>1431</v>
      </c>
      <c r="G48" t="s">
        <v>1433</v>
      </c>
      <c r="H48" t="s">
        <v>1434</v>
      </c>
      <c r="I48" t="s">
        <v>1437</v>
      </c>
      <c r="J48" t="s">
        <v>1453</v>
      </c>
      <c r="L48" t="s">
        <v>1547</v>
      </c>
      <c r="N48" t="s">
        <v>1625</v>
      </c>
      <c r="O48" t="s">
        <v>1649</v>
      </c>
      <c r="P48">
        <v>8211</v>
      </c>
      <c r="Q48">
        <v>8211</v>
      </c>
      <c r="R48" t="s">
        <v>1718</v>
      </c>
      <c r="Z48" t="s">
        <v>1899</v>
      </c>
      <c r="AA48" s="2">
        <v>45657</v>
      </c>
      <c r="AB48">
        <v>2024</v>
      </c>
      <c r="AC48">
        <v>1820609.9508877</v>
      </c>
      <c r="AD48">
        <v>2006808.78228112</v>
      </c>
      <c r="AE48">
        <v>1873548.61026385</v>
      </c>
      <c r="AF48">
        <v>1888181.25770396</v>
      </c>
      <c r="AG48">
        <v>2135592.18072681</v>
      </c>
      <c r="AH48">
        <v>1820069.92259514</v>
      </c>
      <c r="AI48">
        <v>1995056.29535675</v>
      </c>
      <c r="AJ48">
        <v>1872897.50460625</v>
      </c>
      <c r="AK48">
        <v>1888021.38097715</v>
      </c>
      <c r="AL48">
        <v>2134929.44893718</v>
      </c>
      <c r="AM48" t="s">
        <v>1900</v>
      </c>
      <c r="AN48">
        <v>-90.41114057540889</v>
      </c>
      <c r="AO48">
        <v>231.345429003239</v>
      </c>
      <c r="AP48">
        <v>2621.79982173443</v>
      </c>
      <c r="AQ48">
        <v>9879.15558184385</v>
      </c>
      <c r="AR48">
        <v>1820609.9508877</v>
      </c>
      <c r="AS48">
        <v>2006899.1934217</v>
      </c>
      <c r="AT48">
        <v>1873317.26483485</v>
      </c>
      <c r="AU48">
        <v>1885559.45788222</v>
      </c>
      <c r="AV48">
        <v>2125713.02514497</v>
      </c>
      <c r="AW48">
        <v>1765352.18500939</v>
      </c>
      <c r="AX48">
        <v>1945787.03049531</v>
      </c>
      <c r="AY48">
        <v>1845229.52990501</v>
      </c>
      <c r="AZ48">
        <v>1900298.39455197</v>
      </c>
      <c r="BA48">
        <v>2156622.92023805</v>
      </c>
      <c r="BB48">
        <v>55257.7679561079</v>
      </c>
      <c r="BC48">
        <v>61112.1629263878</v>
      </c>
      <c r="BD48">
        <v>28087.7349298418</v>
      </c>
      <c r="BE48">
        <v>-14738.9355371475</v>
      </c>
      <c r="BF48">
        <v>-30909.8950930834</v>
      </c>
      <c r="BG48">
        <v>32731.880605495</v>
      </c>
      <c r="BH48">
        <v>22519.3023563862</v>
      </c>
      <c r="BI48">
        <v>0</v>
      </c>
      <c r="BJ48">
        <v>1052.89922382832</v>
      </c>
      <c r="BK48">
        <v>25398.7467194796</v>
      </c>
      <c r="BL48">
        <v>32731.880605495</v>
      </c>
      <c r="BM48">
        <v>22519.3023563862</v>
      </c>
      <c r="BN48" t="s">
        <v>1900</v>
      </c>
      <c r="BO48">
        <v>1052.89922382832</v>
      </c>
      <c r="BP48">
        <v>25398.7467194796</v>
      </c>
      <c r="BQ48" t="s">
        <v>1900</v>
      </c>
      <c r="BR48" t="s">
        <v>1900</v>
      </c>
      <c r="BS48" t="s">
        <v>1900</v>
      </c>
      <c r="BT48" t="s">
        <v>1900</v>
      </c>
      <c r="BU48" t="s">
        <v>1900</v>
      </c>
      <c r="BV48">
        <v>87989.64856160279</v>
      </c>
      <c r="BW48">
        <v>83631.46528277401</v>
      </c>
      <c r="BX48">
        <v>28087.7349298418</v>
      </c>
      <c r="BY48">
        <v>-13686.0363133192</v>
      </c>
      <c r="BZ48">
        <v>-5511.14837360382</v>
      </c>
      <c r="CA48">
        <v>19785.9872023988</v>
      </c>
      <c r="CB48">
        <v>20907.8690831947</v>
      </c>
      <c r="CC48">
        <v>7021.93639895916</v>
      </c>
      <c r="CD48">
        <v>-3421.50624682903</v>
      </c>
      <c r="CE48">
        <v>-1377.78709340096</v>
      </c>
      <c r="CF48">
        <v>68203.66135920399</v>
      </c>
      <c r="CG48">
        <v>62723.5961995792</v>
      </c>
      <c r="CH48">
        <v>21065.7985308826</v>
      </c>
      <c r="CI48">
        <v>-10264.5300664902</v>
      </c>
      <c r="CJ48">
        <v>-4133.36005310357</v>
      </c>
      <c r="CK48" t="s">
        <v>1900</v>
      </c>
      <c r="CL48" t="s">
        <v>1900</v>
      </c>
      <c r="CM48" t="s">
        <v>1900</v>
      </c>
      <c r="CN48" t="s">
        <v>1900</v>
      </c>
      <c r="CO48" t="s">
        <v>1900</v>
      </c>
      <c r="CP48" t="s">
        <v>1900</v>
      </c>
      <c r="CQ48" t="s">
        <v>1900</v>
      </c>
      <c r="CR48" t="s">
        <v>1900</v>
      </c>
      <c r="CS48" t="s">
        <v>1900</v>
      </c>
      <c r="CT48" t="s">
        <v>1900</v>
      </c>
      <c r="CU48" t="s">
        <v>1900</v>
      </c>
      <c r="CV48" t="s">
        <v>1900</v>
      </c>
      <c r="CW48" t="s">
        <v>1900</v>
      </c>
      <c r="CX48" t="s">
        <v>1900</v>
      </c>
      <c r="CY48" t="s">
        <v>1900</v>
      </c>
      <c r="CZ48">
        <v>68203.66135920399</v>
      </c>
      <c r="DA48">
        <v>62723.5961995792</v>
      </c>
      <c r="DB48">
        <v>21065.7985308826</v>
      </c>
      <c r="DC48">
        <v>-10264.5300664902</v>
      </c>
      <c r="DD48">
        <v>-4133.36005310357</v>
      </c>
      <c r="DE48" t="s">
        <v>1900</v>
      </c>
      <c r="DF48" t="s">
        <v>1900</v>
      </c>
      <c r="DG48" t="s">
        <v>1900</v>
      </c>
      <c r="DH48" t="s">
        <v>1900</v>
      </c>
      <c r="DI48" t="s">
        <v>1900</v>
      </c>
      <c r="DJ48" t="s">
        <v>1900</v>
      </c>
      <c r="DK48">
        <v>-90.41114057540889</v>
      </c>
      <c r="DL48">
        <v>231.345429003239</v>
      </c>
      <c r="DM48">
        <v>2621.79982173443</v>
      </c>
      <c r="DN48">
        <v>9879.15558184385</v>
      </c>
      <c r="DO48">
        <v>1244295.09152309</v>
      </c>
      <c r="DP48">
        <v>1284087.65003276</v>
      </c>
      <c r="DQ48">
        <v>1153351.96559756</v>
      </c>
      <c r="DR48">
        <v>1238622.88633432</v>
      </c>
      <c r="DS48">
        <v>1355631.79100775</v>
      </c>
      <c r="DT48">
        <v>15957.8397850907</v>
      </c>
      <c r="DU48">
        <v>22110.518472929</v>
      </c>
      <c r="DV48">
        <v>23226.643766135</v>
      </c>
      <c r="DW48">
        <v>44125.9041107655</v>
      </c>
      <c r="DX48">
        <v>40652.4377099216</v>
      </c>
      <c r="DY48">
        <v>505099.253701211</v>
      </c>
      <c r="DZ48">
        <v>639588.861989622</v>
      </c>
      <c r="EA48">
        <v>668650.92054131</v>
      </c>
      <c r="EB48">
        <v>617549.604106879</v>
      </c>
      <c r="EC48">
        <v>760338.691520387</v>
      </c>
      <c r="ED48" t="s">
        <v>1900</v>
      </c>
      <c r="EE48" t="s">
        <v>1900</v>
      </c>
      <c r="EF48" t="s">
        <v>1900</v>
      </c>
      <c r="EG48" t="s">
        <v>1900</v>
      </c>
      <c r="EH48" t="s">
        <v>1900</v>
      </c>
      <c r="EI48" t="s">
        <v>1900</v>
      </c>
      <c r="EJ48" t="s">
        <v>1900</v>
      </c>
      <c r="EK48" t="s">
        <v>1900</v>
      </c>
      <c r="EL48" t="s">
        <v>1900</v>
      </c>
      <c r="EM48" t="s">
        <v>1900</v>
      </c>
      <c r="EN48">
        <v>84161.5011442947</v>
      </c>
      <c r="EO48">
        <v>84834.11467250821</v>
      </c>
      <c r="EP48">
        <v>44292.4422970176</v>
      </c>
      <c r="EQ48">
        <v>33861.3740442753</v>
      </c>
      <c r="ER48">
        <v>36519.0752026194</v>
      </c>
      <c r="ES48">
        <v>1348242.57986978</v>
      </c>
      <c r="ET48">
        <v>1389829.63378846</v>
      </c>
      <c r="EU48">
        <v>1204666.34429354</v>
      </c>
      <c r="EV48">
        <v>1269062.75413177</v>
      </c>
      <c r="EW48">
        <v>1390773.08034406</v>
      </c>
      <c r="EX48">
        <v>71215.6077411985</v>
      </c>
      <c r="EY48">
        <v>83222.6813993168</v>
      </c>
      <c r="EZ48">
        <v>51314.3776293772</v>
      </c>
      <c r="FA48">
        <v>29386.9685736179</v>
      </c>
      <c r="FB48">
        <v>9742.541389738921</v>
      </c>
      <c r="FC48">
        <v>88341.8874509454</v>
      </c>
      <c r="FD48">
        <v>86649.01168701171</v>
      </c>
      <c r="FE48">
        <v>78432.9906647921</v>
      </c>
      <c r="FF48">
        <v>91583.2047878981</v>
      </c>
      <c r="FG48">
        <v>142405.560874558</v>
      </c>
      <c r="FH48">
        <v>51079.86461936</v>
      </c>
      <c r="FI48">
        <v>42091.9109403324</v>
      </c>
      <c r="FJ48">
        <v>27945.1199122667</v>
      </c>
      <c r="FK48">
        <v>21845.8552284479</v>
      </c>
      <c r="FL48">
        <v>65814.9555432677</v>
      </c>
      <c r="FM48">
        <v>11716.262295481</v>
      </c>
      <c r="FN48">
        <v>17398.3985581875</v>
      </c>
      <c r="FO48">
        <v>24272.9885301113</v>
      </c>
      <c r="FP48">
        <v>37207.1093305349</v>
      </c>
      <c r="FQ48">
        <v>45053.1716564775</v>
      </c>
      <c r="FR48">
        <v>25545.7605361044</v>
      </c>
      <c r="FS48">
        <v>27158.7021884918</v>
      </c>
      <c r="FT48">
        <v>26214.882222414</v>
      </c>
      <c r="FU48">
        <v>32530.2390963149</v>
      </c>
      <c r="FV48">
        <v>31537.4336748123</v>
      </c>
      <c r="FW48">
        <v>51079.86461936</v>
      </c>
      <c r="FX48">
        <v>42091.9109403324</v>
      </c>
      <c r="FY48">
        <v>27945.1199122667</v>
      </c>
      <c r="FZ48">
        <v>21845.8552284479</v>
      </c>
      <c r="GA48">
        <v>65814.9555432677</v>
      </c>
      <c r="GB48">
        <v>11716.262295481</v>
      </c>
      <c r="GC48">
        <v>17398.3985581875</v>
      </c>
      <c r="GD48">
        <v>24272.9885301113</v>
      </c>
      <c r="GE48">
        <v>37207.1093305349</v>
      </c>
      <c r="GF48">
        <v>45053.1716564775</v>
      </c>
      <c r="GG48">
        <v>25545.7605361044</v>
      </c>
      <c r="GH48">
        <v>27158.7021884918</v>
      </c>
      <c r="GI48">
        <v>26214.882222414</v>
      </c>
      <c r="GJ48">
        <v>32530.2390963149</v>
      </c>
      <c r="GK48">
        <v>31537.4336748123</v>
      </c>
      <c r="GL48">
        <v>2138940.63653038</v>
      </c>
      <c r="GM48">
        <v>2210654.79851471</v>
      </c>
      <c r="GN48">
        <v>2067544.413019</v>
      </c>
      <c r="GO48">
        <v>2142502.89764471</v>
      </c>
      <c r="GP48">
        <v>2433591.02454386</v>
      </c>
      <c r="GQ48">
        <v>1059.67753171921</v>
      </c>
      <c r="GR48">
        <v>0</v>
      </c>
      <c r="GS48">
        <v>0</v>
      </c>
      <c r="GT48">
        <v>0</v>
      </c>
      <c r="GU48">
        <v>0</v>
      </c>
      <c r="GV48">
        <v>515278.090122094</v>
      </c>
      <c r="GW48">
        <v>612841.993485956</v>
      </c>
      <c r="GX48">
        <v>593820.753623927</v>
      </c>
      <c r="GY48">
        <v>563021.966728377</v>
      </c>
      <c r="GZ48">
        <v>755739.940559882</v>
      </c>
      <c r="HA48">
        <v>1622602.86887657</v>
      </c>
      <c r="HB48">
        <v>1597812.80502875</v>
      </c>
      <c r="HC48">
        <v>1473723.65939507</v>
      </c>
      <c r="HD48">
        <v>1579480.93091633</v>
      </c>
      <c r="HE48">
        <v>1677851.08398398</v>
      </c>
      <c r="HF48">
        <v>538933.136605722</v>
      </c>
      <c r="HG48">
        <v>440222.119966278</v>
      </c>
      <c r="HH48">
        <v>1453539.55466516</v>
      </c>
      <c r="HI48">
        <v>1564459.81933858</v>
      </c>
      <c r="HJ48">
        <v>675713.359022242</v>
      </c>
      <c r="HK48">
        <v>2227282.52398132</v>
      </c>
      <c r="HL48">
        <v>2297303.81020172</v>
      </c>
      <c r="HM48">
        <v>2145977.40368379</v>
      </c>
      <c r="HN48">
        <v>2234086.10243261</v>
      </c>
      <c r="HO48">
        <v>2575996.58541842</v>
      </c>
      <c r="HP48">
        <v>1990967.69194992</v>
      </c>
      <c r="HQ48">
        <v>2058930.71642281</v>
      </c>
      <c r="HR48">
        <v>1926834.87542974</v>
      </c>
      <c r="HS48">
        <v>2023697.42927284</v>
      </c>
      <c r="HT48">
        <v>2203666.44695821</v>
      </c>
      <c r="HU48">
        <v>165153.860017061</v>
      </c>
      <c r="HV48">
        <v>175661.928834915</v>
      </c>
      <c r="HW48">
        <v>169557.320648432</v>
      </c>
      <c r="HX48">
        <v>180049.470877647</v>
      </c>
      <c r="HY48">
        <v>195071.975630522</v>
      </c>
      <c r="HZ48">
        <v>1825813.83089396</v>
      </c>
      <c r="IA48">
        <v>1883268.78758789</v>
      </c>
      <c r="IB48">
        <v>1757277.55478131</v>
      </c>
      <c r="IC48">
        <v>1843647.95839519</v>
      </c>
      <c r="ID48">
        <v>2008594.47132769</v>
      </c>
      <c r="IE48">
        <v>0</v>
      </c>
      <c r="IF48">
        <v>0</v>
      </c>
      <c r="IG48">
        <v>0</v>
      </c>
      <c r="IH48">
        <v>0</v>
      </c>
      <c r="II48">
        <v>0</v>
      </c>
      <c r="IJ48" t="s">
        <v>1900</v>
      </c>
      <c r="IK48" t="s">
        <v>1900</v>
      </c>
      <c r="IL48" t="s">
        <v>1900</v>
      </c>
      <c r="IM48" t="s">
        <v>1900</v>
      </c>
      <c r="IN48" t="s">
        <v>1900</v>
      </c>
      <c r="IO48" t="s">
        <v>1900</v>
      </c>
      <c r="IP48" t="s">
        <v>1900</v>
      </c>
      <c r="IQ48" t="s">
        <v>1900</v>
      </c>
      <c r="IR48" t="s">
        <v>1900</v>
      </c>
      <c r="IS48" t="s">
        <v>1900</v>
      </c>
      <c r="IT48" t="s">
        <v>1900</v>
      </c>
      <c r="IU48" t="s">
        <v>1900</v>
      </c>
      <c r="IV48" t="s">
        <v>1900</v>
      </c>
      <c r="IW48" t="s">
        <v>1900</v>
      </c>
      <c r="IX48" t="s">
        <v>1900</v>
      </c>
      <c r="IY48">
        <v>236314.832031404</v>
      </c>
      <c r="IZ48">
        <v>238373.093778915</v>
      </c>
      <c r="JA48">
        <v>219142.528254044</v>
      </c>
      <c r="JB48">
        <v>210388.673159766</v>
      </c>
      <c r="JC48">
        <v>372330.138460213</v>
      </c>
      <c r="JD48">
        <v>0</v>
      </c>
      <c r="JE48">
        <v>0</v>
      </c>
      <c r="JF48">
        <v>0</v>
      </c>
      <c r="JG48">
        <v>0</v>
      </c>
      <c r="JH48">
        <v>0</v>
      </c>
      <c r="JI48">
        <v>1196.49021226048</v>
      </c>
      <c r="JJ48">
        <v>1105.93974633217</v>
      </c>
      <c r="JK48">
        <v>1654.46646220684</v>
      </c>
      <c r="JL48">
        <v>19158.1493948221</v>
      </c>
      <c r="JM48">
        <v>21316.1382663012</v>
      </c>
      <c r="JN48">
        <v>235118.341819143</v>
      </c>
      <c r="JO48">
        <v>237267.154032583</v>
      </c>
      <c r="JP48">
        <v>217488.061791837</v>
      </c>
      <c r="JQ48">
        <v>191230.523764944</v>
      </c>
      <c r="JR48">
        <v>351014.000193912</v>
      </c>
      <c r="JS48">
        <v>2227282.52398132</v>
      </c>
      <c r="JT48">
        <v>2297303.81020172</v>
      </c>
      <c r="JU48">
        <v>2145977.40368379</v>
      </c>
      <c r="JV48">
        <v>2234086.10243261</v>
      </c>
      <c r="JW48">
        <v>2575996.58541842</v>
      </c>
      <c r="JX48">
        <v>515141.277441553</v>
      </c>
      <c r="JY48">
        <v>611736.053739624</v>
      </c>
      <c r="JZ48">
        <v>592166.28716172</v>
      </c>
      <c r="KA48">
        <v>543863.817333555</v>
      </c>
      <c r="KB48">
        <v>734423.802293581</v>
      </c>
      <c r="KC48" t="s">
        <v>1900</v>
      </c>
      <c r="KD48" t="s">
        <v>1900</v>
      </c>
      <c r="KE48" t="s">
        <v>1900</v>
      </c>
      <c r="KF48" t="s">
        <v>1900</v>
      </c>
      <c r="KG48" t="s">
        <v>1900</v>
      </c>
      <c r="KH48" t="s">
        <v>1900</v>
      </c>
      <c r="KI48" t="s">
        <v>1900</v>
      </c>
      <c r="KJ48" t="s">
        <v>1900</v>
      </c>
      <c r="KK48" t="s">
        <v>1900</v>
      </c>
      <c r="KL48" t="s">
        <v>1900</v>
      </c>
      <c r="KM48">
        <v>25</v>
      </c>
      <c r="KN48">
        <v>27</v>
      </c>
      <c r="KO48">
        <v>26</v>
      </c>
      <c r="KP48">
        <v>25</v>
      </c>
      <c r="KQ48">
        <v>25</v>
      </c>
      <c r="KR48" t="s">
        <v>1900</v>
      </c>
      <c r="KS48" t="s">
        <v>1900</v>
      </c>
      <c r="KT48" t="s">
        <v>1900</v>
      </c>
      <c r="KU48" t="s">
        <v>1900</v>
      </c>
      <c r="KV48" t="s">
        <v>1900</v>
      </c>
      <c r="KW48" t="s">
        <v>1900</v>
      </c>
      <c r="KX48" t="s">
        <v>1900</v>
      </c>
      <c r="KY48" t="s">
        <v>1900</v>
      </c>
      <c r="KZ48" t="s">
        <v>1900</v>
      </c>
      <c r="LA48" t="s">
        <v>1900</v>
      </c>
      <c r="LB48" t="s">
        <v>1900</v>
      </c>
      <c r="LC48" t="s">
        <v>1900</v>
      </c>
      <c r="LD48" t="s">
        <v>1900</v>
      </c>
      <c r="LE48" t="s">
        <v>1900</v>
      </c>
      <c r="LF48" t="s">
        <v>1900</v>
      </c>
      <c r="LG48" t="s">
        <v>1900</v>
      </c>
      <c r="LH48" t="s">
        <v>1900</v>
      </c>
      <c r="LI48" t="s">
        <v>1900</v>
      </c>
      <c r="LJ48" t="s">
        <v>1900</v>
      </c>
      <c r="LK48" t="s">
        <v>1900</v>
      </c>
      <c r="LL48" t="s">
        <v>1900</v>
      </c>
      <c r="LM48" t="s">
        <v>1900</v>
      </c>
      <c r="LN48" t="s">
        <v>1900</v>
      </c>
      <c r="LO48" t="s">
        <v>1900</v>
      </c>
      <c r="LP48" t="s">
        <v>1900</v>
      </c>
      <c r="LQ48" t="s">
        <v>1900</v>
      </c>
      <c r="LR48" t="s">
        <v>1900</v>
      </c>
      <c r="LS48" t="s">
        <v>1900</v>
      </c>
      <c r="LT48" t="s">
        <v>1900</v>
      </c>
      <c r="LU48" t="s">
        <v>1900</v>
      </c>
      <c r="LV48" t="s">
        <v>1900</v>
      </c>
      <c r="LW48" t="s">
        <v>1900</v>
      </c>
      <c r="LX48" t="s">
        <v>1900</v>
      </c>
      <c r="LY48" t="s">
        <v>1900</v>
      </c>
      <c r="LZ48" t="s">
        <v>1900</v>
      </c>
      <c r="MA48" t="s">
        <v>1900</v>
      </c>
      <c r="MB48" t="s">
        <v>1900</v>
      </c>
      <c r="MC48" t="s">
        <v>1900</v>
      </c>
      <c r="MD48" t="s">
        <v>1900</v>
      </c>
      <c r="ME48" t="s">
        <v>1900</v>
      </c>
      <c r="MF48" t="s">
        <v>1900</v>
      </c>
      <c r="MG48" t="s">
        <v>1900</v>
      </c>
      <c r="MH48" t="s">
        <v>1900</v>
      </c>
      <c r="MI48" t="s">
        <v>1900</v>
      </c>
      <c r="MJ48" t="s">
        <v>1900</v>
      </c>
      <c r="MK48" t="s">
        <v>1900</v>
      </c>
      <c r="ML48" t="s">
        <v>1900</v>
      </c>
      <c r="MM48" t="s">
        <v>1900</v>
      </c>
      <c r="MN48" t="s">
        <v>1900</v>
      </c>
      <c r="MO48" t="s">
        <v>1900</v>
      </c>
      <c r="MP48">
        <v>1622602.86887657</v>
      </c>
      <c r="MQ48">
        <v>1597812.80502875</v>
      </c>
      <c r="MR48">
        <v>1473723.65939507</v>
      </c>
      <c r="MS48">
        <v>1579480.93091633</v>
      </c>
      <c r="MT48">
        <v>1677851.08398398</v>
      </c>
      <c r="MU48" t="s">
        <v>1900</v>
      </c>
      <c r="MV48" t="s">
        <v>1900</v>
      </c>
      <c r="MW48" t="s">
        <v>1900</v>
      </c>
      <c r="MX48" t="s">
        <v>1900</v>
      </c>
      <c r="MY48" t="s">
        <v>1900</v>
      </c>
      <c r="MZ48" t="s">
        <v>1900</v>
      </c>
      <c r="NA48" t="s">
        <v>1900</v>
      </c>
      <c r="NB48" t="s">
        <v>1900</v>
      </c>
      <c r="NC48" t="s">
        <v>1900</v>
      </c>
      <c r="ND48" t="s">
        <v>1900</v>
      </c>
      <c r="NE48" t="s">
        <v>1900</v>
      </c>
      <c r="NF48" t="s">
        <v>1900</v>
      </c>
      <c r="NG48" t="s">
        <v>1900</v>
      </c>
      <c r="NH48" t="s">
        <v>1900</v>
      </c>
      <c r="NI48" t="s">
        <v>1900</v>
      </c>
      <c r="NJ48" t="s">
        <v>1900</v>
      </c>
      <c r="NK48" t="s">
        <v>1900</v>
      </c>
      <c r="NL48" t="s">
        <v>1900</v>
      </c>
      <c r="NM48" t="s">
        <v>1900</v>
      </c>
      <c r="NN48" t="s">
        <v>1900</v>
      </c>
      <c r="NO48" t="s">
        <v>1900</v>
      </c>
      <c r="NP48" t="s">
        <v>1900</v>
      </c>
      <c r="NQ48" t="s">
        <v>1900</v>
      </c>
      <c r="NR48" t="s">
        <v>1900</v>
      </c>
      <c r="NS48" t="s">
        <v>1900</v>
      </c>
      <c r="NT48">
        <v>88341.8874509454</v>
      </c>
      <c r="NU48">
        <v>86649.01168701171</v>
      </c>
      <c r="NV48">
        <v>78432.9906647921</v>
      </c>
      <c r="NW48">
        <v>91583.2047878981</v>
      </c>
      <c r="NX48">
        <v>142405.560874558</v>
      </c>
      <c r="NY48" t="s">
        <v>1900</v>
      </c>
      <c r="NZ48" t="s">
        <v>1900</v>
      </c>
      <c r="OA48" t="s">
        <v>1900</v>
      </c>
      <c r="OB48" t="s">
        <v>1900</v>
      </c>
      <c r="OC48" t="s">
        <v>1900</v>
      </c>
      <c r="OD48" t="s">
        <v>1900</v>
      </c>
      <c r="OE48" t="s">
        <v>1900</v>
      </c>
      <c r="OF48" t="s">
        <v>1900</v>
      </c>
      <c r="OG48" t="s">
        <v>1900</v>
      </c>
      <c r="OH48" t="s">
        <v>1900</v>
      </c>
      <c r="OI48" t="s">
        <v>1900</v>
      </c>
      <c r="OJ48" t="s">
        <v>1900</v>
      </c>
      <c r="OK48" t="s">
        <v>1900</v>
      </c>
      <c r="OL48" t="s">
        <v>1900</v>
      </c>
      <c r="OM48" t="s">
        <v>1900</v>
      </c>
      <c r="ON48" t="s">
        <v>1900</v>
      </c>
      <c r="OO48" t="s">
        <v>1900</v>
      </c>
      <c r="OP48" t="s">
        <v>1900</v>
      </c>
      <c r="OQ48" t="s">
        <v>1900</v>
      </c>
      <c r="OR48" t="s">
        <v>1900</v>
      </c>
      <c r="OS48" t="s">
        <v>1900</v>
      </c>
      <c r="OT48" t="s">
        <v>1900</v>
      </c>
      <c r="OU48" t="s">
        <v>1900</v>
      </c>
      <c r="OV48" t="s">
        <v>1900</v>
      </c>
      <c r="OW48" t="s">
        <v>1900</v>
      </c>
      <c r="OX48" t="s">
        <v>1900</v>
      </c>
      <c r="OY48" t="s">
        <v>1900</v>
      </c>
      <c r="OZ48" t="s">
        <v>1900</v>
      </c>
      <c r="PA48" t="s">
        <v>1900</v>
      </c>
      <c r="PB48" t="s">
        <v>1900</v>
      </c>
      <c r="PC48" t="s">
        <v>1900</v>
      </c>
      <c r="PD48" t="s">
        <v>1900</v>
      </c>
      <c r="PE48" t="s">
        <v>1900</v>
      </c>
      <c r="PF48" t="s">
        <v>1900</v>
      </c>
      <c r="PG48" t="s">
        <v>1900</v>
      </c>
      <c r="PH48" t="s">
        <v>1900</v>
      </c>
      <c r="PI48" t="s">
        <v>1900</v>
      </c>
      <c r="PJ48" t="s">
        <v>1900</v>
      </c>
      <c r="PK48" t="s">
        <v>1900</v>
      </c>
      <c r="PL48" t="s">
        <v>1900</v>
      </c>
      <c r="PM48" t="s">
        <v>1900</v>
      </c>
      <c r="PN48" t="s">
        <v>1900</v>
      </c>
      <c r="PO48" t="s">
        <v>1900</v>
      </c>
      <c r="PP48" t="s">
        <v>1900</v>
      </c>
      <c r="PQ48" t="s">
        <v>1900</v>
      </c>
      <c r="PR48" t="s">
        <v>1900</v>
      </c>
      <c r="PS48" t="s">
        <v>1900</v>
      </c>
      <c r="PT48" t="s">
        <v>1900</v>
      </c>
      <c r="PU48" t="s">
        <v>1900</v>
      </c>
      <c r="PV48" t="s">
        <v>1900</v>
      </c>
      <c r="PW48" t="s">
        <v>1900</v>
      </c>
      <c r="PX48" t="s">
        <v>1900</v>
      </c>
      <c r="PY48" t="s">
        <v>1900</v>
      </c>
      <c r="PZ48" t="s">
        <v>1900</v>
      </c>
      <c r="QA48" t="s">
        <v>1900</v>
      </c>
      <c r="QB48" t="s">
        <v>1900</v>
      </c>
      <c r="QC48" t="s">
        <v>1900</v>
      </c>
      <c r="QD48" t="s">
        <v>1900</v>
      </c>
      <c r="QE48" t="s">
        <v>1900</v>
      </c>
      <c r="QF48" t="s">
        <v>1900</v>
      </c>
      <c r="QG48" t="s">
        <v>1900</v>
      </c>
      <c r="QH48" t="s">
        <v>1900</v>
      </c>
      <c r="QI48" t="s">
        <v>1900</v>
      </c>
      <c r="QJ48" t="s">
        <v>1900</v>
      </c>
      <c r="QK48" t="s">
        <v>1900</v>
      </c>
      <c r="QL48" t="s">
        <v>1900</v>
      </c>
      <c r="QM48" t="s">
        <v>1900</v>
      </c>
      <c r="QN48" t="s">
        <v>1900</v>
      </c>
      <c r="QO48" t="s">
        <v>1900</v>
      </c>
      <c r="QP48" t="s">
        <v>1900</v>
      </c>
      <c r="QQ48" t="s">
        <v>1900</v>
      </c>
      <c r="QR48" t="s">
        <v>1900</v>
      </c>
      <c r="QS48" t="s">
        <v>1900</v>
      </c>
      <c r="QT48" t="s">
        <v>1900</v>
      </c>
      <c r="QU48" t="s">
        <v>1900</v>
      </c>
      <c r="QV48" t="s">
        <v>1900</v>
      </c>
      <c r="QW48" t="s">
        <v>1900</v>
      </c>
      <c r="QX48" t="s">
        <v>1900</v>
      </c>
      <c r="QY48" t="s">
        <v>1900</v>
      </c>
      <c r="QZ48" t="s">
        <v>1900</v>
      </c>
      <c r="RA48" t="s">
        <v>1900</v>
      </c>
      <c r="RB48" t="s">
        <v>1900</v>
      </c>
      <c r="RC48" t="s">
        <v>1900</v>
      </c>
      <c r="RD48" t="s">
        <v>1900</v>
      </c>
      <c r="RE48" t="s">
        <v>1900</v>
      </c>
      <c r="RF48" t="s">
        <v>1900</v>
      </c>
      <c r="RG48" t="s">
        <v>1900</v>
      </c>
      <c r="RH48" t="s">
        <v>1900</v>
      </c>
      <c r="RI48" t="s">
        <v>1900</v>
      </c>
      <c r="RJ48" t="s">
        <v>1900</v>
      </c>
      <c r="RK48" t="s">
        <v>1900</v>
      </c>
      <c r="RL48" t="s">
        <v>1900</v>
      </c>
      <c r="RM48" t="s">
        <v>1900</v>
      </c>
      <c r="RN48" t="s">
        <v>1900</v>
      </c>
      <c r="RO48" t="s">
        <v>1900</v>
      </c>
      <c r="RP48" t="s">
        <v>1900</v>
      </c>
      <c r="RQ48" t="s">
        <v>1900</v>
      </c>
      <c r="RR48" t="s">
        <v>1900</v>
      </c>
      <c r="RS48" t="s">
        <v>1900</v>
      </c>
      <c r="RT48" t="s">
        <v>1900</v>
      </c>
      <c r="RU48" t="s">
        <v>1900</v>
      </c>
      <c r="RV48" t="s">
        <v>1900</v>
      </c>
      <c r="RW48" t="s">
        <v>1900</v>
      </c>
      <c r="RX48" t="s">
        <v>1900</v>
      </c>
      <c r="RY48" t="s">
        <v>1900</v>
      </c>
      <c r="RZ48" t="s">
        <v>1900</v>
      </c>
      <c r="SA48" t="s">
        <v>1900</v>
      </c>
      <c r="SB48" t="s">
        <v>1900</v>
      </c>
      <c r="SC48" t="s">
        <v>1900</v>
      </c>
      <c r="SD48" t="s">
        <v>1900</v>
      </c>
      <c r="SE48" t="s">
        <v>1900</v>
      </c>
      <c r="SF48" t="s">
        <v>1900</v>
      </c>
      <c r="SG48" t="s">
        <v>1900</v>
      </c>
      <c r="SH48" t="s">
        <v>1900</v>
      </c>
      <c r="SI48" t="s">
        <v>1900</v>
      </c>
      <c r="SJ48">
        <v>25545.7605361044</v>
      </c>
      <c r="SK48">
        <v>27158.7021884918</v>
      </c>
      <c r="SL48">
        <v>26214.882222414</v>
      </c>
      <c r="SM48">
        <v>32530.2390963149</v>
      </c>
      <c r="SN48">
        <v>31537.4336748123</v>
      </c>
      <c r="SO48" t="s">
        <v>1900</v>
      </c>
      <c r="SP48" t="s">
        <v>1900</v>
      </c>
      <c r="SQ48" t="s">
        <v>1900</v>
      </c>
      <c r="SR48" t="s">
        <v>1900</v>
      </c>
      <c r="SS48" t="s">
        <v>1900</v>
      </c>
      <c r="ST48" t="s">
        <v>1900</v>
      </c>
      <c r="SU48" t="s">
        <v>1900</v>
      </c>
      <c r="SV48" t="s">
        <v>1900</v>
      </c>
      <c r="SW48" t="s">
        <v>1900</v>
      </c>
      <c r="SX48" t="s">
        <v>1900</v>
      </c>
      <c r="SY48" t="s">
        <v>1900</v>
      </c>
      <c r="SZ48" t="s">
        <v>1900</v>
      </c>
      <c r="TA48" t="s">
        <v>1900</v>
      </c>
      <c r="TB48" t="s">
        <v>1900</v>
      </c>
      <c r="TC48" t="s">
        <v>1900</v>
      </c>
      <c r="TD48" t="s">
        <v>1900</v>
      </c>
      <c r="TE48" t="s">
        <v>1900</v>
      </c>
      <c r="TF48" t="s">
        <v>1900</v>
      </c>
      <c r="TG48" t="s">
        <v>1900</v>
      </c>
      <c r="TH48" t="s">
        <v>1900</v>
      </c>
      <c r="TI48" t="s">
        <v>1900</v>
      </c>
      <c r="TJ48" t="s">
        <v>1900</v>
      </c>
      <c r="TK48" t="s">
        <v>1900</v>
      </c>
      <c r="TL48" t="s">
        <v>1900</v>
      </c>
      <c r="TM48" t="s">
        <v>1900</v>
      </c>
      <c r="TN48" t="s">
        <v>1900</v>
      </c>
      <c r="TO48" t="s">
        <v>1900</v>
      </c>
      <c r="TP48" t="s">
        <v>1900</v>
      </c>
      <c r="TQ48" t="s">
        <v>1900</v>
      </c>
      <c r="TR48" t="s">
        <v>1900</v>
      </c>
      <c r="TS48">
        <v>2227282.52398132</v>
      </c>
      <c r="TT48">
        <v>2297303.81020172</v>
      </c>
      <c r="TU48">
        <v>2145977.40368379</v>
      </c>
      <c r="TV48">
        <v>2234086.10243261</v>
      </c>
      <c r="TW48">
        <v>2575996.58541842</v>
      </c>
      <c r="TX48" t="s">
        <v>1900</v>
      </c>
      <c r="TY48" t="s">
        <v>1900</v>
      </c>
      <c r="TZ48" t="s">
        <v>1900</v>
      </c>
      <c r="UA48" t="s">
        <v>1900</v>
      </c>
      <c r="UB48" t="s">
        <v>1900</v>
      </c>
      <c r="UC48">
        <v>0</v>
      </c>
      <c r="UD48">
        <v>0</v>
      </c>
      <c r="UE48">
        <v>0</v>
      </c>
      <c r="UF48">
        <v>0</v>
      </c>
      <c r="UG48">
        <v>0</v>
      </c>
      <c r="UH48" t="s">
        <v>1900</v>
      </c>
      <c r="UI48" t="s">
        <v>1900</v>
      </c>
      <c r="UJ48" t="s">
        <v>1900</v>
      </c>
      <c r="UK48" t="s">
        <v>1900</v>
      </c>
      <c r="UL48" t="s">
        <v>1900</v>
      </c>
      <c r="UM48" t="s">
        <v>1900</v>
      </c>
      <c r="UN48" t="s">
        <v>1900</v>
      </c>
      <c r="UO48" t="s">
        <v>1900</v>
      </c>
      <c r="UP48" t="s">
        <v>1900</v>
      </c>
      <c r="UQ48" t="s">
        <v>1900</v>
      </c>
      <c r="UR48" t="s">
        <v>1900</v>
      </c>
      <c r="US48" t="s">
        <v>1900</v>
      </c>
      <c r="UT48" t="s">
        <v>1900</v>
      </c>
      <c r="UU48" t="s">
        <v>1900</v>
      </c>
      <c r="UV48" t="s">
        <v>1900</v>
      </c>
      <c r="UW48" t="s">
        <v>1900</v>
      </c>
      <c r="UX48" t="s">
        <v>1900</v>
      </c>
      <c r="UY48" t="s">
        <v>1900</v>
      </c>
      <c r="UZ48" t="s">
        <v>1900</v>
      </c>
      <c r="VA48" t="s">
        <v>1900</v>
      </c>
      <c r="VB48" t="s">
        <v>1900</v>
      </c>
      <c r="VC48" t="s">
        <v>1900</v>
      </c>
      <c r="VD48" t="s">
        <v>1900</v>
      </c>
      <c r="VE48" t="s">
        <v>1900</v>
      </c>
      <c r="VF48" t="s">
        <v>1900</v>
      </c>
      <c r="VG48" t="s">
        <v>1900</v>
      </c>
      <c r="VH48" t="s">
        <v>1900</v>
      </c>
      <c r="VI48" t="s">
        <v>1900</v>
      </c>
      <c r="VJ48" t="s">
        <v>1900</v>
      </c>
      <c r="VK48" t="s">
        <v>1900</v>
      </c>
      <c r="VL48" t="s">
        <v>1900</v>
      </c>
      <c r="VM48" t="s">
        <v>1900</v>
      </c>
      <c r="VN48" t="s">
        <v>1900</v>
      </c>
      <c r="VO48" t="s">
        <v>1900</v>
      </c>
      <c r="VP48" t="s">
        <v>1900</v>
      </c>
      <c r="VQ48" t="s">
        <v>1900</v>
      </c>
      <c r="VR48" t="s">
        <v>1900</v>
      </c>
      <c r="VS48" t="s">
        <v>1900</v>
      </c>
      <c r="VT48" t="s">
        <v>1900</v>
      </c>
      <c r="VU48" t="s">
        <v>1900</v>
      </c>
      <c r="VV48" t="s">
        <v>1900</v>
      </c>
      <c r="VW48" t="s">
        <v>1900</v>
      </c>
      <c r="VX48" t="s">
        <v>1900</v>
      </c>
      <c r="VY48" t="s">
        <v>1900</v>
      </c>
      <c r="VZ48" t="s">
        <v>1900</v>
      </c>
      <c r="WA48">
        <v>235118.341819143</v>
      </c>
      <c r="WB48">
        <v>237267.154032583</v>
      </c>
      <c r="WC48">
        <v>217488.061791837</v>
      </c>
      <c r="WD48">
        <v>191230.523764944</v>
      </c>
      <c r="WE48">
        <v>351014.000193912</v>
      </c>
      <c r="WF48" t="s">
        <v>1900</v>
      </c>
      <c r="WG48" t="s">
        <v>1900</v>
      </c>
      <c r="WH48" t="s">
        <v>1900</v>
      </c>
      <c r="WI48" t="s">
        <v>1900</v>
      </c>
      <c r="WJ48" t="s">
        <v>1900</v>
      </c>
      <c r="WK48" t="s">
        <v>1900</v>
      </c>
      <c r="WL48" t="s">
        <v>1900</v>
      </c>
      <c r="WM48" t="s">
        <v>1900</v>
      </c>
      <c r="WN48" t="s">
        <v>1900</v>
      </c>
      <c r="WO48" t="s">
        <v>1900</v>
      </c>
      <c r="WP48" t="s">
        <v>1900</v>
      </c>
      <c r="WQ48" t="s">
        <v>1900</v>
      </c>
      <c r="WR48" t="s">
        <v>1900</v>
      </c>
      <c r="WS48" t="s">
        <v>1900</v>
      </c>
      <c r="WT48" t="s">
        <v>1900</v>
      </c>
      <c r="WU48" t="s">
        <v>1900</v>
      </c>
      <c r="WV48" t="s">
        <v>1900</v>
      </c>
      <c r="WW48" t="s">
        <v>1900</v>
      </c>
      <c r="WX48" t="s">
        <v>1900</v>
      </c>
      <c r="WY48" t="s">
        <v>1900</v>
      </c>
      <c r="WZ48" t="s">
        <v>1900</v>
      </c>
      <c r="XA48" t="s">
        <v>1900</v>
      </c>
      <c r="XB48" t="s">
        <v>1900</v>
      </c>
      <c r="XC48" t="s">
        <v>1900</v>
      </c>
      <c r="XD48" t="s">
        <v>1900</v>
      </c>
      <c r="XE48" t="s">
        <v>1900</v>
      </c>
      <c r="XF48" t="s">
        <v>1900</v>
      </c>
      <c r="XG48" t="s">
        <v>1900</v>
      </c>
      <c r="XH48" t="s">
        <v>1900</v>
      </c>
      <c r="XI48" t="s">
        <v>1900</v>
      </c>
      <c r="XJ48" t="s">
        <v>1900</v>
      </c>
      <c r="XK48" t="s">
        <v>1900</v>
      </c>
      <c r="XL48" t="s">
        <v>1900</v>
      </c>
      <c r="XM48" t="s">
        <v>1900</v>
      </c>
      <c r="XN48" t="s">
        <v>1900</v>
      </c>
      <c r="XO48" t="s">
        <v>1900</v>
      </c>
      <c r="XP48" t="s">
        <v>1900</v>
      </c>
      <c r="XQ48" t="s">
        <v>1900</v>
      </c>
      <c r="XR48" t="s">
        <v>1900</v>
      </c>
      <c r="XS48" t="s">
        <v>1900</v>
      </c>
      <c r="XT48" t="s">
        <v>1900</v>
      </c>
      <c r="XU48" t="s">
        <v>1900</v>
      </c>
      <c r="XV48" t="s">
        <v>1900</v>
      </c>
      <c r="XW48" t="s">
        <v>1900</v>
      </c>
      <c r="XX48" t="s">
        <v>1900</v>
      </c>
      <c r="XY48" t="s">
        <v>1900</v>
      </c>
      <c r="XZ48" t="s">
        <v>1900</v>
      </c>
      <c r="YA48" t="s">
        <v>1900</v>
      </c>
      <c r="YB48" t="s">
        <v>1900</v>
      </c>
      <c r="YC48" t="s">
        <v>1900</v>
      </c>
      <c r="YD48" t="s">
        <v>1900</v>
      </c>
      <c r="YE48" t="s">
        <v>1900</v>
      </c>
      <c r="YF48" t="s">
        <v>1900</v>
      </c>
      <c r="YG48" t="s">
        <v>1900</v>
      </c>
      <c r="YH48" t="s">
        <v>1900</v>
      </c>
      <c r="YI48" t="s">
        <v>1900</v>
      </c>
      <c r="YJ48" t="s">
        <v>1900</v>
      </c>
      <c r="YK48" t="s">
        <v>1900</v>
      </c>
      <c r="YL48" t="s">
        <v>1900</v>
      </c>
      <c r="YM48" t="s">
        <v>1900</v>
      </c>
      <c r="YN48" t="s">
        <v>1900</v>
      </c>
      <c r="YO48" t="s">
        <v>1900</v>
      </c>
      <c r="YP48" t="s">
        <v>1900</v>
      </c>
      <c r="YQ48" t="s">
        <v>1900</v>
      </c>
      <c r="YR48" t="s">
        <v>1900</v>
      </c>
      <c r="YS48" t="s">
        <v>1900</v>
      </c>
      <c r="YT48" t="s">
        <v>1900</v>
      </c>
      <c r="YU48" t="s">
        <v>1900</v>
      </c>
      <c r="YV48" t="s">
        <v>1900</v>
      </c>
      <c r="YW48" t="s">
        <v>1900</v>
      </c>
      <c r="YX48" t="s">
        <v>1900</v>
      </c>
      <c r="YY48" t="s">
        <v>1900</v>
      </c>
      <c r="YZ48" t="s">
        <v>1900</v>
      </c>
      <c r="ZA48" t="s">
        <v>1900</v>
      </c>
      <c r="ZB48" t="s">
        <v>1900</v>
      </c>
      <c r="ZC48" t="s">
        <v>1900</v>
      </c>
      <c r="ZD48" t="s">
        <v>1900</v>
      </c>
      <c r="ZE48" t="s">
        <v>1900</v>
      </c>
      <c r="ZF48" t="s">
        <v>1900</v>
      </c>
      <c r="ZG48" t="s">
        <v>1900</v>
      </c>
      <c r="ZH48" t="s">
        <v>1900</v>
      </c>
      <c r="ZI48" t="s">
        <v>1900</v>
      </c>
      <c r="ZJ48" t="s">
        <v>1900</v>
      </c>
      <c r="ZK48" t="s">
        <v>1900</v>
      </c>
      <c r="ZL48" t="s">
        <v>1900</v>
      </c>
      <c r="ZM48" t="s">
        <v>1900</v>
      </c>
      <c r="ZN48" t="s">
        <v>1900</v>
      </c>
      <c r="ZO48" t="s">
        <v>1900</v>
      </c>
      <c r="ZP48" t="s">
        <v>1900</v>
      </c>
      <c r="ZQ48" t="s">
        <v>1900</v>
      </c>
      <c r="ZR48" t="s">
        <v>1900</v>
      </c>
      <c r="ZS48" t="s">
        <v>1900</v>
      </c>
      <c r="ZT48" t="s">
        <v>1900</v>
      </c>
      <c r="ZU48" t="s">
        <v>1900</v>
      </c>
      <c r="ZV48" t="s">
        <v>1900</v>
      </c>
      <c r="ZW48" t="s">
        <v>1900</v>
      </c>
      <c r="ZX48" t="s">
        <v>1900</v>
      </c>
      <c r="ZY48" t="s">
        <v>1900</v>
      </c>
      <c r="ZZ48" t="s">
        <v>1900</v>
      </c>
      <c r="AAA48" t="s">
        <v>1900</v>
      </c>
      <c r="AAB48" t="s">
        <v>1900</v>
      </c>
      <c r="AAC48" t="s">
        <v>1900</v>
      </c>
      <c r="AAD48" t="s">
        <v>1900</v>
      </c>
      <c r="AAE48" t="s">
        <v>1900</v>
      </c>
      <c r="AAF48" t="s">
        <v>1900</v>
      </c>
      <c r="AAG48" t="s">
        <v>1900</v>
      </c>
      <c r="AAH48" t="s">
        <v>1900</v>
      </c>
      <c r="AAI48" t="s">
        <v>1900</v>
      </c>
      <c r="AAJ48" t="s">
        <v>1900</v>
      </c>
      <c r="AAK48" t="s">
        <v>1900</v>
      </c>
      <c r="AAL48" t="s">
        <v>1900</v>
      </c>
      <c r="AAM48" t="s">
        <v>1900</v>
      </c>
      <c r="AAN48" t="s">
        <v>1900</v>
      </c>
      <c r="AAO48" t="s">
        <v>1900</v>
      </c>
      <c r="AAP48" t="s">
        <v>1900</v>
      </c>
      <c r="AAQ48" t="s">
        <v>1900</v>
      </c>
      <c r="AAR48" t="s">
        <v>1900</v>
      </c>
      <c r="AAS48" t="s">
        <v>1900</v>
      </c>
      <c r="AAT48" t="s">
        <v>1900</v>
      </c>
      <c r="AAU48" t="s">
        <v>1900</v>
      </c>
      <c r="AAV48" t="s">
        <v>1900</v>
      </c>
      <c r="AAW48" t="s">
        <v>1900</v>
      </c>
      <c r="AAX48" t="s">
        <v>1900</v>
      </c>
      <c r="AAY48" t="s">
        <v>1900</v>
      </c>
      <c r="AAZ48" t="s">
        <v>1900</v>
      </c>
      <c r="ABA48" t="s">
        <v>1900</v>
      </c>
      <c r="ABB48" t="s">
        <v>1900</v>
      </c>
      <c r="ABC48" t="s">
        <v>1900</v>
      </c>
      <c r="ABD48" t="s">
        <v>1900</v>
      </c>
      <c r="ABE48" t="s">
        <v>1900</v>
      </c>
      <c r="ABF48" t="s">
        <v>1900</v>
      </c>
      <c r="ABG48" t="s">
        <v>1900</v>
      </c>
      <c r="ABH48" t="s">
        <v>1900</v>
      </c>
      <c r="ABI48" t="s">
        <v>1900</v>
      </c>
      <c r="ABJ48" t="s">
        <v>1900</v>
      </c>
      <c r="ABK48" t="s">
        <v>1900</v>
      </c>
      <c r="ABL48" t="s">
        <v>1900</v>
      </c>
      <c r="ABM48" t="s">
        <v>1900</v>
      </c>
      <c r="ABN48" t="s">
        <v>1900</v>
      </c>
      <c r="ABO48" t="s">
        <v>1900</v>
      </c>
      <c r="ABP48" t="s">
        <v>1900</v>
      </c>
      <c r="ABQ48" t="s">
        <v>1900</v>
      </c>
      <c r="ABR48" t="s">
        <v>1900</v>
      </c>
      <c r="ABS48" t="s">
        <v>1900</v>
      </c>
      <c r="ABT48" t="s">
        <v>1900</v>
      </c>
      <c r="ABU48" t="s">
        <v>1900</v>
      </c>
      <c r="ABV48" t="s">
        <v>1900</v>
      </c>
      <c r="ABW48" t="s">
        <v>1900</v>
      </c>
      <c r="ABX48" t="s">
        <v>1900</v>
      </c>
      <c r="ABY48" t="s">
        <v>1900</v>
      </c>
      <c r="ABZ48" t="s">
        <v>1900</v>
      </c>
      <c r="ACA48" t="s">
        <v>1900</v>
      </c>
      <c r="ACB48" t="s">
        <v>1900</v>
      </c>
      <c r="ACC48" t="s">
        <v>1900</v>
      </c>
      <c r="ACD48" t="s">
        <v>1900</v>
      </c>
      <c r="ACE48">
        <v>4.419</v>
      </c>
      <c r="ACF48">
        <v>4.062</v>
      </c>
      <c r="ACG48">
        <v>1.458</v>
      </c>
      <c r="ACH48">
        <v>-0.676</v>
      </c>
      <c r="ACI48">
        <v>-0.25</v>
      </c>
      <c r="ACJ48" t="s">
        <v>1900</v>
      </c>
      <c r="ACK48" t="s">
        <v>1900</v>
      </c>
      <c r="ACL48" t="s">
        <v>1900</v>
      </c>
      <c r="ACM48" t="s">
        <v>1900</v>
      </c>
      <c r="ACN48" t="s">
        <v>1900</v>
      </c>
      <c r="ACO48">
        <v>3.951</v>
      </c>
      <c r="ACP48">
        <v>3.64</v>
      </c>
      <c r="ACQ48">
        <v>1.309</v>
      </c>
      <c r="ACR48">
        <v>-0.613</v>
      </c>
      <c r="ACS48">
        <v>-0.214</v>
      </c>
      <c r="ACT48">
        <v>3.426</v>
      </c>
      <c r="ACU48">
        <v>3.046</v>
      </c>
      <c r="ACV48">
        <v>1.093</v>
      </c>
      <c r="ACW48">
        <v>-0.507</v>
      </c>
      <c r="ACX48">
        <v>-0.188</v>
      </c>
      <c r="ACY48" t="s">
        <v>1900</v>
      </c>
      <c r="ACZ48" t="s">
        <v>1900</v>
      </c>
      <c r="ADA48" t="s">
        <v>1900</v>
      </c>
      <c r="ADB48" t="s">
        <v>1900</v>
      </c>
      <c r="ADC48" t="s">
        <v>1900</v>
      </c>
      <c r="ADD48">
        <v>3.062</v>
      </c>
      <c r="ADE48">
        <v>2.73</v>
      </c>
      <c r="ADF48">
        <v>0.982</v>
      </c>
      <c r="ADG48">
        <v>-0.459</v>
      </c>
      <c r="ADH48">
        <v>-0.16</v>
      </c>
      <c r="ADI48">
        <v>4.833</v>
      </c>
      <c r="ADJ48">
        <v>4.167</v>
      </c>
      <c r="ADK48">
        <v>1.499</v>
      </c>
      <c r="ADL48">
        <v>-0.725</v>
      </c>
      <c r="ADM48">
        <v>-0.258</v>
      </c>
      <c r="ADN48">
        <v>100</v>
      </c>
      <c r="ADO48" t="s">
        <v>1901</v>
      </c>
      <c r="ADP48">
        <v>99.988</v>
      </c>
      <c r="ADQ48">
        <v>99.861</v>
      </c>
      <c r="ADR48">
        <v>99.53700000000001</v>
      </c>
      <c r="ADS48">
        <v>3.035123912</v>
      </c>
      <c r="ADT48">
        <v>3.045240955</v>
      </c>
      <c r="ADU48">
        <v>1.499173001</v>
      </c>
      <c r="ADV48">
        <v>-0.780589018</v>
      </c>
      <c r="ADW48">
        <v>-1.447368808</v>
      </c>
      <c r="ADX48">
        <v>3.912</v>
      </c>
      <c r="ADY48">
        <v>4.147</v>
      </c>
      <c r="ADZ48">
        <v>2.739</v>
      </c>
      <c r="AEA48">
        <v>1.556</v>
      </c>
      <c r="AEB48">
        <v>0.456</v>
      </c>
      <c r="AEC48">
        <v>3.035</v>
      </c>
      <c r="AED48">
        <v>3.045</v>
      </c>
      <c r="AEE48">
        <v>1.499</v>
      </c>
      <c r="AEF48">
        <v>-0.781</v>
      </c>
      <c r="AEG48">
        <v>-1.447</v>
      </c>
      <c r="AEH48">
        <v>4.623</v>
      </c>
      <c r="AEI48">
        <v>4.227</v>
      </c>
      <c r="AEJ48">
        <v>2.364</v>
      </c>
      <c r="AEK48">
        <v>1.793</v>
      </c>
      <c r="AEL48">
        <v>1.71</v>
      </c>
      <c r="AEM48">
        <v>3.130127149</v>
      </c>
      <c r="AEN48">
        <v>3.14088858</v>
      </c>
      <c r="AEO48">
        <v>1.521990268</v>
      </c>
      <c r="AEP48">
        <v>-0.77454302</v>
      </c>
      <c r="AEQ48">
        <v>-1.426718923</v>
      </c>
      <c r="AER48" t="s">
        <v>1900</v>
      </c>
      <c r="AES48">
        <v>1.031407426</v>
      </c>
      <c r="AET48">
        <v>1.015221811</v>
      </c>
      <c r="AEU48">
        <v>0.992243884</v>
      </c>
      <c r="AEV48">
        <v>0.985667455</v>
      </c>
      <c r="AEW48" t="s">
        <v>1900</v>
      </c>
      <c r="AEX48" t="s">
        <v>1900</v>
      </c>
      <c r="AEY48" t="s">
        <v>1900</v>
      </c>
      <c r="AEZ48" t="s">
        <v>1900</v>
      </c>
      <c r="AFA48" t="s">
        <v>1900</v>
      </c>
      <c r="AFB48" t="s">
        <v>1900</v>
      </c>
      <c r="AFC48" t="s">
        <v>1900</v>
      </c>
      <c r="AFD48" t="s">
        <v>1900</v>
      </c>
      <c r="AFE48" t="s">
        <v>1900</v>
      </c>
      <c r="AFF48" t="s">
        <v>1900</v>
      </c>
      <c r="AFG48">
        <v>0.914</v>
      </c>
      <c r="AFH48">
        <v>0.975</v>
      </c>
      <c r="AFI48">
        <v>0.972</v>
      </c>
      <c r="AFJ48">
        <v>0.9330000000000001</v>
      </c>
      <c r="AFK48">
        <v>0.969</v>
      </c>
      <c r="AFL48" t="s">
        <v>1900</v>
      </c>
      <c r="AFM48" t="s">
        <v>1900</v>
      </c>
      <c r="AFN48" t="s">
        <v>1900</v>
      </c>
      <c r="AFO48" t="s">
        <v>1900</v>
      </c>
      <c r="AFP48" t="s">
        <v>1900</v>
      </c>
      <c r="AFQ48" t="s">
        <v>1901</v>
      </c>
      <c r="AFR48" t="s">
        <v>1901</v>
      </c>
      <c r="AFS48" t="s">
        <v>1901</v>
      </c>
      <c r="AFT48" t="s">
        <v>1901</v>
      </c>
      <c r="AFU48" t="s">
        <v>1901</v>
      </c>
      <c r="AFV48">
        <v>101.889</v>
      </c>
      <c r="AFW48">
        <v>109.937</v>
      </c>
      <c r="AFX48">
        <v>114.102</v>
      </c>
      <c r="AFY48">
        <v>107.346</v>
      </c>
      <c r="AFZ48">
        <v>127.396</v>
      </c>
      <c r="AGA48">
        <v>0.237</v>
      </c>
      <c r="AGB48">
        <v>0.198</v>
      </c>
      <c r="AGC48">
        <v>0.318</v>
      </c>
      <c r="AGD48">
        <v>3.653</v>
      </c>
      <c r="AGE48">
        <v>3.593</v>
      </c>
      <c r="AGF48" t="s">
        <v>1900</v>
      </c>
      <c r="AGG48" t="s">
        <v>1900</v>
      </c>
      <c r="AGH48" t="s">
        <v>1900</v>
      </c>
      <c r="AGI48" t="s">
        <v>1900</v>
      </c>
      <c r="AGJ48" t="s">
        <v>1900</v>
      </c>
      <c r="AGK48" t="s">
        <v>1900</v>
      </c>
      <c r="AGL48" t="s">
        <v>1900</v>
      </c>
      <c r="AGM48" t="s">
        <v>1900</v>
      </c>
      <c r="AGN48" t="s">
        <v>1900</v>
      </c>
      <c r="AGO48" t="s">
        <v>1900</v>
      </c>
      <c r="AGP48" t="s">
        <v>1900</v>
      </c>
      <c r="AGQ48" t="s">
        <v>1900</v>
      </c>
      <c r="AGR48" t="s">
        <v>1900</v>
      </c>
      <c r="AGS48" t="s">
        <v>1900</v>
      </c>
      <c r="AGT48" t="s">
        <v>1900</v>
      </c>
      <c r="AGU48">
        <v>0</v>
      </c>
      <c r="AGV48">
        <v>0</v>
      </c>
      <c r="AGW48">
        <v>0</v>
      </c>
      <c r="AGX48">
        <v>0</v>
      </c>
      <c r="AGY48">
        <v>0</v>
      </c>
      <c r="AGZ48">
        <v>9.051</v>
      </c>
      <c r="AHA48">
        <v>9.273999999999999</v>
      </c>
      <c r="AHB48">
        <v>9.435</v>
      </c>
      <c r="AHC48">
        <v>10.184</v>
      </c>
      <c r="AHD48">
        <v>6.536</v>
      </c>
      <c r="AHE48">
        <v>9.047000000000001</v>
      </c>
      <c r="AHF48">
        <v>9.273999999999999</v>
      </c>
      <c r="AHG48">
        <v>9.435</v>
      </c>
      <c r="AHH48">
        <v>10.184</v>
      </c>
      <c r="AHI48">
        <v>6.536</v>
      </c>
      <c r="AHJ48" t="s">
        <v>1901</v>
      </c>
      <c r="AHK48" t="s">
        <v>1901</v>
      </c>
      <c r="AHL48" t="s">
        <v>1901</v>
      </c>
      <c r="AHM48" t="s">
        <v>1901</v>
      </c>
      <c r="AHN48" t="s">
        <v>1901</v>
      </c>
      <c r="AHO48">
        <v>89.39</v>
      </c>
      <c r="AHP48">
        <v>89.624</v>
      </c>
      <c r="AHQ48">
        <v>89.788</v>
      </c>
      <c r="AHR48">
        <v>90.583</v>
      </c>
      <c r="AHS48">
        <v>85.54600000000001</v>
      </c>
      <c r="AHT48" t="s">
        <v>1901</v>
      </c>
      <c r="AHU48" t="s">
        <v>1901</v>
      </c>
      <c r="AHV48" t="s">
        <v>1901</v>
      </c>
      <c r="AHW48" t="s">
        <v>1901</v>
      </c>
      <c r="AHX48" t="s">
        <v>1901</v>
      </c>
      <c r="AHY48">
        <v>0</v>
      </c>
      <c r="AHZ48">
        <v>0</v>
      </c>
      <c r="AIA48">
        <v>0</v>
      </c>
      <c r="AIB48">
        <v>0</v>
      </c>
      <c r="AIC48">
        <v>0</v>
      </c>
      <c r="AID48">
        <v>1.146947469</v>
      </c>
      <c r="AIE48">
        <v>1.182198979</v>
      </c>
      <c r="AIF48">
        <v>1.221582398</v>
      </c>
      <c r="AIG48">
        <v>1.45608708</v>
      </c>
      <c r="AIH48">
        <v>1.22428088</v>
      </c>
      <c r="AII48">
        <v>72.85123694000001</v>
      </c>
      <c r="AIJ48">
        <v>69.551654332</v>
      </c>
      <c r="AIK48">
        <v>68.673773399</v>
      </c>
      <c r="AIL48">
        <v>70.69919683000001</v>
      </c>
      <c r="AIM48">
        <v>65.134056989</v>
      </c>
      <c r="AIN48">
        <v>10.556287282</v>
      </c>
      <c r="AIO48">
        <v>10.328070366</v>
      </c>
      <c r="AIP48">
        <v>10.134685548</v>
      </c>
      <c r="AIQ48">
        <v>8.559675635</v>
      </c>
      <c r="AIR48">
        <v>13.626337946</v>
      </c>
      <c r="AIS48" t="s">
        <v>1900</v>
      </c>
      <c r="AIT48">
        <v>0</v>
      </c>
      <c r="AIU48">
        <v>0</v>
      </c>
      <c r="AIV48">
        <v>0</v>
      </c>
      <c r="AIW48">
        <v>0</v>
      </c>
      <c r="AIX48">
        <v>3.51958594246411</v>
      </c>
      <c r="AIY48">
        <v>3.0974611451025</v>
      </c>
      <c r="AIZ48">
        <v>1.08029782548606</v>
      </c>
      <c r="AJA48">
        <v>-0.5474412260127069</v>
      </c>
      <c r="AJB48">
        <v>-0.220445934944153</v>
      </c>
      <c r="AJC48">
        <v>72.8243977030602</v>
      </c>
      <c r="AJD48">
        <v>74.3262516867084</v>
      </c>
      <c r="AJE48">
        <v>72.0595616870868</v>
      </c>
      <c r="AJF48">
        <v>75.52724990042211</v>
      </c>
      <c r="AJG48">
        <v>85.4236869836527</v>
      </c>
      <c r="AJH48">
        <v>68.345</v>
      </c>
      <c r="AJI48">
        <v>63.987</v>
      </c>
      <c r="AJJ48">
        <v>61.56</v>
      </c>
      <c r="AJK48">
        <v>65.599</v>
      </c>
      <c r="AJL48">
        <v>63.478</v>
      </c>
      <c r="AJM48">
        <v>49.7718038687035</v>
      </c>
      <c r="AJN48">
        <v>47.5588014438057</v>
      </c>
      <c r="AJO48">
        <v>44.3596913947523</v>
      </c>
      <c r="AJP48">
        <v>49.5449152268529</v>
      </c>
      <c r="AJQ48">
        <v>54.2252713948899</v>
      </c>
      <c r="AJR48">
        <v>79.6387080935566</v>
      </c>
      <c r="AJS48">
        <v>76.2566930780668</v>
      </c>
      <c r="AJT48">
        <v>74.1090336703747</v>
      </c>
      <c r="AJU48">
        <v>80.94789762395381</v>
      </c>
      <c r="AJV48">
        <v>88.14665836916809</v>
      </c>
      <c r="AJW48">
        <v>20.6056508898822</v>
      </c>
      <c r="AJX48">
        <v>22.656890388134</v>
      </c>
      <c r="AJY48">
        <v>22.7756268395275</v>
      </c>
      <c r="AJZ48">
        <v>21.7545529198623</v>
      </c>
      <c r="AKA48">
        <v>29.3769523371631</v>
      </c>
      <c r="AKB48">
        <v>89.0913007514731</v>
      </c>
      <c r="AKC48">
        <v>85.0853265902491</v>
      </c>
      <c r="AKD48">
        <v>82.5375929416531</v>
      </c>
      <c r="AKE48">
        <v>89.3634440973044</v>
      </c>
      <c r="AKF48">
        <v>103.039863171317</v>
      </c>
      <c r="AKG48" t="s">
        <v>1900</v>
      </c>
      <c r="AKH48">
        <v>0</v>
      </c>
      <c r="AKI48">
        <v>0</v>
      </c>
      <c r="AKJ48">
        <v>0</v>
      </c>
      <c r="AKK48">
        <v>0</v>
      </c>
      <c r="AKL48">
        <v>0.058204534</v>
      </c>
      <c r="AKM48">
        <v>0</v>
      </c>
      <c r="AKN48">
        <v>0</v>
      </c>
      <c r="AKO48">
        <v>0</v>
      </c>
      <c r="AKP48">
        <v>0</v>
      </c>
      <c r="AKQ48">
        <v>0.047577149</v>
      </c>
      <c r="AKR48">
        <v>0</v>
      </c>
      <c r="AKS48">
        <v>0</v>
      </c>
      <c r="AKT48">
        <v>0</v>
      </c>
      <c r="AKU48">
        <v>0</v>
      </c>
      <c r="AKV48">
        <v>2.80564569</v>
      </c>
      <c r="AKW48">
        <v>2.09745499</v>
      </c>
      <c r="AKX48">
        <v>1.491560975</v>
      </c>
      <c r="AKY48">
        <v>1.156978714</v>
      </c>
      <c r="AKZ48">
        <v>3.081812911</v>
      </c>
      <c r="ALA48">
        <v>2.293371589</v>
      </c>
      <c r="ALB48">
        <v>1.832230929</v>
      </c>
      <c r="ALC48">
        <v>1.30220942</v>
      </c>
      <c r="ALD48">
        <v>0.9778430299999999</v>
      </c>
      <c r="ALE48">
        <v>2.554931785</v>
      </c>
      <c r="ALF48">
        <v>0.643535003</v>
      </c>
      <c r="ALG48">
        <v>0.866968428</v>
      </c>
      <c r="ALH48">
        <v>1.29556225</v>
      </c>
      <c r="ALI48">
        <v>1.970526356</v>
      </c>
      <c r="ALJ48">
        <v>2.109633668</v>
      </c>
      <c r="ALK48">
        <v>0.526033953</v>
      </c>
      <c r="ALL48">
        <v>0.757339908</v>
      </c>
      <c r="ALM48">
        <v>1.131092456</v>
      </c>
      <c r="ALN48">
        <v>1.665428619</v>
      </c>
      <c r="ALO48">
        <v>1.748960845</v>
      </c>
      <c r="ALP48">
        <v>28.302497735</v>
      </c>
      <c r="ALQ48">
        <v>30.538135915</v>
      </c>
      <c r="ALR48">
        <v>31.694974466</v>
      </c>
      <c r="ALS48">
        <v>29.818216044</v>
      </c>
      <c r="ALT48">
        <v>35.38783984</v>
      </c>
      <c r="ALU48">
        <v>0.232202811</v>
      </c>
      <c r="ALV48">
        <v>0.18046083</v>
      </c>
      <c r="ALW48">
        <v>0.278613782</v>
      </c>
      <c r="ALX48">
        <v>3.402735688</v>
      </c>
      <c r="ALY48">
        <v>2.820565266</v>
      </c>
      <c r="ALZ48">
        <v>100</v>
      </c>
      <c r="AMA48" t="s">
        <v>1901</v>
      </c>
      <c r="AMB48">
        <v>99.98765201886221</v>
      </c>
      <c r="AMC48">
        <v>99.86114681463781</v>
      </c>
      <c r="AMD48">
        <v>99.53740439438759</v>
      </c>
      <c r="AME48" t="s">
        <v>1901</v>
      </c>
      <c r="AMF48" t="s">
        <v>1901</v>
      </c>
      <c r="AMG48" t="s">
        <v>1901</v>
      </c>
      <c r="AMH48">
        <v>99.86960300769159</v>
      </c>
      <c r="AMI48">
        <v>99.568303121361</v>
      </c>
      <c r="AMJ48" t="s">
        <v>1900</v>
      </c>
      <c r="AMK48" t="s">
        <v>1901</v>
      </c>
      <c r="AML48">
        <v>809748.985707699</v>
      </c>
      <c r="AMM48">
        <v>71918.5134673953</v>
      </c>
      <c r="AMN48">
        <v>21517.153035343</v>
      </c>
      <c r="AMO48">
        <v>1.0313012702777</v>
      </c>
      <c r="AMP48">
        <v>1.03140742638768</v>
      </c>
      <c r="AMQ48">
        <v>1.01522181087753</v>
      </c>
      <c r="AMR48">
        <v>0.9922438830070039</v>
      </c>
      <c r="AMS48">
        <v>0.985667454981109</v>
      </c>
      <c r="AMT48">
        <v>1.03130127145469</v>
      </c>
      <c r="AMU48">
        <v>1.03140742638768</v>
      </c>
      <c r="AMV48">
        <v>1.01522181087753</v>
      </c>
      <c r="AMW48">
        <v>0.992243883603016</v>
      </c>
      <c r="AMX48">
        <v>0.985667454981109</v>
      </c>
      <c r="AMY48" t="s">
        <v>1900</v>
      </c>
      <c r="AMZ48">
        <v>1.03140742638768</v>
      </c>
      <c r="ANA48">
        <v>1.01522181087753</v>
      </c>
      <c r="ANB48">
        <v>0.992243883598393</v>
      </c>
      <c r="ANC48">
        <v>0.985667454981109</v>
      </c>
      <c r="AND48">
        <v>3.03512391158606</v>
      </c>
      <c r="ANE48">
        <v>3.04524095499134</v>
      </c>
      <c r="ANF48">
        <v>1.49917300122179</v>
      </c>
      <c r="ANG48">
        <v>-0.780589017977553</v>
      </c>
      <c r="ANH48">
        <v>-1.4473688081478</v>
      </c>
      <c r="ANI48">
        <v>3.03602445544063</v>
      </c>
      <c r="ANJ48">
        <v>3.06317987460398</v>
      </c>
      <c r="ANK48">
        <v>1.4996941829845</v>
      </c>
      <c r="ANL48">
        <v>-0.780655117873682</v>
      </c>
      <c r="ANM48">
        <v>-1.44781810511214</v>
      </c>
      <c r="ANN48">
        <v>3.13012714915305</v>
      </c>
      <c r="ANO48">
        <v>3.14088858039209</v>
      </c>
      <c r="ANP48">
        <v>1.52199026840697</v>
      </c>
      <c r="ANQ48">
        <v>-0.774543020222187</v>
      </c>
      <c r="ANR48">
        <v>-1.42671892346956</v>
      </c>
      <c r="ANS48">
        <v>2.77542263390469</v>
      </c>
      <c r="ANT48">
        <v>2.96815052779262</v>
      </c>
      <c r="ANU48">
        <v>1.45771364676889</v>
      </c>
      <c r="ANV48">
        <v>-0.7283171547262151</v>
      </c>
      <c r="ANW48">
        <v>-1.40265760890217</v>
      </c>
      <c r="ANX48" t="s">
        <v>1900</v>
      </c>
      <c r="ANY48">
        <v>100.004505219499</v>
      </c>
      <c r="ANZ48">
        <v>99.98765201886221</v>
      </c>
      <c r="AOA48">
        <v>99.86114681463781</v>
      </c>
      <c r="AOB48">
        <v>99.53740439438759</v>
      </c>
      <c r="AOC48">
        <v>103.130127149153</v>
      </c>
      <c r="AOD48">
        <v>103.145535303816</v>
      </c>
      <c r="AOE48">
        <v>101.509454352198</v>
      </c>
      <c r="AOF48">
        <v>99.0876792720712</v>
      </c>
      <c r="AOG48">
        <v>98.11728540996251</v>
      </c>
      <c r="AOH48">
        <v>81.74131172336919</v>
      </c>
      <c r="AOI48">
        <v>87.3588936957135</v>
      </c>
      <c r="AOJ48">
        <v>87.2943611437433</v>
      </c>
      <c r="AOK48">
        <v>84.3995876358171</v>
      </c>
      <c r="AOL48">
        <v>82.5200249556887</v>
      </c>
      <c r="AOM48" t="s">
        <v>1900</v>
      </c>
      <c r="AON48" t="s">
        <v>1901</v>
      </c>
      <c r="AOO48">
        <v>12141.0373443983</v>
      </c>
      <c r="AOP48">
        <v>-562.168607037173</v>
      </c>
      <c r="AOQ48">
        <v>-312.879930243131</v>
      </c>
      <c r="AOR48">
        <v>3.13012714546893</v>
      </c>
      <c r="AOS48">
        <v>3.1407426387682</v>
      </c>
      <c r="AOT48">
        <v>1.52218108775268</v>
      </c>
      <c r="AOU48">
        <v>-0.7756116396984331</v>
      </c>
      <c r="AOV48">
        <v>-1.43325450188907</v>
      </c>
      <c r="AOW48">
        <v>2.48095009776008</v>
      </c>
      <c r="AOX48">
        <v>2.66016896219842</v>
      </c>
      <c r="AOY48">
        <v>1.30885511103828</v>
      </c>
      <c r="AOZ48">
        <v>-0.659729968379414</v>
      </c>
      <c r="APA48">
        <v>-1.19991987831236</v>
      </c>
      <c r="APB48">
        <v>3.74619842794713</v>
      </c>
      <c r="APC48">
        <v>3.12553925184052</v>
      </c>
      <c r="APD48">
        <v>1.12437960859291</v>
      </c>
      <c r="APE48">
        <v>-0.54361995304264</v>
      </c>
      <c r="APF48">
        <v>-0.193546318927654</v>
      </c>
      <c r="APG48">
        <v>3.74730995290313</v>
      </c>
      <c r="APH48">
        <v>3.14395119303454</v>
      </c>
      <c r="API48">
        <v>1.12477049486546</v>
      </c>
      <c r="APJ48">
        <v>-0.54366598651429</v>
      </c>
      <c r="APK48">
        <v>-0.193606400209677</v>
      </c>
      <c r="APL48" t="s">
        <v>1900</v>
      </c>
      <c r="APM48" t="s">
        <v>1901</v>
      </c>
      <c r="APN48">
        <v>9105.77685569387</v>
      </c>
      <c r="APO48">
        <v>-391.507009093462</v>
      </c>
      <c r="APP48">
        <v>-41.839203956864</v>
      </c>
      <c r="APQ48">
        <v>3.8634591974542</v>
      </c>
      <c r="APR48">
        <v>3.22355916739833</v>
      </c>
      <c r="APS48">
        <v>1.14163567130681</v>
      </c>
      <c r="APT48">
        <v>-0.5401535935576171</v>
      </c>
      <c r="APU48">
        <v>-0.191658913309115</v>
      </c>
      <c r="APV48">
        <v>3.86345920200145</v>
      </c>
      <c r="APW48">
        <v>3.22370895727725</v>
      </c>
      <c r="APX48">
        <v>1.14149255681564</v>
      </c>
      <c r="APY48">
        <v>-0.539409382639813</v>
      </c>
      <c r="APZ48">
        <v>-0.190784956969835</v>
      </c>
      <c r="AQA48">
        <v>3.06219173476422</v>
      </c>
      <c r="AQB48">
        <v>2.7303135058167</v>
      </c>
      <c r="AQC48">
        <v>0.981641209023032</v>
      </c>
      <c r="AQD48">
        <v>-0.459450960968493</v>
      </c>
      <c r="AQE48">
        <v>-0.160456736491838</v>
      </c>
      <c r="AQF48" t="s">
        <v>1900</v>
      </c>
      <c r="AQG48">
        <v>0.031407426387682</v>
      </c>
      <c r="AQH48">
        <v>0.0152218108775268</v>
      </c>
      <c r="AQI48">
        <v>-0.00775611640160707</v>
      </c>
      <c r="AQJ48">
        <v>-0.0143325450188907</v>
      </c>
      <c r="AQK48">
        <v>5</v>
      </c>
      <c r="AQO48" t="s">
        <v>1902</v>
      </c>
      <c r="AQP48">
        <v>2</v>
      </c>
      <c r="AQQ48">
        <v>0</v>
      </c>
      <c r="AQS48" t="s">
        <v>1905</v>
      </c>
      <c r="AQU48" t="s">
        <v>1906</v>
      </c>
      <c r="AQV48">
        <v>1820609.9508877</v>
      </c>
      <c r="AQW48">
        <v>2006808.78228112</v>
      </c>
      <c r="AQX48">
        <v>1873548.61026385</v>
      </c>
      <c r="AQY48">
        <v>55257.7679561079</v>
      </c>
      <c r="AQZ48">
        <v>61112.1629263878</v>
      </c>
      <c r="ARA48">
        <v>28087.7349298418</v>
      </c>
      <c r="ARB48">
        <v>5700967.34343267</v>
      </c>
      <c r="ARC48">
        <v>144457.6658123375</v>
      </c>
      <c r="ARD48">
        <v>0.02599791491305454</v>
      </c>
      <c r="ARE48">
        <v>0.02599791491305454</v>
      </c>
      <c r="ARF48">
        <v>0.02599791491305454</v>
      </c>
      <c r="ARG48">
        <v>0.02599791491305454</v>
      </c>
      <c r="ARH48">
        <v>0.02599791491305454</v>
      </c>
      <c r="ARI48">
        <v>0.02599791491305454</v>
      </c>
      <c r="ARJ48" t="s">
        <v>1209</v>
      </c>
      <c r="ARK48" t="s">
        <v>1547</v>
      </c>
      <c r="ARL48" t="s">
        <v>1909</v>
      </c>
      <c r="ARP48" t="s">
        <v>1907</v>
      </c>
      <c r="ARQ48" t="s">
        <v>1911</v>
      </c>
    </row>
    <row r="49" spans="1:1163">
      <c r="A49">
        <v>459</v>
      </c>
      <c r="B49" t="s">
        <v>1210</v>
      </c>
      <c r="C49" t="s">
        <v>1333</v>
      </c>
      <c r="E49" s="2">
        <v>31464</v>
      </c>
      <c r="F49" t="s">
        <v>1431</v>
      </c>
      <c r="G49" t="s">
        <v>1433</v>
      </c>
      <c r="H49" t="s">
        <v>1434</v>
      </c>
      <c r="I49" t="s">
        <v>1435</v>
      </c>
      <c r="J49" t="s">
        <v>1475</v>
      </c>
      <c r="L49" t="s">
        <v>1548</v>
      </c>
      <c r="N49" t="s">
        <v>1640</v>
      </c>
      <c r="O49" t="s">
        <v>1664</v>
      </c>
      <c r="P49">
        <v>8299</v>
      </c>
      <c r="Q49">
        <v>8299</v>
      </c>
      <c r="R49" t="s">
        <v>1719</v>
      </c>
      <c r="Z49" t="s">
        <v>1899</v>
      </c>
      <c r="AA49" s="2">
        <v>45657</v>
      </c>
      <c r="AB49">
        <v>2024</v>
      </c>
      <c r="AC49">
        <v>1529953.95326493</v>
      </c>
      <c r="AD49">
        <v>1550077.45765572</v>
      </c>
      <c r="AE49">
        <v>1358893.47316121</v>
      </c>
      <c r="AF49">
        <v>1186968.55400183</v>
      </c>
      <c r="AG49">
        <v>1113785.57559833</v>
      </c>
      <c r="AH49">
        <v>1529742.53720836</v>
      </c>
      <c r="AI49">
        <v>1550077.45765572</v>
      </c>
      <c r="AJ49">
        <v>1358893.47316121</v>
      </c>
      <c r="AK49">
        <v>1153009.23268297</v>
      </c>
      <c r="AL49">
        <v>1113785.57559833</v>
      </c>
      <c r="AM49">
        <v>7815.23607537866</v>
      </c>
      <c r="AN49">
        <v>5717.92451613426</v>
      </c>
      <c r="AO49">
        <v>4199.88480894566</v>
      </c>
      <c r="AP49">
        <v>13052.6409173727</v>
      </c>
      <c r="AQ49">
        <v>2598.49320548177</v>
      </c>
      <c r="AR49">
        <v>1522138.71718956</v>
      </c>
      <c r="AS49">
        <v>1544359.53203458</v>
      </c>
      <c r="AT49">
        <v>1354693.58835227</v>
      </c>
      <c r="AU49">
        <v>1173915.91308446</v>
      </c>
      <c r="AV49">
        <v>1111187.08239285</v>
      </c>
      <c r="AW49">
        <v>1495546.58742485</v>
      </c>
      <c r="AX49">
        <v>1525132.30351064</v>
      </c>
      <c r="AY49">
        <v>1330481.35226241</v>
      </c>
      <c r="AZ49">
        <v>1125161.28671114</v>
      </c>
      <c r="BA49">
        <v>1233292.37142713</v>
      </c>
      <c r="BB49">
        <v>26592.1297647047</v>
      </c>
      <c r="BC49">
        <v>19227.2296289444</v>
      </c>
      <c r="BD49">
        <v>24212.2350232601</v>
      </c>
      <c r="BE49">
        <v>48754.6263733149</v>
      </c>
      <c r="BF49">
        <v>-122105.289034283</v>
      </c>
      <c r="BG49">
        <v>-94.8515280842781</v>
      </c>
      <c r="BH49">
        <v>-68.96197594928741</v>
      </c>
      <c r="BI49">
        <v>-75.2901912766695</v>
      </c>
      <c r="BJ49">
        <v>-498.819827413559</v>
      </c>
      <c r="BK49">
        <v>-276.416388189793</v>
      </c>
      <c r="BL49">
        <v>2.85697373747826</v>
      </c>
      <c r="BM49">
        <v>2.97245133399963</v>
      </c>
      <c r="BN49">
        <v>23.0598809361458</v>
      </c>
      <c r="BO49">
        <v>1.9707245349884</v>
      </c>
      <c r="BP49">
        <v>22.3086652636528</v>
      </c>
      <c r="BQ49">
        <v>97.7085018217564</v>
      </c>
      <c r="BR49">
        <v>71.93442728328711</v>
      </c>
      <c r="BS49">
        <v>98.3511388123035</v>
      </c>
      <c r="BT49">
        <v>500.790551948547</v>
      </c>
      <c r="BU49">
        <v>298.725053453445</v>
      </c>
      <c r="BV49">
        <v>26497.2782366204</v>
      </c>
      <c r="BW49">
        <v>19158.2665479946</v>
      </c>
      <c r="BX49">
        <v>24136.943765384</v>
      </c>
      <c r="BY49">
        <v>48255.8065459013</v>
      </c>
      <c r="BZ49">
        <v>-122381.705422473</v>
      </c>
      <c r="CA49">
        <v>5445.15299673915</v>
      </c>
      <c r="CB49">
        <v>4336.71809626579</v>
      </c>
      <c r="CC49">
        <v>5486.98240941167</v>
      </c>
      <c r="CD49">
        <v>-14267.3660731316</v>
      </c>
      <c r="CE49">
        <v>-2067.14693783522</v>
      </c>
      <c r="CF49">
        <v>21052.1252398813</v>
      </c>
      <c r="CG49">
        <v>14821.5484517288</v>
      </c>
      <c r="CH49">
        <v>18649.9613559723</v>
      </c>
      <c r="CI49">
        <v>62523.1726190329</v>
      </c>
      <c r="CJ49">
        <v>-120314.558484638</v>
      </c>
      <c r="CK49" t="s">
        <v>1900</v>
      </c>
      <c r="CL49" t="s">
        <v>1900</v>
      </c>
      <c r="CM49" t="s">
        <v>1900</v>
      </c>
      <c r="CN49" t="s">
        <v>1900</v>
      </c>
      <c r="CO49" t="s">
        <v>1900</v>
      </c>
      <c r="CP49" t="s">
        <v>1900</v>
      </c>
      <c r="CQ49" t="s">
        <v>1900</v>
      </c>
      <c r="CR49" t="s">
        <v>1900</v>
      </c>
      <c r="CS49" t="s">
        <v>1900</v>
      </c>
      <c r="CT49" t="s">
        <v>1900</v>
      </c>
      <c r="CU49" t="s">
        <v>1900</v>
      </c>
      <c r="CV49" t="s">
        <v>1900</v>
      </c>
      <c r="CW49" t="s">
        <v>1900</v>
      </c>
      <c r="CX49" t="s">
        <v>1900</v>
      </c>
      <c r="CY49" t="s">
        <v>1900</v>
      </c>
      <c r="CZ49">
        <v>21052.1252398813</v>
      </c>
      <c r="DA49">
        <v>14821.5484517288</v>
      </c>
      <c r="DB49">
        <v>18649.9613559723</v>
      </c>
      <c r="DC49">
        <v>62523.1726190329</v>
      </c>
      <c r="DD49">
        <v>-120314.558484638</v>
      </c>
      <c r="DE49" t="s">
        <v>1900</v>
      </c>
      <c r="DF49" t="s">
        <v>1900</v>
      </c>
      <c r="DG49" t="s">
        <v>1900</v>
      </c>
      <c r="DH49" t="s">
        <v>1900</v>
      </c>
      <c r="DI49" t="s">
        <v>1900</v>
      </c>
      <c r="DJ49">
        <v>7815.23607537866</v>
      </c>
      <c r="DK49">
        <v>5717.92451613426</v>
      </c>
      <c r="DL49">
        <v>4199.88480894566</v>
      </c>
      <c r="DM49">
        <v>13052.6409173727</v>
      </c>
      <c r="DN49">
        <v>2598.49320548177</v>
      </c>
      <c r="DO49">
        <v>943316.700263079</v>
      </c>
      <c r="DP49">
        <v>926929.898044748</v>
      </c>
      <c r="DQ49">
        <v>851844.630319166</v>
      </c>
      <c r="DR49">
        <v>735940.3595501659</v>
      </c>
      <c r="DS49">
        <v>800562.06168927</v>
      </c>
      <c r="DT49">
        <v>16418.0411147237</v>
      </c>
      <c r="DU49">
        <v>18867.938717699</v>
      </c>
      <c r="DV49">
        <v>17729.2833437026</v>
      </c>
      <c r="DW49">
        <v>21091.475467658</v>
      </c>
      <c r="DX49">
        <v>19865.8418752968</v>
      </c>
      <c r="DY49">
        <v>535811.8460470469</v>
      </c>
      <c r="DZ49">
        <v>579334.46674819</v>
      </c>
      <c r="EA49">
        <v>460907.43966614</v>
      </c>
      <c r="EB49">
        <v>368129.45169332</v>
      </c>
      <c r="EC49">
        <v>412864.467862564</v>
      </c>
      <c r="ED49">
        <v>97.7085018217564</v>
      </c>
      <c r="EE49">
        <v>71.93442728328711</v>
      </c>
      <c r="EF49">
        <v>98.3511388123035</v>
      </c>
      <c r="EG49">
        <v>500.790551948547</v>
      </c>
      <c r="EH49">
        <v>298.725053453445</v>
      </c>
      <c r="EI49" t="s">
        <v>1900</v>
      </c>
      <c r="EJ49" t="s">
        <v>1900</v>
      </c>
      <c r="EK49" t="s">
        <v>1900</v>
      </c>
      <c r="EL49" t="s">
        <v>1900</v>
      </c>
      <c r="EM49" t="s">
        <v>1900</v>
      </c>
      <c r="EN49">
        <v>37470.166354605</v>
      </c>
      <c r="EO49">
        <v>33689.4871694279</v>
      </c>
      <c r="EP49">
        <v>36379.2446996748</v>
      </c>
      <c r="EQ49">
        <v>83614.6480866909</v>
      </c>
      <c r="ER49">
        <v>-100448.716609341</v>
      </c>
      <c r="ES49">
        <v>986329.728116245</v>
      </c>
      <c r="ET49">
        <v>965028.037737725</v>
      </c>
      <c r="EU49">
        <v>893809.208567065</v>
      </c>
      <c r="EV49">
        <v>805788.432115674</v>
      </c>
      <c r="EW49">
        <v>698344.923195547</v>
      </c>
      <c r="EX49">
        <v>43010.1708794284</v>
      </c>
      <c r="EY49">
        <v>38095.1683466434</v>
      </c>
      <c r="EZ49">
        <v>41941.5183669627</v>
      </c>
      <c r="FA49">
        <v>69846.1007083726</v>
      </c>
      <c r="FB49">
        <v>-102239.445931887</v>
      </c>
      <c r="FC49">
        <v>52771.7956336808</v>
      </c>
      <c r="FD49">
        <v>73172.43558388999</v>
      </c>
      <c r="FE49">
        <v>73511.2953181624</v>
      </c>
      <c r="FF49">
        <v>59597.994478941</v>
      </c>
      <c r="FG49">
        <v>68067.86077305079</v>
      </c>
      <c r="FH49">
        <v>32589.1877535522</v>
      </c>
      <c r="FI49">
        <v>45917.1464070511</v>
      </c>
      <c r="FJ49">
        <v>38897.8913992584</v>
      </c>
      <c r="FK49">
        <v>12140.3879997253</v>
      </c>
      <c r="FL49">
        <v>24457.6597247601</v>
      </c>
      <c r="FM49">
        <v>16588.0154686105</v>
      </c>
      <c r="FN49">
        <v>19533.5468164158</v>
      </c>
      <c r="FO49">
        <v>22973.9983453512</v>
      </c>
      <c r="FP49">
        <v>29271.4433422565</v>
      </c>
      <c r="FQ49">
        <v>39364.43747226</v>
      </c>
      <c r="FR49">
        <v>3594.5924115181</v>
      </c>
      <c r="FS49">
        <v>7721.74346542358</v>
      </c>
      <c r="FT49">
        <v>11639.4055735528</v>
      </c>
      <c r="FU49">
        <v>18186.1631369591</v>
      </c>
      <c r="FV49">
        <v>4245.76357603073</v>
      </c>
      <c r="FW49">
        <v>32589.1877535522</v>
      </c>
      <c r="FX49">
        <v>45917.1464070511</v>
      </c>
      <c r="FY49">
        <v>38897.8913992584</v>
      </c>
      <c r="FZ49">
        <v>12140.3879997253</v>
      </c>
      <c r="GA49">
        <v>24457.6597247601</v>
      </c>
      <c r="GB49">
        <v>16588.0154686105</v>
      </c>
      <c r="GC49">
        <v>19533.5468164158</v>
      </c>
      <c r="GD49">
        <v>22973.9983453512</v>
      </c>
      <c r="GE49">
        <v>29271.4433422565</v>
      </c>
      <c r="GF49">
        <v>39364.43747226</v>
      </c>
      <c r="GG49">
        <v>3594.5924115181</v>
      </c>
      <c r="GH49">
        <v>7721.74346542358</v>
      </c>
      <c r="GI49">
        <v>11639.4055735528</v>
      </c>
      <c r="GJ49">
        <v>18186.1631369591</v>
      </c>
      <c r="GK49">
        <v>4245.76357603073</v>
      </c>
      <c r="GL49">
        <v>530507.204213215</v>
      </c>
      <c r="GM49">
        <v>528067.4935902019</v>
      </c>
      <c r="GN49">
        <v>456492.208420515</v>
      </c>
      <c r="GO49">
        <v>413798.727591062</v>
      </c>
      <c r="GP49">
        <v>305853.322367811</v>
      </c>
      <c r="GQ49">
        <v>657.353295509815</v>
      </c>
      <c r="GR49">
        <v>1641.53348670006</v>
      </c>
      <c r="GS49">
        <v>693.289667367935</v>
      </c>
      <c r="GT49">
        <v>736.19019985199</v>
      </c>
      <c r="GU49">
        <v>797.614544630051</v>
      </c>
      <c r="GV49">
        <v>98606.59930787919</v>
      </c>
      <c r="GW49">
        <v>386431.955525913</v>
      </c>
      <c r="GX49">
        <v>350403.316960692</v>
      </c>
      <c r="GY49">
        <v>286936.744778109</v>
      </c>
      <c r="GZ49">
        <v>255000.98986116</v>
      </c>
      <c r="HA49">
        <v>431243.251609826</v>
      </c>
      <c r="HB49">
        <v>139994.004577589</v>
      </c>
      <c r="HC49">
        <v>105395.600725855</v>
      </c>
      <c r="HD49">
        <v>126125.792613101</v>
      </c>
      <c r="HE49">
        <v>50054.7179620206</v>
      </c>
      <c r="HF49">
        <v>410017.952205472</v>
      </c>
      <c r="HG49">
        <v>118704.910323305</v>
      </c>
      <c r="HH49">
        <v>91391.47049146891</v>
      </c>
      <c r="HI49">
        <v>126125.792613101</v>
      </c>
      <c r="HJ49">
        <v>50054.7179620206</v>
      </c>
      <c r="HK49">
        <v>583278.999846896</v>
      </c>
      <c r="HL49">
        <v>601239.930279093</v>
      </c>
      <c r="HM49">
        <v>530003.503738677</v>
      </c>
      <c r="HN49">
        <v>473396.722070003</v>
      </c>
      <c r="HO49">
        <v>373921.183140862</v>
      </c>
      <c r="HP49">
        <v>277324.633011813</v>
      </c>
      <c r="HQ49">
        <v>272578.085779695</v>
      </c>
      <c r="HR49">
        <v>248798.975047237</v>
      </c>
      <c r="HS49">
        <v>244390.557598186</v>
      </c>
      <c r="HT49">
        <v>192124.875785065</v>
      </c>
      <c r="HU49">
        <v>106146.838674781</v>
      </c>
      <c r="HV49">
        <v>112900.530568371</v>
      </c>
      <c r="HW49">
        <v>108977.008222139</v>
      </c>
      <c r="HX49">
        <v>115720.46900239</v>
      </c>
      <c r="HY49">
        <v>125375.655919182</v>
      </c>
      <c r="HZ49">
        <v>171177.794337032</v>
      </c>
      <c r="IA49">
        <v>159677.555211325</v>
      </c>
      <c r="IB49">
        <v>139821.966825098</v>
      </c>
      <c r="IC49">
        <v>128670.088595796</v>
      </c>
      <c r="ID49">
        <v>66749.21986588241</v>
      </c>
      <c r="IE49">
        <v>229.669521507025</v>
      </c>
      <c r="IF49">
        <v>0</v>
      </c>
      <c r="IG49">
        <v>0</v>
      </c>
      <c r="IH49">
        <v>0</v>
      </c>
      <c r="II49">
        <v>0</v>
      </c>
      <c r="IJ49">
        <v>0</v>
      </c>
      <c r="IK49" t="s">
        <v>1900</v>
      </c>
      <c r="IL49" t="s">
        <v>1900</v>
      </c>
      <c r="IM49" t="s">
        <v>1900</v>
      </c>
      <c r="IN49" t="s">
        <v>1900</v>
      </c>
      <c r="IO49">
        <v>229.669521507025</v>
      </c>
      <c r="IP49" t="s">
        <v>1900</v>
      </c>
      <c r="IQ49" t="s">
        <v>1900</v>
      </c>
      <c r="IR49" t="s">
        <v>1900</v>
      </c>
      <c r="IS49" t="s">
        <v>1900</v>
      </c>
      <c r="IT49" t="s">
        <v>1900</v>
      </c>
      <c r="IU49" t="s">
        <v>1900</v>
      </c>
      <c r="IV49" t="s">
        <v>1900</v>
      </c>
      <c r="IW49" t="s">
        <v>1900</v>
      </c>
      <c r="IX49" t="s">
        <v>1900</v>
      </c>
      <c r="IY49">
        <v>305724.697313576</v>
      </c>
      <c r="IZ49">
        <v>328661.844499397</v>
      </c>
      <c r="JA49">
        <v>281204.527624841</v>
      </c>
      <c r="JB49">
        <v>229006.164471817</v>
      </c>
      <c r="JC49">
        <v>181796.307355797</v>
      </c>
      <c r="JD49">
        <v>0</v>
      </c>
      <c r="JE49">
        <v>0</v>
      </c>
      <c r="JF49">
        <v>0</v>
      </c>
      <c r="JG49">
        <v>0</v>
      </c>
      <c r="JH49">
        <v>0</v>
      </c>
      <c r="JI49">
        <v>29845.2670641148</v>
      </c>
      <c r="JJ49">
        <v>44773.3714437389</v>
      </c>
      <c r="JK49">
        <v>34489.6783782661</v>
      </c>
      <c r="JL49">
        <v>16774.9884578705</v>
      </c>
      <c r="JM49">
        <v>29322.8998401225</v>
      </c>
      <c r="JN49">
        <v>275879.429210561</v>
      </c>
      <c r="JO49">
        <v>283888.473055658</v>
      </c>
      <c r="JP49">
        <v>246714.850313175</v>
      </c>
      <c r="JQ49">
        <v>212231.176013947</v>
      </c>
      <c r="JR49">
        <v>152473.407515675</v>
      </c>
      <c r="JS49">
        <v>583278.999846896</v>
      </c>
      <c r="JT49">
        <v>601239.930279093</v>
      </c>
      <c r="JU49">
        <v>530003.503738677</v>
      </c>
      <c r="JV49">
        <v>473396.722070003</v>
      </c>
      <c r="JW49">
        <v>373921.183140862</v>
      </c>
      <c r="JX49">
        <v>69418.6855392742</v>
      </c>
      <c r="JY49">
        <v>343300.117568874</v>
      </c>
      <c r="JZ49">
        <v>316606.928249794</v>
      </c>
      <c r="KA49">
        <v>270897.94652009</v>
      </c>
      <c r="KB49">
        <v>226475.704565668</v>
      </c>
      <c r="KC49" t="s">
        <v>1900</v>
      </c>
      <c r="KD49" t="s">
        <v>1900</v>
      </c>
      <c r="KE49" t="s">
        <v>1900</v>
      </c>
      <c r="KF49" t="s">
        <v>1900</v>
      </c>
      <c r="KG49" t="s">
        <v>1900</v>
      </c>
      <c r="KH49" t="s">
        <v>1900</v>
      </c>
      <c r="KI49" t="s">
        <v>1900</v>
      </c>
      <c r="KJ49" t="s">
        <v>1900</v>
      </c>
      <c r="KK49" t="s">
        <v>1900</v>
      </c>
      <c r="KL49" t="s">
        <v>1900</v>
      </c>
      <c r="KM49">
        <v>20</v>
      </c>
      <c r="KN49">
        <v>18</v>
      </c>
      <c r="KO49">
        <v>17</v>
      </c>
      <c r="KP49">
        <v>15</v>
      </c>
      <c r="KQ49">
        <v>16</v>
      </c>
      <c r="KR49" t="s">
        <v>1900</v>
      </c>
      <c r="KS49" t="s">
        <v>1900</v>
      </c>
      <c r="KT49" t="s">
        <v>1900</v>
      </c>
      <c r="KU49" t="s">
        <v>1900</v>
      </c>
      <c r="KV49" t="s">
        <v>1900</v>
      </c>
      <c r="KW49" t="s">
        <v>1900</v>
      </c>
      <c r="KX49" t="s">
        <v>1900</v>
      </c>
      <c r="KY49" t="s">
        <v>1900</v>
      </c>
      <c r="KZ49" t="s">
        <v>1900</v>
      </c>
      <c r="LA49" t="s">
        <v>1900</v>
      </c>
      <c r="LB49" t="s">
        <v>1900</v>
      </c>
      <c r="LC49" t="s">
        <v>1900</v>
      </c>
      <c r="LD49" t="s">
        <v>1900</v>
      </c>
      <c r="LE49" t="s">
        <v>1900</v>
      </c>
      <c r="LF49" t="s">
        <v>1900</v>
      </c>
      <c r="LG49" t="s">
        <v>1900</v>
      </c>
      <c r="LH49" t="s">
        <v>1900</v>
      </c>
      <c r="LI49" t="s">
        <v>1900</v>
      </c>
      <c r="LJ49" t="s">
        <v>1900</v>
      </c>
      <c r="LK49" t="s">
        <v>1900</v>
      </c>
      <c r="LL49" t="s">
        <v>1900</v>
      </c>
      <c r="LM49" t="s">
        <v>1900</v>
      </c>
      <c r="LN49" t="s">
        <v>1900</v>
      </c>
      <c r="LO49" t="s">
        <v>1900</v>
      </c>
      <c r="LP49" t="s">
        <v>1900</v>
      </c>
      <c r="LQ49" t="s">
        <v>1900</v>
      </c>
      <c r="LR49" t="s">
        <v>1900</v>
      </c>
      <c r="LS49" t="s">
        <v>1900</v>
      </c>
      <c r="LT49" t="s">
        <v>1900</v>
      </c>
      <c r="LU49" t="s">
        <v>1900</v>
      </c>
      <c r="LV49" t="s">
        <v>1900</v>
      </c>
      <c r="LW49" t="s">
        <v>1900</v>
      </c>
      <c r="LX49" t="s">
        <v>1900</v>
      </c>
      <c r="LY49" t="s">
        <v>1900</v>
      </c>
      <c r="LZ49" t="s">
        <v>1900</v>
      </c>
      <c r="MA49" t="s">
        <v>1900</v>
      </c>
      <c r="MB49" t="s">
        <v>1900</v>
      </c>
      <c r="MC49" t="s">
        <v>1900</v>
      </c>
      <c r="MD49" t="s">
        <v>1900</v>
      </c>
      <c r="ME49" t="s">
        <v>1900</v>
      </c>
      <c r="MF49" t="s">
        <v>1900</v>
      </c>
      <c r="MG49" t="s">
        <v>1900</v>
      </c>
      <c r="MH49" t="s">
        <v>1900</v>
      </c>
      <c r="MI49" t="s">
        <v>1900</v>
      </c>
      <c r="MJ49" t="s">
        <v>1900</v>
      </c>
      <c r="MK49" t="s">
        <v>1900</v>
      </c>
      <c r="ML49" t="s">
        <v>1900</v>
      </c>
      <c r="MM49" t="s">
        <v>1900</v>
      </c>
      <c r="MN49" t="s">
        <v>1900</v>
      </c>
      <c r="MO49" t="s">
        <v>1900</v>
      </c>
      <c r="MP49">
        <v>431243.251609826</v>
      </c>
      <c r="MQ49">
        <v>139994.004577589</v>
      </c>
      <c r="MR49">
        <v>105395.600725855</v>
      </c>
      <c r="MS49">
        <v>126125.792613101</v>
      </c>
      <c r="MT49">
        <v>50054.7179620206</v>
      </c>
      <c r="MU49" t="s">
        <v>1900</v>
      </c>
      <c r="MV49" t="s">
        <v>1900</v>
      </c>
      <c r="MW49" t="s">
        <v>1900</v>
      </c>
      <c r="MX49" t="s">
        <v>1900</v>
      </c>
      <c r="MY49" t="s">
        <v>1900</v>
      </c>
      <c r="MZ49" t="s">
        <v>1900</v>
      </c>
      <c r="NA49" t="s">
        <v>1900</v>
      </c>
      <c r="NB49" t="s">
        <v>1900</v>
      </c>
      <c r="NC49" t="s">
        <v>1900</v>
      </c>
      <c r="ND49" t="s">
        <v>1900</v>
      </c>
      <c r="NE49" t="s">
        <v>1900</v>
      </c>
      <c r="NF49" t="s">
        <v>1900</v>
      </c>
      <c r="NG49" t="s">
        <v>1900</v>
      </c>
      <c r="NH49" t="s">
        <v>1900</v>
      </c>
      <c r="NI49" t="s">
        <v>1900</v>
      </c>
      <c r="NJ49" t="s">
        <v>1900</v>
      </c>
      <c r="NK49" t="s">
        <v>1900</v>
      </c>
      <c r="NL49" t="s">
        <v>1900</v>
      </c>
      <c r="NM49" t="s">
        <v>1900</v>
      </c>
      <c r="NN49" t="s">
        <v>1900</v>
      </c>
      <c r="NO49" t="s">
        <v>1900</v>
      </c>
      <c r="NP49" t="s">
        <v>1900</v>
      </c>
      <c r="NQ49" t="s">
        <v>1900</v>
      </c>
      <c r="NR49" t="s">
        <v>1900</v>
      </c>
      <c r="NS49" t="s">
        <v>1900</v>
      </c>
      <c r="NT49">
        <v>52771.7956336808</v>
      </c>
      <c r="NU49">
        <v>73172.43558388999</v>
      </c>
      <c r="NV49">
        <v>73511.2953181624</v>
      </c>
      <c r="NW49">
        <v>59597.994478941</v>
      </c>
      <c r="NX49">
        <v>68067.86077305079</v>
      </c>
      <c r="NY49" t="s">
        <v>1900</v>
      </c>
      <c r="NZ49" t="s">
        <v>1900</v>
      </c>
      <c r="OA49" t="s">
        <v>1900</v>
      </c>
      <c r="OB49" t="s">
        <v>1900</v>
      </c>
      <c r="OC49" t="s">
        <v>1900</v>
      </c>
      <c r="OD49" t="s">
        <v>1900</v>
      </c>
      <c r="OE49" t="s">
        <v>1900</v>
      </c>
      <c r="OF49" t="s">
        <v>1900</v>
      </c>
      <c r="OG49" t="s">
        <v>1900</v>
      </c>
      <c r="OH49" t="s">
        <v>1900</v>
      </c>
      <c r="OI49" t="s">
        <v>1900</v>
      </c>
      <c r="OJ49" t="s">
        <v>1900</v>
      </c>
      <c r="OK49" t="s">
        <v>1900</v>
      </c>
      <c r="OL49" t="s">
        <v>1900</v>
      </c>
      <c r="OM49" t="s">
        <v>1900</v>
      </c>
      <c r="ON49" t="s">
        <v>1900</v>
      </c>
      <c r="OO49" t="s">
        <v>1900</v>
      </c>
      <c r="OP49" t="s">
        <v>1900</v>
      </c>
      <c r="OQ49" t="s">
        <v>1900</v>
      </c>
      <c r="OR49" t="s">
        <v>1900</v>
      </c>
      <c r="OS49" t="s">
        <v>1900</v>
      </c>
      <c r="OT49" t="s">
        <v>1900</v>
      </c>
      <c r="OU49" t="s">
        <v>1900</v>
      </c>
      <c r="OV49" t="s">
        <v>1900</v>
      </c>
      <c r="OW49" t="s">
        <v>1900</v>
      </c>
      <c r="OX49" t="s">
        <v>1900</v>
      </c>
      <c r="OY49" t="s">
        <v>1900</v>
      </c>
      <c r="OZ49" t="s">
        <v>1900</v>
      </c>
      <c r="PA49" t="s">
        <v>1900</v>
      </c>
      <c r="PB49" t="s">
        <v>1900</v>
      </c>
      <c r="PC49" t="s">
        <v>1900</v>
      </c>
      <c r="PD49" t="s">
        <v>1900</v>
      </c>
      <c r="PE49" t="s">
        <v>1900</v>
      </c>
      <c r="PF49" t="s">
        <v>1900</v>
      </c>
      <c r="PG49" t="s">
        <v>1900</v>
      </c>
      <c r="PH49" t="s">
        <v>1900</v>
      </c>
      <c r="PI49" t="s">
        <v>1900</v>
      </c>
      <c r="PJ49" t="s">
        <v>1900</v>
      </c>
      <c r="PK49" t="s">
        <v>1900</v>
      </c>
      <c r="PL49" t="s">
        <v>1900</v>
      </c>
      <c r="PM49" t="s">
        <v>1900</v>
      </c>
      <c r="PN49" t="s">
        <v>1900</v>
      </c>
      <c r="PO49" t="s">
        <v>1900</v>
      </c>
      <c r="PP49" t="s">
        <v>1900</v>
      </c>
      <c r="PQ49" t="s">
        <v>1900</v>
      </c>
      <c r="PR49" t="s">
        <v>1900</v>
      </c>
      <c r="PS49" t="s">
        <v>1900</v>
      </c>
      <c r="PT49" t="s">
        <v>1900</v>
      </c>
      <c r="PU49" t="s">
        <v>1900</v>
      </c>
      <c r="PV49" t="s">
        <v>1900</v>
      </c>
      <c r="PW49" t="s">
        <v>1900</v>
      </c>
      <c r="PX49" t="s">
        <v>1900</v>
      </c>
      <c r="PY49" t="s">
        <v>1900</v>
      </c>
      <c r="PZ49" t="s">
        <v>1900</v>
      </c>
      <c r="QA49" t="s">
        <v>1900</v>
      </c>
      <c r="QB49" t="s">
        <v>1900</v>
      </c>
      <c r="QC49" t="s">
        <v>1900</v>
      </c>
      <c r="QD49" t="s">
        <v>1900</v>
      </c>
      <c r="QE49" t="s">
        <v>1900</v>
      </c>
      <c r="QF49" t="s">
        <v>1900</v>
      </c>
      <c r="QG49" t="s">
        <v>1900</v>
      </c>
      <c r="QH49" t="s">
        <v>1900</v>
      </c>
      <c r="QI49" t="s">
        <v>1900</v>
      </c>
      <c r="QJ49" t="s">
        <v>1900</v>
      </c>
      <c r="QK49" t="s">
        <v>1900</v>
      </c>
      <c r="QL49" t="s">
        <v>1900</v>
      </c>
      <c r="QM49" t="s">
        <v>1900</v>
      </c>
      <c r="QN49" t="s">
        <v>1900</v>
      </c>
      <c r="QO49" t="s">
        <v>1900</v>
      </c>
      <c r="QP49" t="s">
        <v>1900</v>
      </c>
      <c r="QQ49" t="s">
        <v>1900</v>
      </c>
      <c r="QR49" t="s">
        <v>1900</v>
      </c>
      <c r="QS49" t="s">
        <v>1900</v>
      </c>
      <c r="QT49" t="s">
        <v>1900</v>
      </c>
      <c r="QU49" t="s">
        <v>1900</v>
      </c>
      <c r="QV49" t="s">
        <v>1900</v>
      </c>
      <c r="QW49" t="s">
        <v>1900</v>
      </c>
      <c r="QX49" t="s">
        <v>1900</v>
      </c>
      <c r="QY49" t="s">
        <v>1900</v>
      </c>
      <c r="QZ49" t="s">
        <v>1900</v>
      </c>
      <c r="RA49" t="s">
        <v>1900</v>
      </c>
      <c r="RB49" t="s">
        <v>1900</v>
      </c>
      <c r="RC49" t="s">
        <v>1900</v>
      </c>
      <c r="RD49" t="s">
        <v>1900</v>
      </c>
      <c r="RE49" t="s">
        <v>1900</v>
      </c>
      <c r="RF49" t="s">
        <v>1900</v>
      </c>
      <c r="RG49" t="s">
        <v>1900</v>
      </c>
      <c r="RH49" t="s">
        <v>1900</v>
      </c>
      <c r="RI49" t="s">
        <v>1900</v>
      </c>
      <c r="RJ49" t="s">
        <v>1900</v>
      </c>
      <c r="RK49" t="s">
        <v>1900</v>
      </c>
      <c r="RL49" t="s">
        <v>1900</v>
      </c>
      <c r="RM49" t="s">
        <v>1900</v>
      </c>
      <c r="RN49" t="s">
        <v>1900</v>
      </c>
      <c r="RO49" t="s">
        <v>1900</v>
      </c>
      <c r="RP49" t="s">
        <v>1900</v>
      </c>
      <c r="RQ49" t="s">
        <v>1900</v>
      </c>
      <c r="RR49" t="s">
        <v>1900</v>
      </c>
      <c r="RS49" t="s">
        <v>1900</v>
      </c>
      <c r="RT49" t="s">
        <v>1900</v>
      </c>
      <c r="RU49" t="s">
        <v>1900</v>
      </c>
      <c r="RV49" t="s">
        <v>1900</v>
      </c>
      <c r="RW49" t="s">
        <v>1900</v>
      </c>
      <c r="RX49" t="s">
        <v>1900</v>
      </c>
      <c r="RY49" t="s">
        <v>1900</v>
      </c>
      <c r="RZ49" t="s">
        <v>1900</v>
      </c>
      <c r="SA49" t="s">
        <v>1900</v>
      </c>
      <c r="SB49" t="s">
        <v>1900</v>
      </c>
      <c r="SC49" t="s">
        <v>1900</v>
      </c>
      <c r="SD49" t="s">
        <v>1900</v>
      </c>
      <c r="SE49" t="s">
        <v>1900</v>
      </c>
      <c r="SF49" t="s">
        <v>1900</v>
      </c>
      <c r="SG49" t="s">
        <v>1900</v>
      </c>
      <c r="SH49" t="s">
        <v>1900</v>
      </c>
      <c r="SI49" t="s">
        <v>1900</v>
      </c>
      <c r="SJ49">
        <v>3594.5924115181</v>
      </c>
      <c r="SK49">
        <v>7721.74346542358</v>
      </c>
      <c r="SL49">
        <v>11639.4055735528</v>
      </c>
      <c r="SM49">
        <v>18186.1631369591</v>
      </c>
      <c r="SN49">
        <v>4245.76357603073</v>
      </c>
      <c r="SO49" t="s">
        <v>1900</v>
      </c>
      <c r="SP49" t="s">
        <v>1900</v>
      </c>
      <c r="SQ49" t="s">
        <v>1900</v>
      </c>
      <c r="SR49" t="s">
        <v>1900</v>
      </c>
      <c r="SS49" t="s">
        <v>1900</v>
      </c>
      <c r="ST49" t="s">
        <v>1900</v>
      </c>
      <c r="SU49" t="s">
        <v>1900</v>
      </c>
      <c r="SV49" t="s">
        <v>1900</v>
      </c>
      <c r="SW49" t="s">
        <v>1900</v>
      </c>
      <c r="SX49" t="s">
        <v>1900</v>
      </c>
      <c r="SY49" t="s">
        <v>1900</v>
      </c>
      <c r="SZ49" t="s">
        <v>1900</v>
      </c>
      <c r="TA49" t="s">
        <v>1900</v>
      </c>
      <c r="TB49" t="s">
        <v>1900</v>
      </c>
      <c r="TC49" t="s">
        <v>1900</v>
      </c>
      <c r="TD49" t="s">
        <v>1900</v>
      </c>
      <c r="TE49" t="s">
        <v>1900</v>
      </c>
      <c r="TF49" t="s">
        <v>1900</v>
      </c>
      <c r="TG49" t="s">
        <v>1900</v>
      </c>
      <c r="TH49" t="s">
        <v>1900</v>
      </c>
      <c r="TI49" t="s">
        <v>1900</v>
      </c>
      <c r="TJ49" t="s">
        <v>1900</v>
      </c>
      <c r="TK49" t="s">
        <v>1900</v>
      </c>
      <c r="TL49" t="s">
        <v>1900</v>
      </c>
      <c r="TM49" t="s">
        <v>1900</v>
      </c>
      <c r="TN49" t="s">
        <v>1900</v>
      </c>
      <c r="TO49" t="s">
        <v>1900</v>
      </c>
      <c r="TP49" t="s">
        <v>1900</v>
      </c>
      <c r="TQ49" t="s">
        <v>1900</v>
      </c>
      <c r="TR49" t="s">
        <v>1900</v>
      </c>
      <c r="TS49">
        <v>583278.999846896</v>
      </c>
      <c r="TT49">
        <v>601239.930279093</v>
      </c>
      <c r="TU49">
        <v>530003.503738677</v>
      </c>
      <c r="TV49">
        <v>473396.722070003</v>
      </c>
      <c r="TW49">
        <v>373921.183140862</v>
      </c>
      <c r="TX49" t="s">
        <v>1900</v>
      </c>
      <c r="TY49" t="s">
        <v>1900</v>
      </c>
      <c r="TZ49" t="s">
        <v>1900</v>
      </c>
      <c r="UA49" t="s">
        <v>1900</v>
      </c>
      <c r="UB49" t="s">
        <v>1900</v>
      </c>
      <c r="UC49">
        <v>0</v>
      </c>
      <c r="UD49">
        <v>0</v>
      </c>
      <c r="UE49">
        <v>0</v>
      </c>
      <c r="UF49">
        <v>0</v>
      </c>
      <c r="UG49">
        <v>0</v>
      </c>
      <c r="UH49" t="s">
        <v>1900</v>
      </c>
      <c r="UI49" t="s">
        <v>1900</v>
      </c>
      <c r="UJ49" t="s">
        <v>1900</v>
      </c>
      <c r="UK49" t="s">
        <v>1900</v>
      </c>
      <c r="UL49" t="s">
        <v>1900</v>
      </c>
      <c r="UM49" t="s">
        <v>1900</v>
      </c>
      <c r="UN49" t="s">
        <v>1900</v>
      </c>
      <c r="UO49" t="s">
        <v>1900</v>
      </c>
      <c r="UP49" t="s">
        <v>1900</v>
      </c>
      <c r="UQ49" t="s">
        <v>1900</v>
      </c>
      <c r="UR49" t="s">
        <v>1900</v>
      </c>
      <c r="US49" t="s">
        <v>1900</v>
      </c>
      <c r="UT49" t="s">
        <v>1900</v>
      </c>
      <c r="UU49" t="s">
        <v>1900</v>
      </c>
      <c r="UV49" t="s">
        <v>1900</v>
      </c>
      <c r="UW49" t="s">
        <v>1900</v>
      </c>
      <c r="UX49" t="s">
        <v>1900</v>
      </c>
      <c r="UY49" t="s">
        <v>1900</v>
      </c>
      <c r="UZ49" t="s">
        <v>1900</v>
      </c>
      <c r="VA49" t="s">
        <v>1900</v>
      </c>
      <c r="VB49" t="s">
        <v>1900</v>
      </c>
      <c r="VC49" t="s">
        <v>1900</v>
      </c>
      <c r="VD49" t="s">
        <v>1900</v>
      </c>
      <c r="VE49" t="s">
        <v>1900</v>
      </c>
      <c r="VF49" t="s">
        <v>1900</v>
      </c>
      <c r="VG49" t="s">
        <v>1900</v>
      </c>
      <c r="VH49" t="s">
        <v>1900</v>
      </c>
      <c r="VI49" t="s">
        <v>1900</v>
      </c>
      <c r="VJ49" t="s">
        <v>1900</v>
      </c>
      <c r="VK49" t="s">
        <v>1900</v>
      </c>
      <c r="VL49" t="s">
        <v>1900</v>
      </c>
      <c r="VM49" t="s">
        <v>1900</v>
      </c>
      <c r="VN49" t="s">
        <v>1900</v>
      </c>
      <c r="VO49" t="s">
        <v>1900</v>
      </c>
      <c r="VP49" t="s">
        <v>1900</v>
      </c>
      <c r="VQ49" t="s">
        <v>1900</v>
      </c>
      <c r="VR49" t="s">
        <v>1900</v>
      </c>
      <c r="VS49" t="s">
        <v>1900</v>
      </c>
      <c r="VT49" t="s">
        <v>1900</v>
      </c>
      <c r="VU49" t="s">
        <v>1900</v>
      </c>
      <c r="VV49" t="s">
        <v>1900</v>
      </c>
      <c r="VW49" t="s">
        <v>1900</v>
      </c>
      <c r="VX49" t="s">
        <v>1900</v>
      </c>
      <c r="VY49" t="s">
        <v>1900</v>
      </c>
      <c r="VZ49" t="s">
        <v>1900</v>
      </c>
      <c r="WA49">
        <v>275879.429210561</v>
      </c>
      <c r="WB49">
        <v>283888.473055658</v>
      </c>
      <c r="WC49">
        <v>246714.850313175</v>
      </c>
      <c r="WD49">
        <v>212231.176013947</v>
      </c>
      <c r="WE49">
        <v>152473.407515675</v>
      </c>
      <c r="WF49" t="s">
        <v>1900</v>
      </c>
      <c r="WG49" t="s">
        <v>1900</v>
      </c>
      <c r="WH49" t="s">
        <v>1900</v>
      </c>
      <c r="WI49" t="s">
        <v>1900</v>
      </c>
      <c r="WJ49" t="s">
        <v>1900</v>
      </c>
      <c r="WK49" t="s">
        <v>1900</v>
      </c>
      <c r="WL49" t="s">
        <v>1900</v>
      </c>
      <c r="WM49" t="s">
        <v>1900</v>
      </c>
      <c r="WN49" t="s">
        <v>1900</v>
      </c>
      <c r="WO49" t="s">
        <v>1900</v>
      </c>
      <c r="WP49" t="s">
        <v>1900</v>
      </c>
      <c r="WQ49" t="s">
        <v>1900</v>
      </c>
      <c r="WR49" t="s">
        <v>1900</v>
      </c>
      <c r="WS49" t="s">
        <v>1900</v>
      </c>
      <c r="WT49" t="s">
        <v>1900</v>
      </c>
      <c r="WU49" t="s">
        <v>1900</v>
      </c>
      <c r="WV49" t="s">
        <v>1900</v>
      </c>
      <c r="WW49" t="s">
        <v>1900</v>
      </c>
      <c r="WX49" t="s">
        <v>1900</v>
      </c>
      <c r="WY49" t="s">
        <v>1900</v>
      </c>
      <c r="WZ49" t="s">
        <v>1900</v>
      </c>
      <c r="XA49" t="s">
        <v>1900</v>
      </c>
      <c r="XB49" t="s">
        <v>1900</v>
      </c>
      <c r="XC49" t="s">
        <v>1900</v>
      </c>
      <c r="XD49" t="s">
        <v>1900</v>
      </c>
      <c r="XE49" t="s">
        <v>1900</v>
      </c>
      <c r="XF49" t="s">
        <v>1900</v>
      </c>
      <c r="XG49" t="s">
        <v>1900</v>
      </c>
      <c r="XH49" t="s">
        <v>1900</v>
      </c>
      <c r="XI49" t="s">
        <v>1900</v>
      </c>
      <c r="XJ49">
        <v>229.669521507025</v>
      </c>
      <c r="XK49" t="s">
        <v>1900</v>
      </c>
      <c r="XL49" t="s">
        <v>1900</v>
      </c>
      <c r="XM49" t="s">
        <v>1900</v>
      </c>
      <c r="XN49" t="s">
        <v>1900</v>
      </c>
      <c r="XO49" t="s">
        <v>1900</v>
      </c>
      <c r="XP49" t="s">
        <v>1900</v>
      </c>
      <c r="XQ49" t="s">
        <v>1900</v>
      </c>
      <c r="XR49" t="s">
        <v>1900</v>
      </c>
      <c r="XS49" t="s">
        <v>1900</v>
      </c>
      <c r="XT49" t="s">
        <v>1900</v>
      </c>
      <c r="XU49" t="s">
        <v>1900</v>
      </c>
      <c r="XV49" t="s">
        <v>1900</v>
      </c>
      <c r="XW49" t="s">
        <v>1900</v>
      </c>
      <c r="XX49" t="s">
        <v>1900</v>
      </c>
      <c r="XY49" t="s">
        <v>1900</v>
      </c>
      <c r="XZ49" t="s">
        <v>1900</v>
      </c>
      <c r="YA49" t="s">
        <v>1900</v>
      </c>
      <c r="YB49" t="s">
        <v>1900</v>
      </c>
      <c r="YC49" t="s">
        <v>1900</v>
      </c>
      <c r="YD49" t="s">
        <v>1900</v>
      </c>
      <c r="YE49" t="s">
        <v>1900</v>
      </c>
      <c r="YF49" t="s">
        <v>1900</v>
      </c>
      <c r="YG49" t="s">
        <v>1900</v>
      </c>
      <c r="YH49" t="s">
        <v>1900</v>
      </c>
      <c r="YI49" t="s">
        <v>1900</v>
      </c>
      <c r="YJ49" t="s">
        <v>1900</v>
      </c>
      <c r="YK49" t="s">
        <v>1900</v>
      </c>
      <c r="YL49" t="s">
        <v>1900</v>
      </c>
      <c r="YM49" t="s">
        <v>1900</v>
      </c>
      <c r="YN49" t="s">
        <v>1900</v>
      </c>
      <c r="YO49" t="s">
        <v>1900</v>
      </c>
      <c r="YP49" t="s">
        <v>1900</v>
      </c>
      <c r="YQ49" t="s">
        <v>1900</v>
      </c>
      <c r="YR49" t="s">
        <v>1900</v>
      </c>
      <c r="YS49" t="s">
        <v>1900</v>
      </c>
      <c r="YT49" t="s">
        <v>1900</v>
      </c>
      <c r="YU49" t="s">
        <v>1900</v>
      </c>
      <c r="YV49" t="s">
        <v>1900</v>
      </c>
      <c r="YW49" t="s">
        <v>1900</v>
      </c>
      <c r="YX49" t="s">
        <v>1900</v>
      </c>
      <c r="YY49" t="s">
        <v>1900</v>
      </c>
      <c r="YZ49" t="s">
        <v>1900</v>
      </c>
      <c r="ZA49" t="s">
        <v>1900</v>
      </c>
      <c r="ZB49" t="s">
        <v>1900</v>
      </c>
      <c r="ZC49" t="s">
        <v>1900</v>
      </c>
      <c r="ZD49" t="s">
        <v>1900</v>
      </c>
      <c r="ZE49" t="s">
        <v>1900</v>
      </c>
      <c r="ZF49" t="s">
        <v>1900</v>
      </c>
      <c r="ZG49" t="s">
        <v>1900</v>
      </c>
      <c r="ZH49" t="s">
        <v>1900</v>
      </c>
      <c r="ZI49" t="s">
        <v>1900</v>
      </c>
      <c r="ZJ49" t="s">
        <v>1900</v>
      </c>
      <c r="ZK49" t="s">
        <v>1900</v>
      </c>
      <c r="ZL49" t="s">
        <v>1900</v>
      </c>
      <c r="ZM49" t="s">
        <v>1900</v>
      </c>
      <c r="ZN49" t="s">
        <v>1900</v>
      </c>
      <c r="ZO49" t="s">
        <v>1900</v>
      </c>
      <c r="ZP49" t="s">
        <v>1900</v>
      </c>
      <c r="ZQ49" t="s">
        <v>1900</v>
      </c>
      <c r="ZR49" t="s">
        <v>1900</v>
      </c>
      <c r="ZS49" t="s">
        <v>1900</v>
      </c>
      <c r="ZT49" t="s">
        <v>1900</v>
      </c>
      <c r="ZU49" t="s">
        <v>1900</v>
      </c>
      <c r="ZV49" t="s">
        <v>1900</v>
      </c>
      <c r="ZW49" t="s">
        <v>1900</v>
      </c>
      <c r="ZX49" t="s">
        <v>1900</v>
      </c>
      <c r="ZY49" t="s">
        <v>1900</v>
      </c>
      <c r="ZZ49" t="s">
        <v>1900</v>
      </c>
      <c r="AAA49" t="s">
        <v>1900</v>
      </c>
      <c r="AAB49" t="s">
        <v>1900</v>
      </c>
      <c r="AAC49" t="s">
        <v>1900</v>
      </c>
      <c r="AAD49" t="s">
        <v>1900</v>
      </c>
      <c r="AAE49" t="s">
        <v>1900</v>
      </c>
      <c r="AAF49" t="s">
        <v>1900</v>
      </c>
      <c r="AAG49" t="s">
        <v>1900</v>
      </c>
      <c r="AAH49" t="s">
        <v>1900</v>
      </c>
      <c r="AAI49" t="s">
        <v>1900</v>
      </c>
      <c r="AAJ49" t="s">
        <v>1900</v>
      </c>
      <c r="AAK49" t="s">
        <v>1900</v>
      </c>
      <c r="AAL49" t="s">
        <v>1900</v>
      </c>
      <c r="AAM49" t="s">
        <v>1900</v>
      </c>
      <c r="AAN49" t="s">
        <v>1900</v>
      </c>
      <c r="AAO49" t="s">
        <v>1900</v>
      </c>
      <c r="AAP49" t="s">
        <v>1900</v>
      </c>
      <c r="AAQ49" t="s">
        <v>1900</v>
      </c>
      <c r="AAR49" t="s">
        <v>1900</v>
      </c>
      <c r="AAS49" t="s">
        <v>1900</v>
      </c>
      <c r="AAT49" t="s">
        <v>1900</v>
      </c>
      <c r="AAU49" t="s">
        <v>1900</v>
      </c>
      <c r="AAV49" t="s">
        <v>1900</v>
      </c>
      <c r="AAW49" t="s">
        <v>1900</v>
      </c>
      <c r="AAX49" t="s">
        <v>1900</v>
      </c>
      <c r="AAY49" t="s">
        <v>1900</v>
      </c>
      <c r="AAZ49" t="s">
        <v>1900</v>
      </c>
      <c r="ABA49" t="s">
        <v>1900</v>
      </c>
      <c r="ABB49" t="s">
        <v>1900</v>
      </c>
      <c r="ABC49" t="s">
        <v>1900</v>
      </c>
      <c r="ABD49" t="s">
        <v>1900</v>
      </c>
      <c r="ABE49" t="s">
        <v>1900</v>
      </c>
      <c r="ABF49" t="s">
        <v>1900</v>
      </c>
      <c r="ABG49" t="s">
        <v>1900</v>
      </c>
      <c r="ABH49" t="s">
        <v>1900</v>
      </c>
      <c r="ABI49" t="s">
        <v>1900</v>
      </c>
      <c r="ABJ49" t="s">
        <v>1900</v>
      </c>
      <c r="ABK49" t="s">
        <v>1900</v>
      </c>
      <c r="ABL49" t="s">
        <v>1900</v>
      </c>
      <c r="ABM49" t="s">
        <v>1900</v>
      </c>
      <c r="ABN49" t="s">
        <v>1900</v>
      </c>
      <c r="ABO49" t="s">
        <v>1900</v>
      </c>
      <c r="ABP49" t="s">
        <v>1900</v>
      </c>
      <c r="ABQ49" t="s">
        <v>1900</v>
      </c>
      <c r="ABR49" t="s">
        <v>1900</v>
      </c>
      <c r="ABS49" t="s">
        <v>1900</v>
      </c>
      <c r="ABT49" t="s">
        <v>1900</v>
      </c>
      <c r="ABU49" t="s">
        <v>1900</v>
      </c>
      <c r="ABV49" t="s">
        <v>1900</v>
      </c>
      <c r="ABW49" t="s">
        <v>1900</v>
      </c>
      <c r="ABX49" t="s">
        <v>1900</v>
      </c>
      <c r="ABY49" t="s">
        <v>1900</v>
      </c>
      <c r="ABZ49" t="s">
        <v>1900</v>
      </c>
      <c r="ACA49" t="s">
        <v>1900</v>
      </c>
      <c r="ACB49" t="s">
        <v>1900</v>
      </c>
      <c r="ACC49" t="s">
        <v>1900</v>
      </c>
      <c r="ACD49" t="s">
        <v>1900</v>
      </c>
      <c r="ACE49">
        <v>9.555</v>
      </c>
      <c r="ACF49">
        <v>7.029</v>
      </c>
      <c r="ACG49">
        <v>9.701000000000001</v>
      </c>
      <c r="ACH49">
        <v>19.745</v>
      </c>
      <c r="ACI49">
        <v>-63.699</v>
      </c>
      <c r="ACJ49">
        <v>9.582000000000001</v>
      </c>
      <c r="ACK49">
        <v>7.055</v>
      </c>
      <c r="ACL49">
        <v>9.741</v>
      </c>
      <c r="ACM49">
        <v>19.95</v>
      </c>
      <c r="ACN49">
        <v>-63.544</v>
      </c>
      <c r="ACO49">
        <v>4.543</v>
      </c>
      <c r="ACP49">
        <v>3.186</v>
      </c>
      <c r="ACQ49">
        <v>4.554</v>
      </c>
      <c r="ACR49">
        <v>10.194</v>
      </c>
      <c r="ACS49">
        <v>-32.729</v>
      </c>
      <c r="ACT49">
        <v>7.591</v>
      </c>
      <c r="ACU49">
        <v>5.438</v>
      </c>
      <c r="ACV49">
        <v>7.496</v>
      </c>
      <c r="ACW49">
        <v>25.583</v>
      </c>
      <c r="ACX49">
        <v>-62.623</v>
      </c>
      <c r="ACY49">
        <v>7.62</v>
      </c>
      <c r="ACZ49">
        <v>5.464</v>
      </c>
      <c r="ADA49">
        <v>7.536</v>
      </c>
      <c r="ADB49">
        <v>25.788</v>
      </c>
      <c r="ADC49">
        <v>-62.468</v>
      </c>
      <c r="ADD49">
        <v>3.609</v>
      </c>
      <c r="ADE49">
        <v>2.465</v>
      </c>
      <c r="ADF49">
        <v>3.519</v>
      </c>
      <c r="ADG49">
        <v>13.207</v>
      </c>
      <c r="ADH49">
        <v>-32.176</v>
      </c>
      <c r="ADI49">
        <v>1.732</v>
      </c>
      <c r="ADJ49">
        <v>1.236</v>
      </c>
      <c r="ADK49">
        <v>1.776</v>
      </c>
      <c r="ADL49">
        <v>4.065</v>
      </c>
      <c r="ADM49">
        <v>-10.988</v>
      </c>
      <c r="ADN49">
        <v>99.489</v>
      </c>
      <c r="ADO49">
        <v>99.631</v>
      </c>
      <c r="ADP49">
        <v>99.691</v>
      </c>
      <c r="ADQ49">
        <v>98.90000000000001</v>
      </c>
      <c r="ADR49">
        <v>99.767</v>
      </c>
      <c r="ADS49">
        <v>1.738100007</v>
      </c>
      <c r="ADT49">
        <v>1.240404441</v>
      </c>
      <c r="ADU49">
        <v>1.78176108</v>
      </c>
      <c r="ADV49">
        <v>4.107490987</v>
      </c>
      <c r="ADW49">
        <v>-10.963087663</v>
      </c>
      <c r="ADX49">
        <v>2.811</v>
      </c>
      <c r="ADY49">
        <v>2.458</v>
      </c>
      <c r="ADZ49">
        <v>3.086</v>
      </c>
      <c r="AEA49">
        <v>5.884</v>
      </c>
      <c r="AEB49">
        <v>-9.179</v>
      </c>
      <c r="AEC49">
        <v>1.738</v>
      </c>
      <c r="AED49">
        <v>1.24</v>
      </c>
      <c r="AEE49">
        <v>1.782</v>
      </c>
      <c r="AEF49">
        <v>4.107</v>
      </c>
      <c r="AEG49">
        <v>-10.963</v>
      </c>
      <c r="AEH49">
        <v>2.449</v>
      </c>
      <c r="AEI49">
        <v>2.173</v>
      </c>
      <c r="AEJ49">
        <v>2.677</v>
      </c>
      <c r="AEK49">
        <v>7.044</v>
      </c>
      <c r="AEL49">
        <v>-9.019</v>
      </c>
      <c r="AEM49">
        <v>1.768844289</v>
      </c>
      <c r="AEN49">
        <v>1.255983719</v>
      </c>
      <c r="AEO49">
        <v>1.814083718</v>
      </c>
      <c r="AEP49">
        <v>4.283432595</v>
      </c>
      <c r="AEQ49">
        <v>-9.879941063</v>
      </c>
      <c r="AER49">
        <v>1.017780877</v>
      </c>
      <c r="AES49">
        <v>1.012606926</v>
      </c>
      <c r="AET49">
        <v>1.018198102</v>
      </c>
      <c r="AEU49">
        <v>1.043331233</v>
      </c>
      <c r="AEV49">
        <v>0.900992423</v>
      </c>
      <c r="AEW49" t="s">
        <v>1900</v>
      </c>
      <c r="AEX49" t="s">
        <v>1900</v>
      </c>
      <c r="AEY49" t="s">
        <v>1900</v>
      </c>
      <c r="AEZ49" t="s">
        <v>1900</v>
      </c>
      <c r="AFA49" t="s">
        <v>1900</v>
      </c>
      <c r="AFB49" t="s">
        <v>1900</v>
      </c>
      <c r="AFC49" t="s">
        <v>1900</v>
      </c>
      <c r="AFD49" t="s">
        <v>1900</v>
      </c>
      <c r="AFE49" t="s">
        <v>1900</v>
      </c>
      <c r="AFF49" t="s">
        <v>1900</v>
      </c>
      <c r="AFG49">
        <v>5.512</v>
      </c>
      <c r="AFH49">
        <v>5.687</v>
      </c>
      <c r="AFI49">
        <v>5.462</v>
      </c>
      <c r="AFJ49">
        <v>4.857</v>
      </c>
      <c r="AFK49">
        <v>5.797</v>
      </c>
      <c r="AFL49">
        <v>272.158</v>
      </c>
      <c r="AFM49">
        <v>267.288</v>
      </c>
      <c r="AFN49">
        <v>246.182</v>
      </c>
      <c r="AFO49">
        <v>97.355</v>
      </c>
      <c r="AFP49" t="s">
        <v>1901</v>
      </c>
      <c r="AFQ49" t="s">
        <v>1901</v>
      </c>
      <c r="AFR49">
        <v>944.2859999999999</v>
      </c>
      <c r="AFS49" t="s">
        <v>1901</v>
      </c>
      <c r="AFT49" t="s">
        <v>1901</v>
      </c>
      <c r="AFU49" t="s">
        <v>1901</v>
      </c>
      <c r="AFV49">
        <v>23.202</v>
      </c>
      <c r="AFW49">
        <v>89.747</v>
      </c>
      <c r="AFX49">
        <v>92.82899999999999</v>
      </c>
      <c r="AFY49">
        <v>87.026</v>
      </c>
      <c r="AFZ49">
        <v>82.422</v>
      </c>
      <c r="AGA49">
        <v>7.023</v>
      </c>
      <c r="AGB49">
        <v>10.398</v>
      </c>
      <c r="AGC49">
        <v>9.137</v>
      </c>
      <c r="AGD49">
        <v>5.088</v>
      </c>
      <c r="AGE49">
        <v>9.478</v>
      </c>
      <c r="AGF49" t="s">
        <v>1900</v>
      </c>
      <c r="AGG49" t="s">
        <v>1900</v>
      </c>
      <c r="AGH49" t="s">
        <v>1900</v>
      </c>
      <c r="AGI49" t="s">
        <v>1900</v>
      </c>
      <c r="AGJ49" t="s">
        <v>1900</v>
      </c>
      <c r="AGK49" t="s">
        <v>1900</v>
      </c>
      <c r="AGL49" t="s">
        <v>1900</v>
      </c>
      <c r="AGM49" t="s">
        <v>1900</v>
      </c>
      <c r="AGN49" t="s">
        <v>1900</v>
      </c>
      <c r="AGO49" t="s">
        <v>1900</v>
      </c>
      <c r="AGP49" t="s">
        <v>1900</v>
      </c>
      <c r="AGQ49" t="s">
        <v>1900</v>
      </c>
      <c r="AGR49" t="s">
        <v>1900</v>
      </c>
      <c r="AGS49" t="s">
        <v>1900</v>
      </c>
      <c r="AGT49" t="s">
        <v>1900</v>
      </c>
      <c r="AGU49">
        <v>0</v>
      </c>
      <c r="AGV49">
        <v>0</v>
      </c>
      <c r="AGW49">
        <v>0</v>
      </c>
      <c r="AGX49">
        <v>0</v>
      </c>
      <c r="AGY49">
        <v>0</v>
      </c>
      <c r="AGZ49">
        <v>1.735</v>
      </c>
      <c r="AHA49">
        <v>1.607</v>
      </c>
      <c r="AHB49">
        <v>1.623</v>
      </c>
      <c r="AHC49">
        <v>1.807</v>
      </c>
      <c r="AHD49">
        <v>1.682</v>
      </c>
      <c r="AHE49">
        <v>1.733</v>
      </c>
      <c r="AHF49">
        <v>1.602</v>
      </c>
      <c r="AHG49">
        <v>1.621</v>
      </c>
      <c r="AHH49">
        <v>1.804</v>
      </c>
      <c r="AHI49">
        <v>1.678</v>
      </c>
      <c r="AHJ49" t="s">
        <v>1901</v>
      </c>
      <c r="AHK49" t="s">
        <v>1901</v>
      </c>
      <c r="AHL49" t="s">
        <v>1901</v>
      </c>
      <c r="AHM49" t="s">
        <v>1901</v>
      </c>
      <c r="AHN49" t="s">
        <v>1901</v>
      </c>
      <c r="AHO49">
        <v>47.546</v>
      </c>
      <c r="AHP49">
        <v>45.336</v>
      </c>
      <c r="AHQ49">
        <v>46.943</v>
      </c>
      <c r="AHR49">
        <v>51.625</v>
      </c>
      <c r="AHS49">
        <v>51.381</v>
      </c>
      <c r="AHT49">
        <v>90.642</v>
      </c>
      <c r="AHU49">
        <v>82.93600000000001</v>
      </c>
      <c r="AHV49">
        <v>88.476</v>
      </c>
      <c r="AHW49" t="s">
        <v>1901</v>
      </c>
      <c r="AHX49" t="s">
        <v>1901</v>
      </c>
      <c r="AHY49">
        <v>0.083</v>
      </c>
      <c r="AHZ49">
        <v>0</v>
      </c>
      <c r="AIA49">
        <v>0</v>
      </c>
      <c r="AIB49">
        <v>0</v>
      </c>
      <c r="AIC49">
        <v>0</v>
      </c>
      <c r="AID49">
        <v>0.6162732440000001</v>
      </c>
      <c r="AIE49">
        <v>1.284303167</v>
      </c>
      <c r="AIF49">
        <v>2.196099741</v>
      </c>
      <c r="AIG49">
        <v>3.841632671</v>
      </c>
      <c r="AIH49">
        <v>1.135470192</v>
      </c>
      <c r="AII49">
        <v>73.934301033</v>
      </c>
      <c r="AIJ49">
        <v>23.284216089</v>
      </c>
      <c r="AIK49">
        <v>19.885830939</v>
      </c>
      <c r="AIL49">
        <v>26.642726224</v>
      </c>
      <c r="AIM49">
        <v>13.386435489</v>
      </c>
      <c r="AIN49">
        <v>47.298021921</v>
      </c>
      <c r="AIO49">
        <v>47.217168847</v>
      </c>
      <c r="AIP49">
        <v>46.549664025</v>
      </c>
      <c r="AIQ49">
        <v>44.83156856</v>
      </c>
      <c r="AIR49">
        <v>40.776884111</v>
      </c>
      <c r="AIS49">
        <v>8.41117644</v>
      </c>
      <c r="AIT49">
        <v>28.708554687</v>
      </c>
      <c r="AIU49">
        <v>16.50734958</v>
      </c>
      <c r="AIV49">
        <v>5.640162818</v>
      </c>
      <c r="AIW49">
        <v>30.695271511</v>
      </c>
      <c r="AIX49">
        <v>1.32486391183102</v>
      </c>
      <c r="AIY49">
        <v>1.06434863266659</v>
      </c>
      <c r="AIZ49">
        <v>1.41981990778744</v>
      </c>
      <c r="AJA49">
        <v>3.21705376972675</v>
      </c>
      <c r="AJB49">
        <v>-7.64885597535491</v>
      </c>
      <c r="AJC49">
        <v>76.4976981826965</v>
      </c>
      <c r="AJD49">
        <v>86.11541468253991</v>
      </c>
      <c r="AJE49">
        <v>79.93490993498919</v>
      </c>
      <c r="AJF49">
        <v>79.13123731098889</v>
      </c>
      <c r="AJG49">
        <v>69.6115983215082</v>
      </c>
      <c r="AJH49">
        <v>61.657</v>
      </c>
      <c r="AJI49">
        <v>59.799</v>
      </c>
      <c r="AJJ49">
        <v>62.687</v>
      </c>
      <c r="AJK49">
        <v>62.002</v>
      </c>
      <c r="AJL49">
        <v>71.878</v>
      </c>
      <c r="AJM49">
        <v>47.1658344937042</v>
      </c>
      <c r="AJN49">
        <v>51.4961049558191</v>
      </c>
      <c r="AJO49">
        <v>50.108507979539</v>
      </c>
      <c r="AJP49">
        <v>49.0626902591443</v>
      </c>
      <c r="AJQ49">
        <v>50.0351285488045</v>
      </c>
      <c r="AJR49">
        <v>13.8662316505907</v>
      </c>
      <c r="AJS49">
        <v>15.1432273560944</v>
      </c>
      <c r="AJT49">
        <v>14.6352339517903</v>
      </c>
      <c r="AJU49">
        <v>16.2927034623456</v>
      </c>
      <c r="AJV49">
        <v>12.0078047365665</v>
      </c>
      <c r="AJW49">
        <v>3.47093427696371</v>
      </c>
      <c r="AJX49">
        <v>19.072228999382</v>
      </c>
      <c r="AJY49">
        <v>18.6239373950583</v>
      </c>
      <c r="AJZ49">
        <v>18.0598634788728</v>
      </c>
      <c r="AKA49">
        <v>14.1547315353543</v>
      </c>
      <c r="AKB49">
        <v>29.1639505117946</v>
      </c>
      <c r="AKC49">
        <v>33.402217980505</v>
      </c>
      <c r="AKD49">
        <v>31.1766763768047</v>
      </c>
      <c r="AKE49">
        <v>31.5597818488669</v>
      </c>
      <c r="AKF49">
        <v>23.3700742530787</v>
      </c>
      <c r="AKG49">
        <v>8.41117644</v>
      </c>
      <c r="AKH49">
        <v>28.708554687</v>
      </c>
      <c r="AKI49">
        <v>16.50734958</v>
      </c>
      <c r="AKJ49">
        <v>5.640162818</v>
      </c>
      <c r="AKK49">
        <v>30.695271511</v>
      </c>
      <c r="AKL49">
        <v>0.042965561</v>
      </c>
      <c r="AKM49">
        <v>0.105900094</v>
      </c>
      <c r="AKN49">
        <v>0.051018691</v>
      </c>
      <c r="AKO49">
        <v>0.062022721</v>
      </c>
      <c r="AKP49">
        <v>0.071612935</v>
      </c>
      <c r="AKQ49">
        <v>0.112699634</v>
      </c>
      <c r="AKR49">
        <v>0.273024695</v>
      </c>
      <c r="AKS49">
        <v>0.130808506</v>
      </c>
      <c r="AKT49">
        <v>0.155512315</v>
      </c>
      <c r="AKU49">
        <v>0.213310874</v>
      </c>
      <c r="AKV49">
        <v>2.130076378</v>
      </c>
      <c r="AKW49">
        <v>2.962248511</v>
      </c>
      <c r="AKX49">
        <v>2.862468042</v>
      </c>
      <c r="AKY49">
        <v>1.022806203</v>
      </c>
      <c r="AKZ49">
        <v>2.195903795</v>
      </c>
      <c r="ALA49">
        <v>5.587238313</v>
      </c>
      <c r="ALB49">
        <v>7.637075333</v>
      </c>
      <c r="ALC49">
        <v>7.339176274</v>
      </c>
      <c r="ALD49">
        <v>2.564527263</v>
      </c>
      <c r="ALE49">
        <v>6.540859632</v>
      </c>
      <c r="ALF49">
        <v>1.084216648</v>
      </c>
      <c r="ALG49">
        <v>1.260165853</v>
      </c>
      <c r="ALH49">
        <v>1.690640127</v>
      </c>
      <c r="ALI49">
        <v>2.466067298</v>
      </c>
      <c r="ALJ49">
        <v>3.534292267</v>
      </c>
      <c r="ALK49">
        <v>2.843924687</v>
      </c>
      <c r="ALL49">
        <v>3.248877167</v>
      </c>
      <c r="ALM49">
        <v>4.334688013</v>
      </c>
      <c r="ALN49">
        <v>6.183279684</v>
      </c>
      <c r="ALO49">
        <v>10.527469223</v>
      </c>
      <c r="ALP49">
        <v>6.445069742</v>
      </c>
      <c r="ALQ49">
        <v>24.929848094</v>
      </c>
      <c r="ALR49">
        <v>25.785929794</v>
      </c>
      <c r="ALS49">
        <v>24.173912932</v>
      </c>
      <c r="ALT49">
        <v>22.894980457</v>
      </c>
      <c r="ALU49">
        <v>30.26700776</v>
      </c>
      <c r="ALV49">
        <v>11.586353251</v>
      </c>
      <c r="ALW49">
        <v>9.842851568</v>
      </c>
      <c r="ALX49">
        <v>5.846232232</v>
      </c>
      <c r="ALY49">
        <v>11.49913177</v>
      </c>
      <c r="ALZ49">
        <v>99.48918488306779</v>
      </c>
      <c r="AMA49">
        <v>99.6311200067523</v>
      </c>
      <c r="AMB49">
        <v>99.6909334769873</v>
      </c>
      <c r="AMC49">
        <v>98.90033810303009</v>
      </c>
      <c r="AMD49">
        <v>99.7666971756134</v>
      </c>
      <c r="AME49">
        <v>99.5029346550903</v>
      </c>
      <c r="AMF49">
        <v>99.6311200067523</v>
      </c>
      <c r="AMG49">
        <v>99.6909334769873</v>
      </c>
      <c r="AMH49" t="s">
        <v>1901</v>
      </c>
      <c r="AMI49">
        <v>99.7666971756134</v>
      </c>
      <c r="AMJ49">
        <v>19476.5545468926</v>
      </c>
      <c r="AMK49">
        <v>27009.092681739</v>
      </c>
      <c r="AML49">
        <v>32255.4938998994</v>
      </c>
      <c r="AMM49">
        <v>8993.7041899468</v>
      </c>
      <c r="AMN49">
        <v>42762.7472740238</v>
      </c>
      <c r="AMO49">
        <v>1.01778087689698</v>
      </c>
      <c r="AMP49">
        <v>1.01260692497279</v>
      </c>
      <c r="AMQ49">
        <v>1.0181981025504</v>
      </c>
      <c r="AMR49">
        <v>1.04333123344105</v>
      </c>
      <c r="AMS49">
        <v>0.9009924233189029</v>
      </c>
      <c r="AMT49">
        <v>1.01778087689698</v>
      </c>
      <c r="AMU49">
        <v>1.01260692569732</v>
      </c>
      <c r="AMV49">
        <v>1.01819810174873</v>
      </c>
      <c r="AMW49">
        <v>1.04333123344105</v>
      </c>
      <c r="AMX49">
        <v>0.9009924233189029</v>
      </c>
      <c r="AMY49">
        <v>1.01778087689698</v>
      </c>
      <c r="AMZ49">
        <v>1.01260692569732</v>
      </c>
      <c r="ANA49">
        <v>1.01819810173414</v>
      </c>
      <c r="ANB49">
        <v>1.04333123344105</v>
      </c>
      <c r="ANC49">
        <v>0.9009924233189029</v>
      </c>
      <c r="AND49">
        <v>1.73810000673268</v>
      </c>
      <c r="ANE49">
        <v>1.24040444133824</v>
      </c>
      <c r="ANF49">
        <v>1.78176107998626</v>
      </c>
      <c r="ANG49">
        <v>4.10749098692968</v>
      </c>
      <c r="ANH49">
        <v>-10.9630876633223</v>
      </c>
      <c r="ANI49">
        <v>1.73834021855945</v>
      </c>
      <c r="ANJ49">
        <v>1.24040444133824</v>
      </c>
      <c r="ANK49">
        <v>1.78176107998626</v>
      </c>
      <c r="ANL49">
        <v>4.22846799412581</v>
      </c>
      <c r="ANM49">
        <v>-10.9630876633223</v>
      </c>
      <c r="ANN49">
        <v>1.76884428944664</v>
      </c>
      <c r="ANO49">
        <v>1.25598371917335</v>
      </c>
      <c r="ANP49">
        <v>1.81408371762528</v>
      </c>
      <c r="ANQ49">
        <v>4.28343259468769</v>
      </c>
      <c r="ANR49">
        <v>-9.87994106345149</v>
      </c>
      <c r="ANS49">
        <v>9.58087463317646</v>
      </c>
      <c r="ANT49">
        <v>7.05384278194849</v>
      </c>
      <c r="ANU49">
        <v>9.73164576536761</v>
      </c>
      <c r="ANV49">
        <v>19.9494722105732</v>
      </c>
      <c r="ANW49">
        <v>-63.5551687595549</v>
      </c>
      <c r="ANX49">
        <v>99.48918488306779</v>
      </c>
      <c r="ANY49">
        <v>99.6311200780391</v>
      </c>
      <c r="ANZ49">
        <v>99.6909334769873</v>
      </c>
      <c r="AOA49">
        <v>98.90033810303009</v>
      </c>
      <c r="AOB49">
        <v>99.7666971756134</v>
      </c>
      <c r="AOC49">
        <v>101.248993648489</v>
      </c>
      <c r="AOD49">
        <v>100.882470653267</v>
      </c>
      <c r="AOE49">
        <v>101.499410469142</v>
      </c>
      <c r="AOF49">
        <v>103.136667421592</v>
      </c>
      <c r="AOG49">
        <v>89.9098062937106</v>
      </c>
      <c r="AOH49" t="s">
        <v>1901</v>
      </c>
      <c r="AOI49" t="s">
        <v>1901</v>
      </c>
      <c r="AOJ49" t="s">
        <v>1901</v>
      </c>
      <c r="AOK49" t="s">
        <v>1901</v>
      </c>
      <c r="AOL49" t="s">
        <v>1901</v>
      </c>
      <c r="AOM49">
        <v>340.260095897567</v>
      </c>
      <c r="AON49">
        <v>336.262389870502</v>
      </c>
      <c r="AOO49">
        <v>576.497597545738</v>
      </c>
      <c r="AOP49">
        <v>373.523079980112</v>
      </c>
      <c r="AOQ49">
        <v>-4699.08055855949</v>
      </c>
      <c r="AOR49">
        <v>1.77808768969833</v>
      </c>
      <c r="AOS49">
        <v>1.26069256973222</v>
      </c>
      <c r="AOT49">
        <v>1.81981017487307</v>
      </c>
      <c r="AOU49">
        <v>4.33312334410518</v>
      </c>
      <c r="AOV49">
        <v>-9.900757668109661</v>
      </c>
      <c r="AOW49">
        <v>4.5590754633177</v>
      </c>
      <c r="AOX49">
        <v>3.19792958861186</v>
      </c>
      <c r="AOY49">
        <v>4.56831603045367</v>
      </c>
      <c r="AOZ49">
        <v>10.2988939509609</v>
      </c>
      <c r="APA49">
        <v>-32.6553548019461</v>
      </c>
      <c r="APB49">
        <v>1.37599730991615</v>
      </c>
      <c r="APC49">
        <v>0.9561811494339399</v>
      </c>
      <c r="APD49">
        <v>1.37243733407495</v>
      </c>
      <c r="APE49">
        <v>5.26746664081687</v>
      </c>
      <c r="APF49">
        <v>-10.8023089112107</v>
      </c>
      <c r="APG49">
        <v>1.37618747781568</v>
      </c>
      <c r="APH49">
        <v>0.9561811494339399</v>
      </c>
      <c r="API49">
        <v>1.37243733407495</v>
      </c>
      <c r="APJ49">
        <v>5.42260814976703</v>
      </c>
      <c r="APK49">
        <v>-10.8023089112107</v>
      </c>
      <c r="APL49">
        <v>269.37286393951</v>
      </c>
      <c r="APM49">
        <v>259.212034190148</v>
      </c>
      <c r="APN49">
        <v>444.058877906563</v>
      </c>
      <c r="APO49">
        <v>479.007834620014</v>
      </c>
      <c r="APP49">
        <v>-4630.16636837159</v>
      </c>
      <c r="APQ49">
        <v>1.40765425944574</v>
      </c>
      <c r="APR49">
        <v>0.971820504857954</v>
      </c>
      <c r="APS49">
        <v>1.40174541524081</v>
      </c>
      <c r="APT49">
        <v>5.55681868523833</v>
      </c>
      <c r="APU49">
        <v>-9.755558476812199</v>
      </c>
      <c r="APV49">
        <v>1.40033655975554</v>
      </c>
      <c r="APW49">
        <v>0.968190628996635</v>
      </c>
      <c r="APX49">
        <v>1.39733449628702</v>
      </c>
      <c r="APY49">
        <v>5.49309502382392</v>
      </c>
      <c r="APZ49">
        <v>-9.73504715729112</v>
      </c>
      <c r="AQA49">
        <v>3.60927193425569</v>
      </c>
      <c r="AQB49">
        <v>2.46516369011764</v>
      </c>
      <c r="AQC49">
        <v>3.51883737077478</v>
      </c>
      <c r="AQD49">
        <v>13.2073522490059</v>
      </c>
      <c r="AQE49">
        <v>-32.1764489173948</v>
      </c>
      <c r="AQF49">
        <v>0.0177808768969833</v>
      </c>
      <c r="AQG49">
        <v>0.0126069256973222</v>
      </c>
      <c r="AQH49">
        <v>0.0181981017341419</v>
      </c>
      <c r="AQI49">
        <v>0.0433312334410518</v>
      </c>
      <c r="AQJ49">
        <v>-0.0990075766810966</v>
      </c>
      <c r="AQK49">
        <v>7</v>
      </c>
      <c r="AQO49" t="s">
        <v>1902</v>
      </c>
      <c r="AQP49">
        <v>1</v>
      </c>
      <c r="AQQ49">
        <v>0</v>
      </c>
      <c r="AQS49" t="s">
        <v>1905</v>
      </c>
      <c r="AQU49" t="s">
        <v>1906</v>
      </c>
      <c r="AQV49">
        <v>1529953.95326493</v>
      </c>
      <c r="AQW49">
        <v>1550077.45765572</v>
      </c>
      <c r="AQX49">
        <v>1358893.47316121</v>
      </c>
      <c r="AQY49">
        <v>26592.1297647047</v>
      </c>
      <c r="AQZ49">
        <v>19227.2296289444</v>
      </c>
      <c r="ARA49">
        <v>24212.2350232601</v>
      </c>
      <c r="ARB49">
        <v>4438924.88408186</v>
      </c>
      <c r="ARC49">
        <v>70031.5944169092</v>
      </c>
      <c r="ARD49">
        <v>0.01602959600376962</v>
      </c>
      <c r="ARE49">
        <v>0.01602959600376962</v>
      </c>
      <c r="ARF49">
        <v>0.01602959600376962</v>
      </c>
      <c r="ARG49">
        <v>0.01602959600376962</v>
      </c>
      <c r="ARH49">
        <v>0.01602959600376962</v>
      </c>
      <c r="ARI49">
        <v>0.01602959600376962</v>
      </c>
      <c r="ARJ49" t="s">
        <v>1210</v>
      </c>
      <c r="ARK49" t="s">
        <v>1548</v>
      </c>
      <c r="ARL49" t="s">
        <v>1908</v>
      </c>
      <c r="ARM49" t="s">
        <v>1908</v>
      </c>
      <c r="ARN49" t="s">
        <v>1909</v>
      </c>
      <c r="ARO49" t="s">
        <v>1909</v>
      </c>
      <c r="ARP49" t="s">
        <v>1907</v>
      </c>
      <c r="ARQ49" t="s">
        <v>1948</v>
      </c>
      <c r="ARR49">
        <f>HYPERLINK("C:\Users\Usuario\Documents\Proyectos\llmthon\evidence\ghthotels_com_234332.png", "Ver Evidencia")</f>
        <v>0</v>
      </c>
      <c r="ARS49">
        <v>100</v>
      </c>
    </row>
    <row r="50" spans="1:1163">
      <c r="A50">
        <v>548</v>
      </c>
      <c r="B50" t="s">
        <v>1211</v>
      </c>
      <c r="C50" t="s">
        <v>1334</v>
      </c>
      <c r="E50" s="2">
        <v>29144</v>
      </c>
      <c r="F50" t="s">
        <v>1431</v>
      </c>
      <c r="G50" t="s">
        <v>1433</v>
      </c>
      <c r="H50" t="s">
        <v>1434</v>
      </c>
      <c r="I50" t="s">
        <v>1445</v>
      </c>
      <c r="J50" t="s">
        <v>1476</v>
      </c>
      <c r="L50" t="s">
        <v>1549</v>
      </c>
      <c r="N50" t="s">
        <v>1626</v>
      </c>
      <c r="O50" t="s">
        <v>1650</v>
      </c>
      <c r="P50">
        <v>6920</v>
      </c>
      <c r="Q50">
        <v>6920</v>
      </c>
      <c r="R50" t="s">
        <v>1720</v>
      </c>
      <c r="Z50" t="s">
        <v>1899</v>
      </c>
      <c r="AA50" s="2">
        <v>45657</v>
      </c>
      <c r="AB50">
        <v>2024</v>
      </c>
      <c r="AC50">
        <v>1232591.87780584</v>
      </c>
      <c r="AD50">
        <v>1276187.3495372</v>
      </c>
      <c r="AE50">
        <v>1187990.14662258</v>
      </c>
      <c r="AF50">
        <v>1304958.02915618</v>
      </c>
      <c r="AG50">
        <v>1403582.69630486</v>
      </c>
      <c r="AH50">
        <v>1225319.58101953</v>
      </c>
      <c r="AI50">
        <v>1267347.34556992</v>
      </c>
      <c r="AJ50">
        <v>1187990.14662258</v>
      </c>
      <c r="AK50">
        <v>1304958.02915618</v>
      </c>
      <c r="AL50">
        <v>1403582.69630486</v>
      </c>
      <c r="AM50" t="s">
        <v>1900</v>
      </c>
      <c r="AN50" t="s">
        <v>1900</v>
      </c>
      <c r="AO50" t="s">
        <v>1900</v>
      </c>
      <c r="AP50" t="s">
        <v>1900</v>
      </c>
      <c r="AQ50" t="s">
        <v>1900</v>
      </c>
      <c r="AR50">
        <v>1232591.87780584</v>
      </c>
      <c r="AS50">
        <v>1276187.3495372</v>
      </c>
      <c r="AT50">
        <v>1187990.14662258</v>
      </c>
      <c r="AU50">
        <v>1304958.02915618</v>
      </c>
      <c r="AV50">
        <v>1403582.69630486</v>
      </c>
      <c r="AW50">
        <v>1154136.418111</v>
      </c>
      <c r="AX50">
        <v>1252892.61308281</v>
      </c>
      <c r="AY50">
        <v>1214865.56324208</v>
      </c>
      <c r="AZ50">
        <v>1364445.35725908</v>
      </c>
      <c r="BA50">
        <v>1448830.1914064</v>
      </c>
      <c r="BB50">
        <v>78455.4596948445</v>
      </c>
      <c r="BC50">
        <v>23294.7364543915</v>
      </c>
      <c r="BD50">
        <v>-26875.4166194975</v>
      </c>
      <c r="BE50">
        <v>-59487.3281028986</v>
      </c>
      <c r="BF50">
        <v>-45247.4951015353</v>
      </c>
      <c r="BG50">
        <v>-7299.64997232068</v>
      </c>
      <c r="BH50">
        <v>-16813.6101957417</v>
      </c>
      <c r="BI50">
        <v>-4802.91776101768</v>
      </c>
      <c r="BJ50">
        <v>-5339.90464761257</v>
      </c>
      <c r="BK50">
        <v>-4977.1515714705</v>
      </c>
      <c r="BL50">
        <v>7100.15113238096</v>
      </c>
      <c r="BM50">
        <v>273.16717259407</v>
      </c>
      <c r="BN50">
        <v>75.8245576202869</v>
      </c>
      <c r="BO50" t="s">
        <v>1900</v>
      </c>
      <c r="BP50" t="s">
        <v>1900</v>
      </c>
      <c r="BQ50">
        <v>14399.8021436012</v>
      </c>
      <c r="BR50">
        <v>17086.7773683357</v>
      </c>
      <c r="BS50">
        <v>4878.74338523746</v>
      </c>
      <c r="BT50">
        <v>5339.90464761257</v>
      </c>
      <c r="BU50">
        <v>4977.1515714705</v>
      </c>
      <c r="BV50">
        <v>71155.8086836243</v>
      </c>
      <c r="BW50">
        <v>6481.12625864983</v>
      </c>
      <c r="BX50">
        <v>-31678.3354471147</v>
      </c>
      <c r="BY50">
        <v>-64827.2327505112</v>
      </c>
      <c r="BZ50">
        <v>-50224.6466730058</v>
      </c>
      <c r="CA50" t="s">
        <v>1900</v>
      </c>
      <c r="CB50">
        <v>1620.56057728767</v>
      </c>
      <c r="CC50">
        <v>-7919.5865282774</v>
      </c>
      <c r="CD50">
        <v>-15417.3404693127</v>
      </c>
      <c r="CE50">
        <v>-12556.1586005032</v>
      </c>
      <c r="CF50">
        <v>71155.8086836243</v>
      </c>
      <c r="CG50">
        <v>4860.56568136215</v>
      </c>
      <c r="CH50">
        <v>-23758.7489188373</v>
      </c>
      <c r="CI50">
        <v>-49409.8911485982</v>
      </c>
      <c r="CJ50">
        <v>-37668.4880725026</v>
      </c>
      <c r="CK50" t="s">
        <v>1900</v>
      </c>
      <c r="CL50" t="s">
        <v>1900</v>
      </c>
      <c r="CM50" t="s">
        <v>1900</v>
      </c>
      <c r="CN50" t="s">
        <v>1900</v>
      </c>
      <c r="CO50" t="s">
        <v>1900</v>
      </c>
      <c r="CP50" t="s">
        <v>1900</v>
      </c>
      <c r="CQ50" t="s">
        <v>1900</v>
      </c>
      <c r="CR50" t="s">
        <v>1900</v>
      </c>
      <c r="CS50" t="s">
        <v>1900</v>
      </c>
      <c r="CT50" t="s">
        <v>1900</v>
      </c>
      <c r="CU50" t="s">
        <v>1900</v>
      </c>
      <c r="CV50" t="s">
        <v>1900</v>
      </c>
      <c r="CW50" t="s">
        <v>1900</v>
      </c>
      <c r="CX50" t="s">
        <v>1900</v>
      </c>
      <c r="CY50" t="s">
        <v>1900</v>
      </c>
      <c r="CZ50">
        <v>71155.8086836243</v>
      </c>
      <c r="DA50">
        <v>4860.56568136215</v>
      </c>
      <c r="DB50">
        <v>-23758.7489188373</v>
      </c>
      <c r="DC50">
        <v>-49409.8911485982</v>
      </c>
      <c r="DD50">
        <v>-37668.4880725026</v>
      </c>
      <c r="DE50" t="s">
        <v>1900</v>
      </c>
      <c r="DF50" t="s">
        <v>1900</v>
      </c>
      <c r="DG50" t="s">
        <v>1900</v>
      </c>
      <c r="DH50" t="s">
        <v>1900</v>
      </c>
      <c r="DI50" t="s">
        <v>1900</v>
      </c>
      <c r="DJ50" t="s">
        <v>1900</v>
      </c>
      <c r="DK50" t="s">
        <v>1900</v>
      </c>
      <c r="DL50" t="s">
        <v>1900</v>
      </c>
      <c r="DM50" t="s">
        <v>1900</v>
      </c>
      <c r="DN50" t="s">
        <v>1900</v>
      </c>
      <c r="DO50">
        <v>877157.624367355</v>
      </c>
      <c r="DP50">
        <v>929920.195136757</v>
      </c>
      <c r="DQ50">
        <v>883250.374935067</v>
      </c>
      <c r="DR50">
        <v>988467.585713196</v>
      </c>
      <c r="DS50">
        <v>1060182.5282181</v>
      </c>
      <c r="DT50">
        <v>11170.0089168751</v>
      </c>
      <c r="DU50">
        <v>13380.0311047936</v>
      </c>
      <c r="DV50">
        <v>11369.9718768239</v>
      </c>
      <c r="DW50">
        <v>37747.3483511925</v>
      </c>
      <c r="DX50">
        <v>19025.5488170326</v>
      </c>
      <c r="DY50">
        <v>265808.784826767</v>
      </c>
      <c r="DZ50">
        <v>309592.386841259</v>
      </c>
      <c r="EA50">
        <v>320245.216430187</v>
      </c>
      <c r="EB50">
        <v>338230.423194695</v>
      </c>
      <c r="EC50">
        <v>369622.114371264</v>
      </c>
      <c r="ED50">
        <v>14399.8021436012</v>
      </c>
      <c r="EE50">
        <v>13818.0864513874</v>
      </c>
      <c r="EF50">
        <v>4878.74338523746</v>
      </c>
      <c r="EG50">
        <v>5339.90464761257</v>
      </c>
      <c r="EH50">
        <v>4977.1515714705</v>
      </c>
      <c r="EI50" t="s">
        <v>1900</v>
      </c>
      <c r="EJ50" t="s">
        <v>1900</v>
      </c>
      <c r="EK50" t="s">
        <v>1900</v>
      </c>
      <c r="EL50" t="s">
        <v>1900</v>
      </c>
      <c r="EM50" t="s">
        <v>1900</v>
      </c>
      <c r="EN50">
        <v>82325.8176004994</v>
      </c>
      <c r="EO50">
        <v>18240.5967861557</v>
      </c>
      <c r="EP50">
        <v>-12388.7770420134</v>
      </c>
      <c r="EQ50">
        <v>-11662.5427974057</v>
      </c>
      <c r="ER50">
        <v>-18642.93925547</v>
      </c>
      <c r="ES50">
        <v>973883.244111456</v>
      </c>
      <c r="ET50">
        <v>963599.438951588</v>
      </c>
      <c r="EU50">
        <v>867820.754750013</v>
      </c>
      <c r="EV50">
        <v>966727.60596149</v>
      </c>
      <c r="EW50">
        <v>1033960.5819336</v>
      </c>
      <c r="EX50">
        <v>89625.4686117196</v>
      </c>
      <c r="EY50">
        <v>36674.767559185</v>
      </c>
      <c r="EZ50">
        <v>-15505.4447426736</v>
      </c>
      <c r="FA50">
        <v>-21739.9797517061</v>
      </c>
      <c r="FB50">
        <v>-26221.9462845027</v>
      </c>
      <c r="FC50">
        <v>194055.525795162</v>
      </c>
      <c r="FD50">
        <v>218283.201312819</v>
      </c>
      <c r="FE50">
        <v>112169.735132307</v>
      </c>
      <c r="FF50">
        <v>126682.125884128</v>
      </c>
      <c r="FG50">
        <v>156938.146961689</v>
      </c>
      <c r="FH50">
        <v>271.45406104207</v>
      </c>
      <c r="FI50">
        <v>545.781844940185</v>
      </c>
      <c r="FJ50">
        <v>6494.14030818939</v>
      </c>
      <c r="FK50">
        <v>13232.7583442688</v>
      </c>
      <c r="FL50">
        <v>39773.8223405361</v>
      </c>
      <c r="FM50">
        <v>158957.81121015</v>
      </c>
      <c r="FN50">
        <v>180695.305543833</v>
      </c>
      <c r="FO50">
        <v>67769.8969328165</v>
      </c>
      <c r="FP50">
        <v>77700.2545851231</v>
      </c>
      <c r="FQ50">
        <v>98203.9102349341</v>
      </c>
      <c r="FR50">
        <v>34826.2605239701</v>
      </c>
      <c r="FS50">
        <v>37042.1139240456</v>
      </c>
      <c r="FT50">
        <v>37905.6978913009</v>
      </c>
      <c r="FU50">
        <v>35749.1129547358</v>
      </c>
      <c r="FV50">
        <v>18960.4143862188</v>
      </c>
      <c r="FW50">
        <v>271.45406104207</v>
      </c>
      <c r="FX50">
        <v>545.781844940185</v>
      </c>
      <c r="FY50">
        <v>6494.14030818939</v>
      </c>
      <c r="FZ50">
        <v>13232.7583442688</v>
      </c>
      <c r="GA50">
        <v>39773.8223405361</v>
      </c>
      <c r="GB50">
        <v>158957.81121015</v>
      </c>
      <c r="GC50">
        <v>180695.305543833</v>
      </c>
      <c r="GD50">
        <v>67769.8969328165</v>
      </c>
      <c r="GE50">
        <v>77700.2545851231</v>
      </c>
      <c r="GF50">
        <v>98203.9102349341</v>
      </c>
      <c r="GG50">
        <v>34826.2605239701</v>
      </c>
      <c r="GH50">
        <v>37042.1139240456</v>
      </c>
      <c r="GI50">
        <v>37905.6978913009</v>
      </c>
      <c r="GJ50">
        <v>35749.1129547358</v>
      </c>
      <c r="GK50">
        <v>18960.4143862188</v>
      </c>
      <c r="GL50">
        <v>786440.989178832</v>
      </c>
      <c r="GM50">
        <v>866353.141008644</v>
      </c>
      <c r="GN50">
        <v>879544.9976468619</v>
      </c>
      <c r="GO50">
        <v>958506.37745769</v>
      </c>
      <c r="GP50">
        <v>1047680.03066996</v>
      </c>
      <c r="GQ50">
        <v>0</v>
      </c>
      <c r="GR50">
        <v>0</v>
      </c>
      <c r="GS50">
        <v>0</v>
      </c>
      <c r="GT50">
        <v>0</v>
      </c>
      <c r="GU50">
        <v>0</v>
      </c>
      <c r="GV50">
        <v>451898.496447092</v>
      </c>
      <c r="GW50">
        <v>468999.227981091</v>
      </c>
      <c r="GX50">
        <v>473075.601270002</v>
      </c>
      <c r="GY50">
        <v>507022.877682424</v>
      </c>
      <c r="GZ50">
        <v>557073.570203453</v>
      </c>
      <c r="HA50">
        <v>334542.492731739</v>
      </c>
      <c r="HB50">
        <v>397353.913027554</v>
      </c>
      <c r="HC50">
        <v>406469.39637686</v>
      </c>
      <c r="HD50">
        <v>451483.499775267</v>
      </c>
      <c r="HE50">
        <v>490606.46046651</v>
      </c>
      <c r="HF50">
        <v>48845.1189839137</v>
      </c>
      <c r="HG50">
        <v>99003.7791316795</v>
      </c>
      <c r="HH50">
        <v>104371.484961814</v>
      </c>
      <c r="HI50">
        <v>130691.870752645</v>
      </c>
      <c r="HJ50">
        <v>143049.444418955</v>
      </c>
      <c r="HK50">
        <v>980496.5149739929</v>
      </c>
      <c r="HL50">
        <v>1084636.34232146</v>
      </c>
      <c r="HM50">
        <v>991714.732779169</v>
      </c>
      <c r="HN50">
        <v>1085188.50334182</v>
      </c>
      <c r="HO50">
        <v>1204618.17763165</v>
      </c>
      <c r="HP50">
        <v>539578.106218704</v>
      </c>
      <c r="HQ50">
        <v>499634.97998004</v>
      </c>
      <c r="HR50">
        <v>478939.914580375</v>
      </c>
      <c r="HS50">
        <v>535249.553871059</v>
      </c>
      <c r="HT50">
        <v>637306.120358503</v>
      </c>
      <c r="HU50">
        <v>269731.565603256</v>
      </c>
      <c r="HV50">
        <v>286893.488754272</v>
      </c>
      <c r="HW50">
        <v>276923.358335495</v>
      </c>
      <c r="HX50">
        <v>294059.283027649</v>
      </c>
      <c r="HY50">
        <v>318594.24530983</v>
      </c>
      <c r="HZ50">
        <v>269846.539576548</v>
      </c>
      <c r="IA50">
        <v>212741.491225767</v>
      </c>
      <c r="IB50">
        <v>202016.55517828</v>
      </c>
      <c r="IC50">
        <v>241190.27084341</v>
      </c>
      <c r="ID50">
        <v>318711.875048673</v>
      </c>
      <c r="IE50">
        <v>106652.439914352</v>
      </c>
      <c r="IF50">
        <v>149730.197097073</v>
      </c>
      <c r="IG50">
        <v>117289.018034136</v>
      </c>
      <c r="IH50">
        <v>138071.056231856</v>
      </c>
      <c r="II50">
        <v>127618.327140808</v>
      </c>
      <c r="IJ50">
        <v>106652.439914352</v>
      </c>
      <c r="IK50">
        <v>149212.228114614</v>
      </c>
      <c r="IL50">
        <v>116289.081013894</v>
      </c>
      <c r="IM50">
        <v>136478.337049484</v>
      </c>
      <c r="IN50">
        <v>127618.327140808</v>
      </c>
      <c r="IO50">
        <v>0</v>
      </c>
      <c r="IP50">
        <v>517.968982458115</v>
      </c>
      <c r="IQ50">
        <v>999.937020242214</v>
      </c>
      <c r="IR50">
        <v>1592.71918237209</v>
      </c>
      <c r="IS50">
        <v>0</v>
      </c>
      <c r="IT50">
        <v>0</v>
      </c>
      <c r="IU50" t="s">
        <v>1900</v>
      </c>
      <c r="IV50" t="s">
        <v>1900</v>
      </c>
      <c r="IW50" t="s">
        <v>1900</v>
      </c>
      <c r="IX50">
        <v>0</v>
      </c>
      <c r="IY50">
        <v>334265.968840938</v>
      </c>
      <c r="IZ50">
        <v>435271.16524435</v>
      </c>
      <c r="JA50">
        <v>395485.800164658</v>
      </c>
      <c r="JB50">
        <v>411867.893238902</v>
      </c>
      <c r="JC50">
        <v>439693.730132341</v>
      </c>
      <c r="JD50">
        <v>153600.538725575</v>
      </c>
      <c r="JE50">
        <v>206440.015947742</v>
      </c>
      <c r="JF50">
        <v>189721.351975971</v>
      </c>
      <c r="JG50">
        <v>193223.515221977</v>
      </c>
      <c r="JH50">
        <v>228965.673109108</v>
      </c>
      <c r="JI50">
        <v>0</v>
      </c>
      <c r="JJ50">
        <v>0</v>
      </c>
      <c r="JK50" t="s">
        <v>1900</v>
      </c>
      <c r="JL50">
        <v>0</v>
      </c>
      <c r="JM50">
        <v>0</v>
      </c>
      <c r="JN50">
        <v>180665.430115362</v>
      </c>
      <c r="JO50">
        <v>228831.149296608</v>
      </c>
      <c r="JP50">
        <v>205764.448188686</v>
      </c>
      <c r="JQ50">
        <v>218644.378016925</v>
      </c>
      <c r="JR50">
        <v>210728.057023233</v>
      </c>
      <c r="JS50">
        <v>980496.5149739929</v>
      </c>
      <c r="JT50">
        <v>1084636.34232146</v>
      </c>
      <c r="JU50">
        <v>991714.732779169</v>
      </c>
      <c r="JV50">
        <v>1085188.50334182</v>
      </c>
      <c r="JW50">
        <v>1204618.17763165</v>
      </c>
      <c r="JX50">
        <v>451898.496447092</v>
      </c>
      <c r="JY50">
        <v>468999.227981091</v>
      </c>
      <c r="JZ50">
        <v>473075.601270002</v>
      </c>
      <c r="KA50">
        <v>507022.877682424</v>
      </c>
      <c r="KB50">
        <v>557073.570203453</v>
      </c>
      <c r="KC50" t="s">
        <v>1900</v>
      </c>
      <c r="KD50" t="s">
        <v>1900</v>
      </c>
      <c r="KE50" t="s">
        <v>1900</v>
      </c>
      <c r="KF50" t="s">
        <v>1900</v>
      </c>
      <c r="KG50" t="s">
        <v>1900</v>
      </c>
      <c r="KH50" t="s">
        <v>1900</v>
      </c>
      <c r="KI50" t="s">
        <v>1900</v>
      </c>
      <c r="KJ50" t="s">
        <v>1900</v>
      </c>
      <c r="KK50" t="s">
        <v>1900</v>
      </c>
      <c r="KL50" t="s">
        <v>1900</v>
      </c>
      <c r="KM50">
        <v>17</v>
      </c>
      <c r="KN50">
        <v>18</v>
      </c>
      <c r="KO50">
        <v>23</v>
      </c>
      <c r="KP50">
        <v>19</v>
      </c>
      <c r="KQ50">
        <v>25</v>
      </c>
      <c r="KR50" t="s">
        <v>1900</v>
      </c>
      <c r="KS50" t="s">
        <v>1900</v>
      </c>
      <c r="KT50" t="s">
        <v>1900</v>
      </c>
      <c r="KU50" t="s">
        <v>1900</v>
      </c>
      <c r="KV50" t="s">
        <v>1900</v>
      </c>
      <c r="KW50" t="s">
        <v>1900</v>
      </c>
      <c r="KX50" t="s">
        <v>1900</v>
      </c>
      <c r="KY50" t="s">
        <v>1900</v>
      </c>
      <c r="KZ50" t="s">
        <v>1900</v>
      </c>
      <c r="LA50" t="s">
        <v>1900</v>
      </c>
      <c r="LB50" t="s">
        <v>1900</v>
      </c>
      <c r="LC50" t="s">
        <v>1900</v>
      </c>
      <c r="LD50" t="s">
        <v>1900</v>
      </c>
      <c r="LE50" t="s">
        <v>1900</v>
      </c>
      <c r="LF50" t="s">
        <v>1900</v>
      </c>
      <c r="LG50" t="s">
        <v>1900</v>
      </c>
      <c r="LH50" t="s">
        <v>1900</v>
      </c>
      <c r="LI50" t="s">
        <v>1900</v>
      </c>
      <c r="LJ50" t="s">
        <v>1900</v>
      </c>
      <c r="LK50" t="s">
        <v>1900</v>
      </c>
      <c r="LL50" t="s">
        <v>1900</v>
      </c>
      <c r="LM50" t="s">
        <v>1900</v>
      </c>
      <c r="LN50" t="s">
        <v>1900</v>
      </c>
      <c r="LO50" t="s">
        <v>1900</v>
      </c>
      <c r="LP50" t="s">
        <v>1900</v>
      </c>
      <c r="LQ50" t="s">
        <v>1900</v>
      </c>
      <c r="LR50" t="s">
        <v>1900</v>
      </c>
      <c r="LS50" t="s">
        <v>1900</v>
      </c>
      <c r="LT50" t="s">
        <v>1900</v>
      </c>
      <c r="LU50" t="s">
        <v>1900</v>
      </c>
      <c r="LV50" t="s">
        <v>1900</v>
      </c>
      <c r="LW50" t="s">
        <v>1900</v>
      </c>
      <c r="LX50" t="s">
        <v>1900</v>
      </c>
      <c r="LY50" t="s">
        <v>1900</v>
      </c>
      <c r="LZ50" t="s">
        <v>1900</v>
      </c>
      <c r="MA50" t="s">
        <v>1900</v>
      </c>
      <c r="MB50" t="s">
        <v>1900</v>
      </c>
      <c r="MC50" t="s">
        <v>1900</v>
      </c>
      <c r="MD50" t="s">
        <v>1900</v>
      </c>
      <c r="ME50" t="s">
        <v>1900</v>
      </c>
      <c r="MF50" t="s">
        <v>1900</v>
      </c>
      <c r="MG50" t="s">
        <v>1900</v>
      </c>
      <c r="MH50" t="s">
        <v>1900</v>
      </c>
      <c r="MI50" t="s">
        <v>1900</v>
      </c>
      <c r="MJ50" t="s">
        <v>1900</v>
      </c>
      <c r="MK50" t="s">
        <v>1900</v>
      </c>
      <c r="ML50" t="s">
        <v>1900</v>
      </c>
      <c r="MM50" t="s">
        <v>1900</v>
      </c>
      <c r="MN50" t="s">
        <v>1900</v>
      </c>
      <c r="MO50" t="s">
        <v>1900</v>
      </c>
      <c r="MP50">
        <v>334542.492731739</v>
      </c>
      <c r="MQ50">
        <v>397353.913027554</v>
      </c>
      <c r="MR50">
        <v>406469.39637686</v>
      </c>
      <c r="MS50">
        <v>451483.499775267</v>
      </c>
      <c r="MT50">
        <v>490606.46046651</v>
      </c>
      <c r="MU50" t="s">
        <v>1900</v>
      </c>
      <c r="MV50" t="s">
        <v>1900</v>
      </c>
      <c r="MW50" t="s">
        <v>1900</v>
      </c>
      <c r="MX50" t="s">
        <v>1900</v>
      </c>
      <c r="MY50" t="s">
        <v>1900</v>
      </c>
      <c r="MZ50" t="s">
        <v>1900</v>
      </c>
      <c r="NA50" t="s">
        <v>1900</v>
      </c>
      <c r="NB50" t="s">
        <v>1900</v>
      </c>
      <c r="NC50" t="s">
        <v>1900</v>
      </c>
      <c r="ND50" t="s">
        <v>1900</v>
      </c>
      <c r="NE50" t="s">
        <v>1900</v>
      </c>
      <c r="NF50" t="s">
        <v>1900</v>
      </c>
      <c r="NG50" t="s">
        <v>1900</v>
      </c>
      <c r="NH50" t="s">
        <v>1900</v>
      </c>
      <c r="NI50" t="s">
        <v>1900</v>
      </c>
      <c r="NJ50" t="s">
        <v>1900</v>
      </c>
      <c r="NK50" t="s">
        <v>1900</v>
      </c>
      <c r="NL50" t="s">
        <v>1900</v>
      </c>
      <c r="NM50" t="s">
        <v>1900</v>
      </c>
      <c r="NN50" t="s">
        <v>1900</v>
      </c>
      <c r="NO50" t="s">
        <v>1900</v>
      </c>
      <c r="NP50" t="s">
        <v>1900</v>
      </c>
      <c r="NQ50" t="s">
        <v>1900</v>
      </c>
      <c r="NR50" t="s">
        <v>1900</v>
      </c>
      <c r="NS50" t="s">
        <v>1900</v>
      </c>
      <c r="NT50">
        <v>194055.525795162</v>
      </c>
      <c r="NU50">
        <v>218283.201312819</v>
      </c>
      <c r="NV50">
        <v>112169.735132307</v>
      </c>
      <c r="NW50">
        <v>126682.125884128</v>
      </c>
      <c r="NX50">
        <v>156938.146961689</v>
      </c>
      <c r="NY50" t="s">
        <v>1900</v>
      </c>
      <c r="NZ50" t="s">
        <v>1900</v>
      </c>
      <c r="OA50" t="s">
        <v>1900</v>
      </c>
      <c r="OB50" t="s">
        <v>1900</v>
      </c>
      <c r="OC50" t="s">
        <v>1900</v>
      </c>
      <c r="OD50" t="s">
        <v>1900</v>
      </c>
      <c r="OE50" t="s">
        <v>1900</v>
      </c>
      <c r="OF50" t="s">
        <v>1900</v>
      </c>
      <c r="OG50" t="s">
        <v>1900</v>
      </c>
      <c r="OH50" t="s">
        <v>1900</v>
      </c>
      <c r="OI50" t="s">
        <v>1900</v>
      </c>
      <c r="OJ50" t="s">
        <v>1900</v>
      </c>
      <c r="OK50" t="s">
        <v>1900</v>
      </c>
      <c r="OL50" t="s">
        <v>1900</v>
      </c>
      <c r="OM50" t="s">
        <v>1900</v>
      </c>
      <c r="ON50" t="s">
        <v>1900</v>
      </c>
      <c r="OO50" t="s">
        <v>1900</v>
      </c>
      <c r="OP50" t="s">
        <v>1900</v>
      </c>
      <c r="OQ50" t="s">
        <v>1900</v>
      </c>
      <c r="OR50" t="s">
        <v>1900</v>
      </c>
      <c r="OS50" t="s">
        <v>1900</v>
      </c>
      <c r="OT50" t="s">
        <v>1900</v>
      </c>
      <c r="OU50" t="s">
        <v>1900</v>
      </c>
      <c r="OV50" t="s">
        <v>1900</v>
      </c>
      <c r="OW50" t="s">
        <v>1900</v>
      </c>
      <c r="OX50" t="s">
        <v>1900</v>
      </c>
      <c r="OY50" t="s">
        <v>1900</v>
      </c>
      <c r="OZ50" t="s">
        <v>1900</v>
      </c>
      <c r="PA50" t="s">
        <v>1900</v>
      </c>
      <c r="PB50" t="s">
        <v>1900</v>
      </c>
      <c r="PC50" t="s">
        <v>1900</v>
      </c>
      <c r="PD50" t="s">
        <v>1900</v>
      </c>
      <c r="PE50" t="s">
        <v>1900</v>
      </c>
      <c r="PF50" t="s">
        <v>1900</v>
      </c>
      <c r="PG50" t="s">
        <v>1900</v>
      </c>
      <c r="PH50" t="s">
        <v>1900</v>
      </c>
      <c r="PI50" t="s">
        <v>1900</v>
      </c>
      <c r="PJ50" t="s">
        <v>1900</v>
      </c>
      <c r="PK50" t="s">
        <v>1900</v>
      </c>
      <c r="PL50" t="s">
        <v>1900</v>
      </c>
      <c r="PM50" t="s">
        <v>1900</v>
      </c>
      <c r="PN50" t="s">
        <v>1900</v>
      </c>
      <c r="PO50" t="s">
        <v>1900</v>
      </c>
      <c r="PP50" t="s">
        <v>1900</v>
      </c>
      <c r="PQ50" t="s">
        <v>1900</v>
      </c>
      <c r="PR50" t="s">
        <v>1900</v>
      </c>
      <c r="PS50" t="s">
        <v>1900</v>
      </c>
      <c r="PT50" t="s">
        <v>1900</v>
      </c>
      <c r="PU50" t="s">
        <v>1900</v>
      </c>
      <c r="PV50" t="s">
        <v>1900</v>
      </c>
      <c r="PW50" t="s">
        <v>1900</v>
      </c>
      <c r="PX50" t="s">
        <v>1900</v>
      </c>
      <c r="PY50" t="s">
        <v>1900</v>
      </c>
      <c r="PZ50" t="s">
        <v>1900</v>
      </c>
      <c r="QA50" t="s">
        <v>1900</v>
      </c>
      <c r="QB50" t="s">
        <v>1900</v>
      </c>
      <c r="QC50" t="s">
        <v>1900</v>
      </c>
      <c r="QD50" t="s">
        <v>1900</v>
      </c>
      <c r="QE50" t="s">
        <v>1900</v>
      </c>
      <c r="QF50" t="s">
        <v>1900</v>
      </c>
      <c r="QG50" t="s">
        <v>1900</v>
      </c>
      <c r="QH50" t="s">
        <v>1900</v>
      </c>
      <c r="QI50" t="s">
        <v>1900</v>
      </c>
      <c r="QJ50" t="s">
        <v>1900</v>
      </c>
      <c r="QK50" t="s">
        <v>1900</v>
      </c>
      <c r="QL50" t="s">
        <v>1900</v>
      </c>
      <c r="QM50" t="s">
        <v>1900</v>
      </c>
      <c r="QN50" t="s">
        <v>1900</v>
      </c>
      <c r="QO50" t="s">
        <v>1900</v>
      </c>
      <c r="QP50" t="s">
        <v>1900</v>
      </c>
      <c r="QQ50" t="s">
        <v>1900</v>
      </c>
      <c r="QR50" t="s">
        <v>1900</v>
      </c>
      <c r="QS50" t="s">
        <v>1900</v>
      </c>
      <c r="QT50" t="s">
        <v>1900</v>
      </c>
      <c r="QU50" t="s">
        <v>1900</v>
      </c>
      <c r="QV50" t="s">
        <v>1900</v>
      </c>
      <c r="QW50" t="s">
        <v>1900</v>
      </c>
      <c r="QX50" t="s">
        <v>1900</v>
      </c>
      <c r="QY50" t="s">
        <v>1900</v>
      </c>
      <c r="QZ50" t="s">
        <v>1900</v>
      </c>
      <c r="RA50" t="s">
        <v>1900</v>
      </c>
      <c r="RB50" t="s">
        <v>1900</v>
      </c>
      <c r="RC50" t="s">
        <v>1900</v>
      </c>
      <c r="RD50" t="s">
        <v>1900</v>
      </c>
      <c r="RE50" t="s">
        <v>1900</v>
      </c>
      <c r="RF50" t="s">
        <v>1900</v>
      </c>
      <c r="RG50" t="s">
        <v>1900</v>
      </c>
      <c r="RH50" t="s">
        <v>1900</v>
      </c>
      <c r="RI50" t="s">
        <v>1900</v>
      </c>
      <c r="RJ50" t="s">
        <v>1900</v>
      </c>
      <c r="RK50" t="s">
        <v>1900</v>
      </c>
      <c r="RL50" t="s">
        <v>1900</v>
      </c>
      <c r="RM50" t="s">
        <v>1900</v>
      </c>
      <c r="RN50" t="s">
        <v>1900</v>
      </c>
      <c r="RO50" t="s">
        <v>1900</v>
      </c>
      <c r="RP50" t="s">
        <v>1900</v>
      </c>
      <c r="RQ50" t="s">
        <v>1900</v>
      </c>
      <c r="RR50" t="s">
        <v>1900</v>
      </c>
      <c r="RS50" t="s">
        <v>1900</v>
      </c>
      <c r="RT50" t="s">
        <v>1900</v>
      </c>
      <c r="RU50" t="s">
        <v>1900</v>
      </c>
      <c r="RV50" t="s">
        <v>1900</v>
      </c>
      <c r="RW50" t="s">
        <v>1900</v>
      </c>
      <c r="RX50" t="s">
        <v>1900</v>
      </c>
      <c r="RY50" t="s">
        <v>1900</v>
      </c>
      <c r="RZ50" t="s">
        <v>1900</v>
      </c>
      <c r="SA50" t="s">
        <v>1900</v>
      </c>
      <c r="SB50" t="s">
        <v>1900</v>
      </c>
      <c r="SC50" t="s">
        <v>1900</v>
      </c>
      <c r="SD50" t="s">
        <v>1900</v>
      </c>
      <c r="SE50" t="s">
        <v>1900</v>
      </c>
      <c r="SF50" t="s">
        <v>1900</v>
      </c>
      <c r="SG50" t="s">
        <v>1900</v>
      </c>
      <c r="SH50" t="s">
        <v>1900</v>
      </c>
      <c r="SI50" t="s">
        <v>1900</v>
      </c>
      <c r="SJ50">
        <v>34826.2605239701</v>
      </c>
      <c r="SK50">
        <v>37042.1139240456</v>
      </c>
      <c r="SL50">
        <v>37905.6978913009</v>
      </c>
      <c r="SM50">
        <v>35749.1129547358</v>
      </c>
      <c r="SN50">
        <v>18960.4143862188</v>
      </c>
      <c r="SO50" t="s">
        <v>1900</v>
      </c>
      <c r="SP50" t="s">
        <v>1900</v>
      </c>
      <c r="SQ50" t="s">
        <v>1900</v>
      </c>
      <c r="SR50" t="s">
        <v>1900</v>
      </c>
      <c r="SS50" t="s">
        <v>1900</v>
      </c>
      <c r="ST50" t="s">
        <v>1900</v>
      </c>
      <c r="SU50" t="s">
        <v>1900</v>
      </c>
      <c r="SV50" t="s">
        <v>1900</v>
      </c>
      <c r="SW50" t="s">
        <v>1900</v>
      </c>
      <c r="SX50" t="s">
        <v>1900</v>
      </c>
      <c r="SY50" t="s">
        <v>1900</v>
      </c>
      <c r="SZ50" t="s">
        <v>1900</v>
      </c>
      <c r="TA50" t="s">
        <v>1900</v>
      </c>
      <c r="TB50" t="s">
        <v>1900</v>
      </c>
      <c r="TC50" t="s">
        <v>1900</v>
      </c>
      <c r="TD50" t="s">
        <v>1900</v>
      </c>
      <c r="TE50" t="s">
        <v>1900</v>
      </c>
      <c r="TF50" t="s">
        <v>1900</v>
      </c>
      <c r="TG50" t="s">
        <v>1900</v>
      </c>
      <c r="TH50" t="s">
        <v>1900</v>
      </c>
      <c r="TI50" t="s">
        <v>1900</v>
      </c>
      <c r="TJ50" t="s">
        <v>1900</v>
      </c>
      <c r="TK50" t="s">
        <v>1900</v>
      </c>
      <c r="TL50" t="s">
        <v>1900</v>
      </c>
      <c r="TM50" t="s">
        <v>1900</v>
      </c>
      <c r="TN50" t="s">
        <v>1900</v>
      </c>
      <c r="TO50" t="s">
        <v>1900</v>
      </c>
      <c r="TP50" t="s">
        <v>1900</v>
      </c>
      <c r="TQ50" t="s">
        <v>1900</v>
      </c>
      <c r="TR50" t="s">
        <v>1900</v>
      </c>
      <c r="TS50">
        <v>980496.5149739929</v>
      </c>
      <c r="TT50">
        <v>1084636.34232146</v>
      </c>
      <c r="TU50">
        <v>991714.732779169</v>
      </c>
      <c r="TV50">
        <v>1085188.50334182</v>
      </c>
      <c r="TW50">
        <v>1204618.17763165</v>
      </c>
      <c r="TX50" t="s">
        <v>1900</v>
      </c>
      <c r="TY50" t="s">
        <v>1900</v>
      </c>
      <c r="TZ50" t="s">
        <v>1900</v>
      </c>
      <c r="UA50" t="s">
        <v>1900</v>
      </c>
      <c r="UB50" t="s">
        <v>1900</v>
      </c>
      <c r="UC50">
        <v>153600.538725575</v>
      </c>
      <c r="UD50">
        <v>206440.015947742</v>
      </c>
      <c r="UE50">
        <v>189721.351975971</v>
      </c>
      <c r="UF50">
        <v>193223.515221977</v>
      </c>
      <c r="UG50">
        <v>228965.673109108</v>
      </c>
      <c r="UH50" t="s">
        <v>1900</v>
      </c>
      <c r="UI50" t="s">
        <v>1900</v>
      </c>
      <c r="UJ50" t="s">
        <v>1900</v>
      </c>
      <c r="UK50" t="s">
        <v>1900</v>
      </c>
      <c r="UL50" t="s">
        <v>1900</v>
      </c>
      <c r="UM50" t="s">
        <v>1900</v>
      </c>
      <c r="UN50" t="s">
        <v>1900</v>
      </c>
      <c r="UO50" t="s">
        <v>1900</v>
      </c>
      <c r="UP50" t="s">
        <v>1900</v>
      </c>
      <c r="UQ50" t="s">
        <v>1900</v>
      </c>
      <c r="UR50" t="s">
        <v>1900</v>
      </c>
      <c r="US50" t="s">
        <v>1900</v>
      </c>
      <c r="UT50" t="s">
        <v>1900</v>
      </c>
      <c r="UU50" t="s">
        <v>1900</v>
      </c>
      <c r="UV50" t="s">
        <v>1900</v>
      </c>
      <c r="UW50" t="s">
        <v>1900</v>
      </c>
      <c r="UX50" t="s">
        <v>1900</v>
      </c>
      <c r="UY50" t="s">
        <v>1900</v>
      </c>
      <c r="UZ50" t="s">
        <v>1900</v>
      </c>
      <c r="VA50" t="s">
        <v>1900</v>
      </c>
      <c r="VB50" t="s">
        <v>1900</v>
      </c>
      <c r="VC50" t="s">
        <v>1900</v>
      </c>
      <c r="VD50" t="s">
        <v>1900</v>
      </c>
      <c r="VE50" t="s">
        <v>1900</v>
      </c>
      <c r="VF50" t="s">
        <v>1900</v>
      </c>
      <c r="VG50" t="s">
        <v>1900</v>
      </c>
      <c r="VH50" t="s">
        <v>1900</v>
      </c>
      <c r="VI50" t="s">
        <v>1900</v>
      </c>
      <c r="VJ50" t="s">
        <v>1900</v>
      </c>
      <c r="VK50" t="s">
        <v>1900</v>
      </c>
      <c r="VL50" t="s">
        <v>1900</v>
      </c>
      <c r="VM50" t="s">
        <v>1900</v>
      </c>
      <c r="VN50" t="s">
        <v>1900</v>
      </c>
      <c r="VO50" t="s">
        <v>1900</v>
      </c>
      <c r="VP50" t="s">
        <v>1900</v>
      </c>
      <c r="VQ50" t="s">
        <v>1900</v>
      </c>
      <c r="VR50" t="s">
        <v>1900</v>
      </c>
      <c r="VS50" t="s">
        <v>1900</v>
      </c>
      <c r="VT50" t="s">
        <v>1900</v>
      </c>
      <c r="VU50" t="s">
        <v>1900</v>
      </c>
      <c r="VV50" t="s">
        <v>1900</v>
      </c>
      <c r="VW50" t="s">
        <v>1900</v>
      </c>
      <c r="VX50" t="s">
        <v>1900</v>
      </c>
      <c r="VY50" t="s">
        <v>1900</v>
      </c>
      <c r="VZ50" t="s">
        <v>1900</v>
      </c>
      <c r="WA50">
        <v>180665.430115362</v>
      </c>
      <c r="WB50">
        <v>228831.149296608</v>
      </c>
      <c r="WC50">
        <v>205764.448188686</v>
      </c>
      <c r="WD50">
        <v>218644.378016925</v>
      </c>
      <c r="WE50">
        <v>210728.057023233</v>
      </c>
      <c r="WF50" t="s">
        <v>1900</v>
      </c>
      <c r="WG50" t="s">
        <v>1900</v>
      </c>
      <c r="WH50" t="s">
        <v>1900</v>
      </c>
      <c r="WI50" t="s">
        <v>1900</v>
      </c>
      <c r="WJ50" t="s">
        <v>1900</v>
      </c>
      <c r="WK50" t="s">
        <v>1900</v>
      </c>
      <c r="WL50" t="s">
        <v>1900</v>
      </c>
      <c r="WM50" t="s">
        <v>1900</v>
      </c>
      <c r="WN50" t="s">
        <v>1900</v>
      </c>
      <c r="WO50" t="s">
        <v>1900</v>
      </c>
      <c r="WP50" t="s">
        <v>1900</v>
      </c>
      <c r="WQ50" t="s">
        <v>1900</v>
      </c>
      <c r="WR50" t="s">
        <v>1900</v>
      </c>
      <c r="WS50" t="s">
        <v>1900</v>
      </c>
      <c r="WT50" t="s">
        <v>1900</v>
      </c>
      <c r="WU50" t="s">
        <v>1900</v>
      </c>
      <c r="WV50" t="s">
        <v>1900</v>
      </c>
      <c r="WW50" t="s">
        <v>1900</v>
      </c>
      <c r="WX50" t="s">
        <v>1900</v>
      </c>
      <c r="WY50" t="s">
        <v>1900</v>
      </c>
      <c r="WZ50" t="s">
        <v>1900</v>
      </c>
      <c r="XA50" t="s">
        <v>1900</v>
      </c>
      <c r="XB50" t="s">
        <v>1900</v>
      </c>
      <c r="XC50" t="s">
        <v>1900</v>
      </c>
      <c r="XD50" t="s">
        <v>1900</v>
      </c>
      <c r="XE50" t="s">
        <v>1900</v>
      </c>
      <c r="XF50" t="s">
        <v>1900</v>
      </c>
      <c r="XG50" t="s">
        <v>1900</v>
      </c>
      <c r="XH50" t="s">
        <v>1900</v>
      </c>
      <c r="XI50" t="s">
        <v>1900</v>
      </c>
      <c r="XJ50">
        <v>0</v>
      </c>
      <c r="XK50">
        <v>517.968982458115</v>
      </c>
      <c r="XL50">
        <v>999.937020242214</v>
      </c>
      <c r="XM50">
        <v>1592.71918237209</v>
      </c>
      <c r="XN50">
        <v>0</v>
      </c>
      <c r="XO50" t="s">
        <v>1900</v>
      </c>
      <c r="XP50" t="s">
        <v>1900</v>
      </c>
      <c r="XQ50" t="s">
        <v>1900</v>
      </c>
      <c r="XR50" t="s">
        <v>1900</v>
      </c>
      <c r="XS50" t="s">
        <v>1900</v>
      </c>
      <c r="XT50" t="s">
        <v>1900</v>
      </c>
      <c r="XU50" t="s">
        <v>1900</v>
      </c>
      <c r="XV50" t="s">
        <v>1900</v>
      </c>
      <c r="XW50" t="s">
        <v>1900</v>
      </c>
      <c r="XX50" t="s">
        <v>1900</v>
      </c>
      <c r="XY50">
        <v>0</v>
      </c>
      <c r="XZ50" t="s">
        <v>1900</v>
      </c>
      <c r="YA50" t="s">
        <v>1900</v>
      </c>
      <c r="YB50" t="s">
        <v>1900</v>
      </c>
      <c r="YC50">
        <v>0</v>
      </c>
      <c r="YD50" t="s">
        <v>1900</v>
      </c>
      <c r="YE50" t="s">
        <v>1900</v>
      </c>
      <c r="YF50" t="s">
        <v>1900</v>
      </c>
      <c r="YG50" t="s">
        <v>1900</v>
      </c>
      <c r="YH50" t="s">
        <v>1900</v>
      </c>
      <c r="YI50" t="s">
        <v>1900</v>
      </c>
      <c r="YJ50" t="s">
        <v>1900</v>
      </c>
      <c r="YK50" t="s">
        <v>1900</v>
      </c>
      <c r="YL50" t="s">
        <v>1900</v>
      </c>
      <c r="YM50" t="s">
        <v>1900</v>
      </c>
      <c r="YN50" t="s">
        <v>1900</v>
      </c>
      <c r="YO50" t="s">
        <v>1900</v>
      </c>
      <c r="YP50" t="s">
        <v>1900</v>
      </c>
      <c r="YQ50" t="s">
        <v>1900</v>
      </c>
      <c r="YR50" t="s">
        <v>1900</v>
      </c>
      <c r="YS50" t="s">
        <v>1900</v>
      </c>
      <c r="YT50" t="s">
        <v>1900</v>
      </c>
      <c r="YU50" t="s">
        <v>1900</v>
      </c>
      <c r="YV50" t="s">
        <v>1900</v>
      </c>
      <c r="YW50" t="s">
        <v>1900</v>
      </c>
      <c r="YX50" t="s">
        <v>1900</v>
      </c>
      <c r="YY50" t="s">
        <v>1900</v>
      </c>
      <c r="YZ50" t="s">
        <v>1900</v>
      </c>
      <c r="ZA50" t="s">
        <v>1900</v>
      </c>
      <c r="ZB50" t="s">
        <v>1900</v>
      </c>
      <c r="ZC50" t="s">
        <v>1900</v>
      </c>
      <c r="ZD50" t="s">
        <v>1900</v>
      </c>
      <c r="ZE50" t="s">
        <v>1900</v>
      </c>
      <c r="ZF50" t="s">
        <v>1900</v>
      </c>
      <c r="ZG50" t="s">
        <v>1900</v>
      </c>
      <c r="ZH50" t="s">
        <v>1900</v>
      </c>
      <c r="ZI50" t="s">
        <v>1900</v>
      </c>
      <c r="ZJ50" t="s">
        <v>1900</v>
      </c>
      <c r="ZK50" t="s">
        <v>1900</v>
      </c>
      <c r="ZL50" t="s">
        <v>1900</v>
      </c>
      <c r="ZM50" t="s">
        <v>1900</v>
      </c>
      <c r="ZN50" t="s">
        <v>1900</v>
      </c>
      <c r="ZO50" t="s">
        <v>1900</v>
      </c>
      <c r="ZP50" t="s">
        <v>1900</v>
      </c>
      <c r="ZQ50" t="s">
        <v>1900</v>
      </c>
      <c r="ZR50" t="s">
        <v>1900</v>
      </c>
      <c r="ZS50" t="s">
        <v>1900</v>
      </c>
      <c r="ZT50" t="s">
        <v>1900</v>
      </c>
      <c r="ZU50" t="s">
        <v>1900</v>
      </c>
      <c r="ZV50" t="s">
        <v>1900</v>
      </c>
      <c r="ZW50" t="s">
        <v>1900</v>
      </c>
      <c r="ZX50" t="s">
        <v>1900</v>
      </c>
      <c r="ZY50" t="s">
        <v>1900</v>
      </c>
      <c r="ZZ50" t="s">
        <v>1900</v>
      </c>
      <c r="AAA50" t="s">
        <v>1900</v>
      </c>
      <c r="AAB50" t="s">
        <v>1900</v>
      </c>
      <c r="AAC50" t="s">
        <v>1900</v>
      </c>
      <c r="AAD50" t="s">
        <v>1900</v>
      </c>
      <c r="AAE50" t="s">
        <v>1900</v>
      </c>
      <c r="AAF50" t="s">
        <v>1900</v>
      </c>
      <c r="AAG50" t="s">
        <v>1900</v>
      </c>
      <c r="AAH50" t="s">
        <v>1900</v>
      </c>
      <c r="AAI50" t="s">
        <v>1900</v>
      </c>
      <c r="AAJ50" t="s">
        <v>1900</v>
      </c>
      <c r="AAK50" t="s">
        <v>1900</v>
      </c>
      <c r="AAL50" t="s">
        <v>1900</v>
      </c>
      <c r="AAM50" t="s">
        <v>1900</v>
      </c>
      <c r="AAN50" t="s">
        <v>1900</v>
      </c>
      <c r="AAO50" t="s">
        <v>1900</v>
      </c>
      <c r="AAP50" t="s">
        <v>1900</v>
      </c>
      <c r="AAQ50" t="s">
        <v>1900</v>
      </c>
      <c r="AAR50" t="s">
        <v>1900</v>
      </c>
      <c r="AAS50" t="s">
        <v>1900</v>
      </c>
      <c r="AAT50" t="s">
        <v>1900</v>
      </c>
      <c r="AAU50" t="s">
        <v>1900</v>
      </c>
      <c r="AAV50" t="s">
        <v>1900</v>
      </c>
      <c r="AAW50" t="s">
        <v>1900</v>
      </c>
      <c r="AAX50" t="s">
        <v>1900</v>
      </c>
      <c r="AAY50" t="s">
        <v>1900</v>
      </c>
      <c r="AAZ50" t="s">
        <v>1900</v>
      </c>
      <c r="ABA50" t="s">
        <v>1900</v>
      </c>
      <c r="ABB50" t="s">
        <v>1900</v>
      </c>
      <c r="ABC50" t="s">
        <v>1900</v>
      </c>
      <c r="ABD50" t="s">
        <v>1900</v>
      </c>
      <c r="ABE50" t="s">
        <v>1900</v>
      </c>
      <c r="ABF50" t="s">
        <v>1900</v>
      </c>
      <c r="ABG50" t="s">
        <v>1900</v>
      </c>
      <c r="ABH50" t="s">
        <v>1900</v>
      </c>
      <c r="ABI50" t="s">
        <v>1900</v>
      </c>
      <c r="ABJ50" t="s">
        <v>1900</v>
      </c>
      <c r="ABK50" t="s">
        <v>1900</v>
      </c>
      <c r="ABL50" t="s">
        <v>1900</v>
      </c>
      <c r="ABM50" t="s">
        <v>1900</v>
      </c>
      <c r="ABN50" t="s">
        <v>1900</v>
      </c>
      <c r="ABO50" t="s">
        <v>1900</v>
      </c>
      <c r="ABP50" t="s">
        <v>1900</v>
      </c>
      <c r="ABQ50" t="s">
        <v>1900</v>
      </c>
      <c r="ABR50" t="s">
        <v>1900</v>
      </c>
      <c r="ABS50" t="s">
        <v>1900</v>
      </c>
      <c r="ABT50" t="s">
        <v>1900</v>
      </c>
      <c r="ABU50" t="s">
        <v>1900</v>
      </c>
      <c r="ABV50" t="s">
        <v>1900</v>
      </c>
      <c r="ABW50" t="s">
        <v>1900</v>
      </c>
      <c r="ABX50" t="s">
        <v>1900</v>
      </c>
      <c r="ABY50" t="s">
        <v>1900</v>
      </c>
      <c r="ABZ50" t="s">
        <v>1900</v>
      </c>
      <c r="ACA50" t="s">
        <v>1900</v>
      </c>
      <c r="ACB50" t="s">
        <v>1900</v>
      </c>
      <c r="ACC50" t="s">
        <v>1900</v>
      </c>
      <c r="ACD50" t="s">
        <v>1900</v>
      </c>
      <c r="ACE50">
        <v>13.187</v>
      </c>
      <c r="ACF50">
        <v>1.297</v>
      </c>
      <c r="ACG50">
        <v>-6.614</v>
      </c>
      <c r="ACH50">
        <v>-12.112</v>
      </c>
      <c r="ACI50">
        <v>-7.881</v>
      </c>
      <c r="ACJ50">
        <v>13.239</v>
      </c>
      <c r="ACK50">
        <v>3.126</v>
      </c>
      <c r="ACL50">
        <v>-4.495</v>
      </c>
      <c r="ACM50">
        <v>-8.835000000000001</v>
      </c>
      <c r="ACN50">
        <v>-5.915</v>
      </c>
      <c r="ACO50">
        <v>7.257</v>
      </c>
      <c r="ACP50">
        <v>0.598</v>
      </c>
      <c r="ACQ50">
        <v>-3.194</v>
      </c>
      <c r="ACR50">
        <v>-5.974</v>
      </c>
      <c r="ACS50">
        <v>-4.169</v>
      </c>
      <c r="ACT50">
        <v>13.187</v>
      </c>
      <c r="ACU50">
        <v>0.973</v>
      </c>
      <c r="ACV50">
        <v>-4.961</v>
      </c>
      <c r="ACW50">
        <v>-9.231</v>
      </c>
      <c r="ACX50">
        <v>-5.911</v>
      </c>
      <c r="ACY50">
        <v>13.239</v>
      </c>
      <c r="ACZ50">
        <v>2.876</v>
      </c>
      <c r="ADA50">
        <v>-3.167</v>
      </c>
      <c r="ADB50">
        <v>-6.545</v>
      </c>
      <c r="ADC50">
        <v>-4.274</v>
      </c>
      <c r="ADD50">
        <v>7.257</v>
      </c>
      <c r="ADE50">
        <v>0.448</v>
      </c>
      <c r="ADF50">
        <v>-2.396</v>
      </c>
      <c r="ADG50">
        <v>-4.553</v>
      </c>
      <c r="ADH50">
        <v>-3.127</v>
      </c>
      <c r="ADI50">
        <v>5.773</v>
      </c>
      <c r="ADJ50">
        <v>0.508</v>
      </c>
      <c r="ADK50">
        <v>-2.667</v>
      </c>
      <c r="ADL50">
        <v>-4.968</v>
      </c>
      <c r="ADM50">
        <v>-3.578</v>
      </c>
      <c r="ADN50">
        <v>100</v>
      </c>
      <c r="ADO50">
        <v>100</v>
      </c>
      <c r="ADP50">
        <v>100</v>
      </c>
      <c r="ADQ50">
        <v>100</v>
      </c>
      <c r="ADR50">
        <v>100</v>
      </c>
      <c r="ADS50">
        <v>6.365080049</v>
      </c>
      <c r="ADT50">
        <v>1.825338299</v>
      </c>
      <c r="ADU50">
        <v>-2.26225922</v>
      </c>
      <c r="ADV50">
        <v>-4.558562557</v>
      </c>
      <c r="ADW50">
        <v>-3.223714229</v>
      </c>
      <c r="ADX50">
        <v>7.271</v>
      </c>
      <c r="ADY50">
        <v>2.874</v>
      </c>
      <c r="ADZ50">
        <v>-1.305</v>
      </c>
      <c r="AEA50">
        <v>-1.666</v>
      </c>
      <c r="AEB50">
        <v>-1.868</v>
      </c>
      <c r="AEC50">
        <v>6.365</v>
      </c>
      <c r="AED50">
        <v>1.825</v>
      </c>
      <c r="AEE50">
        <v>-2.262</v>
      </c>
      <c r="AEF50">
        <v>-4.559</v>
      </c>
      <c r="AEG50">
        <v>-3.224</v>
      </c>
      <c r="AEH50">
        <v>6.679</v>
      </c>
      <c r="AEI50">
        <v>1.429</v>
      </c>
      <c r="AEJ50">
        <v>-1.043</v>
      </c>
      <c r="AEK50">
        <v>-0.894</v>
      </c>
      <c r="AEL50">
        <v>-1.328</v>
      </c>
      <c r="AEM50">
        <v>6.797763112</v>
      </c>
      <c r="AEN50">
        <v>1.859276383</v>
      </c>
      <c r="AEO50">
        <v>-2.212213222</v>
      </c>
      <c r="AEP50">
        <v>-4.359817547</v>
      </c>
      <c r="AEQ50">
        <v>-3.123036459</v>
      </c>
      <c r="AER50" t="s">
        <v>1900</v>
      </c>
      <c r="AES50" t="s">
        <v>1900</v>
      </c>
      <c r="AET50" t="s">
        <v>1900</v>
      </c>
      <c r="AEU50" t="s">
        <v>1900</v>
      </c>
      <c r="AEV50" t="s">
        <v>1900</v>
      </c>
      <c r="AEW50" t="s">
        <v>1900</v>
      </c>
      <c r="AEX50" t="s">
        <v>1900</v>
      </c>
      <c r="AEY50" t="s">
        <v>1900</v>
      </c>
      <c r="AEZ50" t="s">
        <v>1900</v>
      </c>
      <c r="AFA50" t="s">
        <v>1900</v>
      </c>
      <c r="AFB50" t="s">
        <v>1900</v>
      </c>
      <c r="AFC50" t="s">
        <v>1900</v>
      </c>
      <c r="AFD50" t="s">
        <v>1900</v>
      </c>
      <c r="AFE50" t="s">
        <v>1900</v>
      </c>
      <c r="AFF50" t="s">
        <v>1900</v>
      </c>
      <c r="AFG50">
        <v>1.907</v>
      </c>
      <c r="AFH50">
        <v>1.965</v>
      </c>
      <c r="AFI50">
        <v>1.993</v>
      </c>
      <c r="AFJ50">
        <v>1.938</v>
      </c>
      <c r="AFK50">
        <v>1.835</v>
      </c>
      <c r="AFL50">
        <v>5.448</v>
      </c>
      <c r="AFM50">
        <v>1.686</v>
      </c>
      <c r="AFN50">
        <v>-5.509</v>
      </c>
      <c r="AFO50">
        <v>-11.14</v>
      </c>
      <c r="AFP50">
        <v>-9.090999999999999</v>
      </c>
      <c r="AFQ50" t="s">
        <v>1901</v>
      </c>
      <c r="AFR50" t="s">
        <v>1901</v>
      </c>
      <c r="AFS50" t="s">
        <v>1901</v>
      </c>
      <c r="AFT50" t="s">
        <v>1901</v>
      </c>
      <c r="AFU50" t="s">
        <v>1901</v>
      </c>
      <c r="AFV50">
        <v>131.985</v>
      </c>
      <c r="AFW50">
        <v>132.3</v>
      </c>
      <c r="AFX50">
        <v>143.357</v>
      </c>
      <c r="AFY50">
        <v>139.873</v>
      </c>
      <c r="AFZ50">
        <v>142.882</v>
      </c>
      <c r="AGA50">
        <v>0</v>
      </c>
      <c r="AGB50">
        <v>0</v>
      </c>
      <c r="AGC50" t="s">
        <v>1900</v>
      </c>
      <c r="AGD50">
        <v>0</v>
      </c>
      <c r="AGE50">
        <v>0</v>
      </c>
      <c r="AGF50" t="s">
        <v>1900</v>
      </c>
      <c r="AGG50" t="s">
        <v>1900</v>
      </c>
      <c r="AGH50" t="s">
        <v>1900</v>
      </c>
      <c r="AGI50" t="s">
        <v>1900</v>
      </c>
      <c r="AGJ50" t="s">
        <v>1900</v>
      </c>
      <c r="AGK50" t="s">
        <v>1900</v>
      </c>
      <c r="AGL50" t="s">
        <v>1900</v>
      </c>
      <c r="AGM50" t="s">
        <v>1900</v>
      </c>
      <c r="AGN50" t="s">
        <v>1900</v>
      </c>
      <c r="AGO50" t="s">
        <v>1900</v>
      </c>
      <c r="AGP50" t="s">
        <v>1900</v>
      </c>
      <c r="AGQ50" t="s">
        <v>1900</v>
      </c>
      <c r="AGR50" t="s">
        <v>1900</v>
      </c>
      <c r="AGS50" t="s">
        <v>1900</v>
      </c>
      <c r="AGT50" t="s">
        <v>1900</v>
      </c>
      <c r="AGU50">
        <v>0</v>
      </c>
      <c r="AGV50">
        <v>0</v>
      </c>
      <c r="AGW50">
        <v>0</v>
      </c>
      <c r="AGX50">
        <v>0</v>
      </c>
      <c r="AGY50">
        <v>0</v>
      </c>
      <c r="AGZ50">
        <v>2.353</v>
      </c>
      <c r="AHA50">
        <v>1.99</v>
      </c>
      <c r="AHB50">
        <v>2.224</v>
      </c>
      <c r="AHC50">
        <v>2.327</v>
      </c>
      <c r="AHD50">
        <v>2.383</v>
      </c>
      <c r="AHE50">
        <v>2.353</v>
      </c>
      <c r="AHF50">
        <v>1.99</v>
      </c>
      <c r="AHG50">
        <v>2.224</v>
      </c>
      <c r="AHH50">
        <v>2.327</v>
      </c>
      <c r="AHI50">
        <v>2.383</v>
      </c>
      <c r="AHJ50">
        <v>5.059</v>
      </c>
      <c r="AHK50">
        <v>3.337</v>
      </c>
      <c r="AHL50">
        <v>4.083</v>
      </c>
      <c r="AHM50">
        <v>3.877</v>
      </c>
      <c r="AHN50">
        <v>4.994</v>
      </c>
      <c r="AHO50">
        <v>55.031</v>
      </c>
      <c r="AHP50">
        <v>46.065</v>
      </c>
      <c r="AHQ50">
        <v>48.294</v>
      </c>
      <c r="AHR50">
        <v>49.323</v>
      </c>
      <c r="AHS50">
        <v>52.905</v>
      </c>
      <c r="AHT50" t="s">
        <v>1901</v>
      </c>
      <c r="AHU50">
        <v>85.407</v>
      </c>
      <c r="AHV50">
        <v>93.402</v>
      </c>
      <c r="AHW50">
        <v>97.32899999999999</v>
      </c>
      <c r="AHX50" t="s">
        <v>1901</v>
      </c>
      <c r="AHY50">
        <v>48.233</v>
      </c>
      <c r="AHZ50">
        <v>71.286</v>
      </c>
      <c r="AIA50">
        <v>64.102</v>
      </c>
      <c r="AIB50">
        <v>61.895</v>
      </c>
      <c r="AIC50">
        <v>55.952</v>
      </c>
      <c r="AID50">
        <v>3.55190049</v>
      </c>
      <c r="AIE50">
        <v>3.415164372</v>
      </c>
      <c r="AIF50">
        <v>3.822238053</v>
      </c>
      <c r="AIG50">
        <v>3.294276786</v>
      </c>
      <c r="AIH50">
        <v>1.573977111</v>
      </c>
      <c r="AII50">
        <v>34.119702378</v>
      </c>
      <c r="AIJ50">
        <v>36.634759276</v>
      </c>
      <c r="AIK50">
        <v>40.986523941</v>
      </c>
      <c r="AIL50">
        <v>41.604154337</v>
      </c>
      <c r="AIM50">
        <v>40.727134089</v>
      </c>
      <c r="AIN50">
        <v>18.42591252</v>
      </c>
      <c r="AIO50">
        <v>21.097499721</v>
      </c>
      <c r="AIP50">
        <v>20.748350447</v>
      </c>
      <c r="AIQ50">
        <v>20.148055139</v>
      </c>
      <c r="AIR50">
        <v>17.493348593</v>
      </c>
      <c r="AIS50" t="s">
        <v>1900</v>
      </c>
      <c r="AIT50" t="s">
        <v>1900</v>
      </c>
      <c r="AIU50" t="s">
        <v>1900</v>
      </c>
      <c r="AIV50" t="s">
        <v>1900</v>
      </c>
      <c r="AIW50" t="s">
        <v>1900</v>
      </c>
      <c r="AIX50">
        <v>4.18563586603081</v>
      </c>
      <c r="AIY50">
        <v>0.360062201591492</v>
      </c>
      <c r="AIZ50">
        <v>-1.37731911797881</v>
      </c>
      <c r="AJA50">
        <v>-3.41195955883741</v>
      </c>
      <c r="AJB50">
        <v>-2.00898611234009</v>
      </c>
      <c r="AJC50">
        <v>72.50540463792601</v>
      </c>
      <c r="AJD50">
        <v>70.89929707373329</v>
      </c>
      <c r="AJE50">
        <v>51.6517451807123</v>
      </c>
      <c r="AJF50">
        <v>68.6820016537571</v>
      </c>
      <c r="AJG50">
        <v>56.1433073613548</v>
      </c>
      <c r="AJH50">
        <v>71.164</v>
      </c>
      <c r="AJI50">
        <v>72.867</v>
      </c>
      <c r="AJJ50">
        <v>74.348</v>
      </c>
      <c r="AJK50">
        <v>75.747</v>
      </c>
      <c r="AJL50">
        <v>75.53400000000001</v>
      </c>
      <c r="AJM50">
        <v>51.5975077435089</v>
      </c>
      <c r="AJN50">
        <v>51.6622329403753</v>
      </c>
      <c r="AJO50">
        <v>38.4021903536898</v>
      </c>
      <c r="AJP50">
        <v>52.0246099532103</v>
      </c>
      <c r="AJQ50">
        <v>42.407301374144</v>
      </c>
      <c r="AJR50">
        <v>31.739888417765</v>
      </c>
      <c r="AJS50">
        <v>27.7574986422243</v>
      </c>
      <c r="AJT50">
        <v>20.8234745933467</v>
      </c>
      <c r="AJU50">
        <v>28.1710292703295</v>
      </c>
      <c r="AJV50">
        <v>25.4922443235004</v>
      </c>
      <c r="AJW50">
        <v>26.5822643746643</v>
      </c>
      <c r="AJX50">
        <v>26.055512788394</v>
      </c>
      <c r="AJY50">
        <v>20.5685039856786</v>
      </c>
      <c r="AJZ50">
        <v>26.6854144360328</v>
      </c>
      <c r="AKA50">
        <v>22.2829428081381</v>
      </c>
      <c r="AKB50">
        <v>57.6762658311524</v>
      </c>
      <c r="AKC50">
        <v>60.2575743278589</v>
      </c>
      <c r="AKD50">
        <v>43.1180319990855</v>
      </c>
      <c r="AKE50">
        <v>57.1151839691377</v>
      </c>
      <c r="AKF50">
        <v>48.1847266144264</v>
      </c>
      <c r="AKG50" t="s">
        <v>1900</v>
      </c>
      <c r="AKH50" t="s">
        <v>1900</v>
      </c>
      <c r="AKI50" t="s">
        <v>1900</v>
      </c>
      <c r="AKJ50" t="s">
        <v>1900</v>
      </c>
      <c r="AKK50" t="s">
        <v>1900</v>
      </c>
      <c r="AKL50">
        <v>0</v>
      </c>
      <c r="AKM50">
        <v>0</v>
      </c>
      <c r="AKN50">
        <v>0</v>
      </c>
      <c r="AKO50">
        <v>0</v>
      </c>
      <c r="AKP50">
        <v>0</v>
      </c>
      <c r="AKQ50">
        <v>0</v>
      </c>
      <c r="AKR50">
        <v>0</v>
      </c>
      <c r="AKS50">
        <v>0</v>
      </c>
      <c r="AKT50">
        <v>0</v>
      </c>
      <c r="AKU50">
        <v>0</v>
      </c>
      <c r="AKV50">
        <v>0.022023029</v>
      </c>
      <c r="AKW50">
        <v>0.042766593</v>
      </c>
      <c r="AKX50">
        <v>0.546649341</v>
      </c>
      <c r="AKY50">
        <v>1.014037084</v>
      </c>
      <c r="AKZ50">
        <v>2.833735586</v>
      </c>
      <c r="ALA50">
        <v>0.027685367</v>
      </c>
      <c r="ALB50">
        <v>0.05031934</v>
      </c>
      <c r="ALC50">
        <v>0.654839551</v>
      </c>
      <c r="ALD50">
        <v>1.219397211</v>
      </c>
      <c r="ALE50">
        <v>3.301778363</v>
      </c>
      <c r="ALF50">
        <v>12.896224133</v>
      </c>
      <c r="ALG50">
        <v>14.158995198</v>
      </c>
      <c r="ALH50">
        <v>5.704584093</v>
      </c>
      <c r="ALI50">
        <v>5.954233994</v>
      </c>
      <c r="ALJ50">
        <v>6.996660082</v>
      </c>
      <c r="ALK50">
        <v>16.211971056</v>
      </c>
      <c r="ALL50">
        <v>16.659528959</v>
      </c>
      <c r="ALM50">
        <v>6.833607961</v>
      </c>
      <c r="ALN50">
        <v>7.160069826</v>
      </c>
      <c r="ALO50">
        <v>8.152285268</v>
      </c>
      <c r="ALP50">
        <v>36.662459374</v>
      </c>
      <c r="ALQ50">
        <v>36.750029543</v>
      </c>
      <c r="ALR50">
        <v>39.821508841</v>
      </c>
      <c r="ALS50">
        <v>38.853577384</v>
      </c>
      <c r="ALT50">
        <v>39.689401392</v>
      </c>
      <c r="ALU50">
        <v>0</v>
      </c>
      <c r="ALV50">
        <v>0</v>
      </c>
      <c r="ALW50" t="s">
        <v>1900</v>
      </c>
      <c r="ALX50">
        <v>0</v>
      </c>
      <c r="ALY50">
        <v>0</v>
      </c>
      <c r="ALZ50">
        <v>100</v>
      </c>
      <c r="AMA50">
        <v>100</v>
      </c>
      <c r="AMB50">
        <v>100</v>
      </c>
      <c r="AMC50">
        <v>100</v>
      </c>
      <c r="AMD50">
        <v>100</v>
      </c>
      <c r="AME50" t="s">
        <v>1901</v>
      </c>
      <c r="AMF50" t="s">
        <v>1901</v>
      </c>
      <c r="AMG50">
        <v>100</v>
      </c>
      <c r="AMH50">
        <v>100</v>
      </c>
      <c r="AMI50">
        <v>100</v>
      </c>
      <c r="AMJ50" t="s">
        <v>1900</v>
      </c>
      <c r="AMK50" t="s">
        <v>1900</v>
      </c>
      <c r="AML50" t="s">
        <v>1900</v>
      </c>
      <c r="AMM50" t="s">
        <v>1900</v>
      </c>
      <c r="AMN50" t="s">
        <v>1900</v>
      </c>
      <c r="AMO50">
        <v>1.06797763112202</v>
      </c>
      <c r="AMP50">
        <v>1.018592763826</v>
      </c>
      <c r="AMQ50">
        <v>0.977877867780056</v>
      </c>
      <c r="AMR50">
        <v>0.956401824531546</v>
      </c>
      <c r="AMS50">
        <v>0.96876963541351</v>
      </c>
      <c r="AMT50">
        <v>1.06797763112202</v>
      </c>
      <c r="AMU50">
        <v>1.018592763826</v>
      </c>
      <c r="AMV50">
        <v>0.977877867780056</v>
      </c>
      <c r="AMW50">
        <v>0.956401824531546</v>
      </c>
      <c r="AMX50">
        <v>0.96876963541351</v>
      </c>
      <c r="AMY50" t="s">
        <v>1900</v>
      </c>
      <c r="AMZ50" t="s">
        <v>1900</v>
      </c>
      <c r="ANA50" t="s">
        <v>1900</v>
      </c>
      <c r="ANB50" t="s">
        <v>1900</v>
      </c>
      <c r="ANC50" t="s">
        <v>1900</v>
      </c>
      <c r="AND50">
        <v>6.36508004859681</v>
      </c>
      <c r="ANE50">
        <v>1.82533829870976</v>
      </c>
      <c r="ANF50">
        <v>-2.26225921956538</v>
      </c>
      <c r="ANG50">
        <v>-4.55856255709346</v>
      </c>
      <c r="ANH50">
        <v>-3.22371422935435</v>
      </c>
      <c r="ANI50">
        <v>6.40285692892994</v>
      </c>
      <c r="ANJ50">
        <v>1.83807040238965</v>
      </c>
      <c r="ANK50">
        <v>-2.26225921956538</v>
      </c>
      <c r="ANL50">
        <v>-4.55856255709346</v>
      </c>
      <c r="ANM50">
        <v>-3.22371422935435</v>
      </c>
      <c r="ANN50">
        <v>6.79776311220249</v>
      </c>
      <c r="ANO50">
        <v>1.85927638260022</v>
      </c>
      <c r="ANP50">
        <v>-2.21221322199436</v>
      </c>
      <c r="ANQ50">
        <v>-4.35981754684538</v>
      </c>
      <c r="ANR50">
        <v>-3.12303645864896</v>
      </c>
      <c r="ANS50">
        <v>12.1404752784142</v>
      </c>
      <c r="ANT50">
        <v>3.5873091561892</v>
      </c>
      <c r="ANU50">
        <v>-4.50756666598629</v>
      </c>
      <c r="ANV50">
        <v>-8.83491864207247</v>
      </c>
      <c r="ANW50">
        <v>-5.91528944452727</v>
      </c>
      <c r="ANX50" t="s">
        <v>1900</v>
      </c>
      <c r="ANY50" t="s">
        <v>1900</v>
      </c>
      <c r="ANZ50" t="s">
        <v>1900</v>
      </c>
      <c r="AOA50" t="s">
        <v>1900</v>
      </c>
      <c r="AOB50" t="s">
        <v>1900</v>
      </c>
      <c r="AOC50">
        <v>106.797763112203</v>
      </c>
      <c r="AOD50">
        <v>101.8592763826</v>
      </c>
      <c r="AOE50">
        <v>97.7877867780056</v>
      </c>
      <c r="AOF50">
        <v>95.64018245315459</v>
      </c>
      <c r="AOG50">
        <v>96.876963541351</v>
      </c>
      <c r="AOH50" t="s">
        <v>1901</v>
      </c>
      <c r="AOI50" t="s">
        <v>1901</v>
      </c>
      <c r="AOJ50" t="s">
        <v>1901</v>
      </c>
      <c r="AOK50" t="s">
        <v>1901</v>
      </c>
      <c r="AOL50" t="s">
        <v>1901</v>
      </c>
      <c r="AOM50" t="s">
        <v>1900</v>
      </c>
      <c r="AON50" t="s">
        <v>1900</v>
      </c>
      <c r="AOO50" t="s">
        <v>1900</v>
      </c>
      <c r="AOP50" t="s">
        <v>1900</v>
      </c>
      <c r="AOQ50" t="s">
        <v>1900</v>
      </c>
      <c r="AOR50">
        <v>6.79776311220249</v>
      </c>
      <c r="AOS50">
        <v>1.85927638260022</v>
      </c>
      <c r="AOT50">
        <v>-2.21221322199436</v>
      </c>
      <c r="AOU50">
        <v>-4.35981754684538</v>
      </c>
      <c r="AOV50">
        <v>-3.12303645864896</v>
      </c>
      <c r="AOW50">
        <v>8.0016051558251</v>
      </c>
      <c r="AOX50">
        <v>2.14770015953305</v>
      </c>
      <c r="AOY50">
        <v>-2.70999469214118</v>
      </c>
      <c r="AOZ50">
        <v>-5.48175067462551</v>
      </c>
      <c r="APA50">
        <v>-3.75616904524008</v>
      </c>
      <c r="APB50">
        <v>5.77286042240437</v>
      </c>
      <c r="APC50">
        <v>0.380866154418847</v>
      </c>
      <c r="APD50">
        <v>-1.99991127757942</v>
      </c>
      <c r="APE50">
        <v>-3.78632032943985</v>
      </c>
      <c r="APF50">
        <v>-2.68373841966493</v>
      </c>
      <c r="APG50">
        <v>5.80712246713781</v>
      </c>
      <c r="APH50">
        <v>0.383522772849332</v>
      </c>
      <c r="API50">
        <v>-1.99991127757942</v>
      </c>
      <c r="APJ50">
        <v>-3.78632032943985</v>
      </c>
      <c r="APK50">
        <v>-2.68373841966493</v>
      </c>
      <c r="APL50" t="s">
        <v>1900</v>
      </c>
      <c r="APM50" t="s">
        <v>1900</v>
      </c>
      <c r="APN50" t="s">
        <v>1900</v>
      </c>
      <c r="APO50" t="s">
        <v>1900</v>
      </c>
      <c r="APP50" t="s">
        <v>1900</v>
      </c>
      <c r="APQ50">
        <v>6.16528579871751</v>
      </c>
      <c r="APR50">
        <v>0.387947508877275</v>
      </c>
      <c r="APS50">
        <v>-1.95566897586865</v>
      </c>
      <c r="APT50">
        <v>-3.62124367133716</v>
      </c>
      <c r="APU50">
        <v>-2.59992429036403</v>
      </c>
      <c r="APV50">
        <v>6.16528579871751</v>
      </c>
      <c r="APW50">
        <v>0.387947508877275</v>
      </c>
      <c r="APX50">
        <v>-1.95566897586865</v>
      </c>
      <c r="APY50">
        <v>-3.62124367133716</v>
      </c>
      <c r="APZ50">
        <v>-2.59992429036403</v>
      </c>
      <c r="AQA50">
        <v>7.25711999960669</v>
      </c>
      <c r="AQB50">
        <v>0.448128602344175</v>
      </c>
      <c r="AQC50">
        <v>-2.39572410629174</v>
      </c>
      <c r="AQD50">
        <v>-4.55311597906183</v>
      </c>
      <c r="AQE50">
        <v>-3.12700644668678</v>
      </c>
      <c r="AQF50" t="s">
        <v>1900</v>
      </c>
      <c r="AQG50" t="s">
        <v>1900</v>
      </c>
      <c r="AQH50" t="s">
        <v>1900</v>
      </c>
      <c r="AQI50" t="s">
        <v>1900</v>
      </c>
      <c r="AQJ50" t="s">
        <v>1900</v>
      </c>
      <c r="AQK50">
        <v>6</v>
      </c>
      <c r="AQO50" t="s">
        <v>1903</v>
      </c>
      <c r="AQP50">
        <v>9</v>
      </c>
      <c r="AQQ50">
        <v>0</v>
      </c>
      <c r="AQS50" t="s">
        <v>1905</v>
      </c>
      <c r="AQU50" t="s">
        <v>1906</v>
      </c>
      <c r="AQV50">
        <v>1232591.87780584</v>
      </c>
      <c r="AQW50">
        <v>1276187.3495372</v>
      </c>
      <c r="AQX50">
        <v>1187990.14662258</v>
      </c>
      <c r="AQY50">
        <v>78455.4596948445</v>
      </c>
      <c r="AQZ50">
        <v>23294.7364543915</v>
      </c>
      <c r="ARA50">
        <v>-26875.4166194975</v>
      </c>
      <c r="ARB50">
        <v>3696769.37396562</v>
      </c>
      <c r="ARC50">
        <v>74874.7795297385</v>
      </c>
      <c r="ARD50">
        <v>0.02067282124796357</v>
      </c>
      <c r="ARE50">
        <v>0.02067282124796357</v>
      </c>
      <c r="ARF50">
        <v>0.02067282124796357</v>
      </c>
      <c r="ARG50">
        <v>0.02067282124796357</v>
      </c>
      <c r="ARH50">
        <v>0.02067282124796357</v>
      </c>
      <c r="ARI50">
        <v>0.02067282124796357</v>
      </c>
      <c r="ARJ50" t="s">
        <v>1211</v>
      </c>
      <c r="ARK50" t="s">
        <v>1549</v>
      </c>
      <c r="ARL50" t="s">
        <v>1908</v>
      </c>
      <c r="ARM50" t="s">
        <v>1908</v>
      </c>
      <c r="ARN50" t="s">
        <v>1908</v>
      </c>
      <c r="ARO50" t="s">
        <v>1908</v>
      </c>
      <c r="ARP50" t="s">
        <v>1904</v>
      </c>
      <c r="ARQ50" t="s">
        <v>1949</v>
      </c>
      <c r="ARR50">
        <f>HYPERLINK("C:\Users\Usuario\Documents\Proyectos\llmthon\evidence\gestisa_com_234350.png", "Ver Evidencia")</f>
        <v>0</v>
      </c>
      <c r="ARS50">
        <v>75</v>
      </c>
    </row>
    <row r="51" spans="1:1163">
      <c r="A51">
        <v>32</v>
      </c>
      <c r="B51" t="s">
        <v>1212</v>
      </c>
      <c r="C51" t="s">
        <v>1335</v>
      </c>
      <c r="E51" s="2">
        <v>33311</v>
      </c>
      <c r="F51" t="s">
        <v>1431</v>
      </c>
      <c r="G51" t="s">
        <v>1433</v>
      </c>
      <c r="H51" t="s">
        <v>1434</v>
      </c>
      <c r="I51" t="s">
        <v>1437</v>
      </c>
      <c r="J51" t="s">
        <v>1453</v>
      </c>
      <c r="L51" t="s">
        <v>1550</v>
      </c>
      <c r="N51" t="s">
        <v>1625</v>
      </c>
      <c r="O51" t="s">
        <v>1649</v>
      </c>
      <c r="P51">
        <v>8211</v>
      </c>
      <c r="Q51">
        <v>8211</v>
      </c>
      <c r="R51" t="s">
        <v>1721</v>
      </c>
      <c r="S51" t="s">
        <v>1812</v>
      </c>
      <c r="T51" t="s">
        <v>1857</v>
      </c>
      <c r="U51" t="s">
        <v>1873</v>
      </c>
      <c r="X51" t="s">
        <v>1884</v>
      </c>
      <c r="Z51" t="s">
        <v>1899</v>
      </c>
      <c r="AA51" s="2">
        <v>45657</v>
      </c>
      <c r="AB51">
        <v>2024</v>
      </c>
      <c r="AC51">
        <v>30309692.2580002</v>
      </c>
      <c r="AD51">
        <v>40052484.764463</v>
      </c>
      <c r="AE51">
        <v>42809509.425653</v>
      </c>
      <c r="AF51">
        <v>47164314.4536143</v>
      </c>
      <c r="AG51">
        <v>36770902.2387877</v>
      </c>
      <c r="AH51">
        <v>29043360.7150893</v>
      </c>
      <c r="AI51">
        <v>39058084.7295385</v>
      </c>
      <c r="AJ51">
        <v>42626859.1163164</v>
      </c>
      <c r="AK51">
        <v>47125700.4848118</v>
      </c>
      <c r="AL51">
        <v>36707626.1026109</v>
      </c>
      <c r="AM51">
        <v>1837011.50674451</v>
      </c>
      <c r="AN51">
        <v>2394129.78805603</v>
      </c>
      <c r="AO51">
        <v>3006822.34179671</v>
      </c>
      <c r="AP51">
        <v>3362618.4833509</v>
      </c>
      <c r="AQ51">
        <v>2752676.5758712</v>
      </c>
      <c r="AR51">
        <v>28472680.7512557</v>
      </c>
      <c r="AS51">
        <v>37658354.976407</v>
      </c>
      <c r="AT51">
        <v>39802687.0838563</v>
      </c>
      <c r="AU51">
        <v>43801695.9702634</v>
      </c>
      <c r="AV51">
        <v>34018225.6629165</v>
      </c>
      <c r="AW51">
        <v>28022513.5497266</v>
      </c>
      <c r="AX51">
        <v>37329684.7449538</v>
      </c>
      <c r="AY51">
        <v>39827853.9040895</v>
      </c>
      <c r="AZ51">
        <v>41929133.5856622</v>
      </c>
      <c r="BA51">
        <v>27749239.9894031</v>
      </c>
      <c r="BB51">
        <v>450167.201529167</v>
      </c>
      <c r="BC51">
        <v>328670.231453161</v>
      </c>
      <c r="BD51">
        <v>-25166.8202332616</v>
      </c>
      <c r="BE51">
        <v>1872562.38346853</v>
      </c>
      <c r="BF51">
        <v>6268985.67228629</v>
      </c>
      <c r="BG51">
        <v>77949.64963646641</v>
      </c>
      <c r="BH51">
        <v>175756.306927271</v>
      </c>
      <c r="BI51">
        <v>201915.687931275</v>
      </c>
      <c r="BJ51">
        <v>272304.364277887</v>
      </c>
      <c r="BK51">
        <v>205290.264645749</v>
      </c>
      <c r="BL51">
        <v>339851.155106795</v>
      </c>
      <c r="BM51">
        <v>328364.864566116</v>
      </c>
      <c r="BN51">
        <v>245401.909007108</v>
      </c>
      <c r="BO51">
        <v>298370.526098013</v>
      </c>
      <c r="BP51">
        <v>321322.23430438</v>
      </c>
      <c r="BQ51">
        <v>261901.504431429</v>
      </c>
      <c r="BR51">
        <v>152608.557638845</v>
      </c>
      <c r="BS51">
        <v>43486.2210758328</v>
      </c>
      <c r="BT51">
        <v>26066.1618201256</v>
      </c>
      <c r="BU51">
        <v>116031.969658631</v>
      </c>
      <c r="BV51">
        <v>528116.8522045329</v>
      </c>
      <c r="BW51">
        <v>504426.538380432</v>
      </c>
      <c r="BX51">
        <v>176748.867698014</v>
      </c>
      <c r="BY51">
        <v>2144866.74774642</v>
      </c>
      <c r="BZ51">
        <v>6474275.93693204</v>
      </c>
      <c r="CA51">
        <v>-423120.740217235</v>
      </c>
      <c r="CB51">
        <v>-828451.104648676</v>
      </c>
      <c r="CC51">
        <v>-206047.203713024</v>
      </c>
      <c r="CD51">
        <v>66737.476429081</v>
      </c>
      <c r="CE51">
        <v>1614562.94677612</v>
      </c>
      <c r="CF51">
        <v>951237.592421768</v>
      </c>
      <c r="CG51">
        <v>1332877.64302911</v>
      </c>
      <c r="CH51">
        <v>382796.071411037</v>
      </c>
      <c r="CI51">
        <v>2078129.27131734</v>
      </c>
      <c r="CJ51">
        <v>4859712.98892882</v>
      </c>
      <c r="CK51" t="s">
        <v>1900</v>
      </c>
      <c r="CL51" t="s">
        <v>1900</v>
      </c>
      <c r="CM51" t="s">
        <v>1900</v>
      </c>
      <c r="CN51" t="s">
        <v>1900</v>
      </c>
      <c r="CO51" t="s">
        <v>1900</v>
      </c>
      <c r="CP51" t="s">
        <v>1900</v>
      </c>
      <c r="CQ51" t="s">
        <v>1900</v>
      </c>
      <c r="CR51" t="s">
        <v>1900</v>
      </c>
      <c r="CS51" t="s">
        <v>1900</v>
      </c>
      <c r="CT51" t="s">
        <v>1900</v>
      </c>
      <c r="CU51" t="s">
        <v>1900</v>
      </c>
      <c r="CV51" t="s">
        <v>1900</v>
      </c>
      <c r="CW51" t="s">
        <v>1900</v>
      </c>
      <c r="CX51" t="s">
        <v>1900</v>
      </c>
      <c r="CY51" t="s">
        <v>1900</v>
      </c>
      <c r="CZ51">
        <v>951237.592421768</v>
      </c>
      <c r="DA51">
        <v>1332877.64302911</v>
      </c>
      <c r="DB51">
        <v>382796.071411037</v>
      </c>
      <c r="DC51">
        <v>2078129.27131734</v>
      </c>
      <c r="DD51">
        <v>4859712.98892882</v>
      </c>
      <c r="DE51" t="s">
        <v>1900</v>
      </c>
      <c r="DF51" t="s">
        <v>1900</v>
      </c>
      <c r="DG51" t="s">
        <v>1900</v>
      </c>
      <c r="DH51" t="s">
        <v>1900</v>
      </c>
      <c r="DI51" t="s">
        <v>1900</v>
      </c>
      <c r="DJ51">
        <v>1837011.50674451</v>
      </c>
      <c r="DK51">
        <v>2394129.78805603</v>
      </c>
      <c r="DL51">
        <v>3006822.34179671</v>
      </c>
      <c r="DM51">
        <v>3362618.4833509</v>
      </c>
      <c r="DN51">
        <v>2752676.5758712</v>
      </c>
      <c r="DO51">
        <v>21972355.1613206</v>
      </c>
      <c r="DP51">
        <v>30071457.9923008</v>
      </c>
      <c r="DQ51">
        <v>31734996.0277536</v>
      </c>
      <c r="DR51">
        <v>31451336.7738516</v>
      </c>
      <c r="DS51">
        <v>25499968.5822735</v>
      </c>
      <c r="DT51">
        <v>815971.4177370759</v>
      </c>
      <c r="DU51">
        <v>710234.648744583</v>
      </c>
      <c r="DV51">
        <v>302371.579511744</v>
      </c>
      <c r="DW51">
        <v>442084.446233726</v>
      </c>
      <c r="DX51">
        <v>539667.632938761</v>
      </c>
      <c r="DY51">
        <v>5234186.97066889</v>
      </c>
      <c r="DZ51">
        <v>6547992.1039084</v>
      </c>
      <c r="EA51">
        <v>7790486.29682414</v>
      </c>
      <c r="EB51">
        <v>10035712.3667095</v>
      </c>
      <c r="EC51">
        <v>1709603.7754179</v>
      </c>
      <c r="ED51">
        <v>209931.843133278</v>
      </c>
      <c r="EE51">
        <v>132070.388571568</v>
      </c>
      <c r="EF51">
        <v>43486.2210758328</v>
      </c>
      <c r="EG51">
        <v>16211.2140028238</v>
      </c>
      <c r="EH51">
        <v>17531.7517558634</v>
      </c>
      <c r="EI51" t="s">
        <v>1900</v>
      </c>
      <c r="EJ51" t="s">
        <v>1900</v>
      </c>
      <c r="EK51" t="s">
        <v>1900</v>
      </c>
      <c r="EL51" t="s">
        <v>1900</v>
      </c>
      <c r="EM51" t="s">
        <v>1900</v>
      </c>
      <c r="EN51">
        <v>1767209.00911994</v>
      </c>
      <c r="EO51">
        <v>2043112.29177369</v>
      </c>
      <c r="EP51">
        <v>685167.650922781</v>
      </c>
      <c r="EQ51">
        <v>2520213.71755106</v>
      </c>
      <c r="ER51">
        <v>5399380.62186758</v>
      </c>
      <c r="ES51">
        <v>23526375.2743955</v>
      </c>
      <c r="ET51">
        <v>31418189.5679974</v>
      </c>
      <c r="EU51">
        <v>32257602.6960392</v>
      </c>
      <c r="EV51">
        <v>34054499.180702</v>
      </c>
      <c r="EW51">
        <v>32531443.9026731</v>
      </c>
      <c r="EX51">
        <v>1266138.61926624</v>
      </c>
      <c r="EY51">
        <v>1038904.88019774</v>
      </c>
      <c r="EZ51">
        <v>277204.759278482</v>
      </c>
      <c r="FA51">
        <v>2314646.82970226</v>
      </c>
      <c r="FB51">
        <v>6808653.30522505</v>
      </c>
      <c r="FC51">
        <v>17066324.2562357</v>
      </c>
      <c r="FD51">
        <v>17135015.0489342</v>
      </c>
      <c r="FE51">
        <v>13561456.280974</v>
      </c>
      <c r="FF51">
        <v>12452120.5818187</v>
      </c>
      <c r="FG51">
        <v>3027492.37254779</v>
      </c>
      <c r="FH51">
        <v>8072762.52450746</v>
      </c>
      <c r="FI51">
        <v>6097486.74987713</v>
      </c>
      <c r="FJ51">
        <v>3169085.42319683</v>
      </c>
      <c r="FK51">
        <v>1645004.41837986</v>
      </c>
      <c r="FL51">
        <v>690685.209845591</v>
      </c>
      <c r="FM51">
        <v>501173.553617012</v>
      </c>
      <c r="FN51">
        <v>718468.714639931</v>
      </c>
      <c r="FO51">
        <v>670222.821537131</v>
      </c>
      <c r="FP51">
        <v>479787.464608884</v>
      </c>
      <c r="FQ51">
        <v>663164.182616752</v>
      </c>
      <c r="FR51">
        <v>8492388.178111199</v>
      </c>
      <c r="FS51">
        <v>10319059.5844171</v>
      </c>
      <c r="FT51">
        <v>9722148.03624001</v>
      </c>
      <c r="FU51">
        <v>10327328.69883</v>
      </c>
      <c r="FV51">
        <v>1673642.98008545</v>
      </c>
      <c r="FW51">
        <v>8072762.52450746</v>
      </c>
      <c r="FX51">
        <v>6097486.74987713</v>
      </c>
      <c r="FY51">
        <v>3169085.42319683</v>
      </c>
      <c r="FZ51">
        <v>1645004.41837986</v>
      </c>
      <c r="GA51">
        <v>690685.209845591</v>
      </c>
      <c r="GB51">
        <v>501173.553617012</v>
      </c>
      <c r="GC51">
        <v>718468.714639931</v>
      </c>
      <c r="GD51">
        <v>670222.821537131</v>
      </c>
      <c r="GE51">
        <v>479787.464608884</v>
      </c>
      <c r="GF51">
        <v>663164.182616752</v>
      </c>
      <c r="GG51">
        <v>8492388.178111199</v>
      </c>
      <c r="GH51">
        <v>10319059.5844171</v>
      </c>
      <c r="GI51">
        <v>9722148.03624001</v>
      </c>
      <c r="GJ51">
        <v>10327328.69883</v>
      </c>
      <c r="GK51">
        <v>1673642.98008545</v>
      </c>
      <c r="GL51">
        <v>45646035.7834516</v>
      </c>
      <c r="GM51">
        <v>73604393.4824973</v>
      </c>
      <c r="GN51">
        <v>68779994.52910779</v>
      </c>
      <c r="GO51">
        <v>102320049.093714</v>
      </c>
      <c r="GP51">
        <v>102402782.4691</v>
      </c>
      <c r="GQ51">
        <v>27915.3968879414</v>
      </c>
      <c r="GR51">
        <v>27992.0825125027</v>
      </c>
      <c r="GS51">
        <v>0</v>
      </c>
      <c r="GT51">
        <v>0</v>
      </c>
      <c r="GU51">
        <v>0</v>
      </c>
      <c r="GV51">
        <v>6442828.40129564</v>
      </c>
      <c r="GW51">
        <v>8897421.89255362</v>
      </c>
      <c r="GX51">
        <v>9816006.188704001</v>
      </c>
      <c r="GY51">
        <v>12805669.6620179</v>
      </c>
      <c r="GZ51">
        <v>11804125.2606292</v>
      </c>
      <c r="HA51">
        <v>39175291.985268</v>
      </c>
      <c r="HB51">
        <v>64678979.5074312</v>
      </c>
      <c r="HC51">
        <v>58963988.3404038</v>
      </c>
      <c r="HD51">
        <v>89514379.43056379</v>
      </c>
      <c r="HE51">
        <v>90598657.2084706</v>
      </c>
      <c r="HF51">
        <v>38628894.4697398</v>
      </c>
      <c r="HG51">
        <v>64238323.3985202</v>
      </c>
      <c r="HH51">
        <v>58480147.8064827</v>
      </c>
      <c r="HI51">
        <v>89119386.2750245</v>
      </c>
      <c r="HJ51">
        <v>80557011.8370146</v>
      </c>
      <c r="HK51">
        <v>62712360.0396873</v>
      </c>
      <c r="HL51">
        <v>90739408.5314316</v>
      </c>
      <c r="HM51">
        <v>82341450.81008179</v>
      </c>
      <c r="HN51">
        <v>114772169.675533</v>
      </c>
      <c r="HO51">
        <v>105430274.841648</v>
      </c>
      <c r="HP51">
        <v>18221410.2493051</v>
      </c>
      <c r="HQ51">
        <v>19874469.6027677</v>
      </c>
      <c r="HR51">
        <v>21780292.7187109</v>
      </c>
      <c r="HS51">
        <v>22734358.1519039</v>
      </c>
      <c r="HT51">
        <v>22872123.9591639</v>
      </c>
      <c r="HU51">
        <v>468335.913038254</v>
      </c>
      <c r="HV51">
        <v>498134.223556519</v>
      </c>
      <c r="HW51">
        <v>480823.04930687</v>
      </c>
      <c r="HX51">
        <v>510576.218605042</v>
      </c>
      <c r="HY51">
        <v>553176.364183426</v>
      </c>
      <c r="HZ51">
        <v>17753074.3362668</v>
      </c>
      <c r="IA51">
        <v>19376335.3792112</v>
      </c>
      <c r="IB51">
        <v>21299469.669404</v>
      </c>
      <c r="IC51">
        <v>22223781.9332989</v>
      </c>
      <c r="ID51">
        <v>22318947.5949805</v>
      </c>
      <c r="IE51">
        <v>2678741.69059056</v>
      </c>
      <c r="IF51">
        <v>2351855.23047873</v>
      </c>
      <c r="IG51">
        <v>1704576.25543876</v>
      </c>
      <c r="IH51">
        <v>756355.27622416</v>
      </c>
      <c r="II51">
        <v>614445.689894861</v>
      </c>
      <c r="IJ51">
        <v>2678741.69059056</v>
      </c>
      <c r="IK51">
        <v>2076017.28384105</v>
      </c>
      <c r="IL51">
        <v>1703797.41382644</v>
      </c>
      <c r="IM51">
        <v>755528.240153646</v>
      </c>
      <c r="IN51">
        <v>613549.649715424</v>
      </c>
      <c r="IO51">
        <v>0</v>
      </c>
      <c r="IP51">
        <v>275837.947742681</v>
      </c>
      <c r="IQ51">
        <v>778.841612321138</v>
      </c>
      <c r="IR51">
        <v>827.036070513725</v>
      </c>
      <c r="IS51">
        <v>896.040179437399</v>
      </c>
      <c r="IT51">
        <v>0</v>
      </c>
      <c r="IU51">
        <v>275837.947742681</v>
      </c>
      <c r="IV51" t="s">
        <v>1900</v>
      </c>
      <c r="IW51" t="s">
        <v>1900</v>
      </c>
      <c r="IX51" t="s">
        <v>1900</v>
      </c>
      <c r="IY51">
        <v>41812208.0997916</v>
      </c>
      <c r="IZ51">
        <v>68513083.69708011</v>
      </c>
      <c r="JA51">
        <v>58856581.8359322</v>
      </c>
      <c r="JB51">
        <v>91281456.24740499</v>
      </c>
      <c r="JC51">
        <v>81943705.19258881</v>
      </c>
      <c r="JD51">
        <v>2012397.22861502</v>
      </c>
      <c r="JE51">
        <v>2089031.18408153</v>
      </c>
      <c r="JF51">
        <v>1934337.25090219</v>
      </c>
      <c r="JG51">
        <v>219543.753269076</v>
      </c>
      <c r="JH51">
        <v>296392.96350587</v>
      </c>
      <c r="JI51">
        <v>44497.8542440081</v>
      </c>
      <c r="JJ51">
        <v>170490.559664068</v>
      </c>
      <c r="JK51">
        <v>211794.393733591</v>
      </c>
      <c r="JL51">
        <v>229782.969718695</v>
      </c>
      <c r="JM51">
        <v>224536.310935897</v>
      </c>
      <c r="JN51">
        <v>39755313.0169326</v>
      </c>
      <c r="JO51">
        <v>66253561.9522295</v>
      </c>
      <c r="JP51">
        <v>56710450.1912964</v>
      </c>
      <c r="JQ51">
        <v>90832129.5244173</v>
      </c>
      <c r="JR51">
        <v>81422775.9181471</v>
      </c>
      <c r="JS51">
        <v>62712360.0396873</v>
      </c>
      <c r="JT51">
        <v>90739408.5314316</v>
      </c>
      <c r="JU51">
        <v>82341450.81008179</v>
      </c>
      <c r="JV51">
        <v>114772169.675533</v>
      </c>
      <c r="JW51">
        <v>105430274.841648</v>
      </c>
      <c r="JX51">
        <v>6426245.94393957</v>
      </c>
      <c r="JY51">
        <v>8754923.415402049</v>
      </c>
      <c r="JZ51">
        <v>9604211.794970401</v>
      </c>
      <c r="KA51">
        <v>12575886.6922992</v>
      </c>
      <c r="KB51">
        <v>11579588.9496933</v>
      </c>
      <c r="KC51" t="s">
        <v>1900</v>
      </c>
      <c r="KD51" t="s">
        <v>1900</v>
      </c>
      <c r="KE51" t="s">
        <v>1900</v>
      </c>
      <c r="KF51" t="s">
        <v>1900</v>
      </c>
      <c r="KG51" t="s">
        <v>1900</v>
      </c>
      <c r="KH51" t="s">
        <v>1900</v>
      </c>
      <c r="KI51" t="s">
        <v>1900</v>
      </c>
      <c r="KJ51" t="s">
        <v>1900</v>
      </c>
      <c r="KK51" t="s">
        <v>1900</v>
      </c>
      <c r="KL51" t="s">
        <v>1900</v>
      </c>
      <c r="KM51">
        <v>730</v>
      </c>
      <c r="KN51">
        <v>1014</v>
      </c>
      <c r="KO51">
        <v>1121</v>
      </c>
      <c r="KP51">
        <v>1064</v>
      </c>
      <c r="KQ51">
        <v>714</v>
      </c>
      <c r="KR51" t="s">
        <v>1900</v>
      </c>
      <c r="KS51" t="s">
        <v>1900</v>
      </c>
      <c r="KT51" t="s">
        <v>1900</v>
      </c>
      <c r="KU51" t="s">
        <v>1900</v>
      </c>
      <c r="KV51" t="s">
        <v>1900</v>
      </c>
      <c r="KW51" t="s">
        <v>1900</v>
      </c>
      <c r="KX51" t="s">
        <v>1900</v>
      </c>
      <c r="KY51" t="s">
        <v>1900</v>
      </c>
      <c r="KZ51" t="s">
        <v>1900</v>
      </c>
      <c r="LA51" t="s">
        <v>1900</v>
      </c>
      <c r="LB51" t="s">
        <v>1900</v>
      </c>
      <c r="LC51" t="s">
        <v>1900</v>
      </c>
      <c r="LD51" t="s">
        <v>1900</v>
      </c>
      <c r="LE51" t="s">
        <v>1900</v>
      </c>
      <c r="LF51" t="s">
        <v>1900</v>
      </c>
      <c r="LG51" t="s">
        <v>1900</v>
      </c>
      <c r="LH51" t="s">
        <v>1900</v>
      </c>
      <c r="LI51" t="s">
        <v>1900</v>
      </c>
      <c r="LJ51" t="s">
        <v>1900</v>
      </c>
      <c r="LK51" t="s">
        <v>1900</v>
      </c>
      <c r="LL51" t="s">
        <v>1900</v>
      </c>
      <c r="LM51" t="s">
        <v>1900</v>
      </c>
      <c r="LN51" t="s">
        <v>1900</v>
      </c>
      <c r="LO51" t="s">
        <v>1900</v>
      </c>
      <c r="LP51" t="s">
        <v>1900</v>
      </c>
      <c r="LQ51" t="s">
        <v>1900</v>
      </c>
      <c r="LR51" t="s">
        <v>1900</v>
      </c>
      <c r="LS51" t="s">
        <v>1900</v>
      </c>
      <c r="LT51" t="s">
        <v>1900</v>
      </c>
      <c r="LU51" t="s">
        <v>1900</v>
      </c>
      <c r="LV51" t="s">
        <v>1900</v>
      </c>
      <c r="LW51" t="s">
        <v>1900</v>
      </c>
      <c r="LX51" t="s">
        <v>1900</v>
      </c>
      <c r="LY51" t="s">
        <v>1900</v>
      </c>
      <c r="LZ51" t="s">
        <v>1900</v>
      </c>
      <c r="MA51" t="s">
        <v>1900</v>
      </c>
      <c r="MB51" t="s">
        <v>1900</v>
      </c>
      <c r="MC51" t="s">
        <v>1900</v>
      </c>
      <c r="MD51" t="s">
        <v>1900</v>
      </c>
      <c r="ME51" t="s">
        <v>1900</v>
      </c>
      <c r="MF51" t="s">
        <v>1900</v>
      </c>
      <c r="MG51" t="s">
        <v>1900</v>
      </c>
      <c r="MH51" t="s">
        <v>1900</v>
      </c>
      <c r="MI51" t="s">
        <v>1900</v>
      </c>
      <c r="MJ51" t="s">
        <v>1900</v>
      </c>
      <c r="MK51" t="s">
        <v>1900</v>
      </c>
      <c r="ML51" t="s">
        <v>1900</v>
      </c>
      <c r="MM51" t="s">
        <v>1900</v>
      </c>
      <c r="MN51" t="s">
        <v>1900</v>
      </c>
      <c r="MO51" t="s">
        <v>1900</v>
      </c>
      <c r="MP51">
        <v>39175291.985268</v>
      </c>
      <c r="MQ51">
        <v>64678979.5074312</v>
      </c>
      <c r="MR51">
        <v>58963988.3404038</v>
      </c>
      <c r="MS51">
        <v>89514379.43056379</v>
      </c>
      <c r="MT51">
        <v>90598657.2084706</v>
      </c>
      <c r="MU51" t="s">
        <v>1900</v>
      </c>
      <c r="MV51" t="s">
        <v>1900</v>
      </c>
      <c r="MW51" t="s">
        <v>1900</v>
      </c>
      <c r="MX51" t="s">
        <v>1900</v>
      </c>
      <c r="MY51" t="s">
        <v>1900</v>
      </c>
      <c r="MZ51" t="s">
        <v>1900</v>
      </c>
      <c r="NA51" t="s">
        <v>1900</v>
      </c>
      <c r="NB51" t="s">
        <v>1900</v>
      </c>
      <c r="NC51" t="s">
        <v>1900</v>
      </c>
      <c r="ND51" t="s">
        <v>1900</v>
      </c>
      <c r="NE51" t="s">
        <v>1900</v>
      </c>
      <c r="NF51" t="s">
        <v>1900</v>
      </c>
      <c r="NG51" t="s">
        <v>1900</v>
      </c>
      <c r="NH51" t="s">
        <v>1900</v>
      </c>
      <c r="NI51" t="s">
        <v>1900</v>
      </c>
      <c r="NJ51" t="s">
        <v>1900</v>
      </c>
      <c r="NK51" t="s">
        <v>1900</v>
      </c>
      <c r="NL51" t="s">
        <v>1900</v>
      </c>
      <c r="NM51" t="s">
        <v>1900</v>
      </c>
      <c r="NN51" t="s">
        <v>1900</v>
      </c>
      <c r="NO51" t="s">
        <v>1900</v>
      </c>
      <c r="NP51" t="s">
        <v>1900</v>
      </c>
      <c r="NQ51" t="s">
        <v>1900</v>
      </c>
      <c r="NR51" t="s">
        <v>1900</v>
      </c>
      <c r="NS51" t="s">
        <v>1900</v>
      </c>
      <c r="NT51">
        <v>17066324.2562357</v>
      </c>
      <c r="NU51">
        <v>17135015.0489342</v>
      </c>
      <c r="NV51">
        <v>13561456.280974</v>
      </c>
      <c r="NW51">
        <v>12452120.5818187</v>
      </c>
      <c r="NX51">
        <v>3027492.37254779</v>
      </c>
      <c r="NY51" t="s">
        <v>1900</v>
      </c>
      <c r="NZ51" t="s">
        <v>1900</v>
      </c>
      <c r="OA51" t="s">
        <v>1900</v>
      </c>
      <c r="OB51" t="s">
        <v>1900</v>
      </c>
      <c r="OC51" t="s">
        <v>1900</v>
      </c>
      <c r="OD51" t="s">
        <v>1900</v>
      </c>
      <c r="OE51" t="s">
        <v>1900</v>
      </c>
      <c r="OF51" t="s">
        <v>1900</v>
      </c>
      <c r="OG51" t="s">
        <v>1900</v>
      </c>
      <c r="OH51" t="s">
        <v>1900</v>
      </c>
      <c r="OI51" t="s">
        <v>1900</v>
      </c>
      <c r="OJ51" t="s">
        <v>1900</v>
      </c>
      <c r="OK51" t="s">
        <v>1900</v>
      </c>
      <c r="OL51" t="s">
        <v>1900</v>
      </c>
      <c r="OM51" t="s">
        <v>1900</v>
      </c>
      <c r="ON51" t="s">
        <v>1900</v>
      </c>
      <c r="OO51" t="s">
        <v>1900</v>
      </c>
      <c r="OP51" t="s">
        <v>1900</v>
      </c>
      <c r="OQ51" t="s">
        <v>1900</v>
      </c>
      <c r="OR51" t="s">
        <v>1900</v>
      </c>
      <c r="OS51" t="s">
        <v>1900</v>
      </c>
      <c r="OT51" t="s">
        <v>1900</v>
      </c>
      <c r="OU51" t="s">
        <v>1900</v>
      </c>
      <c r="OV51" t="s">
        <v>1900</v>
      </c>
      <c r="OW51" t="s">
        <v>1900</v>
      </c>
      <c r="OX51" t="s">
        <v>1900</v>
      </c>
      <c r="OY51" t="s">
        <v>1900</v>
      </c>
      <c r="OZ51" t="s">
        <v>1900</v>
      </c>
      <c r="PA51" t="s">
        <v>1900</v>
      </c>
      <c r="PB51" t="s">
        <v>1900</v>
      </c>
      <c r="PC51" t="s">
        <v>1900</v>
      </c>
      <c r="PD51" t="s">
        <v>1900</v>
      </c>
      <c r="PE51" t="s">
        <v>1900</v>
      </c>
      <c r="PF51" t="s">
        <v>1900</v>
      </c>
      <c r="PG51" t="s">
        <v>1900</v>
      </c>
      <c r="PH51" t="s">
        <v>1900</v>
      </c>
      <c r="PI51" t="s">
        <v>1900</v>
      </c>
      <c r="PJ51" t="s">
        <v>1900</v>
      </c>
      <c r="PK51" t="s">
        <v>1900</v>
      </c>
      <c r="PL51" t="s">
        <v>1900</v>
      </c>
      <c r="PM51" t="s">
        <v>1900</v>
      </c>
      <c r="PN51" t="s">
        <v>1900</v>
      </c>
      <c r="PO51" t="s">
        <v>1900</v>
      </c>
      <c r="PP51" t="s">
        <v>1900</v>
      </c>
      <c r="PQ51" t="s">
        <v>1900</v>
      </c>
      <c r="PR51" t="s">
        <v>1900</v>
      </c>
      <c r="PS51" t="s">
        <v>1900</v>
      </c>
      <c r="PT51" t="s">
        <v>1900</v>
      </c>
      <c r="PU51" t="s">
        <v>1900</v>
      </c>
      <c r="PV51" t="s">
        <v>1900</v>
      </c>
      <c r="PW51" t="s">
        <v>1900</v>
      </c>
      <c r="PX51" t="s">
        <v>1900</v>
      </c>
      <c r="PY51" t="s">
        <v>1900</v>
      </c>
      <c r="PZ51" t="s">
        <v>1900</v>
      </c>
      <c r="QA51" t="s">
        <v>1900</v>
      </c>
      <c r="QB51" t="s">
        <v>1900</v>
      </c>
      <c r="QC51" t="s">
        <v>1900</v>
      </c>
      <c r="QD51" t="s">
        <v>1900</v>
      </c>
      <c r="QE51" t="s">
        <v>1900</v>
      </c>
      <c r="QF51" t="s">
        <v>1900</v>
      </c>
      <c r="QG51" t="s">
        <v>1900</v>
      </c>
      <c r="QH51" t="s">
        <v>1900</v>
      </c>
      <c r="QI51" t="s">
        <v>1900</v>
      </c>
      <c r="QJ51" t="s">
        <v>1900</v>
      </c>
      <c r="QK51" t="s">
        <v>1900</v>
      </c>
      <c r="QL51" t="s">
        <v>1900</v>
      </c>
      <c r="QM51" t="s">
        <v>1900</v>
      </c>
      <c r="QN51" t="s">
        <v>1900</v>
      </c>
      <c r="QO51" t="s">
        <v>1900</v>
      </c>
      <c r="QP51" t="s">
        <v>1900</v>
      </c>
      <c r="QQ51" t="s">
        <v>1900</v>
      </c>
      <c r="QR51" t="s">
        <v>1900</v>
      </c>
      <c r="QS51" t="s">
        <v>1900</v>
      </c>
      <c r="QT51" t="s">
        <v>1900</v>
      </c>
      <c r="QU51" t="s">
        <v>1900</v>
      </c>
      <c r="QV51" t="s">
        <v>1900</v>
      </c>
      <c r="QW51" t="s">
        <v>1900</v>
      </c>
      <c r="QX51" t="s">
        <v>1900</v>
      </c>
      <c r="QY51" t="s">
        <v>1900</v>
      </c>
      <c r="QZ51" t="s">
        <v>1900</v>
      </c>
      <c r="RA51" t="s">
        <v>1900</v>
      </c>
      <c r="RB51" t="s">
        <v>1900</v>
      </c>
      <c r="RC51" t="s">
        <v>1900</v>
      </c>
      <c r="RD51" t="s">
        <v>1900</v>
      </c>
      <c r="RE51" t="s">
        <v>1900</v>
      </c>
      <c r="RF51" t="s">
        <v>1900</v>
      </c>
      <c r="RG51" t="s">
        <v>1900</v>
      </c>
      <c r="RH51" t="s">
        <v>1900</v>
      </c>
      <c r="RI51" t="s">
        <v>1900</v>
      </c>
      <c r="RJ51" t="s">
        <v>1900</v>
      </c>
      <c r="RK51" t="s">
        <v>1900</v>
      </c>
      <c r="RL51" t="s">
        <v>1900</v>
      </c>
      <c r="RM51" t="s">
        <v>1900</v>
      </c>
      <c r="RN51" t="s">
        <v>1900</v>
      </c>
      <c r="RO51" t="s">
        <v>1900</v>
      </c>
      <c r="RP51" t="s">
        <v>1900</v>
      </c>
      <c r="RQ51" t="s">
        <v>1900</v>
      </c>
      <c r="RR51" t="s">
        <v>1900</v>
      </c>
      <c r="RS51" t="s">
        <v>1900</v>
      </c>
      <c r="RT51" t="s">
        <v>1900</v>
      </c>
      <c r="RU51" t="s">
        <v>1900</v>
      </c>
      <c r="RV51" t="s">
        <v>1900</v>
      </c>
      <c r="RW51" t="s">
        <v>1900</v>
      </c>
      <c r="RX51" t="s">
        <v>1900</v>
      </c>
      <c r="RY51" t="s">
        <v>1900</v>
      </c>
      <c r="RZ51" t="s">
        <v>1900</v>
      </c>
      <c r="SA51" t="s">
        <v>1900</v>
      </c>
      <c r="SB51" t="s">
        <v>1900</v>
      </c>
      <c r="SC51" t="s">
        <v>1900</v>
      </c>
      <c r="SD51" t="s">
        <v>1900</v>
      </c>
      <c r="SE51" t="s">
        <v>1900</v>
      </c>
      <c r="SF51" t="s">
        <v>1900</v>
      </c>
      <c r="SG51" t="s">
        <v>1900</v>
      </c>
      <c r="SH51" t="s">
        <v>1900</v>
      </c>
      <c r="SI51" t="s">
        <v>1900</v>
      </c>
      <c r="SJ51">
        <v>8492388.178111199</v>
      </c>
      <c r="SK51">
        <v>10319059.5844171</v>
      </c>
      <c r="SL51">
        <v>9722148.03624001</v>
      </c>
      <c r="SM51">
        <v>10327328.69883</v>
      </c>
      <c r="SN51">
        <v>1673642.98008545</v>
      </c>
      <c r="SO51" t="s">
        <v>1900</v>
      </c>
      <c r="SP51" t="s">
        <v>1900</v>
      </c>
      <c r="SQ51" t="s">
        <v>1900</v>
      </c>
      <c r="SR51" t="s">
        <v>1900</v>
      </c>
      <c r="SS51" t="s">
        <v>1900</v>
      </c>
      <c r="ST51" t="s">
        <v>1900</v>
      </c>
      <c r="SU51" t="s">
        <v>1900</v>
      </c>
      <c r="SV51" t="s">
        <v>1900</v>
      </c>
      <c r="SW51" t="s">
        <v>1900</v>
      </c>
      <c r="SX51" t="s">
        <v>1900</v>
      </c>
      <c r="SY51" t="s">
        <v>1900</v>
      </c>
      <c r="SZ51" t="s">
        <v>1900</v>
      </c>
      <c r="TA51" t="s">
        <v>1900</v>
      </c>
      <c r="TB51" t="s">
        <v>1900</v>
      </c>
      <c r="TC51" t="s">
        <v>1900</v>
      </c>
      <c r="TD51" t="s">
        <v>1900</v>
      </c>
      <c r="TE51" t="s">
        <v>1900</v>
      </c>
      <c r="TF51" t="s">
        <v>1900</v>
      </c>
      <c r="TG51" t="s">
        <v>1900</v>
      </c>
      <c r="TH51" t="s">
        <v>1900</v>
      </c>
      <c r="TI51" t="s">
        <v>1900</v>
      </c>
      <c r="TJ51" t="s">
        <v>1900</v>
      </c>
      <c r="TK51" t="s">
        <v>1900</v>
      </c>
      <c r="TL51" t="s">
        <v>1900</v>
      </c>
      <c r="TM51" t="s">
        <v>1900</v>
      </c>
      <c r="TN51" t="s">
        <v>1900</v>
      </c>
      <c r="TO51" t="s">
        <v>1900</v>
      </c>
      <c r="TP51" t="s">
        <v>1900</v>
      </c>
      <c r="TQ51" t="s">
        <v>1900</v>
      </c>
      <c r="TR51" t="s">
        <v>1900</v>
      </c>
      <c r="TS51">
        <v>62712360.0396873</v>
      </c>
      <c r="TT51">
        <v>90739408.5314316</v>
      </c>
      <c r="TU51">
        <v>82341450.81008179</v>
      </c>
      <c r="TV51">
        <v>114772169.675533</v>
      </c>
      <c r="TW51">
        <v>105430274.841648</v>
      </c>
      <c r="TX51" t="s">
        <v>1900</v>
      </c>
      <c r="TY51" t="s">
        <v>1900</v>
      </c>
      <c r="TZ51" t="s">
        <v>1900</v>
      </c>
      <c r="UA51" t="s">
        <v>1900</v>
      </c>
      <c r="UB51" t="s">
        <v>1900</v>
      </c>
      <c r="UC51">
        <v>2012397.22861502</v>
      </c>
      <c r="UD51">
        <v>2089031.18408153</v>
      </c>
      <c r="UE51">
        <v>1934337.25090219</v>
      </c>
      <c r="UF51">
        <v>219543.753269076</v>
      </c>
      <c r="UG51">
        <v>296392.96350587</v>
      </c>
      <c r="UH51" t="s">
        <v>1900</v>
      </c>
      <c r="UI51" t="s">
        <v>1900</v>
      </c>
      <c r="UJ51" t="s">
        <v>1900</v>
      </c>
      <c r="UK51" t="s">
        <v>1900</v>
      </c>
      <c r="UL51" t="s">
        <v>1900</v>
      </c>
      <c r="UM51" t="s">
        <v>1900</v>
      </c>
      <c r="UN51" t="s">
        <v>1900</v>
      </c>
      <c r="UO51" t="s">
        <v>1900</v>
      </c>
      <c r="UP51" t="s">
        <v>1900</v>
      </c>
      <c r="UQ51" t="s">
        <v>1900</v>
      </c>
      <c r="UR51" t="s">
        <v>1900</v>
      </c>
      <c r="US51" t="s">
        <v>1900</v>
      </c>
      <c r="UT51" t="s">
        <v>1900</v>
      </c>
      <c r="UU51" t="s">
        <v>1900</v>
      </c>
      <c r="UV51" t="s">
        <v>1900</v>
      </c>
      <c r="UW51" t="s">
        <v>1900</v>
      </c>
      <c r="UX51" t="s">
        <v>1900</v>
      </c>
      <c r="UY51" t="s">
        <v>1900</v>
      </c>
      <c r="UZ51" t="s">
        <v>1900</v>
      </c>
      <c r="VA51" t="s">
        <v>1900</v>
      </c>
      <c r="VB51" t="s">
        <v>1900</v>
      </c>
      <c r="VC51" t="s">
        <v>1900</v>
      </c>
      <c r="VD51" t="s">
        <v>1900</v>
      </c>
      <c r="VE51" t="s">
        <v>1900</v>
      </c>
      <c r="VF51" t="s">
        <v>1900</v>
      </c>
      <c r="VG51" t="s">
        <v>1900</v>
      </c>
      <c r="VH51" t="s">
        <v>1900</v>
      </c>
      <c r="VI51" t="s">
        <v>1900</v>
      </c>
      <c r="VJ51" t="s">
        <v>1900</v>
      </c>
      <c r="VK51" t="s">
        <v>1900</v>
      </c>
      <c r="VL51" t="s">
        <v>1900</v>
      </c>
      <c r="VM51" t="s">
        <v>1900</v>
      </c>
      <c r="VN51" t="s">
        <v>1900</v>
      </c>
      <c r="VO51" t="s">
        <v>1900</v>
      </c>
      <c r="VP51" t="s">
        <v>1900</v>
      </c>
      <c r="VQ51" t="s">
        <v>1900</v>
      </c>
      <c r="VR51" t="s">
        <v>1900</v>
      </c>
      <c r="VS51" t="s">
        <v>1900</v>
      </c>
      <c r="VT51" t="s">
        <v>1900</v>
      </c>
      <c r="VU51" t="s">
        <v>1900</v>
      </c>
      <c r="VV51" t="s">
        <v>1900</v>
      </c>
      <c r="VW51" t="s">
        <v>1900</v>
      </c>
      <c r="VX51" t="s">
        <v>1900</v>
      </c>
      <c r="VY51" t="s">
        <v>1900</v>
      </c>
      <c r="VZ51" t="s">
        <v>1900</v>
      </c>
      <c r="WA51">
        <v>39755313.0169326</v>
      </c>
      <c r="WB51">
        <v>66253561.9522295</v>
      </c>
      <c r="WC51">
        <v>56710450.1912964</v>
      </c>
      <c r="WD51">
        <v>90832129.5244173</v>
      </c>
      <c r="WE51">
        <v>81422775.9181471</v>
      </c>
      <c r="WF51" t="s">
        <v>1900</v>
      </c>
      <c r="WG51" t="s">
        <v>1900</v>
      </c>
      <c r="WH51" t="s">
        <v>1900</v>
      </c>
      <c r="WI51" t="s">
        <v>1900</v>
      </c>
      <c r="WJ51" t="s">
        <v>1900</v>
      </c>
      <c r="WK51" t="s">
        <v>1900</v>
      </c>
      <c r="WL51" t="s">
        <v>1900</v>
      </c>
      <c r="WM51" t="s">
        <v>1900</v>
      </c>
      <c r="WN51" t="s">
        <v>1900</v>
      </c>
      <c r="WO51" t="s">
        <v>1900</v>
      </c>
      <c r="WP51" t="s">
        <v>1900</v>
      </c>
      <c r="WQ51" t="s">
        <v>1900</v>
      </c>
      <c r="WR51" t="s">
        <v>1900</v>
      </c>
      <c r="WS51" t="s">
        <v>1900</v>
      </c>
      <c r="WT51" t="s">
        <v>1900</v>
      </c>
      <c r="WU51" t="s">
        <v>1900</v>
      </c>
      <c r="WV51" t="s">
        <v>1900</v>
      </c>
      <c r="WW51" t="s">
        <v>1900</v>
      </c>
      <c r="WX51" t="s">
        <v>1900</v>
      </c>
      <c r="WY51" t="s">
        <v>1900</v>
      </c>
      <c r="WZ51" t="s">
        <v>1900</v>
      </c>
      <c r="XA51" t="s">
        <v>1900</v>
      </c>
      <c r="XB51" t="s">
        <v>1900</v>
      </c>
      <c r="XC51" t="s">
        <v>1900</v>
      </c>
      <c r="XD51" t="s">
        <v>1900</v>
      </c>
      <c r="XE51" t="s">
        <v>1900</v>
      </c>
      <c r="XF51" t="s">
        <v>1900</v>
      </c>
      <c r="XG51" t="s">
        <v>1900</v>
      </c>
      <c r="XH51" t="s">
        <v>1900</v>
      </c>
      <c r="XI51" t="s">
        <v>1900</v>
      </c>
      <c r="XJ51">
        <v>0</v>
      </c>
      <c r="XK51">
        <v>275837.947742681</v>
      </c>
      <c r="XL51">
        <v>778.841612321138</v>
      </c>
      <c r="XM51">
        <v>827.036070513725</v>
      </c>
      <c r="XN51">
        <v>896.040179437399</v>
      </c>
      <c r="XO51" t="s">
        <v>1900</v>
      </c>
      <c r="XP51" t="s">
        <v>1900</v>
      </c>
      <c r="XQ51" t="s">
        <v>1900</v>
      </c>
      <c r="XR51" t="s">
        <v>1900</v>
      </c>
      <c r="XS51" t="s">
        <v>1900</v>
      </c>
      <c r="XT51" t="s">
        <v>1900</v>
      </c>
      <c r="XU51" t="s">
        <v>1900</v>
      </c>
      <c r="XV51" t="s">
        <v>1900</v>
      </c>
      <c r="XW51" t="s">
        <v>1900</v>
      </c>
      <c r="XX51" t="s">
        <v>1900</v>
      </c>
      <c r="XY51">
        <v>0</v>
      </c>
      <c r="XZ51">
        <v>275837.947742681</v>
      </c>
      <c r="YA51" t="s">
        <v>1900</v>
      </c>
      <c r="YB51" t="s">
        <v>1900</v>
      </c>
      <c r="YC51" t="s">
        <v>1900</v>
      </c>
      <c r="YD51" t="s">
        <v>1900</v>
      </c>
      <c r="YE51" t="s">
        <v>1900</v>
      </c>
      <c r="YF51" t="s">
        <v>1900</v>
      </c>
      <c r="YG51" t="s">
        <v>1900</v>
      </c>
      <c r="YH51" t="s">
        <v>1900</v>
      </c>
      <c r="YI51" t="s">
        <v>1900</v>
      </c>
      <c r="YJ51" t="s">
        <v>1900</v>
      </c>
      <c r="YK51" t="s">
        <v>1900</v>
      </c>
      <c r="YL51" t="s">
        <v>1900</v>
      </c>
      <c r="YM51" t="s">
        <v>1900</v>
      </c>
      <c r="YN51" t="s">
        <v>1900</v>
      </c>
      <c r="YO51" t="s">
        <v>1900</v>
      </c>
      <c r="YP51" t="s">
        <v>1900</v>
      </c>
      <c r="YQ51" t="s">
        <v>1900</v>
      </c>
      <c r="YR51" t="s">
        <v>1900</v>
      </c>
      <c r="YS51" t="s">
        <v>1900</v>
      </c>
      <c r="YT51" t="s">
        <v>1900</v>
      </c>
      <c r="YU51" t="s">
        <v>1900</v>
      </c>
      <c r="YV51" t="s">
        <v>1900</v>
      </c>
      <c r="YW51" t="s">
        <v>1900</v>
      </c>
      <c r="YX51" t="s">
        <v>1900</v>
      </c>
      <c r="YY51" t="s">
        <v>1900</v>
      </c>
      <c r="YZ51" t="s">
        <v>1900</v>
      </c>
      <c r="ZA51" t="s">
        <v>1900</v>
      </c>
      <c r="ZB51" t="s">
        <v>1900</v>
      </c>
      <c r="ZC51" t="s">
        <v>1900</v>
      </c>
      <c r="ZD51" t="s">
        <v>1900</v>
      </c>
      <c r="ZE51" t="s">
        <v>1900</v>
      </c>
      <c r="ZF51" t="s">
        <v>1900</v>
      </c>
      <c r="ZG51" t="s">
        <v>1900</v>
      </c>
      <c r="ZH51" t="s">
        <v>1900</v>
      </c>
      <c r="ZI51" t="s">
        <v>1900</v>
      </c>
      <c r="ZJ51" t="s">
        <v>1900</v>
      </c>
      <c r="ZK51" t="s">
        <v>1900</v>
      </c>
      <c r="ZL51" t="s">
        <v>1900</v>
      </c>
      <c r="ZM51" t="s">
        <v>1900</v>
      </c>
      <c r="ZN51" t="s">
        <v>1900</v>
      </c>
      <c r="ZO51" t="s">
        <v>1900</v>
      </c>
      <c r="ZP51" t="s">
        <v>1900</v>
      </c>
      <c r="ZQ51" t="s">
        <v>1900</v>
      </c>
      <c r="ZR51" t="s">
        <v>1900</v>
      </c>
      <c r="ZS51" t="s">
        <v>1900</v>
      </c>
      <c r="ZT51" t="s">
        <v>1900</v>
      </c>
      <c r="ZU51" t="s">
        <v>1900</v>
      </c>
      <c r="ZV51" t="s">
        <v>1900</v>
      </c>
      <c r="ZW51" t="s">
        <v>1900</v>
      </c>
      <c r="ZX51" t="s">
        <v>1900</v>
      </c>
      <c r="ZY51" t="s">
        <v>1900</v>
      </c>
      <c r="ZZ51" t="s">
        <v>1900</v>
      </c>
      <c r="AAA51" t="s">
        <v>1900</v>
      </c>
      <c r="AAB51" t="s">
        <v>1900</v>
      </c>
      <c r="AAC51" t="s">
        <v>1900</v>
      </c>
      <c r="AAD51" t="s">
        <v>1900</v>
      </c>
      <c r="AAE51" t="s">
        <v>1900</v>
      </c>
      <c r="AAF51" t="s">
        <v>1900</v>
      </c>
      <c r="AAG51" t="s">
        <v>1900</v>
      </c>
      <c r="AAH51" t="s">
        <v>1900</v>
      </c>
      <c r="AAI51" t="s">
        <v>1900</v>
      </c>
      <c r="AAJ51" t="s">
        <v>1900</v>
      </c>
      <c r="AAK51" t="s">
        <v>1900</v>
      </c>
      <c r="AAL51" t="s">
        <v>1900</v>
      </c>
      <c r="AAM51" t="s">
        <v>1900</v>
      </c>
      <c r="AAN51" t="s">
        <v>1900</v>
      </c>
      <c r="AAO51" t="s">
        <v>1900</v>
      </c>
      <c r="AAP51" t="s">
        <v>1900</v>
      </c>
      <c r="AAQ51" t="s">
        <v>1900</v>
      </c>
      <c r="AAR51" t="s">
        <v>1900</v>
      </c>
      <c r="AAS51" t="s">
        <v>1900</v>
      </c>
      <c r="AAT51" t="s">
        <v>1900</v>
      </c>
      <c r="AAU51" t="s">
        <v>1900</v>
      </c>
      <c r="AAV51" t="s">
        <v>1900</v>
      </c>
      <c r="AAW51" t="s">
        <v>1900</v>
      </c>
      <c r="AAX51" t="s">
        <v>1900</v>
      </c>
      <c r="AAY51" t="s">
        <v>1900</v>
      </c>
      <c r="AAZ51" t="s">
        <v>1900</v>
      </c>
      <c r="ABA51" t="s">
        <v>1900</v>
      </c>
      <c r="ABB51" t="s">
        <v>1900</v>
      </c>
      <c r="ABC51" t="s">
        <v>1900</v>
      </c>
      <c r="ABD51" t="s">
        <v>1900</v>
      </c>
      <c r="ABE51" t="s">
        <v>1900</v>
      </c>
      <c r="ABF51" t="s">
        <v>1900</v>
      </c>
      <c r="ABG51" t="s">
        <v>1900</v>
      </c>
      <c r="ABH51" t="s">
        <v>1900</v>
      </c>
      <c r="ABI51" t="s">
        <v>1900</v>
      </c>
      <c r="ABJ51" t="s">
        <v>1900</v>
      </c>
      <c r="ABK51" t="s">
        <v>1900</v>
      </c>
      <c r="ABL51" t="s">
        <v>1900</v>
      </c>
      <c r="ABM51" t="s">
        <v>1900</v>
      </c>
      <c r="ABN51" t="s">
        <v>1900</v>
      </c>
      <c r="ABO51" t="s">
        <v>1900</v>
      </c>
      <c r="ABP51" t="s">
        <v>1900</v>
      </c>
      <c r="ABQ51" t="s">
        <v>1900</v>
      </c>
      <c r="ABR51" t="s">
        <v>1900</v>
      </c>
      <c r="ABS51" t="s">
        <v>1900</v>
      </c>
      <c r="ABT51" t="s">
        <v>1900</v>
      </c>
      <c r="ABU51" t="s">
        <v>1900</v>
      </c>
      <c r="ABV51" t="s">
        <v>1900</v>
      </c>
      <c r="ABW51" t="s">
        <v>1900</v>
      </c>
      <c r="ABX51" t="s">
        <v>1900</v>
      </c>
      <c r="ABY51" t="s">
        <v>1900</v>
      </c>
      <c r="ABZ51" t="s">
        <v>1900</v>
      </c>
      <c r="ACA51" t="s">
        <v>1900</v>
      </c>
      <c r="ACB51" t="s">
        <v>1900</v>
      </c>
      <c r="ACC51" t="s">
        <v>1900</v>
      </c>
      <c r="ACD51" t="s">
        <v>1900</v>
      </c>
      <c r="ACE51">
        <v>2.898</v>
      </c>
      <c r="ACF51">
        <v>2.538</v>
      </c>
      <c r="ACG51">
        <v>0.8120000000000001</v>
      </c>
      <c r="ACH51">
        <v>9.433999999999999</v>
      </c>
      <c r="ACI51">
        <v>28.306</v>
      </c>
      <c r="ACJ51">
        <v>3.531</v>
      </c>
      <c r="ACK51">
        <v>2.864</v>
      </c>
      <c r="ACL51">
        <v>0.9379999999999999</v>
      </c>
      <c r="ACM51">
        <v>9.199999999999999</v>
      </c>
      <c r="ACN51">
        <v>27.641</v>
      </c>
      <c r="ACO51">
        <v>0.842</v>
      </c>
      <c r="ACP51">
        <v>0.556</v>
      </c>
      <c r="ACQ51">
        <v>0.215</v>
      </c>
      <c r="ACR51">
        <v>1.869</v>
      </c>
      <c r="ACS51">
        <v>6.141</v>
      </c>
      <c r="ACT51">
        <v>5.22</v>
      </c>
      <c r="ACU51">
        <v>6.706</v>
      </c>
      <c r="ACV51">
        <v>1.758</v>
      </c>
      <c r="ACW51">
        <v>9.141</v>
      </c>
      <c r="ACX51">
        <v>21.247</v>
      </c>
      <c r="ACY51">
        <v>5.556</v>
      </c>
      <c r="ACZ51">
        <v>6.591</v>
      </c>
      <c r="ADA51">
        <v>1.815</v>
      </c>
      <c r="ADB51">
        <v>8.916</v>
      </c>
      <c r="ADC51">
        <v>20.766</v>
      </c>
      <c r="ADD51">
        <v>1.517</v>
      </c>
      <c r="ADE51">
        <v>1.469</v>
      </c>
      <c r="ADF51">
        <v>0.465</v>
      </c>
      <c r="ADG51">
        <v>1.811</v>
      </c>
      <c r="ADH51">
        <v>4.609</v>
      </c>
      <c r="ADI51">
        <v>1.742</v>
      </c>
      <c r="ADJ51">
        <v>1.259</v>
      </c>
      <c r="ADK51">
        <v>0.413</v>
      </c>
      <c r="ADL51">
        <v>4.548</v>
      </c>
      <c r="ADM51">
        <v>17.607</v>
      </c>
      <c r="ADN51">
        <v>93.93899999999999</v>
      </c>
      <c r="ADO51">
        <v>94.023</v>
      </c>
      <c r="ADP51">
        <v>92.976</v>
      </c>
      <c r="ADQ51">
        <v>92.87</v>
      </c>
      <c r="ADR51">
        <v>92.514</v>
      </c>
      <c r="ADS51">
        <v>1.485225246</v>
      </c>
      <c r="ADT51">
        <v>0.820598855</v>
      </c>
      <c r="ADU51">
        <v>-0.05878792</v>
      </c>
      <c r="ADV51">
        <v>3.970294926</v>
      </c>
      <c r="ADW51">
        <v>17.048767614</v>
      </c>
      <c r="ADX51">
        <v>4.177</v>
      </c>
      <c r="ADY51">
        <v>2.594</v>
      </c>
      <c r="ADZ51">
        <v>0.648</v>
      </c>
      <c r="AEA51">
        <v>4.908</v>
      </c>
      <c r="AEB51">
        <v>18.516</v>
      </c>
      <c r="AEC51">
        <v>1.485</v>
      </c>
      <c r="AED51">
        <v>0.821</v>
      </c>
      <c r="AEE51">
        <v>-0.059</v>
      </c>
      <c r="AEF51">
        <v>3.97</v>
      </c>
      <c r="AEG51">
        <v>17.049</v>
      </c>
      <c r="AEH51">
        <v>5.831</v>
      </c>
      <c r="AEI51">
        <v>5.101</v>
      </c>
      <c r="AEJ51">
        <v>1.601</v>
      </c>
      <c r="AEK51">
        <v>5.343</v>
      </c>
      <c r="AEL51">
        <v>14.684</v>
      </c>
      <c r="AEM51">
        <v>1.507616751</v>
      </c>
      <c r="AEN51">
        <v>0.8273883950000001</v>
      </c>
      <c r="AEO51">
        <v>-0.05875338</v>
      </c>
      <c r="AEP51">
        <v>4.134444569</v>
      </c>
      <c r="AEQ51">
        <v>20.552759885</v>
      </c>
      <c r="AER51">
        <v>1.016064483</v>
      </c>
      <c r="AES51">
        <v>1.008804527</v>
      </c>
      <c r="AET51">
        <v>0.99936811</v>
      </c>
      <c r="AEU51">
        <v>1.044660174</v>
      </c>
      <c r="AEV51">
        <v>1.225915581</v>
      </c>
      <c r="AEW51" t="s">
        <v>1900</v>
      </c>
      <c r="AEX51" t="s">
        <v>1900</v>
      </c>
      <c r="AEY51" t="s">
        <v>1900</v>
      </c>
      <c r="AEZ51" t="s">
        <v>1900</v>
      </c>
      <c r="AFA51" t="s">
        <v>1900</v>
      </c>
      <c r="AFB51" t="s">
        <v>1900</v>
      </c>
      <c r="AFC51" t="s">
        <v>1900</v>
      </c>
      <c r="AFD51" t="s">
        <v>1900</v>
      </c>
      <c r="AFE51" t="s">
        <v>1900</v>
      </c>
      <c r="AFF51" t="s">
        <v>1900</v>
      </c>
      <c r="AFG51">
        <v>1.45</v>
      </c>
      <c r="AFH51">
        <v>1.802</v>
      </c>
      <c r="AFI51">
        <v>1.823</v>
      </c>
      <c r="AFJ51">
        <v>2.008</v>
      </c>
      <c r="AFK51">
        <v>1.566</v>
      </c>
      <c r="AFL51">
        <v>2.144</v>
      </c>
      <c r="AFM51">
        <v>2.489</v>
      </c>
      <c r="AFN51">
        <v>-0.579</v>
      </c>
      <c r="AFO51">
        <v>115.51</v>
      </c>
      <c r="AFP51">
        <v>357.579</v>
      </c>
      <c r="AFQ51" t="s">
        <v>1901</v>
      </c>
      <c r="AFR51" t="s">
        <v>1901</v>
      </c>
      <c r="AFS51" t="s">
        <v>1901</v>
      </c>
      <c r="AFT51" t="s">
        <v>1901</v>
      </c>
      <c r="AFU51" t="s">
        <v>1901</v>
      </c>
      <c r="AFV51">
        <v>76.524</v>
      </c>
      <c r="AFW51">
        <v>79.97199999999999</v>
      </c>
      <c r="AFX51">
        <v>82.54600000000001</v>
      </c>
      <c r="AFY51">
        <v>97.744</v>
      </c>
      <c r="AFZ51">
        <v>115.567</v>
      </c>
      <c r="AGA51">
        <v>0.529</v>
      </c>
      <c r="AGB51">
        <v>1.532</v>
      </c>
      <c r="AGC51">
        <v>1.781</v>
      </c>
      <c r="AGD51">
        <v>1.754</v>
      </c>
      <c r="AGE51">
        <v>2.198</v>
      </c>
      <c r="AGF51" t="s">
        <v>1900</v>
      </c>
      <c r="AGG51" t="s">
        <v>1900</v>
      </c>
      <c r="AGH51" t="s">
        <v>1900</v>
      </c>
      <c r="AGI51" t="s">
        <v>1900</v>
      </c>
      <c r="AGJ51" t="s">
        <v>1900</v>
      </c>
      <c r="AGK51" t="s">
        <v>1900</v>
      </c>
      <c r="AGL51" t="s">
        <v>1900</v>
      </c>
      <c r="AGM51" t="s">
        <v>1900</v>
      </c>
      <c r="AGN51" t="s">
        <v>1900</v>
      </c>
      <c r="AGO51" t="s">
        <v>1900</v>
      </c>
      <c r="AGP51" t="s">
        <v>1900</v>
      </c>
      <c r="AGQ51" t="s">
        <v>1900</v>
      </c>
      <c r="AGR51" t="s">
        <v>1900</v>
      </c>
      <c r="AGS51" t="s">
        <v>1900</v>
      </c>
      <c r="AGT51" t="s">
        <v>1900</v>
      </c>
      <c r="AGU51">
        <v>0</v>
      </c>
      <c r="AGV51">
        <v>0</v>
      </c>
      <c r="AGW51">
        <v>0</v>
      </c>
      <c r="AGX51">
        <v>0</v>
      </c>
      <c r="AGY51">
        <v>0</v>
      </c>
      <c r="AGZ51">
        <v>1.092</v>
      </c>
      <c r="AHA51">
        <v>1.074</v>
      </c>
      <c r="AHB51">
        <v>1.169</v>
      </c>
      <c r="AHC51">
        <v>1.121</v>
      </c>
      <c r="AHD51">
        <v>1.25</v>
      </c>
      <c r="AHE51">
        <v>1.091</v>
      </c>
      <c r="AHF51">
        <v>1.074</v>
      </c>
      <c r="AHG51">
        <v>1.169</v>
      </c>
      <c r="AHH51">
        <v>1.121</v>
      </c>
      <c r="AHI51">
        <v>1.25</v>
      </c>
      <c r="AHJ51">
        <v>6.802</v>
      </c>
      <c r="AHK51">
        <v>8.451000000000001</v>
      </c>
      <c r="AHL51">
        <v>12.778</v>
      </c>
      <c r="AHM51">
        <v>30.058</v>
      </c>
      <c r="AHN51">
        <v>37.224</v>
      </c>
      <c r="AHO51">
        <v>29.056</v>
      </c>
      <c r="AHP51">
        <v>21.903</v>
      </c>
      <c r="AHQ51">
        <v>26.451</v>
      </c>
      <c r="AHR51">
        <v>19.808</v>
      </c>
      <c r="AHS51">
        <v>21.694</v>
      </c>
      <c r="AHT51">
        <v>40.955</v>
      </c>
      <c r="AHU51">
        <v>28.046</v>
      </c>
      <c r="AHV51">
        <v>35.964</v>
      </c>
      <c r="AHW51">
        <v>24.701</v>
      </c>
      <c r="AHX51">
        <v>27.704</v>
      </c>
      <c r="AHY51">
        <v>25.745</v>
      </c>
      <c r="AHZ51">
        <v>22.345</v>
      </c>
      <c r="AIA51">
        <v>16.707</v>
      </c>
      <c r="AIB51">
        <v>4.293</v>
      </c>
      <c r="AIC51">
        <v>3.982</v>
      </c>
      <c r="AID51">
        <v>13.541809259</v>
      </c>
      <c r="AIE51">
        <v>11.372191809</v>
      </c>
      <c r="AIF51">
        <v>11.80711287</v>
      </c>
      <c r="AIG51">
        <v>8.998112284999999</v>
      </c>
      <c r="AIH51">
        <v>1.587440593</v>
      </c>
      <c r="AII51">
        <v>62.468215134</v>
      </c>
      <c r="AIJ51">
        <v>71.279921871</v>
      </c>
      <c r="AIK51">
        <v>71.60912002400001</v>
      </c>
      <c r="AIL51">
        <v>77.993105544</v>
      </c>
      <c r="AIM51">
        <v>85.932297288</v>
      </c>
      <c r="AIN51">
        <v>63.393106226</v>
      </c>
      <c r="AIO51">
        <v>73.01520146999999</v>
      </c>
      <c r="AIP51">
        <v>68.872298986</v>
      </c>
      <c r="AIQ51">
        <v>79.14124981800001</v>
      </c>
      <c r="AIR51">
        <v>77.229027469</v>
      </c>
      <c r="AIS51">
        <v>1.519609256</v>
      </c>
      <c r="AIT51">
        <v>1.169196534</v>
      </c>
      <c r="AIU51">
        <v>0</v>
      </c>
      <c r="AIV51">
        <v>0</v>
      </c>
      <c r="AIW51">
        <v>0</v>
      </c>
      <c r="AIX51">
        <v>0.723448084301949</v>
      </c>
      <c r="AIY51">
        <v>0.497462383255005</v>
      </c>
      <c r="AIZ51">
        <v>0.157671135951281</v>
      </c>
      <c r="AJA51">
        <v>2.01585186163902</v>
      </c>
      <c r="AJB51">
        <v>9.06761346016526</v>
      </c>
      <c r="AJC51">
        <v>41.5201260961922</v>
      </c>
      <c r="AJD51">
        <v>39.4994913768864</v>
      </c>
      <c r="AJE51">
        <v>38.1886795347297</v>
      </c>
      <c r="AJF51">
        <v>44.3273631252551</v>
      </c>
      <c r="AJG51">
        <v>51.499862990166</v>
      </c>
      <c r="AJH51">
        <v>72.49299999999999</v>
      </c>
      <c r="AJI51">
        <v>75.08</v>
      </c>
      <c r="AJJ51">
        <v>74.131</v>
      </c>
      <c r="AJK51">
        <v>66.685</v>
      </c>
      <c r="AJL51">
        <v>69.348</v>
      </c>
      <c r="AJM51">
        <v>30.0991169724363</v>
      </c>
      <c r="AJN51">
        <v>29.6562707193699</v>
      </c>
      <c r="AJO51">
        <v>28.3095417596215</v>
      </c>
      <c r="AJP51">
        <v>29.559527026062</v>
      </c>
      <c r="AJQ51">
        <v>35.7142416328108</v>
      </c>
      <c r="AJR51">
        <v>24.9608361998876</v>
      </c>
      <c r="AJS51">
        <v>19.6000689512701</v>
      </c>
      <c r="AJT51">
        <v>19.4293426676345</v>
      </c>
      <c r="AJU51">
        <v>21.3668774258208</v>
      </c>
      <c r="AJV51">
        <v>32.033786751737</v>
      </c>
      <c r="AJW51">
        <v>8.80307682054317</v>
      </c>
      <c r="AJX51">
        <v>8.634046239853861</v>
      </c>
      <c r="AJY51">
        <v>8.56753931779742</v>
      </c>
      <c r="AJZ51">
        <v>11.8194419179988</v>
      </c>
      <c r="AKA51">
        <v>16.2179112611544</v>
      </c>
      <c r="AKB51">
        <v>85.907342733592</v>
      </c>
      <c r="AKC51">
        <v>89.486596605485</v>
      </c>
      <c r="AKD51">
        <v>73.4535688206589</v>
      </c>
      <c r="AKE51">
        <v>107.868580326254</v>
      </c>
      <c r="AKF51">
        <v>147.661449278993</v>
      </c>
      <c r="AKG51">
        <v>1.519609256</v>
      </c>
      <c r="AKH51">
        <v>1.169196534</v>
      </c>
      <c r="AKI51">
        <v>0</v>
      </c>
      <c r="AKJ51">
        <v>0</v>
      </c>
      <c r="AKK51">
        <v>0</v>
      </c>
      <c r="AKL51">
        <v>0.092100562</v>
      </c>
      <c r="AKM51">
        <v>0.069888504</v>
      </c>
      <c r="AKN51">
        <v>0</v>
      </c>
      <c r="AKO51">
        <v>0</v>
      </c>
      <c r="AKP51">
        <v>0</v>
      </c>
      <c r="AKQ51">
        <v>0.044513389</v>
      </c>
      <c r="AKR51">
        <v>0.03084887</v>
      </c>
      <c r="AKS51">
        <v>0</v>
      </c>
      <c r="AKT51">
        <v>0</v>
      </c>
      <c r="AKU51">
        <v>0</v>
      </c>
      <c r="AKV51">
        <v>26.634260935</v>
      </c>
      <c r="AKW51">
        <v>15.223741513</v>
      </c>
      <c r="AKX51">
        <v>7.402760428</v>
      </c>
      <c r="AKY51">
        <v>3.487815815</v>
      </c>
      <c r="AKZ51">
        <v>1.878347192</v>
      </c>
      <c r="ALA51">
        <v>12.872681748</v>
      </c>
      <c r="ALB51">
        <v>6.719777932</v>
      </c>
      <c r="ALC51">
        <v>3.848712152</v>
      </c>
      <c r="ALD51">
        <v>1.43327814</v>
      </c>
      <c r="ALE51">
        <v>0.6551108879999999</v>
      </c>
      <c r="ALF51">
        <v>1.653509212</v>
      </c>
      <c r="ALG51">
        <v>1.793818084</v>
      </c>
      <c r="ALH51">
        <v>1.565593324</v>
      </c>
      <c r="ALI51">
        <v>1.017267971</v>
      </c>
      <c r="ALJ51">
        <v>1.803502613</v>
      </c>
      <c r="ALK51">
        <v>0.799162324</v>
      </c>
      <c r="ALL51">
        <v>0.791793473</v>
      </c>
      <c r="ALM51">
        <v>0.813955565</v>
      </c>
      <c r="ALN51">
        <v>0.418034673</v>
      </c>
      <c r="ALO51">
        <v>0.629007354</v>
      </c>
      <c r="ALP51">
        <v>21.256660564</v>
      </c>
      <c r="ALQ51">
        <v>22.214406784</v>
      </c>
      <c r="ALR51">
        <v>22.929499357</v>
      </c>
      <c r="ALS51">
        <v>27.151183708</v>
      </c>
      <c r="ALT51">
        <v>32.101810241</v>
      </c>
      <c r="ALU51">
        <v>0.6906571379999999</v>
      </c>
      <c r="ALV51">
        <v>1.916179335</v>
      </c>
      <c r="ALW51">
        <v>2.157643238</v>
      </c>
      <c r="ALX51">
        <v>1.794384642</v>
      </c>
      <c r="ALY51">
        <v>1.902185092</v>
      </c>
      <c r="ALZ51">
        <v>93.939194462591</v>
      </c>
      <c r="AMA51">
        <v>94.0225186973163</v>
      </c>
      <c r="AMB51">
        <v>92.97627470593039</v>
      </c>
      <c r="AMC51">
        <v>92.8704179795553</v>
      </c>
      <c r="AMD51">
        <v>92.513981413903</v>
      </c>
      <c r="AME51">
        <v>98.03507600435159</v>
      </c>
      <c r="AMF51">
        <v>96.4162867615653</v>
      </c>
      <c r="AMG51">
        <v>93.3746654315914</v>
      </c>
      <c r="AMH51">
        <v>92.9465143640257</v>
      </c>
      <c r="AMI51">
        <v>92.6734558312852</v>
      </c>
      <c r="AMJ51">
        <v>1549.9456942278</v>
      </c>
      <c r="AMK51">
        <v>1572.9454252764</v>
      </c>
      <c r="AML51">
        <v>1323.7458871638</v>
      </c>
      <c r="AMM51">
        <v>1302.60676871717</v>
      </c>
      <c r="AMN51">
        <v>1235.82356027969</v>
      </c>
      <c r="AMO51">
        <v>1.0160644833209</v>
      </c>
      <c r="AMP51">
        <v>1.00880452738079</v>
      </c>
      <c r="AMQ51">
        <v>0.999368110059511</v>
      </c>
      <c r="AMR51">
        <v>1.04466017359446</v>
      </c>
      <c r="AMS51">
        <v>1.22591558096393</v>
      </c>
      <c r="AMT51">
        <v>1.0160644833209</v>
      </c>
      <c r="AMU51">
        <v>1.00880452738079</v>
      </c>
      <c r="AMV51">
        <v>0.999368110059511</v>
      </c>
      <c r="AMW51">
        <v>1.04466017356745</v>
      </c>
      <c r="AMX51">
        <v>1.2259155809197</v>
      </c>
      <c r="AMY51">
        <v>1.0160644833209</v>
      </c>
      <c r="AMZ51">
        <v>1.00880452738079</v>
      </c>
      <c r="ANA51">
        <v>0.999368110059511</v>
      </c>
      <c r="ANB51">
        <v>1.04466017356625</v>
      </c>
      <c r="ANC51">
        <v>1.22591558090971</v>
      </c>
      <c r="AND51">
        <v>1.48522524642376</v>
      </c>
      <c r="ANE51">
        <v>0.820598855192069</v>
      </c>
      <c r="ANF51">
        <v>-0.0587879201862116</v>
      </c>
      <c r="ANG51">
        <v>3.97029492564804</v>
      </c>
      <c r="ANH51">
        <v>17.048767614066</v>
      </c>
      <c r="ANI51">
        <v>1.54998316463868</v>
      </c>
      <c r="ANJ51">
        <v>0.841490907014695</v>
      </c>
      <c r="ANK51">
        <v>-0.0590398184501199</v>
      </c>
      <c r="ANL51">
        <v>3.97354811536869</v>
      </c>
      <c r="ANM51">
        <v>17.0781560615286</v>
      </c>
      <c r="ANN51">
        <v>1.50761675102936</v>
      </c>
      <c r="ANO51">
        <v>0.827388394888516</v>
      </c>
      <c r="ANP51">
        <v>-0.0587533802958965</v>
      </c>
      <c r="ANQ51">
        <v>4.1344445685572</v>
      </c>
      <c r="ANR51">
        <v>20.5527598851647</v>
      </c>
      <c r="ANS51">
        <v>2.15389439667114</v>
      </c>
      <c r="ANT51">
        <v>1.47874303962836</v>
      </c>
      <c r="ANU51">
        <v>-0.107161850725943</v>
      </c>
      <c r="ANV51">
        <v>7.97150069195558</v>
      </c>
      <c r="ANW51">
        <v>26.6917892478927</v>
      </c>
      <c r="ANX51">
        <v>93.939194462591</v>
      </c>
      <c r="ANY51">
        <v>94.0225186973163</v>
      </c>
      <c r="ANZ51">
        <v>92.97627470593039</v>
      </c>
      <c r="AOA51">
        <v>92.8704179795553</v>
      </c>
      <c r="AOB51">
        <v>92.513981413903</v>
      </c>
      <c r="AOC51">
        <v>95.35543749409101</v>
      </c>
      <c r="AOD51">
        <v>94.80045010559969</v>
      </c>
      <c r="AOE51">
        <v>92.92164800166741</v>
      </c>
      <c r="AOF51">
        <v>96.7100939315073</v>
      </c>
      <c r="AOG51">
        <v>111.528157874108</v>
      </c>
      <c r="AOH51">
        <v>45.4020239921395</v>
      </c>
      <c r="AOI51">
        <v>41.50165356584</v>
      </c>
      <c r="AOJ51">
        <v>48.338578798739</v>
      </c>
      <c r="AOK51">
        <v>38.1640393259908</v>
      </c>
      <c r="AOL51">
        <v>32.266088383067</v>
      </c>
      <c r="AOM51">
        <v>24.505410002953</v>
      </c>
      <c r="AON51">
        <v>13.7281710078063</v>
      </c>
      <c r="AOO51">
        <v>-0.836990595800325</v>
      </c>
      <c r="AOP51">
        <v>55.6876253651737</v>
      </c>
      <c r="AOQ51">
        <v>227.741454526026</v>
      </c>
      <c r="AOR51">
        <v>1.60644833208961</v>
      </c>
      <c r="AOS51">
        <v>0.880452738078884</v>
      </c>
      <c r="AOT51">
        <v>-0.0631889940489047</v>
      </c>
      <c r="AOU51">
        <v>4.46601735674514</v>
      </c>
      <c r="AOV51">
        <v>22.5915580919705</v>
      </c>
      <c r="AOW51">
        <v>0.717828512982577</v>
      </c>
      <c r="AOX51">
        <v>0.36221332800435</v>
      </c>
      <c r="AOY51">
        <v>-0.0305639747486453</v>
      </c>
      <c r="AOZ51">
        <v>1.63154742893017</v>
      </c>
      <c r="APA51">
        <v>5.94609630080361</v>
      </c>
      <c r="APB51">
        <v>3.13839409626697</v>
      </c>
      <c r="APC51">
        <v>3.32782760137698</v>
      </c>
      <c r="APD51">
        <v>0.894184671926309</v>
      </c>
      <c r="APE51">
        <v>4.40614751935208</v>
      </c>
      <c r="APF51">
        <v>13.2161918610813</v>
      </c>
      <c r="APG51">
        <v>3.2752325109799</v>
      </c>
      <c r="APH51">
        <v>3.41255249011504</v>
      </c>
      <c r="API51">
        <v>0.898016131956843</v>
      </c>
      <c r="APJ51">
        <v>4.40975783900995</v>
      </c>
      <c r="APK51">
        <v>13.2389737635013</v>
      </c>
      <c r="APL51">
        <v>51.7817982592564</v>
      </c>
      <c r="APM51">
        <v>55.6727396183216</v>
      </c>
      <c r="APN51">
        <v>12.7309174901999</v>
      </c>
      <c r="APO51">
        <v>61.8009233460959</v>
      </c>
      <c r="APP51">
        <v>176.545004652091</v>
      </c>
      <c r="APQ51">
        <v>3.39454771155263</v>
      </c>
      <c r="APR51">
        <v>3.57055692309131</v>
      </c>
      <c r="APS51">
        <v>0.961126533036047</v>
      </c>
      <c r="APT51">
        <v>4.95628956193829</v>
      </c>
      <c r="APU51">
        <v>17.51295888026</v>
      </c>
      <c r="APV51">
        <v>3.18570905137561</v>
      </c>
      <c r="APW51">
        <v>3.35536166075267</v>
      </c>
      <c r="APX51">
        <v>0.893659308205465</v>
      </c>
      <c r="APY51">
        <v>4.58831724614855</v>
      </c>
      <c r="APZ51">
        <v>15.932484040252</v>
      </c>
      <c r="AQA51">
        <v>1.51682633506342</v>
      </c>
      <c r="AQB51">
        <v>1.46890713153305</v>
      </c>
      <c r="AQC51">
        <v>0.464888664998077</v>
      </c>
      <c r="AQD51">
        <v>1.81065608256106</v>
      </c>
      <c r="AQE51">
        <v>4.60940939045064</v>
      </c>
      <c r="AQF51">
        <v>0.0160644833208961</v>
      </c>
      <c r="AQG51">
        <v>0.008804527380788839</v>
      </c>
      <c r="AQH51">
        <v>-0.0006318899404890469</v>
      </c>
      <c r="AQI51">
        <v>0.0446601735662451</v>
      </c>
      <c r="AQJ51">
        <v>0.225915580909714</v>
      </c>
      <c r="AQK51">
        <v>8</v>
      </c>
      <c r="AQO51" t="s">
        <v>1904</v>
      </c>
      <c r="AQP51">
        <v>9</v>
      </c>
      <c r="AQQ51">
        <v>1</v>
      </c>
      <c r="AQS51" t="s">
        <v>1905</v>
      </c>
      <c r="AQU51" t="s">
        <v>1906</v>
      </c>
      <c r="AQV51">
        <v>30309692.2580002</v>
      </c>
      <c r="AQW51">
        <v>40052484.764463</v>
      </c>
      <c r="AQX51">
        <v>42809509.425653</v>
      </c>
      <c r="AQY51">
        <v>450167.201529167</v>
      </c>
      <c r="AQZ51">
        <v>328670.231453161</v>
      </c>
      <c r="ARA51">
        <v>-25166.8202332616</v>
      </c>
      <c r="ARB51">
        <v>113171686.4481162</v>
      </c>
      <c r="ARC51">
        <v>753670.6127490664</v>
      </c>
      <c r="ARD51">
        <v>0.006704179994181669</v>
      </c>
      <c r="ARE51">
        <v>0.006704179994181669</v>
      </c>
      <c r="ARF51">
        <v>0.006704179994181669</v>
      </c>
      <c r="ARG51">
        <v>0.006704179994181669</v>
      </c>
      <c r="ARH51">
        <v>0.006704179994181669</v>
      </c>
      <c r="ARI51">
        <v>0.006704179994181669</v>
      </c>
      <c r="ARJ51" t="s">
        <v>1212</v>
      </c>
      <c r="ARK51" t="s">
        <v>1550</v>
      </c>
      <c r="ARL51" t="s">
        <v>1908</v>
      </c>
      <c r="ARM51" t="s">
        <v>1908</v>
      </c>
      <c r="ARN51" t="s">
        <v>1909</v>
      </c>
      <c r="ARO51" t="s">
        <v>1908</v>
      </c>
      <c r="ARP51" t="s">
        <v>1907</v>
      </c>
      <c r="ARQ51" t="s">
        <v>1950</v>
      </c>
      <c r="ARR51">
        <f>HYPERLINK("C:\Users\Usuario\Documents\Proyectos\llmthon\evidence\garsa_com_234407.png", "Ver Evidencia")</f>
        <v>0</v>
      </c>
      <c r="ARS51">
        <v>100</v>
      </c>
    </row>
    <row r="52" spans="1:1163">
      <c r="A52">
        <v>469</v>
      </c>
      <c r="B52" t="s">
        <v>1213</v>
      </c>
      <c r="C52" t="s">
        <v>1336</v>
      </c>
      <c r="E52" s="2">
        <v>33950</v>
      </c>
      <c r="F52" t="s">
        <v>1431</v>
      </c>
      <c r="G52" t="s">
        <v>1433</v>
      </c>
      <c r="H52" t="s">
        <v>1434</v>
      </c>
      <c r="I52" t="s">
        <v>1435</v>
      </c>
      <c r="J52" t="s">
        <v>1477</v>
      </c>
      <c r="L52" t="s">
        <v>1551</v>
      </c>
      <c r="N52" t="s">
        <v>1626</v>
      </c>
      <c r="O52" t="s">
        <v>1650</v>
      </c>
      <c r="P52">
        <v>6920</v>
      </c>
      <c r="Q52">
        <v>6920</v>
      </c>
      <c r="R52" t="s">
        <v>1722</v>
      </c>
      <c r="Z52" t="s">
        <v>1899</v>
      </c>
      <c r="AA52" s="2">
        <v>45657</v>
      </c>
      <c r="AB52">
        <v>2024</v>
      </c>
      <c r="AC52">
        <v>1477767.74374648</v>
      </c>
      <c r="AD52">
        <v>1575896.49039298</v>
      </c>
      <c r="AE52">
        <v>1527330.55503312</v>
      </c>
      <c r="AF52">
        <v>1529819.79390893</v>
      </c>
      <c r="AG52">
        <v>1540992.67457647</v>
      </c>
      <c r="AH52">
        <v>1477767.74374648</v>
      </c>
      <c r="AI52">
        <v>1575896.49039298</v>
      </c>
      <c r="AJ52">
        <v>1526277.51202436</v>
      </c>
      <c r="AK52">
        <v>1525924.44167147</v>
      </c>
      <c r="AL52">
        <v>1540992.67457647</v>
      </c>
      <c r="AM52">
        <v>53572.3612309039</v>
      </c>
      <c r="AN52">
        <v>34581.3109696674</v>
      </c>
      <c r="AO52">
        <v>37338.8962572455</v>
      </c>
      <c r="AP52">
        <v>27782.6855421066</v>
      </c>
      <c r="AQ52">
        <v>79389.3120584667</v>
      </c>
      <c r="AR52">
        <v>1424195.38251557</v>
      </c>
      <c r="AS52">
        <v>1541315.17942331</v>
      </c>
      <c r="AT52">
        <v>1489991.65877588</v>
      </c>
      <c r="AU52">
        <v>1502037.10836682</v>
      </c>
      <c r="AV52">
        <v>1461603.36251801</v>
      </c>
      <c r="AW52">
        <v>1387092.77777964</v>
      </c>
      <c r="AX52">
        <v>1480563.06875351</v>
      </c>
      <c r="AY52">
        <v>1418005.88870779</v>
      </c>
      <c r="AZ52">
        <v>1396254.67360769</v>
      </c>
      <c r="BA52">
        <v>1414379.47674282</v>
      </c>
      <c r="BB52">
        <v>37102.6036970341</v>
      </c>
      <c r="BC52">
        <v>60752.1095648003</v>
      </c>
      <c r="BD52">
        <v>71985.77006809109</v>
      </c>
      <c r="BE52">
        <v>105782.433626533</v>
      </c>
      <c r="BF52">
        <v>47223.8857751846</v>
      </c>
      <c r="BG52">
        <v>9223.339735125301</v>
      </c>
      <c r="BH52">
        <v>2952.45082502365</v>
      </c>
      <c r="BI52">
        <v>-12056.1579916</v>
      </c>
      <c r="BJ52">
        <v>-3662.81806833744</v>
      </c>
      <c r="BK52">
        <v>-413.078437167406</v>
      </c>
      <c r="BL52">
        <v>14147.7651149786</v>
      </c>
      <c r="BM52">
        <v>2952.45082502365</v>
      </c>
      <c r="BN52">
        <v>2742.72858607173</v>
      </c>
      <c r="BO52">
        <v>26.2763271331787</v>
      </c>
      <c r="BP52">
        <v>177.229951816797</v>
      </c>
      <c r="BQ52">
        <v>4924.42537985325</v>
      </c>
      <c r="BR52" t="s">
        <v>1900</v>
      </c>
      <c r="BS52">
        <v>14798.8865776718</v>
      </c>
      <c r="BT52">
        <v>3689.09439547062</v>
      </c>
      <c r="BU52">
        <v>590.308388984203</v>
      </c>
      <c r="BV52">
        <v>46325.9434321594</v>
      </c>
      <c r="BW52">
        <v>63704.5603898239</v>
      </c>
      <c r="BX52">
        <v>59929.6120764911</v>
      </c>
      <c r="BY52">
        <v>102119.615558195</v>
      </c>
      <c r="BZ52">
        <v>46810.8073380172</v>
      </c>
      <c r="CA52">
        <v>11059.438838737</v>
      </c>
      <c r="CB52">
        <v>15887.4650800991</v>
      </c>
      <c r="CC52">
        <v>14945.0747035325</v>
      </c>
      <c r="CD52">
        <v>25490.257215786</v>
      </c>
      <c r="CE52">
        <v>11672.0212842703</v>
      </c>
      <c r="CF52">
        <v>35266.5045934224</v>
      </c>
      <c r="CG52">
        <v>47817.0953097248</v>
      </c>
      <c r="CH52">
        <v>44984.5373729587</v>
      </c>
      <c r="CI52">
        <v>76629.3583424091</v>
      </c>
      <c r="CJ52">
        <v>35138.7860537469</v>
      </c>
      <c r="CK52" t="s">
        <v>1900</v>
      </c>
      <c r="CL52" t="s">
        <v>1900</v>
      </c>
      <c r="CM52" t="s">
        <v>1900</v>
      </c>
      <c r="CN52" t="s">
        <v>1900</v>
      </c>
      <c r="CO52" t="s">
        <v>1900</v>
      </c>
      <c r="CP52" t="s">
        <v>1900</v>
      </c>
      <c r="CQ52" t="s">
        <v>1900</v>
      </c>
      <c r="CR52" t="s">
        <v>1900</v>
      </c>
      <c r="CS52" t="s">
        <v>1900</v>
      </c>
      <c r="CT52" t="s">
        <v>1900</v>
      </c>
      <c r="CU52" t="s">
        <v>1900</v>
      </c>
      <c r="CV52" t="s">
        <v>1900</v>
      </c>
      <c r="CW52" t="s">
        <v>1900</v>
      </c>
      <c r="CX52" t="s">
        <v>1900</v>
      </c>
      <c r="CY52" t="s">
        <v>1900</v>
      </c>
      <c r="CZ52">
        <v>35266.5045934224</v>
      </c>
      <c r="DA52">
        <v>47817.0953097248</v>
      </c>
      <c r="DB52">
        <v>44984.5373729587</v>
      </c>
      <c r="DC52">
        <v>76629.3583424091</v>
      </c>
      <c r="DD52">
        <v>35138.7860537469</v>
      </c>
      <c r="DE52" t="s">
        <v>1900</v>
      </c>
      <c r="DF52" t="s">
        <v>1900</v>
      </c>
      <c r="DG52" t="s">
        <v>1900</v>
      </c>
      <c r="DH52" t="s">
        <v>1900</v>
      </c>
      <c r="DI52" t="s">
        <v>1900</v>
      </c>
      <c r="DJ52">
        <v>53572.3612309039</v>
      </c>
      <c r="DK52">
        <v>34581.3109696674</v>
      </c>
      <c r="DL52">
        <v>37338.8962572455</v>
      </c>
      <c r="DM52">
        <v>27782.6855421066</v>
      </c>
      <c r="DN52">
        <v>79389.3120584667</v>
      </c>
      <c r="DO52">
        <v>1066520.19160038</v>
      </c>
      <c r="DP52">
        <v>1112354.48416102</v>
      </c>
      <c r="DQ52">
        <v>1017272.72837475</v>
      </c>
      <c r="DR52">
        <v>1068341.18702831</v>
      </c>
      <c r="DS52">
        <v>1069407.17357562</v>
      </c>
      <c r="DT52">
        <v>43067.4869670999</v>
      </c>
      <c r="DU52">
        <v>34653.2465019512</v>
      </c>
      <c r="DV52">
        <v>40987.3384647667</v>
      </c>
      <c r="DW52">
        <v>44635.9819852352</v>
      </c>
      <c r="DX52">
        <v>48304.5921281934</v>
      </c>
      <c r="DY52">
        <v>277505.100251063</v>
      </c>
      <c r="DZ52">
        <v>333555.338090537</v>
      </c>
      <c r="EA52">
        <v>359745.821868271</v>
      </c>
      <c r="EB52">
        <v>283277.504594142</v>
      </c>
      <c r="EC52">
        <v>296667.709811913</v>
      </c>
      <c r="ED52" t="s">
        <v>1900</v>
      </c>
      <c r="EE52" t="s">
        <v>1900</v>
      </c>
      <c r="EF52">
        <v>14798.8865776718</v>
      </c>
      <c r="EG52" t="s">
        <v>1900</v>
      </c>
      <c r="EH52">
        <v>590.308388984203</v>
      </c>
      <c r="EI52" t="s">
        <v>1900</v>
      </c>
      <c r="EJ52" t="s">
        <v>1900</v>
      </c>
      <c r="EK52" t="s">
        <v>1900</v>
      </c>
      <c r="EL52" t="s">
        <v>1900</v>
      </c>
      <c r="EM52" t="s">
        <v>1900</v>
      </c>
      <c r="EN52">
        <v>78333.99156052231</v>
      </c>
      <c r="EO52">
        <v>82470.341811676</v>
      </c>
      <c r="EP52">
        <v>85971.8758377254</v>
      </c>
      <c r="EQ52">
        <v>121265.339195044</v>
      </c>
      <c r="ER52">
        <v>83443.37818194029</v>
      </c>
      <c r="ES52">
        <v>1155913.62199964</v>
      </c>
      <c r="ET52">
        <v>1210712.2899478</v>
      </c>
      <c r="EU52">
        <v>1132988.56549368</v>
      </c>
      <c r="EV52">
        <v>1215096.78343914</v>
      </c>
      <c r="EW52">
        <v>1165112.88143081</v>
      </c>
      <c r="EX52">
        <v>80170.090664134</v>
      </c>
      <c r="EY52">
        <v>95405.3560667515</v>
      </c>
      <c r="EZ52">
        <v>112973.108532858</v>
      </c>
      <c r="FA52">
        <v>150418.415611768</v>
      </c>
      <c r="FB52">
        <v>95528.47790337801</v>
      </c>
      <c r="FC52">
        <v>269642.822804472</v>
      </c>
      <c r="FD52">
        <v>299266.278757029</v>
      </c>
      <c r="FE52">
        <v>317722.569982523</v>
      </c>
      <c r="FF52">
        <v>380906.757475948</v>
      </c>
      <c r="FG52">
        <v>452148.064032978</v>
      </c>
      <c r="FH52">
        <v>41141.6061651635</v>
      </c>
      <c r="FI52">
        <v>43759.2793386269</v>
      </c>
      <c r="FJ52">
        <v>42238.5556584477</v>
      </c>
      <c r="FK52">
        <v>44852.2633399487</v>
      </c>
      <c r="FL52">
        <v>48594.5311506629</v>
      </c>
      <c r="FM52">
        <v>224027.912607101</v>
      </c>
      <c r="FN52">
        <v>250749.077233105</v>
      </c>
      <c r="FO52">
        <v>275484.014324075</v>
      </c>
      <c r="FP52">
        <v>336054.494136</v>
      </c>
      <c r="FQ52">
        <v>403553.532882315</v>
      </c>
      <c r="FR52">
        <v>4473.30403220773</v>
      </c>
      <c r="FS52">
        <v>4757.92218529701</v>
      </c>
      <c r="FT52">
        <v>0</v>
      </c>
      <c r="FU52">
        <v>0</v>
      </c>
      <c r="FV52">
        <v>0</v>
      </c>
      <c r="FW52">
        <v>41141.6061651635</v>
      </c>
      <c r="FX52">
        <v>43759.2793386269</v>
      </c>
      <c r="FY52">
        <v>42238.5556584477</v>
      </c>
      <c r="FZ52">
        <v>44852.2633399487</v>
      </c>
      <c r="GA52">
        <v>48594.5311506629</v>
      </c>
      <c r="GB52">
        <v>224027.912607101</v>
      </c>
      <c r="GC52">
        <v>250749.077233105</v>
      </c>
      <c r="GD52">
        <v>275484.014324075</v>
      </c>
      <c r="GE52">
        <v>336054.494136</v>
      </c>
      <c r="GF52">
        <v>403553.532882315</v>
      </c>
      <c r="GG52">
        <v>4473.30403220773</v>
      </c>
      <c r="GH52">
        <v>4757.92218529701</v>
      </c>
      <c r="GI52">
        <v>0</v>
      </c>
      <c r="GJ52">
        <v>0</v>
      </c>
      <c r="GK52">
        <v>0</v>
      </c>
      <c r="GL52">
        <v>1904949.23059923</v>
      </c>
      <c r="GM52">
        <v>2054297.5598435</v>
      </c>
      <c r="GN52">
        <v>1818803.32232599</v>
      </c>
      <c r="GO52">
        <v>2994002.28534944</v>
      </c>
      <c r="GP52">
        <v>2929481.11690287</v>
      </c>
      <c r="GQ52">
        <v>0</v>
      </c>
      <c r="GR52">
        <v>0</v>
      </c>
      <c r="GS52">
        <v>0</v>
      </c>
      <c r="GT52">
        <v>0</v>
      </c>
      <c r="GU52">
        <v>0</v>
      </c>
      <c r="GV52">
        <v>77335.2247088861</v>
      </c>
      <c r="GW52">
        <v>87083.7962321377</v>
      </c>
      <c r="GX52">
        <v>113961.931586432</v>
      </c>
      <c r="GY52">
        <v>1144537.71083722</v>
      </c>
      <c r="GZ52">
        <v>1181391.18806528</v>
      </c>
      <c r="HA52">
        <v>1827614.00589035</v>
      </c>
      <c r="HB52">
        <v>1967213.76361136</v>
      </c>
      <c r="HC52">
        <v>1704841.39073955</v>
      </c>
      <c r="HD52">
        <v>1849464.57451222</v>
      </c>
      <c r="HE52">
        <v>1748089.92883759</v>
      </c>
      <c r="HF52">
        <v>1743100.31780169</v>
      </c>
      <c r="HG52">
        <v>1967213.76361136</v>
      </c>
      <c r="HH52">
        <v>1704841.39073955</v>
      </c>
      <c r="HI52">
        <v>1849451.76480274</v>
      </c>
      <c r="HJ52">
        <v>1748089.92883759</v>
      </c>
      <c r="HK52">
        <v>2174592.05340371</v>
      </c>
      <c r="HL52">
        <v>2353563.83749553</v>
      </c>
      <c r="HM52">
        <v>2136525.89230851</v>
      </c>
      <c r="HN52">
        <v>3374909.04282539</v>
      </c>
      <c r="HO52">
        <v>3381629.18093585</v>
      </c>
      <c r="HP52">
        <v>1497734.35402306</v>
      </c>
      <c r="HQ52">
        <v>1555518.73424769</v>
      </c>
      <c r="HR52">
        <v>1455305.95007766</v>
      </c>
      <c r="HS52">
        <v>1497591.62950802</v>
      </c>
      <c r="HT52">
        <v>1539520.86713475</v>
      </c>
      <c r="HU52">
        <v>31219.5649328005</v>
      </c>
      <c r="HV52">
        <v>33205.9389524174</v>
      </c>
      <c r="HW52">
        <v>32051.9652478516</v>
      </c>
      <c r="HX52">
        <v>34035.3301254988</v>
      </c>
      <c r="HY52">
        <v>36875.0824784696</v>
      </c>
      <c r="HZ52">
        <v>1466514.78909026</v>
      </c>
      <c r="IA52">
        <v>1522312.79529528</v>
      </c>
      <c r="IB52">
        <v>1423253.98482981</v>
      </c>
      <c r="IC52">
        <v>1463556.29938252</v>
      </c>
      <c r="ID52">
        <v>1502645.78342918</v>
      </c>
      <c r="IE52">
        <v>0</v>
      </c>
      <c r="IF52">
        <v>0</v>
      </c>
      <c r="IG52">
        <v>8542.725947302581</v>
      </c>
      <c r="IH52">
        <v>9071.34696857929</v>
      </c>
      <c r="II52">
        <v>9828.218689924481</v>
      </c>
      <c r="IJ52" t="s">
        <v>1900</v>
      </c>
      <c r="IK52" t="s">
        <v>1900</v>
      </c>
      <c r="IL52">
        <v>8542.725947302581</v>
      </c>
      <c r="IM52">
        <v>9071.34696857929</v>
      </c>
      <c r="IN52">
        <v>9828.218689924481</v>
      </c>
      <c r="IO52" t="s">
        <v>1900</v>
      </c>
      <c r="IP52" t="s">
        <v>1900</v>
      </c>
      <c r="IQ52">
        <v>0</v>
      </c>
      <c r="IR52">
        <v>0</v>
      </c>
      <c r="IS52">
        <v>0</v>
      </c>
      <c r="IT52" t="s">
        <v>1900</v>
      </c>
      <c r="IU52" t="s">
        <v>1900</v>
      </c>
      <c r="IV52">
        <v>0</v>
      </c>
      <c r="IW52">
        <v>0</v>
      </c>
      <c r="IX52">
        <v>0</v>
      </c>
      <c r="IY52">
        <v>676857.699380648</v>
      </c>
      <c r="IZ52">
        <v>798045.104352837</v>
      </c>
      <c r="JA52">
        <v>672677.216283542</v>
      </c>
      <c r="JB52">
        <v>1868246.06634879</v>
      </c>
      <c r="JC52">
        <v>1832280.09511117</v>
      </c>
      <c r="JD52">
        <v>0</v>
      </c>
      <c r="JE52">
        <v>0</v>
      </c>
      <c r="JF52">
        <v>0</v>
      </c>
      <c r="JG52">
        <v>0</v>
      </c>
      <c r="JH52">
        <v>0</v>
      </c>
      <c r="JI52">
        <v>17926.949196924</v>
      </c>
      <c r="JJ52">
        <v>11913.9274968243</v>
      </c>
      <c r="JK52">
        <v>21455.0220161378</v>
      </c>
      <c r="JL52">
        <v>21120.6172735691</v>
      </c>
      <c r="JM52">
        <v>15415.9994147778</v>
      </c>
      <c r="JN52">
        <v>658930.750183724</v>
      </c>
      <c r="JO52">
        <v>786131.176856012</v>
      </c>
      <c r="JP52">
        <v>651222.194267404</v>
      </c>
      <c r="JQ52">
        <v>1847125.44907522</v>
      </c>
      <c r="JR52">
        <v>1816864.0956964</v>
      </c>
      <c r="JS52">
        <v>2174592.05340371</v>
      </c>
      <c r="JT52">
        <v>2353563.83749553</v>
      </c>
      <c r="JU52">
        <v>2136525.89230851</v>
      </c>
      <c r="JV52">
        <v>3374909.04282539</v>
      </c>
      <c r="JW52">
        <v>3381629.18093585</v>
      </c>
      <c r="JX52">
        <v>59408.2755119622</v>
      </c>
      <c r="JY52">
        <v>75169.8687353134</v>
      </c>
      <c r="JZ52">
        <v>92506.90957029461</v>
      </c>
      <c r="KA52">
        <v>1123417.09243105</v>
      </c>
      <c r="KB52">
        <v>1165975.18865051</v>
      </c>
      <c r="KC52" t="s">
        <v>1900</v>
      </c>
      <c r="KD52" t="s">
        <v>1900</v>
      </c>
      <c r="KE52" t="s">
        <v>1900</v>
      </c>
      <c r="KF52" t="s">
        <v>1900</v>
      </c>
      <c r="KG52" t="s">
        <v>1900</v>
      </c>
      <c r="KH52" t="s">
        <v>1900</v>
      </c>
      <c r="KI52" t="s">
        <v>1900</v>
      </c>
      <c r="KJ52" t="s">
        <v>1900</v>
      </c>
      <c r="KK52" t="s">
        <v>1900</v>
      </c>
      <c r="KL52" t="s">
        <v>1900</v>
      </c>
      <c r="KM52">
        <v>25</v>
      </c>
      <c r="KN52">
        <v>25</v>
      </c>
      <c r="KO52">
        <v>26</v>
      </c>
      <c r="KP52">
        <v>26</v>
      </c>
      <c r="KQ52">
        <v>24</v>
      </c>
      <c r="KR52" t="s">
        <v>1900</v>
      </c>
      <c r="KS52" t="s">
        <v>1900</v>
      </c>
      <c r="KT52" t="s">
        <v>1900</v>
      </c>
      <c r="KU52" t="s">
        <v>1900</v>
      </c>
      <c r="KV52" t="s">
        <v>1900</v>
      </c>
      <c r="KW52" t="s">
        <v>1900</v>
      </c>
      <c r="KX52" t="s">
        <v>1900</v>
      </c>
      <c r="KY52" t="s">
        <v>1900</v>
      </c>
      <c r="KZ52" t="s">
        <v>1900</v>
      </c>
      <c r="LA52" t="s">
        <v>1900</v>
      </c>
      <c r="LB52" t="s">
        <v>1900</v>
      </c>
      <c r="LC52" t="s">
        <v>1900</v>
      </c>
      <c r="LD52" t="s">
        <v>1900</v>
      </c>
      <c r="LE52" t="s">
        <v>1900</v>
      </c>
      <c r="LF52" t="s">
        <v>1900</v>
      </c>
      <c r="LG52" t="s">
        <v>1900</v>
      </c>
      <c r="LH52" t="s">
        <v>1900</v>
      </c>
      <c r="LI52" t="s">
        <v>1900</v>
      </c>
      <c r="LJ52" t="s">
        <v>1900</v>
      </c>
      <c r="LK52" t="s">
        <v>1900</v>
      </c>
      <c r="LL52" t="s">
        <v>1900</v>
      </c>
      <c r="LM52" t="s">
        <v>1900</v>
      </c>
      <c r="LN52" t="s">
        <v>1900</v>
      </c>
      <c r="LO52" t="s">
        <v>1900</v>
      </c>
      <c r="LP52" t="s">
        <v>1900</v>
      </c>
      <c r="LQ52" t="s">
        <v>1900</v>
      </c>
      <c r="LR52" t="s">
        <v>1900</v>
      </c>
      <c r="LS52" t="s">
        <v>1900</v>
      </c>
      <c r="LT52" t="s">
        <v>1900</v>
      </c>
      <c r="LU52" t="s">
        <v>1900</v>
      </c>
      <c r="LV52" t="s">
        <v>1900</v>
      </c>
      <c r="LW52" t="s">
        <v>1900</v>
      </c>
      <c r="LX52" t="s">
        <v>1900</v>
      </c>
      <c r="LY52" t="s">
        <v>1900</v>
      </c>
      <c r="LZ52" t="s">
        <v>1900</v>
      </c>
      <c r="MA52" t="s">
        <v>1900</v>
      </c>
      <c r="MB52" t="s">
        <v>1900</v>
      </c>
      <c r="MC52" t="s">
        <v>1900</v>
      </c>
      <c r="MD52" t="s">
        <v>1900</v>
      </c>
      <c r="ME52" t="s">
        <v>1900</v>
      </c>
      <c r="MF52" t="s">
        <v>1900</v>
      </c>
      <c r="MG52" t="s">
        <v>1900</v>
      </c>
      <c r="MH52" t="s">
        <v>1900</v>
      </c>
      <c r="MI52" t="s">
        <v>1900</v>
      </c>
      <c r="MJ52" t="s">
        <v>1900</v>
      </c>
      <c r="MK52" t="s">
        <v>1900</v>
      </c>
      <c r="ML52" t="s">
        <v>1900</v>
      </c>
      <c r="MM52" t="s">
        <v>1900</v>
      </c>
      <c r="MN52" t="s">
        <v>1900</v>
      </c>
      <c r="MO52" t="s">
        <v>1900</v>
      </c>
      <c r="MP52">
        <v>1827614.00589035</v>
      </c>
      <c r="MQ52">
        <v>1967213.76361136</v>
      </c>
      <c r="MR52">
        <v>1704841.39073955</v>
      </c>
      <c r="MS52">
        <v>1849464.57451222</v>
      </c>
      <c r="MT52">
        <v>1748089.92883759</v>
      </c>
      <c r="MU52" t="s">
        <v>1900</v>
      </c>
      <c r="MV52" t="s">
        <v>1900</v>
      </c>
      <c r="MW52" t="s">
        <v>1900</v>
      </c>
      <c r="MX52" t="s">
        <v>1900</v>
      </c>
      <c r="MY52" t="s">
        <v>1900</v>
      </c>
      <c r="MZ52" t="s">
        <v>1900</v>
      </c>
      <c r="NA52" t="s">
        <v>1900</v>
      </c>
      <c r="NB52" t="s">
        <v>1900</v>
      </c>
      <c r="NC52" t="s">
        <v>1900</v>
      </c>
      <c r="ND52" t="s">
        <v>1900</v>
      </c>
      <c r="NE52" t="s">
        <v>1900</v>
      </c>
      <c r="NF52" t="s">
        <v>1900</v>
      </c>
      <c r="NG52" t="s">
        <v>1900</v>
      </c>
      <c r="NH52" t="s">
        <v>1900</v>
      </c>
      <c r="NI52" t="s">
        <v>1900</v>
      </c>
      <c r="NJ52" t="s">
        <v>1900</v>
      </c>
      <c r="NK52" t="s">
        <v>1900</v>
      </c>
      <c r="NL52" t="s">
        <v>1900</v>
      </c>
      <c r="NM52" t="s">
        <v>1900</v>
      </c>
      <c r="NN52" t="s">
        <v>1900</v>
      </c>
      <c r="NO52" t="s">
        <v>1900</v>
      </c>
      <c r="NP52" t="s">
        <v>1900</v>
      </c>
      <c r="NQ52" t="s">
        <v>1900</v>
      </c>
      <c r="NR52" t="s">
        <v>1900</v>
      </c>
      <c r="NS52" t="s">
        <v>1900</v>
      </c>
      <c r="NT52">
        <v>269642.822804472</v>
      </c>
      <c r="NU52">
        <v>299266.278757029</v>
      </c>
      <c r="NV52">
        <v>317722.569982523</v>
      </c>
      <c r="NW52">
        <v>380906.757475948</v>
      </c>
      <c r="NX52">
        <v>452148.064032978</v>
      </c>
      <c r="NY52" t="s">
        <v>1900</v>
      </c>
      <c r="NZ52" t="s">
        <v>1900</v>
      </c>
      <c r="OA52" t="s">
        <v>1900</v>
      </c>
      <c r="OB52" t="s">
        <v>1900</v>
      </c>
      <c r="OC52" t="s">
        <v>1900</v>
      </c>
      <c r="OD52" t="s">
        <v>1900</v>
      </c>
      <c r="OE52" t="s">
        <v>1900</v>
      </c>
      <c r="OF52" t="s">
        <v>1900</v>
      </c>
      <c r="OG52" t="s">
        <v>1900</v>
      </c>
      <c r="OH52" t="s">
        <v>1900</v>
      </c>
      <c r="OI52" t="s">
        <v>1900</v>
      </c>
      <c r="OJ52" t="s">
        <v>1900</v>
      </c>
      <c r="OK52" t="s">
        <v>1900</v>
      </c>
      <c r="OL52" t="s">
        <v>1900</v>
      </c>
      <c r="OM52" t="s">
        <v>1900</v>
      </c>
      <c r="ON52" t="s">
        <v>1900</v>
      </c>
      <c r="OO52" t="s">
        <v>1900</v>
      </c>
      <c r="OP52" t="s">
        <v>1900</v>
      </c>
      <c r="OQ52" t="s">
        <v>1900</v>
      </c>
      <c r="OR52" t="s">
        <v>1900</v>
      </c>
      <c r="OS52" t="s">
        <v>1900</v>
      </c>
      <c r="OT52" t="s">
        <v>1900</v>
      </c>
      <c r="OU52" t="s">
        <v>1900</v>
      </c>
      <c r="OV52" t="s">
        <v>1900</v>
      </c>
      <c r="OW52" t="s">
        <v>1900</v>
      </c>
      <c r="OX52" t="s">
        <v>1900</v>
      </c>
      <c r="OY52" t="s">
        <v>1900</v>
      </c>
      <c r="OZ52" t="s">
        <v>1900</v>
      </c>
      <c r="PA52" t="s">
        <v>1900</v>
      </c>
      <c r="PB52" t="s">
        <v>1900</v>
      </c>
      <c r="PC52" t="s">
        <v>1900</v>
      </c>
      <c r="PD52" t="s">
        <v>1900</v>
      </c>
      <c r="PE52" t="s">
        <v>1900</v>
      </c>
      <c r="PF52" t="s">
        <v>1900</v>
      </c>
      <c r="PG52" t="s">
        <v>1900</v>
      </c>
      <c r="PH52" t="s">
        <v>1900</v>
      </c>
      <c r="PI52" t="s">
        <v>1900</v>
      </c>
      <c r="PJ52" t="s">
        <v>1900</v>
      </c>
      <c r="PK52" t="s">
        <v>1900</v>
      </c>
      <c r="PL52" t="s">
        <v>1900</v>
      </c>
      <c r="PM52" t="s">
        <v>1900</v>
      </c>
      <c r="PN52" t="s">
        <v>1900</v>
      </c>
      <c r="PO52" t="s">
        <v>1900</v>
      </c>
      <c r="PP52" t="s">
        <v>1900</v>
      </c>
      <c r="PQ52" t="s">
        <v>1900</v>
      </c>
      <c r="PR52" t="s">
        <v>1900</v>
      </c>
      <c r="PS52" t="s">
        <v>1900</v>
      </c>
      <c r="PT52" t="s">
        <v>1900</v>
      </c>
      <c r="PU52" t="s">
        <v>1900</v>
      </c>
      <c r="PV52" t="s">
        <v>1900</v>
      </c>
      <c r="PW52" t="s">
        <v>1900</v>
      </c>
      <c r="PX52" t="s">
        <v>1900</v>
      </c>
      <c r="PY52" t="s">
        <v>1900</v>
      </c>
      <c r="PZ52" t="s">
        <v>1900</v>
      </c>
      <c r="QA52" t="s">
        <v>1900</v>
      </c>
      <c r="QB52" t="s">
        <v>1900</v>
      </c>
      <c r="QC52" t="s">
        <v>1900</v>
      </c>
      <c r="QD52" t="s">
        <v>1900</v>
      </c>
      <c r="QE52" t="s">
        <v>1900</v>
      </c>
      <c r="QF52" t="s">
        <v>1900</v>
      </c>
      <c r="QG52" t="s">
        <v>1900</v>
      </c>
      <c r="QH52" t="s">
        <v>1900</v>
      </c>
      <c r="QI52" t="s">
        <v>1900</v>
      </c>
      <c r="QJ52" t="s">
        <v>1900</v>
      </c>
      <c r="QK52" t="s">
        <v>1900</v>
      </c>
      <c r="QL52" t="s">
        <v>1900</v>
      </c>
      <c r="QM52" t="s">
        <v>1900</v>
      </c>
      <c r="QN52" t="s">
        <v>1900</v>
      </c>
      <c r="QO52" t="s">
        <v>1900</v>
      </c>
      <c r="QP52" t="s">
        <v>1900</v>
      </c>
      <c r="QQ52" t="s">
        <v>1900</v>
      </c>
      <c r="QR52" t="s">
        <v>1900</v>
      </c>
      <c r="QS52" t="s">
        <v>1900</v>
      </c>
      <c r="QT52" t="s">
        <v>1900</v>
      </c>
      <c r="QU52" t="s">
        <v>1900</v>
      </c>
      <c r="QV52" t="s">
        <v>1900</v>
      </c>
      <c r="QW52" t="s">
        <v>1900</v>
      </c>
      <c r="QX52" t="s">
        <v>1900</v>
      </c>
      <c r="QY52" t="s">
        <v>1900</v>
      </c>
      <c r="QZ52" t="s">
        <v>1900</v>
      </c>
      <c r="RA52" t="s">
        <v>1900</v>
      </c>
      <c r="RB52" t="s">
        <v>1900</v>
      </c>
      <c r="RC52" t="s">
        <v>1900</v>
      </c>
      <c r="RD52" t="s">
        <v>1900</v>
      </c>
      <c r="RE52" t="s">
        <v>1900</v>
      </c>
      <c r="RF52" t="s">
        <v>1900</v>
      </c>
      <c r="RG52" t="s">
        <v>1900</v>
      </c>
      <c r="RH52" t="s">
        <v>1900</v>
      </c>
      <c r="RI52" t="s">
        <v>1900</v>
      </c>
      <c r="RJ52" t="s">
        <v>1900</v>
      </c>
      <c r="RK52" t="s">
        <v>1900</v>
      </c>
      <c r="RL52" t="s">
        <v>1900</v>
      </c>
      <c r="RM52" t="s">
        <v>1900</v>
      </c>
      <c r="RN52" t="s">
        <v>1900</v>
      </c>
      <c r="RO52" t="s">
        <v>1900</v>
      </c>
      <c r="RP52" t="s">
        <v>1900</v>
      </c>
      <c r="RQ52" t="s">
        <v>1900</v>
      </c>
      <c r="RR52" t="s">
        <v>1900</v>
      </c>
      <c r="RS52" t="s">
        <v>1900</v>
      </c>
      <c r="RT52" t="s">
        <v>1900</v>
      </c>
      <c r="RU52" t="s">
        <v>1900</v>
      </c>
      <c r="RV52" t="s">
        <v>1900</v>
      </c>
      <c r="RW52" t="s">
        <v>1900</v>
      </c>
      <c r="RX52" t="s">
        <v>1900</v>
      </c>
      <c r="RY52" t="s">
        <v>1900</v>
      </c>
      <c r="RZ52" t="s">
        <v>1900</v>
      </c>
      <c r="SA52" t="s">
        <v>1900</v>
      </c>
      <c r="SB52" t="s">
        <v>1900</v>
      </c>
      <c r="SC52" t="s">
        <v>1900</v>
      </c>
      <c r="SD52" t="s">
        <v>1900</v>
      </c>
      <c r="SE52" t="s">
        <v>1900</v>
      </c>
      <c r="SF52" t="s">
        <v>1900</v>
      </c>
      <c r="SG52" t="s">
        <v>1900</v>
      </c>
      <c r="SH52" t="s">
        <v>1900</v>
      </c>
      <c r="SI52" t="s">
        <v>1900</v>
      </c>
      <c r="SJ52">
        <v>4473.30403220773</v>
      </c>
      <c r="SK52">
        <v>4757.92218529701</v>
      </c>
      <c r="SL52">
        <v>0</v>
      </c>
      <c r="SM52">
        <v>0</v>
      </c>
      <c r="SN52">
        <v>0</v>
      </c>
      <c r="SO52" t="s">
        <v>1900</v>
      </c>
      <c r="SP52" t="s">
        <v>1900</v>
      </c>
      <c r="SQ52" t="s">
        <v>1900</v>
      </c>
      <c r="SR52" t="s">
        <v>1900</v>
      </c>
      <c r="SS52" t="s">
        <v>1900</v>
      </c>
      <c r="ST52" t="s">
        <v>1900</v>
      </c>
      <c r="SU52" t="s">
        <v>1900</v>
      </c>
      <c r="SV52" t="s">
        <v>1900</v>
      </c>
      <c r="SW52" t="s">
        <v>1900</v>
      </c>
      <c r="SX52" t="s">
        <v>1900</v>
      </c>
      <c r="SY52" t="s">
        <v>1900</v>
      </c>
      <c r="SZ52" t="s">
        <v>1900</v>
      </c>
      <c r="TA52" t="s">
        <v>1900</v>
      </c>
      <c r="TB52" t="s">
        <v>1900</v>
      </c>
      <c r="TC52" t="s">
        <v>1900</v>
      </c>
      <c r="TD52" t="s">
        <v>1900</v>
      </c>
      <c r="TE52" t="s">
        <v>1900</v>
      </c>
      <c r="TF52" t="s">
        <v>1900</v>
      </c>
      <c r="TG52" t="s">
        <v>1900</v>
      </c>
      <c r="TH52" t="s">
        <v>1900</v>
      </c>
      <c r="TI52" t="s">
        <v>1900</v>
      </c>
      <c r="TJ52" t="s">
        <v>1900</v>
      </c>
      <c r="TK52" t="s">
        <v>1900</v>
      </c>
      <c r="TL52" t="s">
        <v>1900</v>
      </c>
      <c r="TM52" t="s">
        <v>1900</v>
      </c>
      <c r="TN52" t="s">
        <v>1900</v>
      </c>
      <c r="TO52" t="s">
        <v>1900</v>
      </c>
      <c r="TP52" t="s">
        <v>1900</v>
      </c>
      <c r="TQ52" t="s">
        <v>1900</v>
      </c>
      <c r="TR52" t="s">
        <v>1900</v>
      </c>
      <c r="TS52">
        <v>2174592.05340371</v>
      </c>
      <c r="TT52">
        <v>2353563.83749553</v>
      </c>
      <c r="TU52">
        <v>2136525.89230851</v>
      </c>
      <c r="TV52">
        <v>3374909.04282539</v>
      </c>
      <c r="TW52">
        <v>3381629.18093585</v>
      </c>
      <c r="TX52" t="s">
        <v>1900</v>
      </c>
      <c r="TY52" t="s">
        <v>1900</v>
      </c>
      <c r="TZ52" t="s">
        <v>1900</v>
      </c>
      <c r="UA52" t="s">
        <v>1900</v>
      </c>
      <c r="UB52" t="s">
        <v>1900</v>
      </c>
      <c r="UC52">
        <v>0</v>
      </c>
      <c r="UD52">
        <v>0</v>
      </c>
      <c r="UE52">
        <v>0</v>
      </c>
      <c r="UF52">
        <v>0</v>
      </c>
      <c r="UG52">
        <v>0</v>
      </c>
      <c r="UH52" t="s">
        <v>1900</v>
      </c>
      <c r="UI52" t="s">
        <v>1900</v>
      </c>
      <c r="UJ52" t="s">
        <v>1900</v>
      </c>
      <c r="UK52" t="s">
        <v>1900</v>
      </c>
      <c r="UL52" t="s">
        <v>1900</v>
      </c>
      <c r="UM52" t="s">
        <v>1900</v>
      </c>
      <c r="UN52" t="s">
        <v>1900</v>
      </c>
      <c r="UO52" t="s">
        <v>1900</v>
      </c>
      <c r="UP52" t="s">
        <v>1900</v>
      </c>
      <c r="UQ52" t="s">
        <v>1900</v>
      </c>
      <c r="UR52" t="s">
        <v>1900</v>
      </c>
      <c r="US52" t="s">
        <v>1900</v>
      </c>
      <c r="UT52" t="s">
        <v>1900</v>
      </c>
      <c r="UU52" t="s">
        <v>1900</v>
      </c>
      <c r="UV52" t="s">
        <v>1900</v>
      </c>
      <c r="UW52" t="s">
        <v>1900</v>
      </c>
      <c r="UX52" t="s">
        <v>1900</v>
      </c>
      <c r="UY52" t="s">
        <v>1900</v>
      </c>
      <c r="UZ52" t="s">
        <v>1900</v>
      </c>
      <c r="VA52" t="s">
        <v>1900</v>
      </c>
      <c r="VB52" t="s">
        <v>1900</v>
      </c>
      <c r="VC52" t="s">
        <v>1900</v>
      </c>
      <c r="VD52" t="s">
        <v>1900</v>
      </c>
      <c r="VE52" t="s">
        <v>1900</v>
      </c>
      <c r="VF52" t="s">
        <v>1900</v>
      </c>
      <c r="VG52" t="s">
        <v>1900</v>
      </c>
      <c r="VH52" t="s">
        <v>1900</v>
      </c>
      <c r="VI52" t="s">
        <v>1900</v>
      </c>
      <c r="VJ52" t="s">
        <v>1900</v>
      </c>
      <c r="VK52" t="s">
        <v>1900</v>
      </c>
      <c r="VL52" t="s">
        <v>1900</v>
      </c>
      <c r="VM52" t="s">
        <v>1900</v>
      </c>
      <c r="VN52" t="s">
        <v>1900</v>
      </c>
      <c r="VO52" t="s">
        <v>1900</v>
      </c>
      <c r="VP52" t="s">
        <v>1900</v>
      </c>
      <c r="VQ52" t="s">
        <v>1900</v>
      </c>
      <c r="VR52" t="s">
        <v>1900</v>
      </c>
      <c r="VS52" t="s">
        <v>1900</v>
      </c>
      <c r="VT52" t="s">
        <v>1900</v>
      </c>
      <c r="VU52" t="s">
        <v>1900</v>
      </c>
      <c r="VV52" t="s">
        <v>1900</v>
      </c>
      <c r="VW52" t="s">
        <v>1900</v>
      </c>
      <c r="VX52" t="s">
        <v>1900</v>
      </c>
      <c r="VY52" t="s">
        <v>1900</v>
      </c>
      <c r="VZ52" t="s">
        <v>1900</v>
      </c>
      <c r="WA52">
        <v>658930.750183724</v>
      </c>
      <c r="WB52">
        <v>786131.176856012</v>
      </c>
      <c r="WC52">
        <v>651222.194267404</v>
      </c>
      <c r="WD52">
        <v>1847125.44907522</v>
      </c>
      <c r="WE52">
        <v>1816864.0956964</v>
      </c>
      <c r="WF52" t="s">
        <v>1900</v>
      </c>
      <c r="WG52" t="s">
        <v>1900</v>
      </c>
      <c r="WH52" t="s">
        <v>1900</v>
      </c>
      <c r="WI52" t="s">
        <v>1900</v>
      </c>
      <c r="WJ52" t="s">
        <v>1900</v>
      </c>
      <c r="WK52" t="s">
        <v>1900</v>
      </c>
      <c r="WL52" t="s">
        <v>1900</v>
      </c>
      <c r="WM52" t="s">
        <v>1900</v>
      </c>
      <c r="WN52" t="s">
        <v>1900</v>
      </c>
      <c r="WO52" t="s">
        <v>1900</v>
      </c>
      <c r="WP52" t="s">
        <v>1900</v>
      </c>
      <c r="WQ52" t="s">
        <v>1900</v>
      </c>
      <c r="WR52" t="s">
        <v>1900</v>
      </c>
      <c r="WS52" t="s">
        <v>1900</v>
      </c>
      <c r="WT52" t="s">
        <v>1900</v>
      </c>
      <c r="WU52" t="s">
        <v>1900</v>
      </c>
      <c r="WV52" t="s">
        <v>1900</v>
      </c>
      <c r="WW52" t="s">
        <v>1900</v>
      </c>
      <c r="WX52" t="s">
        <v>1900</v>
      </c>
      <c r="WY52" t="s">
        <v>1900</v>
      </c>
      <c r="WZ52" t="s">
        <v>1900</v>
      </c>
      <c r="XA52" t="s">
        <v>1900</v>
      </c>
      <c r="XB52" t="s">
        <v>1900</v>
      </c>
      <c r="XC52" t="s">
        <v>1900</v>
      </c>
      <c r="XD52" t="s">
        <v>1900</v>
      </c>
      <c r="XE52" t="s">
        <v>1900</v>
      </c>
      <c r="XF52" t="s">
        <v>1900</v>
      </c>
      <c r="XG52" t="s">
        <v>1900</v>
      </c>
      <c r="XH52" t="s">
        <v>1900</v>
      </c>
      <c r="XI52" t="s">
        <v>1900</v>
      </c>
      <c r="XJ52" t="s">
        <v>1900</v>
      </c>
      <c r="XK52" t="s">
        <v>1900</v>
      </c>
      <c r="XL52">
        <v>0</v>
      </c>
      <c r="XM52">
        <v>0</v>
      </c>
      <c r="XN52">
        <v>0</v>
      </c>
      <c r="XO52" t="s">
        <v>1900</v>
      </c>
      <c r="XP52" t="s">
        <v>1900</v>
      </c>
      <c r="XQ52" t="s">
        <v>1900</v>
      </c>
      <c r="XR52" t="s">
        <v>1900</v>
      </c>
      <c r="XS52" t="s">
        <v>1900</v>
      </c>
      <c r="XT52" t="s">
        <v>1900</v>
      </c>
      <c r="XU52" t="s">
        <v>1900</v>
      </c>
      <c r="XV52" t="s">
        <v>1900</v>
      </c>
      <c r="XW52" t="s">
        <v>1900</v>
      </c>
      <c r="XX52" t="s">
        <v>1900</v>
      </c>
      <c r="XY52" t="s">
        <v>1900</v>
      </c>
      <c r="XZ52" t="s">
        <v>1900</v>
      </c>
      <c r="YA52">
        <v>0</v>
      </c>
      <c r="YB52">
        <v>0</v>
      </c>
      <c r="YC52">
        <v>0</v>
      </c>
      <c r="YD52" t="s">
        <v>1900</v>
      </c>
      <c r="YE52" t="s">
        <v>1900</v>
      </c>
      <c r="YF52" t="s">
        <v>1900</v>
      </c>
      <c r="YG52" t="s">
        <v>1900</v>
      </c>
      <c r="YH52" t="s">
        <v>1900</v>
      </c>
      <c r="YI52" t="s">
        <v>1900</v>
      </c>
      <c r="YJ52" t="s">
        <v>1900</v>
      </c>
      <c r="YK52" t="s">
        <v>1900</v>
      </c>
      <c r="YL52" t="s">
        <v>1900</v>
      </c>
      <c r="YM52" t="s">
        <v>1900</v>
      </c>
      <c r="YN52" t="s">
        <v>1900</v>
      </c>
      <c r="YO52" t="s">
        <v>1900</v>
      </c>
      <c r="YP52" t="s">
        <v>1900</v>
      </c>
      <c r="YQ52" t="s">
        <v>1900</v>
      </c>
      <c r="YR52" t="s">
        <v>1900</v>
      </c>
      <c r="YS52" t="s">
        <v>1900</v>
      </c>
      <c r="YT52" t="s">
        <v>1900</v>
      </c>
      <c r="YU52" t="s">
        <v>1900</v>
      </c>
      <c r="YV52" t="s">
        <v>1900</v>
      </c>
      <c r="YW52" t="s">
        <v>1900</v>
      </c>
      <c r="YX52" t="s">
        <v>1900</v>
      </c>
      <c r="YY52" t="s">
        <v>1900</v>
      </c>
      <c r="YZ52" t="s">
        <v>1900</v>
      </c>
      <c r="ZA52" t="s">
        <v>1900</v>
      </c>
      <c r="ZB52" t="s">
        <v>1900</v>
      </c>
      <c r="ZC52" t="s">
        <v>1900</v>
      </c>
      <c r="ZD52" t="s">
        <v>1900</v>
      </c>
      <c r="ZE52" t="s">
        <v>1900</v>
      </c>
      <c r="ZF52" t="s">
        <v>1900</v>
      </c>
      <c r="ZG52" t="s">
        <v>1900</v>
      </c>
      <c r="ZH52" t="s">
        <v>1900</v>
      </c>
      <c r="ZI52" t="s">
        <v>1900</v>
      </c>
      <c r="ZJ52" t="s">
        <v>1900</v>
      </c>
      <c r="ZK52" t="s">
        <v>1900</v>
      </c>
      <c r="ZL52" t="s">
        <v>1900</v>
      </c>
      <c r="ZM52" t="s">
        <v>1900</v>
      </c>
      <c r="ZN52" t="s">
        <v>1900</v>
      </c>
      <c r="ZO52" t="s">
        <v>1900</v>
      </c>
      <c r="ZP52" t="s">
        <v>1900</v>
      </c>
      <c r="ZQ52" t="s">
        <v>1900</v>
      </c>
      <c r="ZR52" t="s">
        <v>1900</v>
      </c>
      <c r="ZS52" t="s">
        <v>1900</v>
      </c>
      <c r="ZT52" t="s">
        <v>1900</v>
      </c>
      <c r="ZU52" t="s">
        <v>1900</v>
      </c>
      <c r="ZV52" t="s">
        <v>1900</v>
      </c>
      <c r="ZW52" t="s">
        <v>1900</v>
      </c>
      <c r="ZX52" t="s">
        <v>1900</v>
      </c>
      <c r="ZY52" t="s">
        <v>1900</v>
      </c>
      <c r="ZZ52" t="s">
        <v>1900</v>
      </c>
      <c r="AAA52" t="s">
        <v>1900</v>
      </c>
      <c r="AAB52" t="s">
        <v>1900</v>
      </c>
      <c r="AAC52" t="s">
        <v>1900</v>
      </c>
      <c r="AAD52" t="s">
        <v>1900</v>
      </c>
      <c r="AAE52" t="s">
        <v>1900</v>
      </c>
      <c r="AAF52" t="s">
        <v>1900</v>
      </c>
      <c r="AAG52" t="s">
        <v>1900</v>
      </c>
      <c r="AAH52" t="s">
        <v>1900</v>
      </c>
      <c r="AAI52" t="s">
        <v>1900</v>
      </c>
      <c r="AAJ52" t="s">
        <v>1900</v>
      </c>
      <c r="AAK52" t="s">
        <v>1900</v>
      </c>
      <c r="AAL52" t="s">
        <v>1900</v>
      </c>
      <c r="AAM52" t="s">
        <v>1900</v>
      </c>
      <c r="AAN52" t="s">
        <v>1900</v>
      </c>
      <c r="AAO52" t="s">
        <v>1900</v>
      </c>
      <c r="AAP52" t="s">
        <v>1900</v>
      </c>
      <c r="AAQ52" t="s">
        <v>1900</v>
      </c>
      <c r="AAR52" t="s">
        <v>1900</v>
      </c>
      <c r="AAS52" t="s">
        <v>1900</v>
      </c>
      <c r="AAT52" t="s">
        <v>1900</v>
      </c>
      <c r="AAU52" t="s">
        <v>1900</v>
      </c>
      <c r="AAV52" t="s">
        <v>1900</v>
      </c>
      <c r="AAW52" t="s">
        <v>1900</v>
      </c>
      <c r="AAX52" t="s">
        <v>1900</v>
      </c>
      <c r="AAY52" t="s">
        <v>1900</v>
      </c>
      <c r="AAZ52" t="s">
        <v>1900</v>
      </c>
      <c r="ABA52" t="s">
        <v>1900</v>
      </c>
      <c r="ABB52" t="s">
        <v>1900</v>
      </c>
      <c r="ABC52" t="s">
        <v>1900</v>
      </c>
      <c r="ABD52" t="s">
        <v>1900</v>
      </c>
      <c r="ABE52" t="s">
        <v>1900</v>
      </c>
      <c r="ABF52" t="s">
        <v>1900</v>
      </c>
      <c r="ABG52" t="s">
        <v>1900</v>
      </c>
      <c r="ABH52" t="s">
        <v>1900</v>
      </c>
      <c r="ABI52" t="s">
        <v>1900</v>
      </c>
      <c r="ABJ52" t="s">
        <v>1900</v>
      </c>
      <c r="ABK52" t="s">
        <v>1900</v>
      </c>
      <c r="ABL52" t="s">
        <v>1900</v>
      </c>
      <c r="ABM52" t="s">
        <v>1900</v>
      </c>
      <c r="ABN52" t="s">
        <v>1900</v>
      </c>
      <c r="ABO52" t="s">
        <v>1900</v>
      </c>
      <c r="ABP52" t="s">
        <v>1900</v>
      </c>
      <c r="ABQ52" t="s">
        <v>1900</v>
      </c>
      <c r="ABR52" t="s">
        <v>1900</v>
      </c>
      <c r="ABS52" t="s">
        <v>1900</v>
      </c>
      <c r="ABT52" t="s">
        <v>1900</v>
      </c>
      <c r="ABU52" t="s">
        <v>1900</v>
      </c>
      <c r="ABV52" t="s">
        <v>1900</v>
      </c>
      <c r="ABW52" t="s">
        <v>1900</v>
      </c>
      <c r="ABX52" t="s">
        <v>1900</v>
      </c>
      <c r="ABY52" t="s">
        <v>1900</v>
      </c>
      <c r="ABZ52" t="s">
        <v>1900</v>
      </c>
      <c r="ACA52" t="s">
        <v>1900</v>
      </c>
      <c r="ACB52" t="s">
        <v>1900</v>
      </c>
      <c r="ACC52" t="s">
        <v>1900</v>
      </c>
      <c r="ACD52" t="s">
        <v>1900</v>
      </c>
      <c r="ACE52">
        <v>3.093</v>
      </c>
      <c r="ACF52">
        <v>4.095</v>
      </c>
      <c r="ACG52">
        <v>4.118</v>
      </c>
      <c r="ACH52">
        <v>6.819</v>
      </c>
      <c r="ACI52">
        <v>3.041</v>
      </c>
      <c r="ACJ52" t="s">
        <v>1900</v>
      </c>
      <c r="ACK52" t="s">
        <v>1900</v>
      </c>
      <c r="ACL52">
        <v>5.105</v>
      </c>
      <c r="ACM52" t="s">
        <v>1900</v>
      </c>
      <c r="ACN52">
        <v>3.059</v>
      </c>
      <c r="ACO52">
        <v>2.13</v>
      </c>
      <c r="ACP52">
        <v>2.707</v>
      </c>
      <c r="ACQ52">
        <v>2.805</v>
      </c>
      <c r="ACR52">
        <v>3.026</v>
      </c>
      <c r="ACS52">
        <v>1.384</v>
      </c>
      <c r="ACT52">
        <v>2.355</v>
      </c>
      <c r="ACU52">
        <v>3.074</v>
      </c>
      <c r="ACV52">
        <v>3.091</v>
      </c>
      <c r="ACW52">
        <v>5.117</v>
      </c>
      <c r="ACX52">
        <v>2.282</v>
      </c>
      <c r="ACY52" t="s">
        <v>1900</v>
      </c>
      <c r="ACZ52" t="s">
        <v>1900</v>
      </c>
      <c r="ADA52">
        <v>4.084</v>
      </c>
      <c r="ADB52" t="s">
        <v>1900</v>
      </c>
      <c r="ADC52">
        <v>2.306</v>
      </c>
      <c r="ADD52">
        <v>1.622</v>
      </c>
      <c r="ADE52">
        <v>2.032</v>
      </c>
      <c r="ADF52">
        <v>2.105</v>
      </c>
      <c r="ADG52">
        <v>2.271</v>
      </c>
      <c r="ADH52">
        <v>1.039</v>
      </c>
      <c r="ADI52">
        <v>3.135</v>
      </c>
      <c r="ADJ52">
        <v>4.042</v>
      </c>
      <c r="ADK52">
        <v>3.924</v>
      </c>
      <c r="ADL52">
        <v>6.675</v>
      </c>
      <c r="ADM52">
        <v>3.038</v>
      </c>
      <c r="ADN52">
        <v>96.375</v>
      </c>
      <c r="ADO52">
        <v>97.806</v>
      </c>
      <c r="ADP52">
        <v>97.55500000000001</v>
      </c>
      <c r="ADQ52">
        <v>98.184</v>
      </c>
      <c r="ADR52">
        <v>94.848</v>
      </c>
      <c r="ADS52">
        <v>2.510719553</v>
      </c>
      <c r="ADT52">
        <v>3.855082484</v>
      </c>
      <c r="ADU52">
        <v>4.713175536</v>
      </c>
      <c r="ADV52">
        <v>6.914698976</v>
      </c>
      <c r="ADW52">
        <v>3.064510724</v>
      </c>
      <c r="ADX52">
        <v>5.425</v>
      </c>
      <c r="ADY52">
        <v>6.054</v>
      </c>
      <c r="ADZ52">
        <v>7.397</v>
      </c>
      <c r="AEA52">
        <v>9.832000000000001</v>
      </c>
      <c r="AEB52">
        <v>6.199</v>
      </c>
      <c r="AEC52">
        <v>2.511</v>
      </c>
      <c r="AED52">
        <v>3.855</v>
      </c>
      <c r="AEE52">
        <v>4.713</v>
      </c>
      <c r="AEF52">
        <v>6.915</v>
      </c>
      <c r="AEG52">
        <v>3.065</v>
      </c>
      <c r="AEH52">
        <v>5.301</v>
      </c>
      <c r="AEI52">
        <v>5.233</v>
      </c>
      <c r="AEJ52">
        <v>5.629</v>
      </c>
      <c r="AEK52">
        <v>7.927</v>
      </c>
      <c r="AEL52">
        <v>5.415</v>
      </c>
      <c r="AEM52">
        <v>2.575380126</v>
      </c>
      <c r="AEN52">
        <v>4.009658111</v>
      </c>
      <c r="AEO52">
        <v>4.946303502</v>
      </c>
      <c r="AEP52">
        <v>7.428346796</v>
      </c>
      <c r="AEQ52">
        <v>3.161391919</v>
      </c>
      <c r="AER52">
        <v>1.026748466</v>
      </c>
      <c r="AES52">
        <v>1.041033112</v>
      </c>
      <c r="AET52">
        <v>1.050765494</v>
      </c>
      <c r="AEU52">
        <v>1.075761561</v>
      </c>
      <c r="AEV52">
        <v>1.033388413</v>
      </c>
      <c r="AEW52" t="s">
        <v>1900</v>
      </c>
      <c r="AEX52" t="s">
        <v>1900</v>
      </c>
      <c r="AEY52" t="s">
        <v>1900</v>
      </c>
      <c r="AEZ52" t="s">
        <v>1900</v>
      </c>
      <c r="AFA52" t="s">
        <v>1900</v>
      </c>
      <c r="AFB52" t="s">
        <v>1900</v>
      </c>
      <c r="AFC52" t="s">
        <v>1900</v>
      </c>
      <c r="AFD52" t="s">
        <v>1900</v>
      </c>
      <c r="AFE52" t="s">
        <v>1900</v>
      </c>
      <c r="AFF52" t="s">
        <v>1900</v>
      </c>
      <c r="AFG52">
        <v>0.987</v>
      </c>
      <c r="AFH52">
        <v>1.013</v>
      </c>
      <c r="AFI52">
        <v>1.043</v>
      </c>
      <c r="AFJ52">
        <v>1.015</v>
      </c>
      <c r="AFK52">
        <v>0.995</v>
      </c>
      <c r="AFL52" t="s">
        <v>1900</v>
      </c>
      <c r="AFM52" t="s">
        <v>1900</v>
      </c>
      <c r="AFN52">
        <v>4.864</v>
      </c>
      <c r="AFO52" t="s">
        <v>1900</v>
      </c>
      <c r="AFP52">
        <v>79.999</v>
      </c>
      <c r="AFQ52" t="s">
        <v>1901</v>
      </c>
      <c r="AFR52" t="s">
        <v>1901</v>
      </c>
      <c r="AFS52" t="s">
        <v>1901</v>
      </c>
      <c r="AFT52" t="s">
        <v>1901</v>
      </c>
      <c r="AFU52" t="s">
        <v>1901</v>
      </c>
      <c r="AFV52">
        <v>18.84</v>
      </c>
      <c r="AFW52">
        <v>19.894</v>
      </c>
      <c r="AFX52">
        <v>26.861</v>
      </c>
      <c r="AFY52">
        <v>269.335</v>
      </c>
      <c r="AFZ52">
        <v>275.991</v>
      </c>
      <c r="AGA52">
        <v>4.367</v>
      </c>
      <c r="AGB52">
        <v>2.722</v>
      </c>
      <c r="AGC52">
        <v>5.057</v>
      </c>
      <c r="AGD52">
        <v>4.97</v>
      </c>
      <c r="AGE52">
        <v>3.601</v>
      </c>
      <c r="AGF52" t="s">
        <v>1900</v>
      </c>
      <c r="AGG52" t="s">
        <v>1900</v>
      </c>
      <c r="AGH52" t="s">
        <v>1900</v>
      </c>
      <c r="AGI52" t="s">
        <v>1900</v>
      </c>
      <c r="AGJ52" t="s">
        <v>1900</v>
      </c>
      <c r="AGK52" t="s">
        <v>1900</v>
      </c>
      <c r="AGL52" t="s">
        <v>1900</v>
      </c>
      <c r="AGM52" t="s">
        <v>1900</v>
      </c>
      <c r="AGN52" t="s">
        <v>1900</v>
      </c>
      <c r="AGO52" t="s">
        <v>1900</v>
      </c>
      <c r="AGP52" t="s">
        <v>1900</v>
      </c>
      <c r="AGQ52" t="s">
        <v>1900</v>
      </c>
      <c r="AGR52" t="s">
        <v>1900</v>
      </c>
      <c r="AGS52" t="s">
        <v>1900</v>
      </c>
      <c r="AGT52" t="s">
        <v>1900</v>
      </c>
      <c r="AGU52">
        <v>0</v>
      </c>
      <c r="AGV52">
        <v>0</v>
      </c>
      <c r="AGW52">
        <v>0</v>
      </c>
      <c r="AGX52">
        <v>0</v>
      </c>
      <c r="AGY52">
        <v>0</v>
      </c>
      <c r="AGZ52">
        <v>2.814</v>
      </c>
      <c r="AHA52">
        <v>2.574</v>
      </c>
      <c r="AHB52">
        <v>2.704</v>
      </c>
      <c r="AHC52">
        <v>1.603</v>
      </c>
      <c r="AHD52">
        <v>1.599</v>
      </c>
      <c r="AHE52">
        <v>2.814</v>
      </c>
      <c r="AHF52">
        <v>2.574</v>
      </c>
      <c r="AHG52">
        <v>2.704</v>
      </c>
      <c r="AHH52">
        <v>1.603</v>
      </c>
      <c r="AHI52">
        <v>1.599</v>
      </c>
      <c r="AHJ52" t="s">
        <v>1901</v>
      </c>
      <c r="AHK52" t="s">
        <v>1901</v>
      </c>
      <c r="AHL52">
        <v>170.356</v>
      </c>
      <c r="AHM52">
        <v>165.09</v>
      </c>
      <c r="AHN52">
        <v>156.643</v>
      </c>
      <c r="AHO52">
        <v>68.874</v>
      </c>
      <c r="AHP52">
        <v>66.092</v>
      </c>
      <c r="AHQ52">
        <v>68.116</v>
      </c>
      <c r="AHR52">
        <v>44.374</v>
      </c>
      <c r="AHS52">
        <v>45.526</v>
      </c>
      <c r="AHT52" t="s">
        <v>1901</v>
      </c>
      <c r="AHU52" t="s">
        <v>1901</v>
      </c>
      <c r="AHV52" t="s">
        <v>1901</v>
      </c>
      <c r="AHW52">
        <v>79.773</v>
      </c>
      <c r="AHX52">
        <v>83.574</v>
      </c>
      <c r="AHY52">
        <v>0</v>
      </c>
      <c r="AHZ52">
        <v>0</v>
      </c>
      <c r="AIA52">
        <v>0.587</v>
      </c>
      <c r="AIB52">
        <v>0.606</v>
      </c>
      <c r="AIC52">
        <v>0.638</v>
      </c>
      <c r="AID52">
        <v>0.205707734</v>
      </c>
      <c r="AIE52">
        <v>0.202158196</v>
      </c>
      <c r="AIF52">
        <v>0</v>
      </c>
      <c r="AIG52">
        <v>0</v>
      </c>
      <c r="AIH52">
        <v>0</v>
      </c>
      <c r="AII52">
        <v>84.043993586</v>
      </c>
      <c r="AIJ52">
        <v>83.58446591800001</v>
      </c>
      <c r="AIK52">
        <v>79.795025975</v>
      </c>
      <c r="AIL52">
        <v>54.800427242</v>
      </c>
      <c r="AIM52">
        <v>51.693720255</v>
      </c>
      <c r="AIN52">
        <v>30.301350046</v>
      </c>
      <c r="AIO52">
        <v>33.401735884</v>
      </c>
      <c r="AIP52">
        <v>30.480426032</v>
      </c>
      <c r="AIQ52">
        <v>54.731117954</v>
      </c>
      <c r="AIR52">
        <v>53.727478635</v>
      </c>
      <c r="AIS52">
        <v>0</v>
      </c>
      <c r="AIT52">
        <v>0</v>
      </c>
      <c r="AIU52">
        <v>0</v>
      </c>
      <c r="AIV52">
        <v>0</v>
      </c>
      <c r="AIW52">
        <v>0</v>
      </c>
      <c r="AIX52">
        <v>1.85303732172656</v>
      </c>
      <c r="AIY52">
        <v>2.54818197359276</v>
      </c>
      <c r="AIZ52">
        <v>2.30498549009562</v>
      </c>
      <c r="AJA52">
        <v>3.92767778283835</v>
      </c>
      <c r="AJB52">
        <v>1.95044979445934</v>
      </c>
      <c r="AJC52">
        <v>59.1107097498591</v>
      </c>
      <c r="AJD52">
        <v>63.0358593947191</v>
      </c>
      <c r="AJE52">
        <v>58.7434830499816</v>
      </c>
      <c r="AJF52">
        <v>58.8392224941587</v>
      </c>
      <c r="AJG52">
        <v>64.20802851638619</v>
      </c>
      <c r="AJH52">
        <v>72.17100000000001</v>
      </c>
      <c r="AJI52">
        <v>70.586</v>
      </c>
      <c r="AJJ52">
        <v>66.605</v>
      </c>
      <c r="AJK52">
        <v>69.834</v>
      </c>
      <c r="AJL52">
        <v>69.39700000000001</v>
      </c>
      <c r="AJM52">
        <v>42.6608076640151</v>
      </c>
      <c r="AJN52">
        <v>44.4941798084412</v>
      </c>
      <c r="AJO52">
        <v>39.1258738400751</v>
      </c>
      <c r="AJP52">
        <v>41.0900460034275</v>
      </c>
      <c r="AJQ52">
        <v>44.5586322323173</v>
      </c>
      <c r="AJR52">
        <v>59.9093741609223</v>
      </c>
      <c r="AJS52">
        <v>62.2207491489077</v>
      </c>
      <c r="AJT52">
        <v>55.9733055260795</v>
      </c>
      <c r="AJU52">
        <v>57.5996775352621</v>
      </c>
      <c r="AJV52">
        <v>64.1467030017978</v>
      </c>
      <c r="AJW52">
        <v>2.37633102047849</v>
      </c>
      <c r="AJX52">
        <v>3.00679474941254</v>
      </c>
      <c r="AJY52">
        <v>3.55795830653429</v>
      </c>
      <c r="AJZ52">
        <v>43.2083494910788</v>
      </c>
      <c r="AKA52">
        <v>48.5822994248462</v>
      </c>
      <c r="AKB52">
        <v>86.9836821361482</v>
      </c>
      <c r="AKC52">
        <v>94.1425537650213</v>
      </c>
      <c r="AKD52">
        <v>82.1740723708659</v>
      </c>
      <c r="AKE52">
        <v>129.804194129069</v>
      </c>
      <c r="AKF52">
        <v>140.90121566781</v>
      </c>
      <c r="AKG52">
        <v>0</v>
      </c>
      <c r="AKH52">
        <v>0</v>
      </c>
      <c r="AKI52">
        <v>0</v>
      </c>
      <c r="AKJ52">
        <v>0</v>
      </c>
      <c r="AKK52">
        <v>0</v>
      </c>
      <c r="AKL52">
        <v>0</v>
      </c>
      <c r="AKM52">
        <v>0</v>
      </c>
      <c r="AKN52">
        <v>0</v>
      </c>
      <c r="AKO52">
        <v>0</v>
      </c>
      <c r="AKP52">
        <v>0</v>
      </c>
      <c r="AKQ52">
        <v>0</v>
      </c>
      <c r="AKR52">
        <v>0</v>
      </c>
      <c r="AKS52">
        <v>0</v>
      </c>
      <c r="AKT52">
        <v>0</v>
      </c>
      <c r="AKU52">
        <v>0</v>
      </c>
      <c r="AKV52">
        <v>2.784037366</v>
      </c>
      <c r="AKW52">
        <v>2.776786395</v>
      </c>
      <c r="AKX52">
        <v>2.765515004</v>
      </c>
      <c r="AKY52">
        <v>2.9318658</v>
      </c>
      <c r="AKZ52">
        <v>3.153456337</v>
      </c>
      <c r="ALA52">
        <v>1.891922952</v>
      </c>
      <c r="ALB52">
        <v>1.85927735</v>
      </c>
      <c r="ALC52">
        <v>1.976973732</v>
      </c>
      <c r="ALD52">
        <v>1.328991768</v>
      </c>
      <c r="ALE52">
        <v>1.437015372</v>
      </c>
      <c r="ALF52">
        <v>15.159886495</v>
      </c>
      <c r="ALG52">
        <v>15.911519491</v>
      </c>
      <c r="ALH52">
        <v>18.036960854</v>
      </c>
      <c r="ALI52">
        <v>21.966933326</v>
      </c>
      <c r="ALJ52">
        <v>26.187894306</v>
      </c>
      <c r="ALK52">
        <v>10.302066186</v>
      </c>
      <c r="ALL52">
        <v>10.6540164</v>
      </c>
      <c r="ALM52">
        <v>12.89401712</v>
      </c>
      <c r="ALN52">
        <v>9.957438551999999</v>
      </c>
      <c r="ALO52">
        <v>11.933701518</v>
      </c>
      <c r="ALP52">
        <v>5.233246228</v>
      </c>
      <c r="ALQ52">
        <v>5.525984528</v>
      </c>
      <c r="ALR52">
        <v>7.461510621</v>
      </c>
      <c r="ALS52">
        <v>74.81519819499999</v>
      </c>
      <c r="ALT52">
        <v>76.664296175</v>
      </c>
      <c r="ALU52">
        <v>23.18083288</v>
      </c>
      <c r="ALV52">
        <v>13.680992346</v>
      </c>
      <c r="ALW52">
        <v>18.826481543</v>
      </c>
      <c r="ALX52">
        <v>1.845340444</v>
      </c>
      <c r="ALY52">
        <v>1.304902184</v>
      </c>
      <c r="ALZ52">
        <v>96.3747780084111</v>
      </c>
      <c r="AMA52">
        <v>97.8056102554652</v>
      </c>
      <c r="AMB52">
        <v>97.55528388178971</v>
      </c>
      <c r="AMC52">
        <v>98.18392429927199</v>
      </c>
      <c r="AMD52">
        <v>94.8481707039726</v>
      </c>
      <c r="AME52">
        <v>96.3747780084111</v>
      </c>
      <c r="AMF52">
        <v>97.8056102554652</v>
      </c>
      <c r="AMG52">
        <v>97.6225913726295</v>
      </c>
      <c r="AMH52">
        <v>98.434566440362</v>
      </c>
      <c r="AMI52">
        <v>94.8481707039726</v>
      </c>
      <c r="AMJ52">
        <v>2658.45176466482</v>
      </c>
      <c r="AMK52">
        <v>4457.07561744914</v>
      </c>
      <c r="AML52">
        <v>3990.45448079293</v>
      </c>
      <c r="AMM52">
        <v>5406.37839380351</v>
      </c>
      <c r="AMN52">
        <v>1841.05810293658</v>
      </c>
      <c r="AMO52">
        <v>1.02674846652675</v>
      </c>
      <c r="AMP52">
        <v>1.04103311230162</v>
      </c>
      <c r="AMQ52">
        <v>1.05076549444635</v>
      </c>
      <c r="AMR52">
        <v>1.07576156181151</v>
      </c>
      <c r="AMS52">
        <v>1.03338841276454</v>
      </c>
      <c r="AMT52">
        <v>1.02674846577777</v>
      </c>
      <c r="AMU52">
        <v>1.04103311155529</v>
      </c>
      <c r="AMV52">
        <v>1.05076549444635</v>
      </c>
      <c r="AMW52">
        <v>1.07576156100034</v>
      </c>
      <c r="AMX52">
        <v>1.03338841276454</v>
      </c>
      <c r="AMY52">
        <v>1.02674846575774</v>
      </c>
      <c r="AMZ52">
        <v>1.04103311152466</v>
      </c>
      <c r="ANA52">
        <v>1.05076549444635</v>
      </c>
      <c r="ANB52">
        <v>1.07576156093888</v>
      </c>
      <c r="ANC52">
        <v>1.03338841276454</v>
      </c>
      <c r="AND52">
        <v>2.51071955346451</v>
      </c>
      <c r="ANE52">
        <v>3.8550824838534</v>
      </c>
      <c r="ANF52">
        <v>4.71317553563446</v>
      </c>
      <c r="ANG52">
        <v>6.91469897616123</v>
      </c>
      <c r="ANH52">
        <v>3.064510724437</v>
      </c>
      <c r="ANI52">
        <v>2.51071955346451</v>
      </c>
      <c r="ANJ52">
        <v>3.8550824838534</v>
      </c>
      <c r="ANK52">
        <v>4.71642735354291</v>
      </c>
      <c r="ANL52">
        <v>6.93235069428868</v>
      </c>
      <c r="ANM52">
        <v>3.064510724437</v>
      </c>
      <c r="ANN52">
        <v>2.57538012586053</v>
      </c>
      <c r="ANO52">
        <v>4.00965811136712</v>
      </c>
      <c r="ANP52">
        <v>4.94630350221929</v>
      </c>
      <c r="ANQ52">
        <v>7.42834679601068</v>
      </c>
      <c r="ANR52">
        <v>3.16139191883107</v>
      </c>
      <c r="ANS52">
        <v>2.47724862539028</v>
      </c>
      <c r="ANT52">
        <v>3.90558520899711</v>
      </c>
      <c r="ANU52">
        <v>4.91756909351902</v>
      </c>
      <c r="ANV52">
        <v>7.02097518012354</v>
      </c>
      <c r="ANW52">
        <v>3.04798229186992</v>
      </c>
      <c r="ANX52">
        <v>96.3747780084111</v>
      </c>
      <c r="ANY52">
        <v>97.8056102554652</v>
      </c>
      <c r="ANZ52">
        <v>97.55528388178971</v>
      </c>
      <c r="AOA52">
        <v>98.18392429927199</v>
      </c>
      <c r="AOB52">
        <v>94.8481707039726</v>
      </c>
      <c r="AOC52">
        <v>98.856794887582</v>
      </c>
      <c r="AOD52">
        <v>101.727280840446</v>
      </c>
      <c r="AOE52">
        <v>102.380664305035</v>
      </c>
      <c r="AOF52">
        <v>105.477366694155</v>
      </c>
      <c r="AOG52">
        <v>97.84669310776709</v>
      </c>
      <c r="AOH52">
        <v>65.492531359452</v>
      </c>
      <c r="AOI52">
        <v>65.48856482530999</v>
      </c>
      <c r="AOJ52">
        <v>69.7389937627176</v>
      </c>
      <c r="AOK52">
        <v>44.5060026598333</v>
      </c>
      <c r="AOL52">
        <v>43.221869824104</v>
      </c>
      <c r="AOM52">
        <v>69.2569878283264</v>
      </c>
      <c r="AON52">
        <v>175.679023904236</v>
      </c>
      <c r="AOO52">
        <v>192.790299884996</v>
      </c>
      <c r="AOP52">
        <v>380.749490419894</v>
      </c>
      <c r="AOQ52">
        <v>59.4839337320449</v>
      </c>
      <c r="AOR52">
        <v>2.67484657777725</v>
      </c>
      <c r="AOS52">
        <v>4.10331115552865</v>
      </c>
      <c r="AOT52">
        <v>5.07654944463531</v>
      </c>
      <c r="AOU52">
        <v>7.57615610003355</v>
      </c>
      <c r="AOV52">
        <v>3.33884127645408</v>
      </c>
      <c r="AOW52">
        <v>1.70618685187231</v>
      </c>
      <c r="AOX52">
        <v>2.58128156954721</v>
      </c>
      <c r="AOY52">
        <v>3.36929078778029</v>
      </c>
      <c r="AOZ52">
        <v>3.13437880204244</v>
      </c>
      <c r="APA52">
        <v>1.39648327029505</v>
      </c>
      <c r="APB52">
        <v>2.38647140206307</v>
      </c>
      <c r="APC52">
        <v>3.03427893908189</v>
      </c>
      <c r="APD52">
        <v>2.94530461822543</v>
      </c>
      <c r="APE52">
        <v>5.00904476772451</v>
      </c>
      <c r="APF52">
        <v>2.28026950636897</v>
      </c>
      <c r="APG52">
        <v>2.38647140206307</v>
      </c>
      <c r="APH52">
        <v>3.03427893908189</v>
      </c>
      <c r="API52">
        <v>2.94733670767998</v>
      </c>
      <c r="APJ52">
        <v>5.02183176635344</v>
      </c>
      <c r="APK52">
        <v>2.28026950636897</v>
      </c>
      <c r="APL52">
        <v>65.82966250343</v>
      </c>
      <c r="APM52">
        <v>138.274385698295</v>
      </c>
      <c r="APN52">
        <v>120.476344729203</v>
      </c>
      <c r="APO52">
        <v>275.816958825927</v>
      </c>
      <c r="APP52">
        <v>44.2613560221668</v>
      </c>
      <c r="APQ52">
        <v>2.54247626102376</v>
      </c>
      <c r="APR52">
        <v>3.22965608955666</v>
      </c>
      <c r="APS52">
        <v>3.17238015238093</v>
      </c>
      <c r="APT52">
        <v>5.48820783134151</v>
      </c>
      <c r="APU52">
        <v>2.48439592284442</v>
      </c>
      <c r="APV52">
        <v>2.44793211226115</v>
      </c>
      <c r="APW52">
        <v>3.15594315068429</v>
      </c>
      <c r="APX52">
        <v>3.09098832370774</v>
      </c>
      <c r="APY52">
        <v>5.38113398423851</v>
      </c>
      <c r="APZ52">
        <v>2.35235776227089</v>
      </c>
      <c r="AQA52">
        <v>1.62175266566539</v>
      </c>
      <c r="AQB52">
        <v>2.03168890292807</v>
      </c>
      <c r="AQC52">
        <v>2.10549928437109</v>
      </c>
      <c r="AQD52">
        <v>2.27056069867462</v>
      </c>
      <c r="AQE52">
        <v>1.03910819825675</v>
      </c>
      <c r="AQF52">
        <v>0.0267484657577386</v>
      </c>
      <c r="AQG52">
        <v>0.041033111524662</v>
      </c>
      <c r="AQH52">
        <v>0.0507654944463531</v>
      </c>
      <c r="AQI52">
        <v>0.07576156093887999</v>
      </c>
      <c r="AQJ52">
        <v>0.0333884127645408</v>
      </c>
      <c r="AQK52">
        <v>4</v>
      </c>
      <c r="AQO52" t="s">
        <v>1902</v>
      </c>
      <c r="AQP52">
        <v>4</v>
      </c>
      <c r="AQQ52">
        <v>0</v>
      </c>
      <c r="AQS52" t="s">
        <v>1905</v>
      </c>
      <c r="AQU52" t="s">
        <v>1906</v>
      </c>
      <c r="AQV52">
        <v>1477767.74374648</v>
      </c>
      <c r="AQW52">
        <v>1575896.49039298</v>
      </c>
      <c r="AQX52">
        <v>1527330.55503312</v>
      </c>
      <c r="AQY52">
        <v>37102.6036970341</v>
      </c>
      <c r="AQZ52">
        <v>60752.1095648003</v>
      </c>
      <c r="ARA52">
        <v>71985.77006809109</v>
      </c>
      <c r="ARB52">
        <v>4580994.78917258</v>
      </c>
      <c r="ARC52">
        <v>169840.4833299255</v>
      </c>
      <c r="ARD52">
        <v>0.03850250332548301</v>
      </c>
      <c r="ARE52">
        <v>0.03850250332548301</v>
      </c>
      <c r="ARF52">
        <v>0.03850250332548301</v>
      </c>
      <c r="ARG52">
        <v>0.03850250332548301</v>
      </c>
      <c r="ARH52">
        <v>0.03850250332548301</v>
      </c>
      <c r="ARI52">
        <v>0.03850250332548301</v>
      </c>
      <c r="ARJ52" t="s">
        <v>1213</v>
      </c>
      <c r="ARK52" t="s">
        <v>1551</v>
      </c>
      <c r="ARL52" t="s">
        <v>1908</v>
      </c>
      <c r="ARM52" t="s">
        <v>1908</v>
      </c>
      <c r="ARN52" t="s">
        <v>1909</v>
      </c>
      <c r="ARO52" t="s">
        <v>1909</v>
      </c>
      <c r="ARP52" t="s">
        <v>1907</v>
      </c>
      <c r="ARQ52" t="s">
        <v>1951</v>
      </c>
      <c r="ARR52">
        <f>HYPERLINK("C:\Users\Usuario\Documents\Proyectos\llmthon\evidence\pujol_cat_234429.png", "Ver Evidencia")</f>
        <v>0</v>
      </c>
      <c r="ARS52">
        <v>80</v>
      </c>
    </row>
    <row r="53" spans="1:1163">
      <c r="A53">
        <v>410</v>
      </c>
      <c r="B53" t="s">
        <v>1214</v>
      </c>
      <c r="C53" t="s">
        <v>1337</v>
      </c>
      <c r="E53" s="2">
        <v>38572</v>
      </c>
      <c r="F53" t="s">
        <v>1431</v>
      </c>
      <c r="G53" t="s">
        <v>1433</v>
      </c>
      <c r="H53" t="s">
        <v>1434</v>
      </c>
      <c r="I53" t="s">
        <v>1437</v>
      </c>
      <c r="J53" t="s">
        <v>1453</v>
      </c>
      <c r="L53" t="s">
        <v>1552</v>
      </c>
      <c r="N53" t="s">
        <v>1631</v>
      </c>
      <c r="O53" t="s">
        <v>1655</v>
      </c>
      <c r="P53">
        <v>6202</v>
      </c>
      <c r="Q53">
        <v>6202</v>
      </c>
      <c r="R53" t="s">
        <v>1723</v>
      </c>
      <c r="S53" t="s">
        <v>1813</v>
      </c>
      <c r="Z53" t="s">
        <v>1899</v>
      </c>
      <c r="AA53" s="2">
        <v>45291</v>
      </c>
      <c r="AB53">
        <v>2023</v>
      </c>
      <c r="AC53" t="s">
        <v>1900</v>
      </c>
      <c r="AD53">
        <v>1719446.3644664</v>
      </c>
      <c r="AE53">
        <v>1679327.55236279</v>
      </c>
      <c r="AF53">
        <v>1991561.29997292</v>
      </c>
      <c r="AG53">
        <v>2097058.47720928</v>
      </c>
      <c r="AH53" t="s">
        <v>1900</v>
      </c>
      <c r="AI53">
        <v>1719446.3644664</v>
      </c>
      <c r="AJ53">
        <v>1679327.55236279</v>
      </c>
      <c r="AK53">
        <v>1991561.29997292</v>
      </c>
      <c r="AL53">
        <v>2011986.00199741</v>
      </c>
      <c r="AM53" t="s">
        <v>1900</v>
      </c>
      <c r="AN53">
        <v>581367.192510452</v>
      </c>
      <c r="AO53">
        <v>605763.297438037</v>
      </c>
      <c r="AP53">
        <v>736808.157905745</v>
      </c>
      <c r="AQ53">
        <v>724248.915780574</v>
      </c>
      <c r="AR53" t="s">
        <v>1900</v>
      </c>
      <c r="AS53">
        <v>1138079.17195595</v>
      </c>
      <c r="AT53">
        <v>1073564.25492475</v>
      </c>
      <c r="AU53">
        <v>1254753.14206717</v>
      </c>
      <c r="AV53">
        <v>1372809.5614287</v>
      </c>
      <c r="AW53" t="s">
        <v>1900</v>
      </c>
      <c r="AX53">
        <v>1071669.5040521</v>
      </c>
      <c r="AY53">
        <v>1048041.49870966</v>
      </c>
      <c r="AZ53">
        <v>1310840.97034721</v>
      </c>
      <c r="BA53">
        <v>1391725.11306453</v>
      </c>
      <c r="BB53" t="s">
        <v>1900</v>
      </c>
      <c r="BC53">
        <v>66409.6679038429</v>
      </c>
      <c r="BD53">
        <v>25522.7551484883</v>
      </c>
      <c r="BE53">
        <v>-56087.8282800436</v>
      </c>
      <c r="BF53">
        <v>-18915.5516358316</v>
      </c>
      <c r="BG53" t="s">
        <v>1900</v>
      </c>
      <c r="BH53">
        <v>-44275.5234153109</v>
      </c>
      <c r="BI53">
        <v>-23208.2875889421</v>
      </c>
      <c r="BJ53">
        <v>-35480.596073842</v>
      </c>
      <c r="BK53">
        <v>-33745.6602191031</v>
      </c>
      <c r="BL53" t="s">
        <v>1900</v>
      </c>
      <c r="BM53">
        <v>40.1115180015564</v>
      </c>
      <c r="BN53">
        <v>30.1527675330639</v>
      </c>
      <c r="BO53" t="s">
        <v>1900</v>
      </c>
      <c r="BP53">
        <v>1.1657443344593</v>
      </c>
      <c r="BQ53" t="s">
        <v>1900</v>
      </c>
      <c r="BR53">
        <v>44315.6360383129</v>
      </c>
      <c r="BS53">
        <v>23238.4403564751</v>
      </c>
      <c r="BT53">
        <v>35480.596073842</v>
      </c>
      <c r="BU53">
        <v>33746.8259634376</v>
      </c>
      <c r="BV53" t="s">
        <v>1900</v>
      </c>
      <c r="BW53">
        <v>22134.1433835316</v>
      </c>
      <c r="BX53">
        <v>2314.46755954623</v>
      </c>
      <c r="BY53">
        <v>-91568.4243538856</v>
      </c>
      <c r="BZ53">
        <v>-52661.2118549347</v>
      </c>
      <c r="CA53" t="s">
        <v>1900</v>
      </c>
      <c r="CB53">
        <v>9671.759940567021</v>
      </c>
      <c r="CC53">
        <v>7875.36531349421</v>
      </c>
      <c r="CD53">
        <v>-22881.9126857042</v>
      </c>
      <c r="CE53">
        <v>-8105.40808650255</v>
      </c>
      <c r="CF53" t="s">
        <v>1900</v>
      </c>
      <c r="CG53">
        <v>12462.3834429646</v>
      </c>
      <c r="CH53">
        <v>-5560.89775394797</v>
      </c>
      <c r="CI53">
        <v>-68686.5116681814</v>
      </c>
      <c r="CJ53">
        <v>-44555.8037684321</v>
      </c>
      <c r="CK53" t="s">
        <v>1900</v>
      </c>
      <c r="CL53" t="s">
        <v>1900</v>
      </c>
      <c r="CM53" t="s">
        <v>1900</v>
      </c>
      <c r="CN53" t="s">
        <v>1900</v>
      </c>
      <c r="CO53" t="s">
        <v>1900</v>
      </c>
      <c r="CP53" t="s">
        <v>1900</v>
      </c>
      <c r="CQ53" t="s">
        <v>1900</v>
      </c>
      <c r="CR53" t="s">
        <v>1900</v>
      </c>
      <c r="CS53" t="s">
        <v>1900</v>
      </c>
      <c r="CT53" t="s">
        <v>1900</v>
      </c>
      <c r="CU53" t="s">
        <v>1900</v>
      </c>
      <c r="CV53" t="s">
        <v>1900</v>
      </c>
      <c r="CW53" t="s">
        <v>1900</v>
      </c>
      <c r="CX53" t="s">
        <v>1900</v>
      </c>
      <c r="CY53" t="s">
        <v>1900</v>
      </c>
      <c r="CZ53" t="s">
        <v>1900</v>
      </c>
      <c r="DA53">
        <v>12462.3834429646</v>
      </c>
      <c r="DB53">
        <v>-5560.89775394797</v>
      </c>
      <c r="DC53">
        <v>-68686.5116681814</v>
      </c>
      <c r="DD53">
        <v>-44555.8037684321</v>
      </c>
      <c r="DE53" t="s">
        <v>1900</v>
      </c>
      <c r="DF53" t="s">
        <v>1900</v>
      </c>
      <c r="DG53" t="s">
        <v>1900</v>
      </c>
      <c r="DH53" t="s">
        <v>1900</v>
      </c>
      <c r="DI53" t="s">
        <v>1900</v>
      </c>
      <c r="DJ53" t="s">
        <v>1900</v>
      </c>
      <c r="DK53">
        <v>574256.768469381</v>
      </c>
      <c r="DL53">
        <v>603892.972571397</v>
      </c>
      <c r="DM53">
        <v>747552.79724257</v>
      </c>
      <c r="DN53">
        <v>718412.610634607</v>
      </c>
      <c r="DO53" t="s">
        <v>1900</v>
      </c>
      <c r="DP53">
        <v>758562.663133602</v>
      </c>
      <c r="DQ53">
        <v>761977.746470219</v>
      </c>
      <c r="DR53">
        <v>913769.254264998</v>
      </c>
      <c r="DS53">
        <v>972141.6629879361</v>
      </c>
      <c r="DT53" t="s">
        <v>1900</v>
      </c>
      <c r="DU53">
        <v>7523.77157657623</v>
      </c>
      <c r="DV53">
        <v>27991.1223481953</v>
      </c>
      <c r="DW53">
        <v>35224.7643163919</v>
      </c>
      <c r="DX53">
        <v>38593.5982343435</v>
      </c>
      <c r="DY53" t="s">
        <v>1900</v>
      </c>
      <c r="DZ53">
        <v>305583.069341927</v>
      </c>
      <c r="EA53">
        <v>258072.630957848</v>
      </c>
      <c r="EB53">
        <v>361846.951765823</v>
      </c>
      <c r="EC53">
        <v>380989.851842254</v>
      </c>
      <c r="ED53" t="s">
        <v>1900</v>
      </c>
      <c r="EE53">
        <v>44315.6360383129</v>
      </c>
      <c r="EF53">
        <v>23238.4403564751</v>
      </c>
      <c r="EG53">
        <v>35480.596073842</v>
      </c>
      <c r="EH53">
        <v>33746.8259634376</v>
      </c>
      <c r="EI53" t="s">
        <v>1900</v>
      </c>
      <c r="EJ53" t="s">
        <v>1900</v>
      </c>
      <c r="EK53" t="s">
        <v>1900</v>
      </c>
      <c r="EL53" t="s">
        <v>1900</v>
      </c>
      <c r="EM53" t="s">
        <v>1900</v>
      </c>
      <c r="EN53" t="s">
        <v>1900</v>
      </c>
      <c r="EO53">
        <v>19986.1550195408</v>
      </c>
      <c r="EP53">
        <v>22430.2245942473</v>
      </c>
      <c r="EQ53">
        <v>-33461.7473517895</v>
      </c>
      <c r="ER53">
        <v>-5962.20430698931</v>
      </c>
      <c r="ES53" t="s">
        <v>1900</v>
      </c>
      <c r="ET53">
        <v>832536.214132023</v>
      </c>
      <c r="EU53">
        <v>815521.776734436</v>
      </c>
      <c r="EV53">
        <v>892906.1903013469</v>
      </c>
      <c r="EW53">
        <v>991820.875330782</v>
      </c>
      <c r="EX53" t="s">
        <v>1900</v>
      </c>
      <c r="EY53">
        <v>73933.4394804192</v>
      </c>
      <c r="EZ53">
        <v>53513.8774966836</v>
      </c>
      <c r="FA53">
        <v>-20863.0639636517</v>
      </c>
      <c r="FB53">
        <v>19678.0465985119</v>
      </c>
      <c r="FC53" t="s">
        <v>1900</v>
      </c>
      <c r="FD53">
        <v>1676810.01978173</v>
      </c>
      <c r="FE53">
        <v>1633977.63000314</v>
      </c>
      <c r="FF53">
        <v>1771755.75746877</v>
      </c>
      <c r="FG53">
        <v>1933016.43152531</v>
      </c>
      <c r="FH53" t="s">
        <v>1900</v>
      </c>
      <c r="FI53">
        <v>1307.41448675156</v>
      </c>
      <c r="FJ53">
        <v>3419.43263139725</v>
      </c>
      <c r="FK53">
        <v>25659.2525076628</v>
      </c>
      <c r="FL53">
        <v>57585.2668397188</v>
      </c>
      <c r="FM53" t="s">
        <v>1900</v>
      </c>
      <c r="FN53">
        <v>2125.32480381966</v>
      </c>
      <c r="FO53">
        <v>4087.34789693952</v>
      </c>
      <c r="FP53">
        <v>9013.573026895519</v>
      </c>
      <c r="FQ53">
        <v>12802.27790699</v>
      </c>
      <c r="FR53" t="s">
        <v>1900</v>
      </c>
      <c r="FS53">
        <v>1673377.28049116</v>
      </c>
      <c r="FT53">
        <v>1626470.8494748</v>
      </c>
      <c r="FU53">
        <v>1737082.93193421</v>
      </c>
      <c r="FV53">
        <v>1862628.8855515</v>
      </c>
      <c r="FW53" t="s">
        <v>1900</v>
      </c>
      <c r="FX53">
        <v>1307.41448675156</v>
      </c>
      <c r="FY53">
        <v>3419.43263139725</v>
      </c>
      <c r="FZ53">
        <v>25659.2525076628</v>
      </c>
      <c r="GA53">
        <v>57585.2668397188</v>
      </c>
      <c r="GB53" t="s">
        <v>1900</v>
      </c>
      <c r="GC53">
        <v>2125.32480381966</v>
      </c>
      <c r="GD53">
        <v>4087.34789693952</v>
      </c>
      <c r="GE53">
        <v>9013.573026895519</v>
      </c>
      <c r="GF53">
        <v>12802.27790699</v>
      </c>
      <c r="GG53" t="s">
        <v>1900</v>
      </c>
      <c r="GH53">
        <v>1673377.28049116</v>
      </c>
      <c r="GI53">
        <v>1626470.8494748</v>
      </c>
      <c r="GJ53">
        <v>1737082.93193421</v>
      </c>
      <c r="GK53">
        <v>1862628.8855515</v>
      </c>
      <c r="GL53" t="s">
        <v>1900</v>
      </c>
      <c r="GM53">
        <v>266054.295451899</v>
      </c>
      <c r="GN53">
        <v>173924.576249075</v>
      </c>
      <c r="GO53">
        <v>315301.24709816</v>
      </c>
      <c r="GP53">
        <v>311005.12698257</v>
      </c>
      <c r="GQ53" t="s">
        <v>1900</v>
      </c>
      <c r="GR53">
        <v>47485.1421107483</v>
      </c>
      <c r="GS53">
        <v>32153.7935009956</v>
      </c>
      <c r="GT53">
        <v>52687.1958568811</v>
      </c>
      <c r="GU53">
        <v>57122.2577320576</v>
      </c>
      <c r="GV53" t="s">
        <v>1900</v>
      </c>
      <c r="GW53">
        <v>66456.7298749638</v>
      </c>
      <c r="GX53">
        <v>60346.5564824462</v>
      </c>
      <c r="GY53">
        <v>148310.272681475</v>
      </c>
      <c r="GZ53">
        <v>161181.467383015</v>
      </c>
      <c r="HA53" t="s">
        <v>1900</v>
      </c>
      <c r="HB53">
        <v>152112.423466187</v>
      </c>
      <c r="HC53">
        <v>81424.2262656331</v>
      </c>
      <c r="HD53">
        <v>114303.778559804</v>
      </c>
      <c r="HE53">
        <v>92701.40064039829</v>
      </c>
      <c r="HF53" t="s">
        <v>1900</v>
      </c>
      <c r="HG53">
        <v>59234.2587836075</v>
      </c>
      <c r="HH53">
        <v>18341.7247698605</v>
      </c>
      <c r="HI53">
        <v>34318.6161144018</v>
      </c>
      <c r="HJ53">
        <v>5154.22200037837</v>
      </c>
      <c r="HK53" t="s">
        <v>1900</v>
      </c>
      <c r="HL53">
        <v>1942864.31523363</v>
      </c>
      <c r="HM53">
        <v>1807902.20625221</v>
      </c>
      <c r="HN53">
        <v>2087057.00456693</v>
      </c>
      <c r="HO53">
        <v>2244021.55850788</v>
      </c>
      <c r="HP53" t="s">
        <v>1900</v>
      </c>
      <c r="HQ53">
        <v>792863.182427254</v>
      </c>
      <c r="HR53">
        <v>753280.288935155</v>
      </c>
      <c r="HS53">
        <v>805798.025240278</v>
      </c>
      <c r="HT53">
        <v>770570.981738621</v>
      </c>
      <c r="HU53" t="s">
        <v>1900</v>
      </c>
      <c r="HV53">
        <v>951416.476984024</v>
      </c>
      <c r="HW53">
        <v>918352.825385332</v>
      </c>
      <c r="HX53">
        <v>975180.190730095</v>
      </c>
      <c r="HY53">
        <v>1056544.76780295</v>
      </c>
      <c r="HZ53" t="s">
        <v>1900</v>
      </c>
      <c r="IA53">
        <v>-158553.29455677</v>
      </c>
      <c r="IB53">
        <v>-165072.536450177</v>
      </c>
      <c r="IC53">
        <v>-169382.165489817</v>
      </c>
      <c r="ID53">
        <v>-285973.786064333</v>
      </c>
      <c r="IE53" t="s">
        <v>1900</v>
      </c>
      <c r="IF53">
        <v>248792.242904902</v>
      </c>
      <c r="IG53">
        <v>332448.885131013</v>
      </c>
      <c r="IH53">
        <v>425072.755637598</v>
      </c>
      <c r="II53">
        <v>411264.833486819</v>
      </c>
      <c r="IJ53" t="s">
        <v>1900</v>
      </c>
      <c r="IK53">
        <v>237703.938628607</v>
      </c>
      <c r="IL53">
        <v>304416.037410837</v>
      </c>
      <c r="IM53">
        <v>373545.908795714</v>
      </c>
      <c r="IN53">
        <v>352622.555581564</v>
      </c>
      <c r="IO53" t="s">
        <v>1900</v>
      </c>
      <c r="IP53">
        <v>11088.3042762947</v>
      </c>
      <c r="IQ53">
        <v>28032.847720176</v>
      </c>
      <c r="IR53">
        <v>51526.8468418836</v>
      </c>
      <c r="IS53">
        <v>58642.2779052556</v>
      </c>
      <c r="IT53" t="s">
        <v>1900</v>
      </c>
      <c r="IU53">
        <v>11088.3042762947</v>
      </c>
      <c r="IV53">
        <v>28032.847720176</v>
      </c>
      <c r="IW53">
        <v>51526.8468418836</v>
      </c>
      <c r="IX53">
        <v>58642.2779052556</v>
      </c>
      <c r="IY53" t="s">
        <v>1900</v>
      </c>
      <c r="IZ53">
        <v>901208.889901476</v>
      </c>
      <c r="JA53">
        <v>722173.032186043</v>
      </c>
      <c r="JB53">
        <v>856186.223689055</v>
      </c>
      <c r="JC53">
        <v>1062185.74328244</v>
      </c>
      <c r="JD53" t="s">
        <v>1900</v>
      </c>
      <c r="JE53">
        <v>199083.784546356</v>
      </c>
      <c r="JF53">
        <v>75290.329934603</v>
      </c>
      <c r="JG53">
        <v>102442.259407783</v>
      </c>
      <c r="JH53">
        <v>70260.6013241827</v>
      </c>
      <c r="JI53" t="s">
        <v>1900</v>
      </c>
      <c r="JJ53">
        <v>141494.164300842</v>
      </c>
      <c r="JK53">
        <v>222520.363505399</v>
      </c>
      <c r="JL53">
        <v>337157.510923433</v>
      </c>
      <c r="JM53">
        <v>273342.332650816</v>
      </c>
      <c r="JN53" t="s">
        <v>1900</v>
      </c>
      <c r="JO53">
        <v>560630.939949277</v>
      </c>
      <c r="JP53">
        <v>424362.338746041</v>
      </c>
      <c r="JQ53">
        <v>416586.45335784</v>
      </c>
      <c r="JR53">
        <v>718582.809307438</v>
      </c>
      <c r="JS53" t="s">
        <v>1900</v>
      </c>
      <c r="JT53">
        <v>1942864.31523363</v>
      </c>
      <c r="JU53">
        <v>1807902.20625221</v>
      </c>
      <c r="JV53">
        <v>2087057.00456693</v>
      </c>
      <c r="JW53">
        <v>2244021.55850788</v>
      </c>
      <c r="JX53" t="s">
        <v>1900</v>
      </c>
      <c r="JY53">
        <v>-27552.2923151302</v>
      </c>
      <c r="JZ53">
        <v>-130020.013521957</v>
      </c>
      <c r="KA53">
        <v>-136160.042385077</v>
      </c>
      <c r="KB53">
        <v>-55038.606308645</v>
      </c>
      <c r="KC53" t="s">
        <v>1900</v>
      </c>
      <c r="KD53" t="s">
        <v>1900</v>
      </c>
      <c r="KE53" t="s">
        <v>1900</v>
      </c>
      <c r="KF53" t="s">
        <v>1900</v>
      </c>
      <c r="KG53" t="s">
        <v>1900</v>
      </c>
      <c r="KH53" t="s">
        <v>1900</v>
      </c>
      <c r="KI53" t="s">
        <v>1900</v>
      </c>
      <c r="KJ53" t="s">
        <v>1900</v>
      </c>
      <c r="KK53" t="s">
        <v>1900</v>
      </c>
      <c r="KL53" t="s">
        <v>1900</v>
      </c>
      <c r="KM53" t="s">
        <v>1900</v>
      </c>
      <c r="KN53">
        <v>17</v>
      </c>
      <c r="KO53">
        <v>19</v>
      </c>
      <c r="KP53">
        <v>22</v>
      </c>
      <c r="KQ53">
        <v>26</v>
      </c>
      <c r="KR53" t="s">
        <v>1900</v>
      </c>
      <c r="KS53" t="s">
        <v>1900</v>
      </c>
      <c r="KT53" t="s">
        <v>1900</v>
      </c>
      <c r="KU53" t="s">
        <v>1900</v>
      </c>
      <c r="KV53" t="s">
        <v>1900</v>
      </c>
      <c r="KW53" t="s">
        <v>1900</v>
      </c>
      <c r="KX53" t="s">
        <v>1900</v>
      </c>
      <c r="KY53" t="s">
        <v>1900</v>
      </c>
      <c r="KZ53" t="s">
        <v>1900</v>
      </c>
      <c r="LA53" t="s">
        <v>1900</v>
      </c>
      <c r="LB53" t="s">
        <v>1900</v>
      </c>
      <c r="LC53" t="s">
        <v>1900</v>
      </c>
      <c r="LD53" t="s">
        <v>1900</v>
      </c>
      <c r="LE53" t="s">
        <v>1900</v>
      </c>
      <c r="LF53" t="s">
        <v>1900</v>
      </c>
      <c r="LG53" t="s">
        <v>1900</v>
      </c>
      <c r="LH53" t="s">
        <v>1900</v>
      </c>
      <c r="LI53" t="s">
        <v>1900</v>
      </c>
      <c r="LJ53" t="s">
        <v>1900</v>
      </c>
      <c r="LK53" t="s">
        <v>1900</v>
      </c>
      <c r="LL53" t="s">
        <v>1900</v>
      </c>
      <c r="LM53" t="s">
        <v>1900</v>
      </c>
      <c r="LN53" t="s">
        <v>1900</v>
      </c>
      <c r="LO53" t="s">
        <v>1900</v>
      </c>
      <c r="LP53" t="s">
        <v>1900</v>
      </c>
      <c r="LQ53" t="s">
        <v>1900</v>
      </c>
      <c r="LR53" t="s">
        <v>1900</v>
      </c>
      <c r="LS53" t="s">
        <v>1900</v>
      </c>
      <c r="LT53" t="s">
        <v>1900</v>
      </c>
      <c r="LU53" t="s">
        <v>1900</v>
      </c>
      <c r="LV53" t="s">
        <v>1900</v>
      </c>
      <c r="LW53" t="s">
        <v>1900</v>
      </c>
      <c r="LX53" t="s">
        <v>1900</v>
      </c>
      <c r="LY53" t="s">
        <v>1900</v>
      </c>
      <c r="LZ53" t="s">
        <v>1900</v>
      </c>
      <c r="MA53" t="s">
        <v>1900</v>
      </c>
      <c r="MB53" t="s">
        <v>1900</v>
      </c>
      <c r="MC53" t="s">
        <v>1900</v>
      </c>
      <c r="MD53" t="s">
        <v>1900</v>
      </c>
      <c r="ME53" t="s">
        <v>1900</v>
      </c>
      <c r="MF53" t="s">
        <v>1900</v>
      </c>
      <c r="MG53" t="s">
        <v>1900</v>
      </c>
      <c r="MH53" t="s">
        <v>1900</v>
      </c>
      <c r="MI53" t="s">
        <v>1900</v>
      </c>
      <c r="MJ53" t="s">
        <v>1900</v>
      </c>
      <c r="MK53" t="s">
        <v>1900</v>
      </c>
      <c r="ML53" t="s">
        <v>1900</v>
      </c>
      <c r="MM53" t="s">
        <v>1900</v>
      </c>
      <c r="MN53" t="s">
        <v>1900</v>
      </c>
      <c r="MO53" t="s">
        <v>1900</v>
      </c>
      <c r="MP53" t="s">
        <v>1900</v>
      </c>
      <c r="MQ53">
        <v>152112.423466187</v>
      </c>
      <c r="MR53">
        <v>81424.2262656331</v>
      </c>
      <c r="MS53">
        <v>114303.778559804</v>
      </c>
      <c r="MT53">
        <v>92701.40064039829</v>
      </c>
      <c r="MU53" t="s">
        <v>1900</v>
      </c>
      <c r="MV53" t="s">
        <v>1900</v>
      </c>
      <c r="MW53" t="s">
        <v>1900</v>
      </c>
      <c r="MX53" t="s">
        <v>1900</v>
      </c>
      <c r="MY53" t="s">
        <v>1900</v>
      </c>
      <c r="MZ53" t="s">
        <v>1900</v>
      </c>
      <c r="NA53" t="s">
        <v>1900</v>
      </c>
      <c r="NB53" t="s">
        <v>1900</v>
      </c>
      <c r="NC53" t="s">
        <v>1900</v>
      </c>
      <c r="ND53" t="s">
        <v>1900</v>
      </c>
      <c r="NE53" t="s">
        <v>1900</v>
      </c>
      <c r="NF53" t="s">
        <v>1900</v>
      </c>
      <c r="NG53" t="s">
        <v>1900</v>
      </c>
      <c r="NH53" t="s">
        <v>1900</v>
      </c>
      <c r="NI53" t="s">
        <v>1900</v>
      </c>
      <c r="NJ53" t="s">
        <v>1900</v>
      </c>
      <c r="NK53" t="s">
        <v>1900</v>
      </c>
      <c r="NL53" t="s">
        <v>1900</v>
      </c>
      <c r="NM53" t="s">
        <v>1900</v>
      </c>
      <c r="NN53" t="s">
        <v>1900</v>
      </c>
      <c r="NO53" t="s">
        <v>1900</v>
      </c>
      <c r="NP53" t="s">
        <v>1900</v>
      </c>
      <c r="NQ53" t="s">
        <v>1900</v>
      </c>
      <c r="NR53" t="s">
        <v>1900</v>
      </c>
      <c r="NS53" t="s">
        <v>1900</v>
      </c>
      <c r="NT53" t="s">
        <v>1900</v>
      </c>
      <c r="NU53">
        <v>1676810.01978173</v>
      </c>
      <c r="NV53">
        <v>1633977.63000314</v>
      </c>
      <c r="NW53">
        <v>1771755.75746877</v>
      </c>
      <c r="NX53">
        <v>1933016.43152531</v>
      </c>
      <c r="NY53" t="s">
        <v>1900</v>
      </c>
      <c r="NZ53" t="s">
        <v>1900</v>
      </c>
      <c r="OA53" t="s">
        <v>1900</v>
      </c>
      <c r="OB53" t="s">
        <v>1900</v>
      </c>
      <c r="OC53" t="s">
        <v>1900</v>
      </c>
      <c r="OD53" t="s">
        <v>1900</v>
      </c>
      <c r="OE53" t="s">
        <v>1900</v>
      </c>
      <c r="OF53" t="s">
        <v>1900</v>
      </c>
      <c r="OG53" t="s">
        <v>1900</v>
      </c>
      <c r="OH53" t="s">
        <v>1900</v>
      </c>
      <c r="OI53" t="s">
        <v>1900</v>
      </c>
      <c r="OJ53" t="s">
        <v>1900</v>
      </c>
      <c r="OK53" t="s">
        <v>1900</v>
      </c>
      <c r="OL53" t="s">
        <v>1900</v>
      </c>
      <c r="OM53" t="s">
        <v>1900</v>
      </c>
      <c r="ON53" t="s">
        <v>1900</v>
      </c>
      <c r="OO53" t="s">
        <v>1900</v>
      </c>
      <c r="OP53" t="s">
        <v>1900</v>
      </c>
      <c r="OQ53" t="s">
        <v>1900</v>
      </c>
      <c r="OR53" t="s">
        <v>1900</v>
      </c>
      <c r="OS53" t="s">
        <v>1900</v>
      </c>
      <c r="OT53" t="s">
        <v>1900</v>
      </c>
      <c r="OU53" t="s">
        <v>1900</v>
      </c>
      <c r="OV53" t="s">
        <v>1900</v>
      </c>
      <c r="OW53" t="s">
        <v>1900</v>
      </c>
      <c r="OX53" t="s">
        <v>1900</v>
      </c>
      <c r="OY53" t="s">
        <v>1900</v>
      </c>
      <c r="OZ53" t="s">
        <v>1900</v>
      </c>
      <c r="PA53" t="s">
        <v>1900</v>
      </c>
      <c r="PB53" t="s">
        <v>1900</v>
      </c>
      <c r="PC53" t="s">
        <v>1900</v>
      </c>
      <c r="PD53" t="s">
        <v>1900</v>
      </c>
      <c r="PE53" t="s">
        <v>1900</v>
      </c>
      <c r="PF53" t="s">
        <v>1900</v>
      </c>
      <c r="PG53" t="s">
        <v>1900</v>
      </c>
      <c r="PH53" t="s">
        <v>1900</v>
      </c>
      <c r="PI53" t="s">
        <v>1900</v>
      </c>
      <c r="PJ53" t="s">
        <v>1900</v>
      </c>
      <c r="PK53" t="s">
        <v>1900</v>
      </c>
      <c r="PL53" t="s">
        <v>1900</v>
      </c>
      <c r="PM53" t="s">
        <v>1900</v>
      </c>
      <c r="PN53" t="s">
        <v>1900</v>
      </c>
      <c r="PO53" t="s">
        <v>1900</v>
      </c>
      <c r="PP53" t="s">
        <v>1900</v>
      </c>
      <c r="PQ53" t="s">
        <v>1900</v>
      </c>
      <c r="PR53" t="s">
        <v>1900</v>
      </c>
      <c r="PS53" t="s">
        <v>1900</v>
      </c>
      <c r="PT53" t="s">
        <v>1900</v>
      </c>
      <c r="PU53" t="s">
        <v>1900</v>
      </c>
      <c r="PV53" t="s">
        <v>1900</v>
      </c>
      <c r="PW53" t="s">
        <v>1900</v>
      </c>
      <c r="PX53" t="s">
        <v>1900</v>
      </c>
      <c r="PY53" t="s">
        <v>1900</v>
      </c>
      <c r="PZ53" t="s">
        <v>1900</v>
      </c>
      <c r="QA53" t="s">
        <v>1900</v>
      </c>
      <c r="QB53" t="s">
        <v>1900</v>
      </c>
      <c r="QC53" t="s">
        <v>1900</v>
      </c>
      <c r="QD53" t="s">
        <v>1900</v>
      </c>
      <c r="QE53" t="s">
        <v>1900</v>
      </c>
      <c r="QF53" t="s">
        <v>1900</v>
      </c>
      <c r="QG53" t="s">
        <v>1900</v>
      </c>
      <c r="QH53" t="s">
        <v>1900</v>
      </c>
      <c r="QI53" t="s">
        <v>1900</v>
      </c>
      <c r="QJ53" t="s">
        <v>1900</v>
      </c>
      <c r="QK53" t="s">
        <v>1900</v>
      </c>
      <c r="QL53" t="s">
        <v>1900</v>
      </c>
      <c r="QM53" t="s">
        <v>1900</v>
      </c>
      <c r="QN53" t="s">
        <v>1900</v>
      </c>
      <c r="QO53" t="s">
        <v>1900</v>
      </c>
      <c r="QP53" t="s">
        <v>1900</v>
      </c>
      <c r="QQ53" t="s">
        <v>1900</v>
      </c>
      <c r="QR53" t="s">
        <v>1900</v>
      </c>
      <c r="QS53" t="s">
        <v>1900</v>
      </c>
      <c r="QT53" t="s">
        <v>1900</v>
      </c>
      <c r="QU53" t="s">
        <v>1900</v>
      </c>
      <c r="QV53" t="s">
        <v>1900</v>
      </c>
      <c r="QW53" t="s">
        <v>1900</v>
      </c>
      <c r="QX53" t="s">
        <v>1900</v>
      </c>
      <c r="QY53" t="s">
        <v>1900</v>
      </c>
      <c r="QZ53" t="s">
        <v>1900</v>
      </c>
      <c r="RA53" t="s">
        <v>1900</v>
      </c>
      <c r="RB53" t="s">
        <v>1900</v>
      </c>
      <c r="RC53" t="s">
        <v>1900</v>
      </c>
      <c r="RD53" t="s">
        <v>1900</v>
      </c>
      <c r="RE53" t="s">
        <v>1900</v>
      </c>
      <c r="RF53" t="s">
        <v>1900</v>
      </c>
      <c r="RG53" t="s">
        <v>1900</v>
      </c>
      <c r="RH53" t="s">
        <v>1900</v>
      </c>
      <c r="RI53" t="s">
        <v>1900</v>
      </c>
      <c r="RJ53" t="s">
        <v>1900</v>
      </c>
      <c r="RK53" t="s">
        <v>1900</v>
      </c>
      <c r="RL53" t="s">
        <v>1900</v>
      </c>
      <c r="RM53" t="s">
        <v>1900</v>
      </c>
      <c r="RN53" t="s">
        <v>1900</v>
      </c>
      <c r="RO53" t="s">
        <v>1900</v>
      </c>
      <c r="RP53" t="s">
        <v>1900</v>
      </c>
      <c r="RQ53" t="s">
        <v>1900</v>
      </c>
      <c r="RR53" t="s">
        <v>1900</v>
      </c>
      <c r="RS53" t="s">
        <v>1900</v>
      </c>
      <c r="RT53" t="s">
        <v>1900</v>
      </c>
      <c r="RU53" t="s">
        <v>1900</v>
      </c>
      <c r="RV53" t="s">
        <v>1900</v>
      </c>
      <c r="RW53" t="s">
        <v>1900</v>
      </c>
      <c r="RX53" t="s">
        <v>1900</v>
      </c>
      <c r="RY53" t="s">
        <v>1900</v>
      </c>
      <c r="RZ53" t="s">
        <v>1900</v>
      </c>
      <c r="SA53" t="s">
        <v>1900</v>
      </c>
      <c r="SB53" t="s">
        <v>1900</v>
      </c>
      <c r="SC53" t="s">
        <v>1900</v>
      </c>
      <c r="SD53" t="s">
        <v>1900</v>
      </c>
      <c r="SE53" t="s">
        <v>1900</v>
      </c>
      <c r="SF53" t="s">
        <v>1900</v>
      </c>
      <c r="SG53" t="s">
        <v>1900</v>
      </c>
      <c r="SH53" t="s">
        <v>1900</v>
      </c>
      <c r="SI53" t="s">
        <v>1900</v>
      </c>
      <c r="SJ53" t="s">
        <v>1900</v>
      </c>
      <c r="SK53">
        <v>1673377.28049116</v>
      </c>
      <c r="SL53">
        <v>1626470.8494748</v>
      </c>
      <c r="SM53">
        <v>1737082.93193421</v>
      </c>
      <c r="SN53">
        <v>1862628.8855515</v>
      </c>
      <c r="SO53" t="s">
        <v>1900</v>
      </c>
      <c r="SP53" t="s">
        <v>1900</v>
      </c>
      <c r="SQ53" t="s">
        <v>1900</v>
      </c>
      <c r="SR53" t="s">
        <v>1900</v>
      </c>
      <c r="SS53" t="s">
        <v>1900</v>
      </c>
      <c r="ST53" t="s">
        <v>1900</v>
      </c>
      <c r="SU53" t="s">
        <v>1900</v>
      </c>
      <c r="SV53" t="s">
        <v>1900</v>
      </c>
      <c r="SW53" t="s">
        <v>1900</v>
      </c>
      <c r="SX53" t="s">
        <v>1900</v>
      </c>
      <c r="SY53" t="s">
        <v>1900</v>
      </c>
      <c r="SZ53" t="s">
        <v>1900</v>
      </c>
      <c r="TA53" t="s">
        <v>1900</v>
      </c>
      <c r="TB53" t="s">
        <v>1900</v>
      </c>
      <c r="TC53" t="s">
        <v>1900</v>
      </c>
      <c r="TD53" t="s">
        <v>1900</v>
      </c>
      <c r="TE53" t="s">
        <v>1900</v>
      </c>
      <c r="TF53" t="s">
        <v>1900</v>
      </c>
      <c r="TG53" t="s">
        <v>1900</v>
      </c>
      <c r="TH53" t="s">
        <v>1900</v>
      </c>
      <c r="TI53" t="s">
        <v>1900</v>
      </c>
      <c r="TJ53" t="s">
        <v>1900</v>
      </c>
      <c r="TK53" t="s">
        <v>1900</v>
      </c>
      <c r="TL53" t="s">
        <v>1900</v>
      </c>
      <c r="TM53" t="s">
        <v>1900</v>
      </c>
      <c r="TN53" t="s">
        <v>1900</v>
      </c>
      <c r="TO53" t="s">
        <v>1900</v>
      </c>
      <c r="TP53" t="s">
        <v>1900</v>
      </c>
      <c r="TQ53" t="s">
        <v>1900</v>
      </c>
      <c r="TR53" t="s">
        <v>1900</v>
      </c>
      <c r="TS53" t="s">
        <v>1900</v>
      </c>
      <c r="TT53">
        <v>1942864.31523363</v>
      </c>
      <c r="TU53">
        <v>1807902.20625221</v>
      </c>
      <c r="TV53">
        <v>2087057.00456693</v>
      </c>
      <c r="TW53">
        <v>2244021.55850788</v>
      </c>
      <c r="TX53" t="s">
        <v>1900</v>
      </c>
      <c r="TY53" t="s">
        <v>1900</v>
      </c>
      <c r="TZ53" t="s">
        <v>1900</v>
      </c>
      <c r="UA53" t="s">
        <v>1900</v>
      </c>
      <c r="UB53" t="s">
        <v>1900</v>
      </c>
      <c r="UC53" t="s">
        <v>1900</v>
      </c>
      <c r="UD53">
        <v>199083.784546356</v>
      </c>
      <c r="UE53">
        <v>75290.329934603</v>
      </c>
      <c r="UF53">
        <v>102442.259407783</v>
      </c>
      <c r="UG53">
        <v>70260.6013241827</v>
      </c>
      <c r="UH53" t="s">
        <v>1900</v>
      </c>
      <c r="UI53" t="s">
        <v>1900</v>
      </c>
      <c r="UJ53" t="s">
        <v>1900</v>
      </c>
      <c r="UK53" t="s">
        <v>1900</v>
      </c>
      <c r="UL53" t="s">
        <v>1900</v>
      </c>
      <c r="UM53" t="s">
        <v>1900</v>
      </c>
      <c r="UN53" t="s">
        <v>1900</v>
      </c>
      <c r="UO53" t="s">
        <v>1900</v>
      </c>
      <c r="UP53" t="s">
        <v>1900</v>
      </c>
      <c r="UQ53" t="s">
        <v>1900</v>
      </c>
      <c r="UR53" t="s">
        <v>1900</v>
      </c>
      <c r="US53" t="s">
        <v>1900</v>
      </c>
      <c r="UT53" t="s">
        <v>1900</v>
      </c>
      <c r="UU53" t="s">
        <v>1900</v>
      </c>
      <c r="UV53" t="s">
        <v>1900</v>
      </c>
      <c r="UW53" t="s">
        <v>1900</v>
      </c>
      <c r="UX53" t="s">
        <v>1900</v>
      </c>
      <c r="UY53" t="s">
        <v>1900</v>
      </c>
      <c r="UZ53" t="s">
        <v>1900</v>
      </c>
      <c r="VA53" t="s">
        <v>1900</v>
      </c>
      <c r="VB53" t="s">
        <v>1900</v>
      </c>
      <c r="VC53" t="s">
        <v>1900</v>
      </c>
      <c r="VD53" t="s">
        <v>1900</v>
      </c>
      <c r="VE53" t="s">
        <v>1900</v>
      </c>
      <c r="VF53" t="s">
        <v>1900</v>
      </c>
      <c r="VG53" t="s">
        <v>1900</v>
      </c>
      <c r="VH53" t="s">
        <v>1900</v>
      </c>
      <c r="VI53" t="s">
        <v>1900</v>
      </c>
      <c r="VJ53" t="s">
        <v>1900</v>
      </c>
      <c r="VK53" t="s">
        <v>1900</v>
      </c>
      <c r="VL53" t="s">
        <v>1900</v>
      </c>
      <c r="VM53" t="s">
        <v>1900</v>
      </c>
      <c r="VN53" t="s">
        <v>1900</v>
      </c>
      <c r="VO53" t="s">
        <v>1900</v>
      </c>
      <c r="VP53" t="s">
        <v>1900</v>
      </c>
      <c r="VQ53" t="s">
        <v>1900</v>
      </c>
      <c r="VR53" t="s">
        <v>1900</v>
      </c>
      <c r="VS53" t="s">
        <v>1900</v>
      </c>
      <c r="VT53" t="s">
        <v>1900</v>
      </c>
      <c r="VU53" t="s">
        <v>1900</v>
      </c>
      <c r="VV53" t="s">
        <v>1900</v>
      </c>
      <c r="VW53" t="s">
        <v>1900</v>
      </c>
      <c r="VX53" t="s">
        <v>1900</v>
      </c>
      <c r="VY53" t="s">
        <v>1900</v>
      </c>
      <c r="VZ53" t="s">
        <v>1900</v>
      </c>
      <c r="WA53" t="s">
        <v>1900</v>
      </c>
      <c r="WB53">
        <v>560630.939949277</v>
      </c>
      <c r="WC53">
        <v>424362.338746041</v>
      </c>
      <c r="WD53">
        <v>416586.45335784</v>
      </c>
      <c r="WE53">
        <v>718582.809307438</v>
      </c>
      <c r="WF53" t="s">
        <v>1900</v>
      </c>
      <c r="WG53" t="s">
        <v>1900</v>
      </c>
      <c r="WH53" t="s">
        <v>1900</v>
      </c>
      <c r="WI53" t="s">
        <v>1900</v>
      </c>
      <c r="WJ53" t="s">
        <v>1900</v>
      </c>
      <c r="WK53" t="s">
        <v>1900</v>
      </c>
      <c r="WL53" t="s">
        <v>1900</v>
      </c>
      <c r="WM53" t="s">
        <v>1900</v>
      </c>
      <c r="WN53" t="s">
        <v>1900</v>
      </c>
      <c r="WO53" t="s">
        <v>1900</v>
      </c>
      <c r="WP53" t="s">
        <v>1900</v>
      </c>
      <c r="WQ53" t="s">
        <v>1900</v>
      </c>
      <c r="WR53" t="s">
        <v>1900</v>
      </c>
      <c r="WS53" t="s">
        <v>1900</v>
      </c>
      <c r="WT53" t="s">
        <v>1900</v>
      </c>
      <c r="WU53" t="s">
        <v>1900</v>
      </c>
      <c r="WV53" t="s">
        <v>1900</v>
      </c>
      <c r="WW53" t="s">
        <v>1900</v>
      </c>
      <c r="WX53" t="s">
        <v>1900</v>
      </c>
      <c r="WY53" t="s">
        <v>1900</v>
      </c>
      <c r="WZ53" t="s">
        <v>1900</v>
      </c>
      <c r="XA53" t="s">
        <v>1900</v>
      </c>
      <c r="XB53" t="s">
        <v>1900</v>
      </c>
      <c r="XC53" t="s">
        <v>1900</v>
      </c>
      <c r="XD53" t="s">
        <v>1900</v>
      </c>
      <c r="XE53" t="s">
        <v>1900</v>
      </c>
      <c r="XF53" t="s">
        <v>1900</v>
      </c>
      <c r="XG53" t="s">
        <v>1900</v>
      </c>
      <c r="XH53" t="s">
        <v>1900</v>
      </c>
      <c r="XI53" t="s">
        <v>1900</v>
      </c>
      <c r="XJ53" t="s">
        <v>1900</v>
      </c>
      <c r="XK53">
        <v>11088.3042762947</v>
      </c>
      <c r="XL53">
        <v>28032.847720176</v>
      </c>
      <c r="XM53">
        <v>51526.8468418836</v>
      </c>
      <c r="XN53">
        <v>58642.2779052556</v>
      </c>
      <c r="XO53" t="s">
        <v>1900</v>
      </c>
      <c r="XP53" t="s">
        <v>1900</v>
      </c>
      <c r="XQ53" t="s">
        <v>1900</v>
      </c>
      <c r="XR53" t="s">
        <v>1900</v>
      </c>
      <c r="XS53" t="s">
        <v>1900</v>
      </c>
      <c r="XT53" t="s">
        <v>1900</v>
      </c>
      <c r="XU53" t="s">
        <v>1900</v>
      </c>
      <c r="XV53" t="s">
        <v>1900</v>
      </c>
      <c r="XW53" t="s">
        <v>1900</v>
      </c>
      <c r="XX53" t="s">
        <v>1900</v>
      </c>
      <c r="XY53" t="s">
        <v>1900</v>
      </c>
      <c r="XZ53">
        <v>11088.3042762947</v>
      </c>
      <c r="YA53">
        <v>28032.847720176</v>
      </c>
      <c r="YB53">
        <v>51526.8468418836</v>
      </c>
      <c r="YC53">
        <v>58642.2779052556</v>
      </c>
      <c r="YD53" t="s">
        <v>1900</v>
      </c>
      <c r="YE53" t="s">
        <v>1900</v>
      </c>
      <c r="YF53" t="s">
        <v>1900</v>
      </c>
      <c r="YG53" t="s">
        <v>1900</v>
      </c>
      <c r="YH53" t="s">
        <v>1900</v>
      </c>
      <c r="YI53" t="s">
        <v>1900</v>
      </c>
      <c r="YJ53" t="s">
        <v>1900</v>
      </c>
      <c r="YK53" t="s">
        <v>1900</v>
      </c>
      <c r="YL53" t="s">
        <v>1900</v>
      </c>
      <c r="YM53" t="s">
        <v>1900</v>
      </c>
      <c r="YN53" t="s">
        <v>1900</v>
      </c>
      <c r="YO53" t="s">
        <v>1900</v>
      </c>
      <c r="YP53" t="s">
        <v>1900</v>
      </c>
      <c r="YQ53" t="s">
        <v>1900</v>
      </c>
      <c r="YR53" t="s">
        <v>1900</v>
      </c>
      <c r="YS53" t="s">
        <v>1900</v>
      </c>
      <c r="YT53" t="s">
        <v>1900</v>
      </c>
      <c r="YU53" t="s">
        <v>1900</v>
      </c>
      <c r="YV53" t="s">
        <v>1900</v>
      </c>
      <c r="YW53" t="s">
        <v>1900</v>
      </c>
      <c r="YX53" t="s">
        <v>1900</v>
      </c>
      <c r="YY53" t="s">
        <v>1900</v>
      </c>
      <c r="YZ53" t="s">
        <v>1900</v>
      </c>
      <c r="ZA53" t="s">
        <v>1900</v>
      </c>
      <c r="ZB53" t="s">
        <v>1900</v>
      </c>
      <c r="ZC53" t="s">
        <v>1900</v>
      </c>
      <c r="ZD53" t="s">
        <v>1900</v>
      </c>
      <c r="ZE53" t="s">
        <v>1900</v>
      </c>
      <c r="ZF53" t="s">
        <v>1900</v>
      </c>
      <c r="ZG53" t="s">
        <v>1900</v>
      </c>
      <c r="ZH53" t="s">
        <v>1900</v>
      </c>
      <c r="ZI53" t="s">
        <v>1900</v>
      </c>
      <c r="ZJ53" t="s">
        <v>1900</v>
      </c>
      <c r="ZK53" t="s">
        <v>1900</v>
      </c>
      <c r="ZL53" t="s">
        <v>1900</v>
      </c>
      <c r="ZM53" t="s">
        <v>1900</v>
      </c>
      <c r="ZN53" t="s">
        <v>1900</v>
      </c>
      <c r="ZO53" t="s">
        <v>1900</v>
      </c>
      <c r="ZP53" t="s">
        <v>1900</v>
      </c>
      <c r="ZQ53" t="s">
        <v>1900</v>
      </c>
      <c r="ZR53" t="s">
        <v>1900</v>
      </c>
      <c r="ZS53" t="s">
        <v>1900</v>
      </c>
      <c r="ZT53" t="s">
        <v>1900</v>
      </c>
      <c r="ZU53" t="s">
        <v>1900</v>
      </c>
      <c r="ZV53" t="s">
        <v>1900</v>
      </c>
      <c r="ZW53" t="s">
        <v>1900</v>
      </c>
      <c r="ZX53" t="s">
        <v>1900</v>
      </c>
      <c r="ZY53" t="s">
        <v>1900</v>
      </c>
      <c r="ZZ53" t="s">
        <v>1900</v>
      </c>
      <c r="AAA53" t="s">
        <v>1900</v>
      </c>
      <c r="AAB53" t="s">
        <v>1900</v>
      </c>
      <c r="AAC53" t="s">
        <v>1900</v>
      </c>
      <c r="AAD53" t="s">
        <v>1900</v>
      </c>
      <c r="AAE53" t="s">
        <v>1900</v>
      </c>
      <c r="AAF53" t="s">
        <v>1900</v>
      </c>
      <c r="AAG53" t="s">
        <v>1900</v>
      </c>
      <c r="AAH53" t="s">
        <v>1900</v>
      </c>
      <c r="AAI53" t="s">
        <v>1900</v>
      </c>
      <c r="AAJ53" t="s">
        <v>1900</v>
      </c>
      <c r="AAK53" t="s">
        <v>1900</v>
      </c>
      <c r="AAL53" t="s">
        <v>1900</v>
      </c>
      <c r="AAM53" t="s">
        <v>1900</v>
      </c>
      <c r="AAN53" t="s">
        <v>1900</v>
      </c>
      <c r="AAO53" t="s">
        <v>1900</v>
      </c>
      <c r="AAP53" t="s">
        <v>1900</v>
      </c>
      <c r="AAQ53" t="s">
        <v>1900</v>
      </c>
      <c r="AAR53" t="s">
        <v>1900</v>
      </c>
      <c r="AAS53" t="s">
        <v>1900</v>
      </c>
      <c r="AAT53" t="s">
        <v>1900</v>
      </c>
      <c r="AAU53" t="s">
        <v>1900</v>
      </c>
      <c r="AAV53" t="s">
        <v>1900</v>
      </c>
      <c r="AAW53" t="s">
        <v>1900</v>
      </c>
      <c r="AAX53" t="s">
        <v>1900</v>
      </c>
      <c r="AAY53" t="s">
        <v>1900</v>
      </c>
      <c r="AAZ53" t="s">
        <v>1900</v>
      </c>
      <c r="ABA53" t="s">
        <v>1900</v>
      </c>
      <c r="ABB53" t="s">
        <v>1900</v>
      </c>
      <c r="ABC53" t="s">
        <v>1900</v>
      </c>
      <c r="ABD53" t="s">
        <v>1900</v>
      </c>
      <c r="ABE53" t="s">
        <v>1900</v>
      </c>
      <c r="ABF53" t="s">
        <v>1900</v>
      </c>
      <c r="ABG53" t="s">
        <v>1900</v>
      </c>
      <c r="ABH53" t="s">
        <v>1900</v>
      </c>
      <c r="ABI53" t="s">
        <v>1900</v>
      </c>
      <c r="ABJ53" t="s">
        <v>1900</v>
      </c>
      <c r="ABK53" t="s">
        <v>1900</v>
      </c>
      <c r="ABL53" t="s">
        <v>1900</v>
      </c>
      <c r="ABM53" t="s">
        <v>1900</v>
      </c>
      <c r="ABN53" t="s">
        <v>1900</v>
      </c>
      <c r="ABO53" t="s">
        <v>1900</v>
      </c>
      <c r="ABP53" t="s">
        <v>1900</v>
      </c>
      <c r="ABQ53" t="s">
        <v>1900</v>
      </c>
      <c r="ABR53" t="s">
        <v>1900</v>
      </c>
      <c r="ABS53" t="s">
        <v>1900</v>
      </c>
      <c r="ABT53" t="s">
        <v>1900</v>
      </c>
      <c r="ABU53" t="s">
        <v>1900</v>
      </c>
      <c r="ABV53" t="s">
        <v>1900</v>
      </c>
      <c r="ABW53" t="s">
        <v>1900</v>
      </c>
      <c r="ABX53" t="s">
        <v>1900</v>
      </c>
      <c r="ABY53" t="s">
        <v>1900</v>
      </c>
      <c r="ABZ53" t="s">
        <v>1900</v>
      </c>
      <c r="ACA53" t="s">
        <v>1900</v>
      </c>
      <c r="ACB53" t="s">
        <v>1900</v>
      </c>
      <c r="ACC53" t="s">
        <v>1900</v>
      </c>
      <c r="ACD53" t="s">
        <v>1900</v>
      </c>
      <c r="ACE53" t="s">
        <v>1900</v>
      </c>
      <c r="ACF53">
        <v>2.792</v>
      </c>
      <c r="ACG53">
        <v>0.307</v>
      </c>
      <c r="ACH53">
        <v>-11.364</v>
      </c>
      <c r="ACI53">
        <v>-6.834</v>
      </c>
      <c r="ACJ53" t="s">
        <v>1900</v>
      </c>
      <c r="ACK53">
        <v>6.379</v>
      </c>
      <c r="ACL53">
        <v>2.354</v>
      </c>
      <c r="ACM53">
        <v>-4.557</v>
      </c>
      <c r="ACN53">
        <v>-1.6</v>
      </c>
      <c r="ACO53" t="s">
        <v>1900</v>
      </c>
      <c r="ACP53">
        <v>1.139</v>
      </c>
      <c r="ACQ53">
        <v>0.128</v>
      </c>
      <c r="ACR53">
        <v>-4.387</v>
      </c>
      <c r="ACS53">
        <v>-2.347</v>
      </c>
      <c r="ACT53" t="s">
        <v>1900</v>
      </c>
      <c r="ACU53">
        <v>1.572</v>
      </c>
      <c r="ACV53">
        <v>-0.738</v>
      </c>
      <c r="ACW53">
        <v>-8.523999999999999</v>
      </c>
      <c r="ACX53">
        <v>-5.782</v>
      </c>
      <c r="ACY53" t="s">
        <v>1900</v>
      </c>
      <c r="ACZ53">
        <v>5.451</v>
      </c>
      <c r="ADA53">
        <v>1.628</v>
      </c>
      <c r="ADB53">
        <v>-2.698</v>
      </c>
      <c r="ADC53">
        <v>-0.915</v>
      </c>
      <c r="ADD53" t="s">
        <v>1900</v>
      </c>
      <c r="ADE53">
        <v>0.641</v>
      </c>
      <c r="ADF53">
        <v>-0.308</v>
      </c>
      <c r="ADG53">
        <v>-3.291</v>
      </c>
      <c r="ADH53">
        <v>-1.986</v>
      </c>
      <c r="ADI53" t="s">
        <v>1900</v>
      </c>
      <c r="ADJ53">
        <v>1.287</v>
      </c>
      <c r="ADK53">
        <v>0.138</v>
      </c>
      <c r="ADL53">
        <v>-4.598</v>
      </c>
      <c r="ADM53">
        <v>-2.511</v>
      </c>
      <c r="ADN53" t="s">
        <v>1900</v>
      </c>
      <c r="ADO53">
        <v>66.18899999999999</v>
      </c>
      <c r="ADP53">
        <v>63.928</v>
      </c>
      <c r="ADQ53">
        <v>63.003</v>
      </c>
      <c r="ADR53">
        <v>65.464</v>
      </c>
      <c r="ADS53" t="s">
        <v>1900</v>
      </c>
      <c r="ADT53">
        <v>3.862270396</v>
      </c>
      <c r="ADU53">
        <v>1.519819949</v>
      </c>
      <c r="ADV53">
        <v>-2.816274261</v>
      </c>
      <c r="ADW53">
        <v>-0.902004014</v>
      </c>
      <c r="ADX53" t="s">
        <v>1900</v>
      </c>
      <c r="ADY53">
        <v>4.3</v>
      </c>
      <c r="ADZ53">
        <v>3.187</v>
      </c>
      <c r="AEA53">
        <v>-1.048</v>
      </c>
      <c r="AEB53">
        <v>0.9379999999999999</v>
      </c>
      <c r="AEC53" t="s">
        <v>1900</v>
      </c>
      <c r="AED53">
        <v>3.862</v>
      </c>
      <c r="AEE53">
        <v>1.52</v>
      </c>
      <c r="AEF53">
        <v>-2.816</v>
      </c>
      <c r="AEG53">
        <v>-0.902</v>
      </c>
      <c r="AEH53" t="s">
        <v>1900</v>
      </c>
      <c r="AEI53">
        <v>1.162</v>
      </c>
      <c r="AEJ53">
        <v>1.336</v>
      </c>
      <c r="AEK53">
        <v>-1.68</v>
      </c>
      <c r="AEL53">
        <v>-0.284</v>
      </c>
      <c r="AEM53" t="s">
        <v>1900</v>
      </c>
      <c r="AEN53">
        <v>4.017434582</v>
      </c>
      <c r="AEO53">
        <v>1.543274949</v>
      </c>
      <c r="AEP53">
        <v>-2.73913277</v>
      </c>
      <c r="AEQ53">
        <v>-0.893940633</v>
      </c>
      <c r="AER53" t="s">
        <v>1900</v>
      </c>
      <c r="AES53">
        <v>1.061968422</v>
      </c>
      <c r="AET53">
        <v>1.02435281</v>
      </c>
      <c r="AEU53">
        <v>0.957212332</v>
      </c>
      <c r="AEV53">
        <v>0.986408558</v>
      </c>
      <c r="AEW53" t="s">
        <v>1900</v>
      </c>
      <c r="AEX53" t="s">
        <v>1900</v>
      </c>
      <c r="AEY53" t="s">
        <v>1900</v>
      </c>
      <c r="AEZ53" t="s">
        <v>1900</v>
      </c>
      <c r="AFA53" t="s">
        <v>1900</v>
      </c>
      <c r="AFB53" t="s">
        <v>1900</v>
      </c>
      <c r="AFC53" t="s">
        <v>1900</v>
      </c>
      <c r="AFD53" t="s">
        <v>1900</v>
      </c>
      <c r="AFE53" t="s">
        <v>1900</v>
      </c>
      <c r="AFF53" t="s">
        <v>1900</v>
      </c>
      <c r="AFG53" t="s">
        <v>1900</v>
      </c>
      <c r="AFH53">
        <v>1.651</v>
      </c>
      <c r="AFI53">
        <v>1.547</v>
      </c>
      <c r="AFJ53">
        <v>1.618</v>
      </c>
      <c r="AFK53">
        <v>1.774</v>
      </c>
      <c r="AFL53" t="s">
        <v>1900</v>
      </c>
      <c r="AFM53">
        <v>1.499</v>
      </c>
      <c r="AFN53">
        <v>1.098</v>
      </c>
      <c r="AFO53">
        <v>-1.581</v>
      </c>
      <c r="AFP53">
        <v>-0.5610000000000001</v>
      </c>
      <c r="AFQ53" t="s">
        <v>1900</v>
      </c>
      <c r="AFR53">
        <v>36.21</v>
      </c>
      <c r="AFS53">
        <v>52.228</v>
      </c>
      <c r="AFT53">
        <v>37.8</v>
      </c>
      <c r="AFU53">
        <v>36.712</v>
      </c>
      <c r="AFV53" t="s">
        <v>1900</v>
      </c>
      <c r="AFW53">
        <v>13.914</v>
      </c>
      <c r="AFX53">
        <v>12.937</v>
      </c>
      <c r="AFY53">
        <v>26.809</v>
      </c>
      <c r="AFZ53">
        <v>27.67</v>
      </c>
      <c r="AGA53" t="s">
        <v>1900</v>
      </c>
      <c r="AGB53">
        <v>29.625</v>
      </c>
      <c r="AGC53">
        <v>47.702</v>
      </c>
      <c r="AGD53">
        <v>60.946</v>
      </c>
      <c r="AGE53">
        <v>46.924</v>
      </c>
      <c r="AGF53" t="s">
        <v>1900</v>
      </c>
      <c r="AGG53" t="s">
        <v>1900</v>
      </c>
      <c r="AGH53" t="s">
        <v>1900</v>
      </c>
      <c r="AGI53" t="s">
        <v>1900</v>
      </c>
      <c r="AGJ53" t="s">
        <v>1900</v>
      </c>
      <c r="AGK53" t="s">
        <v>1900</v>
      </c>
      <c r="AGL53" t="s">
        <v>1900</v>
      </c>
      <c r="AGM53" t="s">
        <v>1900</v>
      </c>
      <c r="AGN53" t="s">
        <v>1900</v>
      </c>
      <c r="AGO53" t="s">
        <v>1900</v>
      </c>
      <c r="AGP53" t="s">
        <v>1900</v>
      </c>
      <c r="AGQ53" t="s">
        <v>1900</v>
      </c>
      <c r="AGR53" t="s">
        <v>1900</v>
      </c>
      <c r="AGS53" t="s">
        <v>1900</v>
      </c>
      <c r="AGT53" t="s">
        <v>1900</v>
      </c>
      <c r="AGU53">
        <v>0</v>
      </c>
      <c r="AGV53">
        <v>0</v>
      </c>
      <c r="AGW53">
        <v>0</v>
      </c>
      <c r="AGX53">
        <v>0</v>
      </c>
      <c r="AGY53">
        <v>0</v>
      </c>
      <c r="AGZ53" t="s">
        <v>1900</v>
      </c>
      <c r="AHA53">
        <v>0.295</v>
      </c>
      <c r="AHB53">
        <v>0.241</v>
      </c>
      <c r="AHC53">
        <v>0.368</v>
      </c>
      <c r="AHD53">
        <v>0.293</v>
      </c>
      <c r="AHE53" t="s">
        <v>1900</v>
      </c>
      <c r="AHF53">
        <v>0.243</v>
      </c>
      <c r="AHG53">
        <v>0.196</v>
      </c>
      <c r="AHH53">
        <v>0.307</v>
      </c>
      <c r="AHI53">
        <v>0.239</v>
      </c>
      <c r="AHJ53" t="s">
        <v>1900</v>
      </c>
      <c r="AHK53">
        <v>3.187</v>
      </c>
      <c r="AHL53">
        <v>2.266</v>
      </c>
      <c r="AHM53">
        <v>1.896</v>
      </c>
      <c r="AHN53">
        <v>1.874</v>
      </c>
      <c r="AHO53" t="s">
        <v>1900</v>
      </c>
      <c r="AHP53">
        <v>40.809</v>
      </c>
      <c r="AHQ53">
        <v>41.666</v>
      </c>
      <c r="AHR53">
        <v>38.609</v>
      </c>
      <c r="AHS53">
        <v>34.339</v>
      </c>
      <c r="AHT53" t="s">
        <v>1900</v>
      </c>
      <c r="AHU53">
        <v>68.94499999999999</v>
      </c>
      <c r="AHV53">
        <v>71.42700000000001</v>
      </c>
      <c r="AHW53">
        <v>62.891</v>
      </c>
      <c r="AHX53">
        <v>52.297</v>
      </c>
      <c r="AHY53" t="s">
        <v>1900</v>
      </c>
      <c r="AHZ53">
        <v>56.488</v>
      </c>
      <c r="AIA53">
        <v>54.128</v>
      </c>
      <c r="AIB53">
        <v>65.465</v>
      </c>
      <c r="AIC53">
        <v>62.489</v>
      </c>
      <c r="AID53" t="s">
        <v>1900</v>
      </c>
      <c r="AIE53">
        <v>86.129395006</v>
      </c>
      <c r="AIF53">
        <v>89.964537011</v>
      </c>
      <c r="AIG53">
        <v>83.231216403</v>
      </c>
      <c r="AIH53">
        <v>83.00405486299999</v>
      </c>
      <c r="AII53" t="s">
        <v>1900</v>
      </c>
      <c r="AIJ53">
        <v>7.829287011</v>
      </c>
      <c r="AIK53">
        <v>4.503795946</v>
      </c>
      <c r="AIL53">
        <v>5.476792359</v>
      </c>
      <c r="AIM53">
        <v>4.131038772</v>
      </c>
      <c r="AIN53" t="s">
        <v>1900</v>
      </c>
      <c r="AIO53">
        <v>28.855897736</v>
      </c>
      <c r="AIP53">
        <v>23.472637916</v>
      </c>
      <c r="AIQ53">
        <v>19.960473166</v>
      </c>
      <c r="AIR53">
        <v>32.02209919</v>
      </c>
      <c r="AIS53" t="s">
        <v>1900</v>
      </c>
      <c r="AIT53">
        <v>8.167840002</v>
      </c>
      <c r="AIU53">
        <v>5.307979806</v>
      </c>
      <c r="AIV53">
        <v>7.150734596</v>
      </c>
      <c r="AIW53">
        <v>7.887102968</v>
      </c>
      <c r="AIX53" t="s">
        <v>1900</v>
      </c>
      <c r="AIY53">
        <v>1.30200882432556</v>
      </c>
      <c r="AIZ53">
        <v>0.121814194355011</v>
      </c>
      <c r="AJA53">
        <v>-4.16220079810381</v>
      </c>
      <c r="AJB53">
        <v>-2.02543169715107</v>
      </c>
      <c r="AJC53" t="s">
        <v>1900</v>
      </c>
      <c r="AJD53">
        <v>101.143904312141</v>
      </c>
      <c r="AJE53">
        <v>88.3856608752203</v>
      </c>
      <c r="AJF53">
        <v>90.5255135321689</v>
      </c>
      <c r="AJG53">
        <v>80.6560957492411</v>
      </c>
      <c r="AJH53" t="s">
        <v>1900</v>
      </c>
      <c r="AJI53">
        <v>44.117</v>
      </c>
      <c r="AJJ53">
        <v>45.374</v>
      </c>
      <c r="AJK53">
        <v>45.882</v>
      </c>
      <c r="AJL53">
        <v>46.357</v>
      </c>
      <c r="AJM53" t="s">
        <v>1900</v>
      </c>
      <c r="AJN53">
        <v>44.6213333205061</v>
      </c>
      <c r="AJO53">
        <v>40.104091694938</v>
      </c>
      <c r="AJP53">
        <v>41.5349665148091</v>
      </c>
      <c r="AJQ53">
        <v>37.390064149859</v>
      </c>
      <c r="AJR53" t="s">
        <v>1900</v>
      </c>
      <c r="AJS53">
        <v>46.6390111860151</v>
      </c>
      <c r="AJT53">
        <v>39.6463306597662</v>
      </c>
      <c r="AJU53">
        <v>36.6271828625035</v>
      </c>
      <c r="AJV53">
        <v>29.6373452627009</v>
      </c>
      <c r="AJW53" t="s">
        <v>1900</v>
      </c>
      <c r="AJX53">
        <v>-1.62072301236057</v>
      </c>
      <c r="AJY53">
        <v>-6.84315832573474</v>
      </c>
      <c r="AJZ53">
        <v>-6.18909324754</v>
      </c>
      <c r="AKA53">
        <v>-2.11686900144815</v>
      </c>
      <c r="AKB53" t="s">
        <v>1900</v>
      </c>
      <c r="AKC53">
        <v>114.286135995214</v>
      </c>
      <c r="AKD53">
        <v>95.1527471922535</v>
      </c>
      <c r="AKE53">
        <v>94.8662279951334</v>
      </c>
      <c r="AKF53">
        <v>86.30852129228769</v>
      </c>
      <c r="AKG53" t="s">
        <v>1900</v>
      </c>
      <c r="AKH53">
        <v>8.167840002</v>
      </c>
      <c r="AKI53">
        <v>5.307979806</v>
      </c>
      <c r="AKJ53">
        <v>7.150734596</v>
      </c>
      <c r="AKK53">
        <v>7.887102968</v>
      </c>
      <c r="AKL53" t="s">
        <v>1900</v>
      </c>
      <c r="AKM53">
        <v>2.761653</v>
      </c>
      <c r="AKN53">
        <v>1.914682663</v>
      </c>
      <c r="AKO53">
        <v>2.645522177</v>
      </c>
      <c r="AKP53">
        <v>2.723922978</v>
      </c>
      <c r="AKQ53" t="s">
        <v>1900</v>
      </c>
      <c r="AKR53">
        <v>2.444079174</v>
      </c>
      <c r="AKS53">
        <v>1.778513981</v>
      </c>
      <c r="AKT53">
        <v>2.524473253</v>
      </c>
      <c r="AKU53">
        <v>2.545530702</v>
      </c>
      <c r="AKV53" t="s">
        <v>1900</v>
      </c>
      <c r="AKW53">
        <v>0.07603694499999999</v>
      </c>
      <c r="AKX53">
        <v>0.203619159</v>
      </c>
      <c r="AKY53">
        <v>1.288398831</v>
      </c>
      <c r="AKZ53">
        <v>2.746001958</v>
      </c>
      <c r="ALA53" t="s">
        <v>1900</v>
      </c>
      <c r="ALB53">
        <v>0.067293144</v>
      </c>
      <c r="ALC53">
        <v>0.189138141</v>
      </c>
      <c r="ALD53">
        <v>1.229446654</v>
      </c>
      <c r="ALE53">
        <v>2.566163708</v>
      </c>
      <c r="ALF53" t="s">
        <v>1900</v>
      </c>
      <c r="ALG53">
        <v>0.123605182</v>
      </c>
      <c r="ALH53">
        <v>0.243391939</v>
      </c>
      <c r="ALI53">
        <v>0.45258828</v>
      </c>
      <c r="ALJ53">
        <v>0.610487406</v>
      </c>
      <c r="ALK53" t="s">
        <v>1900</v>
      </c>
      <c r="ALL53">
        <v>0.109391314</v>
      </c>
      <c r="ALM53">
        <v>0.226082356</v>
      </c>
      <c r="ALN53">
        <v>0.43187958</v>
      </c>
      <c r="ALO53">
        <v>0.570506012</v>
      </c>
      <c r="ALP53" t="s">
        <v>1900</v>
      </c>
      <c r="ALQ53">
        <v>3.865007438</v>
      </c>
      <c r="ALR53">
        <v>3.593495289</v>
      </c>
      <c r="ALS53">
        <v>7.446934859</v>
      </c>
      <c r="ALT53">
        <v>7.686074048</v>
      </c>
      <c r="ALU53" t="s">
        <v>1900</v>
      </c>
      <c r="ALV53">
        <v>212.911716491</v>
      </c>
      <c r="ALW53">
        <v>368.73746652</v>
      </c>
      <c r="ALX53">
        <v>227.332540644</v>
      </c>
      <c r="ALY53">
        <v>169.586700685</v>
      </c>
      <c r="ALZ53" t="s">
        <v>1900</v>
      </c>
      <c r="AMA53">
        <v>66.18869861108639</v>
      </c>
      <c r="AMB53">
        <v>63.9282225444501</v>
      </c>
      <c r="AMC53">
        <v>63.0034908834709</v>
      </c>
      <c r="AMD53">
        <v>65.46358036022011</v>
      </c>
      <c r="AME53" t="s">
        <v>1900</v>
      </c>
      <c r="AMF53">
        <v>66.18869861108639</v>
      </c>
      <c r="AMG53">
        <v>63.9282225444501</v>
      </c>
      <c r="AMH53">
        <v>63.0034908834709</v>
      </c>
      <c r="AMI53">
        <v>68.2315662268941</v>
      </c>
      <c r="AMJ53" t="s">
        <v>1900</v>
      </c>
      <c r="AMK53">
        <v>195.759097970683</v>
      </c>
      <c r="AML53">
        <v>177.225041441961</v>
      </c>
      <c r="AMM53">
        <v>170.295772190362</v>
      </c>
      <c r="AMN53">
        <v>189.549412020745</v>
      </c>
      <c r="AMO53" t="s">
        <v>1900</v>
      </c>
      <c r="AMP53">
        <v>1.06196842184343</v>
      </c>
      <c r="AMQ53">
        <v>1.02435281069167</v>
      </c>
      <c r="AMR53">
        <v>0.957212331969463</v>
      </c>
      <c r="AMS53">
        <v>0.986408557653903</v>
      </c>
      <c r="AMT53" t="s">
        <v>1900</v>
      </c>
      <c r="AMU53">
        <v>1.06196842184343</v>
      </c>
      <c r="AMV53">
        <v>1.02435280967396</v>
      </c>
      <c r="AMW53">
        <v>0.957212331969463</v>
      </c>
      <c r="AMX53">
        <v>0.986408557653903</v>
      </c>
      <c r="AMY53" t="s">
        <v>1900</v>
      </c>
      <c r="AMZ53">
        <v>1.06155997731736</v>
      </c>
      <c r="ANA53">
        <v>1.02430942727707</v>
      </c>
      <c r="ANB53">
        <v>0.956858713510518</v>
      </c>
      <c r="ANC53">
        <v>0.986465316379403</v>
      </c>
      <c r="AND53" t="s">
        <v>1900</v>
      </c>
      <c r="ANE53">
        <v>3.86227039564866</v>
      </c>
      <c r="ANF53">
        <v>1.51981994891813</v>
      </c>
      <c r="ANG53">
        <v>-2.81627426084281</v>
      </c>
      <c r="ANH53">
        <v>-0.9020040137843</v>
      </c>
      <c r="ANI53" t="s">
        <v>1900</v>
      </c>
      <c r="ANJ53">
        <v>3.86227039564866</v>
      </c>
      <c r="ANK53">
        <v>1.51981994891813</v>
      </c>
      <c r="ANL53">
        <v>-2.81627426084281</v>
      </c>
      <c r="ANM53">
        <v>-0.940143302043507</v>
      </c>
      <c r="ANN53" t="s">
        <v>1900</v>
      </c>
      <c r="ANO53">
        <v>4.01743458218078</v>
      </c>
      <c r="ANP53">
        <v>1.54327494946679</v>
      </c>
      <c r="ANQ53">
        <v>-2.73913276968</v>
      </c>
      <c r="ANR53">
        <v>-0.893940633390271</v>
      </c>
      <c r="ANS53" t="s">
        <v>1900</v>
      </c>
      <c r="ANT53">
        <v>6.37539692001956</v>
      </c>
      <c r="ANU53">
        <v>2.35074784376503</v>
      </c>
      <c r="ANV53">
        <v>-4.55676007192574</v>
      </c>
      <c r="ANW53">
        <v>-1.60052279615704</v>
      </c>
      <c r="ANX53" t="s">
        <v>1900</v>
      </c>
      <c r="ANY53">
        <v>66.60222846511461</v>
      </c>
      <c r="ANZ53">
        <v>64.0395959846113</v>
      </c>
      <c r="AOA53">
        <v>62.4639825421022</v>
      </c>
      <c r="AOB53">
        <v>65.741889487476</v>
      </c>
      <c r="AOC53" t="s">
        <v>1900</v>
      </c>
      <c r="AOD53">
        <v>68.8477862785836</v>
      </c>
      <c r="AOE53">
        <v>64.914810788618</v>
      </c>
      <c r="AOF53">
        <v>61.2777416186394</v>
      </c>
      <c r="AOG53">
        <v>64.87837481530801</v>
      </c>
      <c r="AOH53" t="s">
        <v>1900</v>
      </c>
      <c r="AOI53">
        <v>58.5773881908523</v>
      </c>
      <c r="AOJ53">
        <v>59.3817658506128</v>
      </c>
      <c r="AOK53">
        <v>60.1206933649392</v>
      </c>
      <c r="AOL53">
        <v>61.1763089451568</v>
      </c>
      <c r="AOM53" t="s">
        <v>1900</v>
      </c>
      <c r="AON53">
        <v>11.4230160833592</v>
      </c>
      <c r="AOO53">
        <v>4.21332148323149</v>
      </c>
      <c r="AOP53">
        <v>-7.61227026034347</v>
      </c>
      <c r="AOQ53">
        <v>-2.61174731831596</v>
      </c>
      <c r="AOR53" t="s">
        <v>1900</v>
      </c>
      <c r="AOS53">
        <v>6.19684218434325</v>
      </c>
      <c r="AOT53">
        <v>2.43528096739601</v>
      </c>
      <c r="AOU53">
        <v>-4.2787668030537</v>
      </c>
      <c r="AOV53">
        <v>-1.35914423460968</v>
      </c>
      <c r="AOW53" t="s">
        <v>1900</v>
      </c>
      <c r="AOX53">
        <v>3.41813205292502</v>
      </c>
      <c r="AOY53">
        <v>1.4117331711983</v>
      </c>
      <c r="AOZ53">
        <v>-2.68741237816271</v>
      </c>
      <c r="APA53">
        <v>-0.84293092301703</v>
      </c>
      <c r="APB53" t="s">
        <v>1900</v>
      </c>
      <c r="APC53">
        <v>0.724790473288885</v>
      </c>
      <c r="APD53">
        <v>-0.331138362264341</v>
      </c>
      <c r="APE53">
        <v>-3.44887760517919</v>
      </c>
      <c r="APF53">
        <v>-2.12468103549149</v>
      </c>
      <c r="APG53" t="s">
        <v>1900</v>
      </c>
      <c r="APH53">
        <v>0.724790473288885</v>
      </c>
      <c r="API53">
        <v>-0.331138362264341</v>
      </c>
      <c r="APJ53">
        <v>-3.44887760517919</v>
      </c>
      <c r="APK53">
        <v>-2.2145185763817</v>
      </c>
      <c r="APL53" t="s">
        <v>1900</v>
      </c>
      <c r="APM53">
        <v>2.14363376597665</v>
      </c>
      <c r="APN53">
        <v>-0.917998462017549</v>
      </c>
      <c r="APO53">
        <v>-9.32217035481955</v>
      </c>
      <c r="APP53">
        <v>-6.1520014455819</v>
      </c>
      <c r="APQ53" t="s">
        <v>1900</v>
      </c>
      <c r="APR53">
        <v>1.1628942874499</v>
      </c>
      <c r="APS53">
        <v>-0.530599004027464</v>
      </c>
      <c r="APT53">
        <v>-5.23988136028338</v>
      </c>
      <c r="APU53">
        <v>-3.20148018816171</v>
      </c>
      <c r="APV53" t="s">
        <v>1900</v>
      </c>
      <c r="APW53">
        <v>0.753908456411145</v>
      </c>
      <c r="APX53">
        <v>-0.336248737657241</v>
      </c>
      <c r="APY53">
        <v>-3.35440826850957</v>
      </c>
      <c r="APZ53">
        <v>-2.1056876483853</v>
      </c>
      <c r="AQA53" t="s">
        <v>1900</v>
      </c>
      <c r="AQB53">
        <v>0.641443838627812</v>
      </c>
      <c r="AQC53">
        <v>-0.307588415718333</v>
      </c>
      <c r="AQD53">
        <v>-3.29107022557987</v>
      </c>
      <c r="AQE53">
        <v>-1.98553367722807</v>
      </c>
      <c r="AQF53" t="s">
        <v>1900</v>
      </c>
      <c r="AQG53">
        <v>0.0615599773173635</v>
      </c>
      <c r="AQH53">
        <v>0.024309427277066</v>
      </c>
      <c r="AQI53">
        <v>-0.043141286489482</v>
      </c>
      <c r="AQJ53">
        <v>-0.0135346836205967</v>
      </c>
      <c r="AQK53">
        <v>3</v>
      </c>
      <c r="AQO53" t="s">
        <v>1902</v>
      </c>
      <c r="AQP53">
        <v>1</v>
      </c>
      <c r="AQQ53">
        <v>0</v>
      </c>
      <c r="AQS53" t="s">
        <v>1905</v>
      </c>
      <c r="AQU53" t="s">
        <v>1906</v>
      </c>
      <c r="AQV53" t="s">
        <v>1900</v>
      </c>
      <c r="AQW53">
        <v>1719446.3644664</v>
      </c>
      <c r="AQX53">
        <v>1679327.55236279</v>
      </c>
      <c r="AQY53" t="s">
        <v>1900</v>
      </c>
      <c r="AQZ53">
        <v>66409.6679038429</v>
      </c>
      <c r="ARA53">
        <v>25522.7551484883</v>
      </c>
      <c r="ARB53">
        <v>3398773.91682919</v>
      </c>
      <c r="ARC53">
        <v>91932.4230523312</v>
      </c>
      <c r="ARD53">
        <v>0.02780067421596672</v>
      </c>
      <c r="ARE53">
        <v>0.02780067421596672</v>
      </c>
      <c r="ARF53">
        <v>0.02780067421596672</v>
      </c>
      <c r="ARG53">
        <v>0.02780067421596672</v>
      </c>
      <c r="ARH53">
        <v>0.02780067421596672</v>
      </c>
      <c r="ARI53">
        <v>0.02780067421596672</v>
      </c>
      <c r="ARJ53" t="s">
        <v>1214</v>
      </c>
      <c r="ARK53" t="s">
        <v>1552</v>
      </c>
      <c r="ARL53" t="s">
        <v>1908</v>
      </c>
      <c r="ARM53" t="s">
        <v>1908</v>
      </c>
      <c r="ARN53" t="s">
        <v>1909</v>
      </c>
      <c r="ARO53" t="s">
        <v>1909</v>
      </c>
      <c r="ARP53" t="s">
        <v>1907</v>
      </c>
      <c r="ARQ53" t="s">
        <v>1952</v>
      </c>
      <c r="ARR53">
        <f>HYPERLINK("C:\Users\Usuario\Documents\Proyectos\llmthon\evidence\gimage_es_234444.png", "Ver Evidencia")</f>
        <v>0</v>
      </c>
      <c r="ARS53">
        <v>100</v>
      </c>
    </row>
    <row r="54" spans="1:1163">
      <c r="A54">
        <v>247</v>
      </c>
      <c r="B54" t="s">
        <v>1215</v>
      </c>
      <c r="C54" t="s">
        <v>1338</v>
      </c>
      <c r="E54" s="2">
        <v>37795</v>
      </c>
      <c r="F54" t="s">
        <v>1431</v>
      </c>
      <c r="G54" t="s">
        <v>1433</v>
      </c>
      <c r="H54" t="s">
        <v>1434</v>
      </c>
      <c r="I54" t="s">
        <v>1437</v>
      </c>
      <c r="J54" t="s">
        <v>1453</v>
      </c>
      <c r="L54" t="s">
        <v>1553</v>
      </c>
      <c r="N54" t="s">
        <v>1627</v>
      </c>
      <c r="O54" t="s">
        <v>1651</v>
      </c>
      <c r="P54">
        <v>6910</v>
      </c>
      <c r="Q54">
        <v>6910</v>
      </c>
      <c r="R54" t="s">
        <v>1675</v>
      </c>
      <c r="Z54" t="s">
        <v>1899</v>
      </c>
      <c r="AA54" s="2">
        <v>45657</v>
      </c>
      <c r="AB54">
        <v>2024</v>
      </c>
      <c r="AC54">
        <v>3242472.65278591</v>
      </c>
      <c r="AD54">
        <v>3197579.83658454</v>
      </c>
      <c r="AE54">
        <v>3401005.58826772</v>
      </c>
      <c r="AF54">
        <v>3242712.38797824</v>
      </c>
      <c r="AG54">
        <v>3268514.92209445</v>
      </c>
      <c r="AH54">
        <v>3242472.65278591</v>
      </c>
      <c r="AI54">
        <v>3194551.70427555</v>
      </c>
      <c r="AJ54">
        <v>3397649.79002839</v>
      </c>
      <c r="AK54">
        <v>3242712.38797824</v>
      </c>
      <c r="AL54">
        <v>3268514.59077764</v>
      </c>
      <c r="AM54" t="s">
        <v>1900</v>
      </c>
      <c r="AN54" t="s">
        <v>1900</v>
      </c>
      <c r="AO54" t="s">
        <v>1900</v>
      </c>
      <c r="AP54" t="s">
        <v>1900</v>
      </c>
      <c r="AQ54" t="s">
        <v>1900</v>
      </c>
      <c r="AR54">
        <v>3242472.65278591</v>
      </c>
      <c r="AS54">
        <v>3197579.83658454</v>
      </c>
      <c r="AT54">
        <v>3401005.58826772</v>
      </c>
      <c r="AU54">
        <v>3242712.38797824</v>
      </c>
      <c r="AV54">
        <v>3268514.92209445</v>
      </c>
      <c r="AW54">
        <v>3228407.3233106</v>
      </c>
      <c r="AX54">
        <v>3176482.6809164</v>
      </c>
      <c r="AY54">
        <v>3390714.71749176</v>
      </c>
      <c r="AZ54">
        <v>3233609.60002513</v>
      </c>
      <c r="BA54">
        <v>3234484.31591993</v>
      </c>
      <c r="BB54">
        <v>14065.328436408</v>
      </c>
      <c r="BC54">
        <v>21097.1556681442</v>
      </c>
      <c r="BD54">
        <v>10290.8718425632</v>
      </c>
      <c r="BE54">
        <v>9102.78795311451</v>
      </c>
      <c r="BF54">
        <v>34030.6049474239</v>
      </c>
      <c r="BG54">
        <v>-8480.63045333505</v>
      </c>
      <c r="BH54">
        <v>-7597.04415946007</v>
      </c>
      <c r="BI54">
        <v>-3117.70230216384</v>
      </c>
      <c r="BJ54">
        <v>-915.1183964252471</v>
      </c>
      <c r="BK54">
        <v>-5777.78600747645</v>
      </c>
      <c r="BL54">
        <v>80.1095435988903</v>
      </c>
      <c r="BM54">
        <v>36.4760663700104</v>
      </c>
      <c r="BN54">
        <v>13.524481511116</v>
      </c>
      <c r="BO54">
        <v>34.0233132362366</v>
      </c>
      <c r="BP54">
        <v>19.8164265865088</v>
      </c>
      <c r="BQ54">
        <v>8560.73999693394</v>
      </c>
      <c r="BR54">
        <v>7633.52022583008</v>
      </c>
      <c r="BS54">
        <v>3131.22678367496</v>
      </c>
      <c r="BT54">
        <v>949.141709661484</v>
      </c>
      <c r="BU54">
        <v>5797.60243406296</v>
      </c>
      <c r="BV54">
        <v>5584.697983073</v>
      </c>
      <c r="BW54">
        <v>13500.1115086842</v>
      </c>
      <c r="BX54">
        <v>7173.16954039931</v>
      </c>
      <c r="BY54">
        <v>8187.66955668926</v>
      </c>
      <c r="BZ54">
        <v>28252.8201670468</v>
      </c>
      <c r="CA54">
        <v>1639.64320042729</v>
      </c>
      <c r="CB54">
        <v>3499.95647073746</v>
      </c>
      <c r="CC54">
        <v>3012.81290848851</v>
      </c>
      <c r="CD54">
        <v>2046.91455767155</v>
      </c>
      <c r="CE54">
        <v>7063.19583851695</v>
      </c>
      <c r="CF54">
        <v>3945.0547826457</v>
      </c>
      <c r="CG54">
        <v>10000.1550379467</v>
      </c>
      <c r="CH54">
        <v>4160.3566319108</v>
      </c>
      <c r="CI54">
        <v>6140.75499901772</v>
      </c>
      <c r="CJ54">
        <v>21189.6231014305</v>
      </c>
      <c r="CK54" t="s">
        <v>1900</v>
      </c>
      <c r="CL54" t="s">
        <v>1900</v>
      </c>
      <c r="CM54" t="s">
        <v>1900</v>
      </c>
      <c r="CN54" t="s">
        <v>1900</v>
      </c>
      <c r="CO54" t="s">
        <v>1900</v>
      </c>
      <c r="CP54" t="s">
        <v>1900</v>
      </c>
      <c r="CQ54" t="s">
        <v>1900</v>
      </c>
      <c r="CR54" t="s">
        <v>1900</v>
      </c>
      <c r="CS54" t="s">
        <v>1900</v>
      </c>
      <c r="CT54" t="s">
        <v>1900</v>
      </c>
      <c r="CU54" t="s">
        <v>1900</v>
      </c>
      <c r="CV54" t="s">
        <v>1900</v>
      </c>
      <c r="CW54" t="s">
        <v>1900</v>
      </c>
      <c r="CX54" t="s">
        <v>1900</v>
      </c>
      <c r="CY54" t="s">
        <v>1900</v>
      </c>
      <c r="CZ54">
        <v>3945.0547826457</v>
      </c>
      <c r="DA54">
        <v>10000.1550379467</v>
      </c>
      <c r="DB54">
        <v>4160.3566319108</v>
      </c>
      <c r="DC54">
        <v>6140.75499901772</v>
      </c>
      <c r="DD54">
        <v>21189.6231014305</v>
      </c>
      <c r="DE54" t="s">
        <v>1900</v>
      </c>
      <c r="DF54" t="s">
        <v>1900</v>
      </c>
      <c r="DG54" t="s">
        <v>1900</v>
      </c>
      <c r="DH54" t="s">
        <v>1900</v>
      </c>
      <c r="DI54" t="s">
        <v>1900</v>
      </c>
      <c r="DJ54" t="s">
        <v>1900</v>
      </c>
      <c r="DK54" t="s">
        <v>1900</v>
      </c>
      <c r="DL54" t="s">
        <v>1900</v>
      </c>
      <c r="DM54" t="s">
        <v>1900</v>
      </c>
      <c r="DN54" t="s">
        <v>1900</v>
      </c>
      <c r="DO54">
        <v>1129028.47061942</v>
      </c>
      <c r="DP54">
        <v>1200164.91766927</v>
      </c>
      <c r="DQ54">
        <v>1028115.81077037</v>
      </c>
      <c r="DR54">
        <v>1044587.39862592</v>
      </c>
      <c r="DS54">
        <v>812352.301720047</v>
      </c>
      <c r="DT54">
        <v>22731.6414046884</v>
      </c>
      <c r="DU54">
        <v>24177.9633507729</v>
      </c>
      <c r="DV54">
        <v>23337.7301028371</v>
      </c>
      <c r="DW54" t="s">
        <v>1900</v>
      </c>
      <c r="DX54">
        <v>20008.8848406315</v>
      </c>
      <c r="DY54">
        <v>2076647.21128649</v>
      </c>
      <c r="DZ54">
        <v>1952139.79989635</v>
      </c>
      <c r="EA54">
        <v>2339261.17661855</v>
      </c>
      <c r="EB54">
        <v>2189022.20139921</v>
      </c>
      <c r="EC54">
        <v>2402123.13058635</v>
      </c>
      <c r="ED54">
        <v>8560.73999693394</v>
      </c>
      <c r="EE54">
        <v>7362.75090431213</v>
      </c>
      <c r="EF54">
        <v>2621.46689025164</v>
      </c>
      <c r="EG54">
        <v>311.838842654228</v>
      </c>
      <c r="EH54">
        <v>5133.56991916895</v>
      </c>
      <c r="EI54" t="s">
        <v>1900</v>
      </c>
      <c r="EJ54" t="s">
        <v>1900</v>
      </c>
      <c r="EK54" t="s">
        <v>1900</v>
      </c>
      <c r="EL54" t="s">
        <v>1900</v>
      </c>
      <c r="EM54" t="s">
        <v>1900</v>
      </c>
      <c r="EN54">
        <v>26676.6961873341</v>
      </c>
      <c r="EO54">
        <v>34178.1183887196</v>
      </c>
      <c r="EP54">
        <v>27498.0867347479</v>
      </c>
      <c r="EQ54" t="s">
        <v>1900</v>
      </c>
      <c r="ER54">
        <v>41198.507942062</v>
      </c>
      <c r="ES54">
        <v>1165905.55000412</v>
      </c>
      <c r="ET54">
        <v>1245205.74343304</v>
      </c>
      <c r="EU54">
        <v>1061248.17730386</v>
      </c>
      <c r="EV54">
        <v>1053086.90702527</v>
      </c>
      <c r="EW54">
        <v>865747.575419795</v>
      </c>
      <c r="EX54">
        <v>36796.9698410964</v>
      </c>
      <c r="EY54">
        <v>45275.1190189171</v>
      </c>
      <c r="EZ54">
        <v>33628.6019454002</v>
      </c>
      <c r="FA54">
        <v>9102.78795311451</v>
      </c>
      <c r="FB54">
        <v>54039.4897880554</v>
      </c>
      <c r="FC54">
        <v>250067.732208877</v>
      </c>
      <c r="FD54">
        <v>292808.490108852</v>
      </c>
      <c r="FE54">
        <v>308290.385389972</v>
      </c>
      <c r="FF54">
        <v>335072.235193348</v>
      </c>
      <c r="FG54">
        <v>79183.06120821831</v>
      </c>
      <c r="FH54">
        <v>0</v>
      </c>
      <c r="FI54">
        <v>0</v>
      </c>
      <c r="FJ54">
        <v>0</v>
      </c>
      <c r="FK54">
        <v>0</v>
      </c>
      <c r="FL54">
        <v>0</v>
      </c>
      <c r="FM54">
        <v>169701.164863567</v>
      </c>
      <c r="FN54">
        <v>204676.523556309</v>
      </c>
      <c r="FO54">
        <v>220901.329478192</v>
      </c>
      <c r="FP54">
        <v>254031.964953518</v>
      </c>
      <c r="FQ54">
        <v>0</v>
      </c>
      <c r="FR54">
        <v>80366.5673453092</v>
      </c>
      <c r="FS54">
        <v>88131.9665525436</v>
      </c>
      <c r="FT54">
        <v>87389.0559117794</v>
      </c>
      <c r="FU54">
        <v>81040.27023983</v>
      </c>
      <c r="FV54">
        <v>79183.06120821831</v>
      </c>
      <c r="FW54">
        <v>0</v>
      </c>
      <c r="FX54">
        <v>0</v>
      </c>
      <c r="FY54">
        <v>0</v>
      </c>
      <c r="FZ54">
        <v>0</v>
      </c>
      <c r="GA54">
        <v>0</v>
      </c>
      <c r="GB54">
        <v>169701.164863567</v>
      </c>
      <c r="GC54">
        <v>204676.523556309</v>
      </c>
      <c r="GD54">
        <v>220901.329478192</v>
      </c>
      <c r="GE54">
        <v>254031.964953518</v>
      </c>
      <c r="GF54">
        <v>0</v>
      </c>
      <c r="GG54">
        <v>80366.5673453092</v>
      </c>
      <c r="GH54">
        <v>88131.9665525436</v>
      </c>
      <c r="GI54">
        <v>87389.0559117794</v>
      </c>
      <c r="GJ54">
        <v>81040.27023983</v>
      </c>
      <c r="GK54">
        <v>79183.06120821831</v>
      </c>
      <c r="GL54">
        <v>1469242.21205498</v>
      </c>
      <c r="GM54">
        <v>1461949.32545489</v>
      </c>
      <c r="GN54">
        <v>1810183.67322359</v>
      </c>
      <c r="GO54">
        <v>2060243.21328385</v>
      </c>
      <c r="GP54">
        <v>2162425.40652733</v>
      </c>
      <c r="GQ54">
        <v>0</v>
      </c>
      <c r="GR54">
        <v>0</v>
      </c>
      <c r="GS54">
        <v>0</v>
      </c>
      <c r="GT54">
        <v>0</v>
      </c>
      <c r="GU54">
        <v>0</v>
      </c>
      <c r="GV54">
        <v>948562.0624891079</v>
      </c>
      <c r="GW54">
        <v>986772.3380513</v>
      </c>
      <c r="GX54">
        <v>1413013.75513095</v>
      </c>
      <c r="GY54">
        <v>1312950.16659579</v>
      </c>
      <c r="GZ54">
        <v>1286156.92590697</v>
      </c>
      <c r="HA54">
        <v>520680.149565877</v>
      </c>
      <c r="HB54">
        <v>475176.987403593</v>
      </c>
      <c r="HC54">
        <v>397169.918092638</v>
      </c>
      <c r="HD54">
        <v>747293.046688056</v>
      </c>
      <c r="HE54">
        <v>876268.480620355</v>
      </c>
      <c r="HF54">
        <v>498597.041199596</v>
      </c>
      <c r="HG54">
        <v>459868.012183113</v>
      </c>
      <c r="HH54">
        <v>387759.054823858</v>
      </c>
      <c r="HI54">
        <v>723537.695297241</v>
      </c>
      <c r="HJ54">
        <v>304689.283701378</v>
      </c>
      <c r="HK54">
        <v>1719309.94426386</v>
      </c>
      <c r="HL54">
        <v>1754757.81556375</v>
      </c>
      <c r="HM54">
        <v>2118474.05861356</v>
      </c>
      <c r="HN54">
        <v>2395315.4473446</v>
      </c>
      <c r="HO54">
        <v>2241608.46773555</v>
      </c>
      <c r="HP54">
        <v>23312.7706408823</v>
      </c>
      <c r="HQ54">
        <v>20600.0048950291</v>
      </c>
      <c r="HR54">
        <v>404809.116947442</v>
      </c>
      <c r="HS54">
        <v>425440.771455502</v>
      </c>
      <c r="HT54">
        <v>454284.505268252</v>
      </c>
      <c r="HU54">
        <v>3639.26509177685</v>
      </c>
      <c r="HV54">
        <v>3870.81673717499</v>
      </c>
      <c r="HW54">
        <v>3736.29800736904</v>
      </c>
      <c r="HX54">
        <v>3967.49887704849</v>
      </c>
      <c r="HY54">
        <v>4298.52884590626</v>
      </c>
      <c r="HZ54">
        <v>19673.5055491054</v>
      </c>
      <c r="IA54">
        <v>16729.1870528536</v>
      </c>
      <c r="IB54">
        <v>401072.818940073</v>
      </c>
      <c r="IC54">
        <v>421473.272578454</v>
      </c>
      <c r="ID54">
        <v>449985.976422346</v>
      </c>
      <c r="IE54">
        <v>448.305929889679</v>
      </c>
      <c r="IF54">
        <v>476.829813995361</v>
      </c>
      <c r="IG54">
        <v>460.259011173248</v>
      </c>
      <c r="IH54">
        <v>488.739684677124</v>
      </c>
      <c r="II54">
        <v>4456.23564786911</v>
      </c>
      <c r="IJ54">
        <v>0</v>
      </c>
      <c r="IK54">
        <v>0</v>
      </c>
      <c r="IL54">
        <v>0</v>
      </c>
      <c r="IM54">
        <v>0</v>
      </c>
      <c r="IN54">
        <v>3926.71775817871</v>
      </c>
      <c r="IO54">
        <v>448.305929889679</v>
      </c>
      <c r="IP54">
        <v>476.829813995361</v>
      </c>
      <c r="IQ54">
        <v>460.259011173248</v>
      </c>
      <c r="IR54">
        <v>488.739684677124</v>
      </c>
      <c r="IS54">
        <v>529.517889690399</v>
      </c>
      <c r="IT54" t="s">
        <v>1900</v>
      </c>
      <c r="IU54" t="s">
        <v>1900</v>
      </c>
      <c r="IV54" t="s">
        <v>1900</v>
      </c>
      <c r="IW54" t="s">
        <v>1900</v>
      </c>
      <c r="IX54" t="s">
        <v>1900</v>
      </c>
      <c r="IY54">
        <v>1695548.86769309</v>
      </c>
      <c r="IZ54">
        <v>1733680.98085472</v>
      </c>
      <c r="JA54">
        <v>1713204.68265495</v>
      </c>
      <c r="JB54">
        <v>1969385.93733702</v>
      </c>
      <c r="JC54">
        <v>1782867.72681943</v>
      </c>
      <c r="JD54">
        <v>0</v>
      </c>
      <c r="JE54">
        <v>0</v>
      </c>
      <c r="JF54">
        <v>0</v>
      </c>
      <c r="JG54">
        <v>0</v>
      </c>
      <c r="JH54">
        <v>0</v>
      </c>
      <c r="JI54">
        <v>0</v>
      </c>
      <c r="JJ54">
        <v>0</v>
      </c>
      <c r="JK54">
        <v>0</v>
      </c>
      <c r="JL54">
        <v>0</v>
      </c>
      <c r="JM54">
        <v>0</v>
      </c>
      <c r="JN54">
        <v>1695548.86769309</v>
      </c>
      <c r="JO54">
        <v>1733680.97974972</v>
      </c>
      <c r="JP54">
        <v>1713204.68265495</v>
      </c>
      <c r="JQ54">
        <v>1969385.93733702</v>
      </c>
      <c r="JR54">
        <v>1782867.72681943</v>
      </c>
      <c r="JS54">
        <v>1719309.94426386</v>
      </c>
      <c r="JT54">
        <v>1754757.81556375</v>
      </c>
      <c r="JU54">
        <v>2118474.05861356</v>
      </c>
      <c r="JV54">
        <v>2395315.4473446</v>
      </c>
      <c r="JW54">
        <v>2241608.46773555</v>
      </c>
      <c r="JX54">
        <v>948562.0624891079</v>
      </c>
      <c r="JY54">
        <v>986772.3380513</v>
      </c>
      <c r="JZ54">
        <v>1413013.75513095</v>
      </c>
      <c r="KA54">
        <v>1312950.16659579</v>
      </c>
      <c r="KB54">
        <v>1286156.92590697</v>
      </c>
      <c r="KC54" t="s">
        <v>1900</v>
      </c>
      <c r="KD54" t="s">
        <v>1900</v>
      </c>
      <c r="KE54" t="s">
        <v>1900</v>
      </c>
      <c r="KF54" t="s">
        <v>1900</v>
      </c>
      <c r="KG54" t="s">
        <v>1900</v>
      </c>
      <c r="KH54" t="s">
        <v>1900</v>
      </c>
      <c r="KI54" t="s">
        <v>1900</v>
      </c>
      <c r="KJ54" t="s">
        <v>1900</v>
      </c>
      <c r="KK54" t="s">
        <v>1900</v>
      </c>
      <c r="KL54" t="s">
        <v>1900</v>
      </c>
      <c r="KM54">
        <v>22</v>
      </c>
      <c r="KN54">
        <v>23</v>
      </c>
      <c r="KO54">
        <v>21</v>
      </c>
      <c r="KP54">
        <v>17</v>
      </c>
      <c r="KQ54">
        <v>19</v>
      </c>
      <c r="KR54" t="s">
        <v>1900</v>
      </c>
      <c r="KS54" t="s">
        <v>1900</v>
      </c>
      <c r="KT54" t="s">
        <v>1900</v>
      </c>
      <c r="KU54" t="s">
        <v>1900</v>
      </c>
      <c r="KV54" t="s">
        <v>1900</v>
      </c>
      <c r="KW54" t="s">
        <v>1900</v>
      </c>
      <c r="KX54" t="s">
        <v>1900</v>
      </c>
      <c r="KY54" t="s">
        <v>1900</v>
      </c>
      <c r="KZ54" t="s">
        <v>1900</v>
      </c>
      <c r="LA54" t="s">
        <v>1900</v>
      </c>
      <c r="LB54" t="s">
        <v>1900</v>
      </c>
      <c r="LC54" t="s">
        <v>1900</v>
      </c>
      <c r="LD54" t="s">
        <v>1900</v>
      </c>
      <c r="LE54" t="s">
        <v>1900</v>
      </c>
      <c r="LF54" t="s">
        <v>1900</v>
      </c>
      <c r="LG54" t="s">
        <v>1900</v>
      </c>
      <c r="LH54" t="s">
        <v>1900</v>
      </c>
      <c r="LI54" t="s">
        <v>1900</v>
      </c>
      <c r="LJ54" t="s">
        <v>1900</v>
      </c>
      <c r="LK54" t="s">
        <v>1900</v>
      </c>
      <c r="LL54" t="s">
        <v>1900</v>
      </c>
      <c r="LM54" t="s">
        <v>1900</v>
      </c>
      <c r="LN54" t="s">
        <v>1900</v>
      </c>
      <c r="LO54" t="s">
        <v>1900</v>
      </c>
      <c r="LP54" t="s">
        <v>1900</v>
      </c>
      <c r="LQ54" t="s">
        <v>1900</v>
      </c>
      <c r="LR54" t="s">
        <v>1900</v>
      </c>
      <c r="LS54" t="s">
        <v>1900</v>
      </c>
      <c r="LT54" t="s">
        <v>1900</v>
      </c>
      <c r="LU54" t="s">
        <v>1900</v>
      </c>
      <c r="LV54" t="s">
        <v>1900</v>
      </c>
      <c r="LW54" t="s">
        <v>1900</v>
      </c>
      <c r="LX54" t="s">
        <v>1900</v>
      </c>
      <c r="LY54" t="s">
        <v>1900</v>
      </c>
      <c r="LZ54" t="s">
        <v>1900</v>
      </c>
      <c r="MA54" t="s">
        <v>1900</v>
      </c>
      <c r="MB54" t="s">
        <v>1900</v>
      </c>
      <c r="MC54" t="s">
        <v>1900</v>
      </c>
      <c r="MD54" t="s">
        <v>1900</v>
      </c>
      <c r="ME54" t="s">
        <v>1900</v>
      </c>
      <c r="MF54" t="s">
        <v>1900</v>
      </c>
      <c r="MG54" t="s">
        <v>1900</v>
      </c>
      <c r="MH54" t="s">
        <v>1900</v>
      </c>
      <c r="MI54" t="s">
        <v>1900</v>
      </c>
      <c r="MJ54" t="s">
        <v>1900</v>
      </c>
      <c r="MK54" t="s">
        <v>1900</v>
      </c>
      <c r="ML54" t="s">
        <v>1900</v>
      </c>
      <c r="MM54" t="s">
        <v>1900</v>
      </c>
      <c r="MN54" t="s">
        <v>1900</v>
      </c>
      <c r="MO54" t="s">
        <v>1900</v>
      </c>
      <c r="MP54">
        <v>520680.149565877</v>
      </c>
      <c r="MQ54">
        <v>475176.987403593</v>
      </c>
      <c r="MR54">
        <v>397169.918092638</v>
      </c>
      <c r="MS54">
        <v>747293.046688056</v>
      </c>
      <c r="MT54">
        <v>876268.480620355</v>
      </c>
      <c r="MU54" t="s">
        <v>1900</v>
      </c>
      <c r="MV54" t="s">
        <v>1900</v>
      </c>
      <c r="MW54" t="s">
        <v>1900</v>
      </c>
      <c r="MX54" t="s">
        <v>1900</v>
      </c>
      <c r="MY54" t="s">
        <v>1900</v>
      </c>
      <c r="MZ54" t="s">
        <v>1900</v>
      </c>
      <c r="NA54" t="s">
        <v>1900</v>
      </c>
      <c r="NB54" t="s">
        <v>1900</v>
      </c>
      <c r="NC54" t="s">
        <v>1900</v>
      </c>
      <c r="ND54" t="s">
        <v>1900</v>
      </c>
      <c r="NE54" t="s">
        <v>1900</v>
      </c>
      <c r="NF54" t="s">
        <v>1900</v>
      </c>
      <c r="NG54" t="s">
        <v>1900</v>
      </c>
      <c r="NH54" t="s">
        <v>1900</v>
      </c>
      <c r="NI54" t="s">
        <v>1900</v>
      </c>
      <c r="NJ54" t="s">
        <v>1900</v>
      </c>
      <c r="NK54" t="s">
        <v>1900</v>
      </c>
      <c r="NL54" t="s">
        <v>1900</v>
      </c>
      <c r="NM54" t="s">
        <v>1900</v>
      </c>
      <c r="NN54" t="s">
        <v>1900</v>
      </c>
      <c r="NO54" t="s">
        <v>1900</v>
      </c>
      <c r="NP54" t="s">
        <v>1900</v>
      </c>
      <c r="NQ54" t="s">
        <v>1900</v>
      </c>
      <c r="NR54" t="s">
        <v>1900</v>
      </c>
      <c r="NS54" t="s">
        <v>1900</v>
      </c>
      <c r="NT54">
        <v>250067.732208877</v>
      </c>
      <c r="NU54">
        <v>292808.490108852</v>
      </c>
      <c r="NV54">
        <v>308290.385389972</v>
      </c>
      <c r="NW54">
        <v>335072.235193348</v>
      </c>
      <c r="NX54">
        <v>79183.06120821831</v>
      </c>
      <c r="NY54" t="s">
        <v>1900</v>
      </c>
      <c r="NZ54" t="s">
        <v>1900</v>
      </c>
      <c r="OA54" t="s">
        <v>1900</v>
      </c>
      <c r="OB54" t="s">
        <v>1900</v>
      </c>
      <c r="OC54" t="s">
        <v>1900</v>
      </c>
      <c r="OD54" t="s">
        <v>1900</v>
      </c>
      <c r="OE54" t="s">
        <v>1900</v>
      </c>
      <c r="OF54" t="s">
        <v>1900</v>
      </c>
      <c r="OG54" t="s">
        <v>1900</v>
      </c>
      <c r="OH54" t="s">
        <v>1900</v>
      </c>
      <c r="OI54" t="s">
        <v>1900</v>
      </c>
      <c r="OJ54" t="s">
        <v>1900</v>
      </c>
      <c r="OK54" t="s">
        <v>1900</v>
      </c>
      <c r="OL54" t="s">
        <v>1900</v>
      </c>
      <c r="OM54" t="s">
        <v>1900</v>
      </c>
      <c r="ON54" t="s">
        <v>1900</v>
      </c>
      <c r="OO54" t="s">
        <v>1900</v>
      </c>
      <c r="OP54" t="s">
        <v>1900</v>
      </c>
      <c r="OQ54" t="s">
        <v>1900</v>
      </c>
      <c r="OR54" t="s">
        <v>1900</v>
      </c>
      <c r="OS54" t="s">
        <v>1900</v>
      </c>
      <c r="OT54" t="s">
        <v>1900</v>
      </c>
      <c r="OU54" t="s">
        <v>1900</v>
      </c>
      <c r="OV54" t="s">
        <v>1900</v>
      </c>
      <c r="OW54" t="s">
        <v>1900</v>
      </c>
      <c r="OX54" t="s">
        <v>1900</v>
      </c>
      <c r="OY54" t="s">
        <v>1900</v>
      </c>
      <c r="OZ54" t="s">
        <v>1900</v>
      </c>
      <c r="PA54" t="s">
        <v>1900</v>
      </c>
      <c r="PB54" t="s">
        <v>1900</v>
      </c>
      <c r="PC54" t="s">
        <v>1900</v>
      </c>
      <c r="PD54" t="s">
        <v>1900</v>
      </c>
      <c r="PE54" t="s">
        <v>1900</v>
      </c>
      <c r="PF54" t="s">
        <v>1900</v>
      </c>
      <c r="PG54" t="s">
        <v>1900</v>
      </c>
      <c r="PH54" t="s">
        <v>1900</v>
      </c>
      <c r="PI54" t="s">
        <v>1900</v>
      </c>
      <c r="PJ54" t="s">
        <v>1900</v>
      </c>
      <c r="PK54" t="s">
        <v>1900</v>
      </c>
      <c r="PL54" t="s">
        <v>1900</v>
      </c>
      <c r="PM54" t="s">
        <v>1900</v>
      </c>
      <c r="PN54" t="s">
        <v>1900</v>
      </c>
      <c r="PO54" t="s">
        <v>1900</v>
      </c>
      <c r="PP54" t="s">
        <v>1900</v>
      </c>
      <c r="PQ54" t="s">
        <v>1900</v>
      </c>
      <c r="PR54" t="s">
        <v>1900</v>
      </c>
      <c r="PS54" t="s">
        <v>1900</v>
      </c>
      <c r="PT54" t="s">
        <v>1900</v>
      </c>
      <c r="PU54" t="s">
        <v>1900</v>
      </c>
      <c r="PV54" t="s">
        <v>1900</v>
      </c>
      <c r="PW54" t="s">
        <v>1900</v>
      </c>
      <c r="PX54" t="s">
        <v>1900</v>
      </c>
      <c r="PY54" t="s">
        <v>1900</v>
      </c>
      <c r="PZ54" t="s">
        <v>1900</v>
      </c>
      <c r="QA54" t="s">
        <v>1900</v>
      </c>
      <c r="QB54" t="s">
        <v>1900</v>
      </c>
      <c r="QC54" t="s">
        <v>1900</v>
      </c>
      <c r="QD54" t="s">
        <v>1900</v>
      </c>
      <c r="QE54" t="s">
        <v>1900</v>
      </c>
      <c r="QF54" t="s">
        <v>1900</v>
      </c>
      <c r="QG54" t="s">
        <v>1900</v>
      </c>
      <c r="QH54" t="s">
        <v>1900</v>
      </c>
      <c r="QI54" t="s">
        <v>1900</v>
      </c>
      <c r="QJ54" t="s">
        <v>1900</v>
      </c>
      <c r="QK54" t="s">
        <v>1900</v>
      </c>
      <c r="QL54" t="s">
        <v>1900</v>
      </c>
      <c r="QM54" t="s">
        <v>1900</v>
      </c>
      <c r="QN54" t="s">
        <v>1900</v>
      </c>
      <c r="QO54" t="s">
        <v>1900</v>
      </c>
      <c r="QP54" t="s">
        <v>1900</v>
      </c>
      <c r="QQ54" t="s">
        <v>1900</v>
      </c>
      <c r="QR54" t="s">
        <v>1900</v>
      </c>
      <c r="QS54" t="s">
        <v>1900</v>
      </c>
      <c r="QT54" t="s">
        <v>1900</v>
      </c>
      <c r="QU54" t="s">
        <v>1900</v>
      </c>
      <c r="QV54" t="s">
        <v>1900</v>
      </c>
      <c r="QW54" t="s">
        <v>1900</v>
      </c>
      <c r="QX54" t="s">
        <v>1900</v>
      </c>
      <c r="QY54" t="s">
        <v>1900</v>
      </c>
      <c r="QZ54" t="s">
        <v>1900</v>
      </c>
      <c r="RA54" t="s">
        <v>1900</v>
      </c>
      <c r="RB54" t="s">
        <v>1900</v>
      </c>
      <c r="RC54" t="s">
        <v>1900</v>
      </c>
      <c r="RD54" t="s">
        <v>1900</v>
      </c>
      <c r="RE54" t="s">
        <v>1900</v>
      </c>
      <c r="RF54" t="s">
        <v>1900</v>
      </c>
      <c r="RG54" t="s">
        <v>1900</v>
      </c>
      <c r="RH54" t="s">
        <v>1900</v>
      </c>
      <c r="RI54" t="s">
        <v>1900</v>
      </c>
      <c r="RJ54" t="s">
        <v>1900</v>
      </c>
      <c r="RK54" t="s">
        <v>1900</v>
      </c>
      <c r="RL54" t="s">
        <v>1900</v>
      </c>
      <c r="RM54" t="s">
        <v>1900</v>
      </c>
      <c r="RN54" t="s">
        <v>1900</v>
      </c>
      <c r="RO54" t="s">
        <v>1900</v>
      </c>
      <c r="RP54" t="s">
        <v>1900</v>
      </c>
      <c r="RQ54" t="s">
        <v>1900</v>
      </c>
      <c r="RR54" t="s">
        <v>1900</v>
      </c>
      <c r="RS54" t="s">
        <v>1900</v>
      </c>
      <c r="RT54" t="s">
        <v>1900</v>
      </c>
      <c r="RU54" t="s">
        <v>1900</v>
      </c>
      <c r="RV54" t="s">
        <v>1900</v>
      </c>
      <c r="RW54" t="s">
        <v>1900</v>
      </c>
      <c r="RX54" t="s">
        <v>1900</v>
      </c>
      <c r="RY54" t="s">
        <v>1900</v>
      </c>
      <c r="RZ54" t="s">
        <v>1900</v>
      </c>
      <c r="SA54" t="s">
        <v>1900</v>
      </c>
      <c r="SB54" t="s">
        <v>1900</v>
      </c>
      <c r="SC54" t="s">
        <v>1900</v>
      </c>
      <c r="SD54" t="s">
        <v>1900</v>
      </c>
      <c r="SE54" t="s">
        <v>1900</v>
      </c>
      <c r="SF54" t="s">
        <v>1900</v>
      </c>
      <c r="SG54" t="s">
        <v>1900</v>
      </c>
      <c r="SH54" t="s">
        <v>1900</v>
      </c>
      <c r="SI54" t="s">
        <v>1900</v>
      </c>
      <c r="SJ54">
        <v>80366.5673453092</v>
      </c>
      <c r="SK54">
        <v>88131.9665525436</v>
      </c>
      <c r="SL54">
        <v>87389.0559117794</v>
      </c>
      <c r="SM54">
        <v>81040.27023983</v>
      </c>
      <c r="SN54">
        <v>79183.06120821831</v>
      </c>
      <c r="SO54" t="s">
        <v>1900</v>
      </c>
      <c r="SP54" t="s">
        <v>1900</v>
      </c>
      <c r="SQ54" t="s">
        <v>1900</v>
      </c>
      <c r="SR54" t="s">
        <v>1900</v>
      </c>
      <c r="SS54" t="s">
        <v>1900</v>
      </c>
      <c r="ST54" t="s">
        <v>1900</v>
      </c>
      <c r="SU54" t="s">
        <v>1900</v>
      </c>
      <c r="SV54" t="s">
        <v>1900</v>
      </c>
      <c r="SW54" t="s">
        <v>1900</v>
      </c>
      <c r="SX54" t="s">
        <v>1900</v>
      </c>
      <c r="SY54" t="s">
        <v>1900</v>
      </c>
      <c r="SZ54" t="s">
        <v>1900</v>
      </c>
      <c r="TA54" t="s">
        <v>1900</v>
      </c>
      <c r="TB54" t="s">
        <v>1900</v>
      </c>
      <c r="TC54" t="s">
        <v>1900</v>
      </c>
      <c r="TD54" t="s">
        <v>1900</v>
      </c>
      <c r="TE54" t="s">
        <v>1900</v>
      </c>
      <c r="TF54" t="s">
        <v>1900</v>
      </c>
      <c r="TG54" t="s">
        <v>1900</v>
      </c>
      <c r="TH54" t="s">
        <v>1900</v>
      </c>
      <c r="TI54" t="s">
        <v>1900</v>
      </c>
      <c r="TJ54" t="s">
        <v>1900</v>
      </c>
      <c r="TK54" t="s">
        <v>1900</v>
      </c>
      <c r="TL54" t="s">
        <v>1900</v>
      </c>
      <c r="TM54" t="s">
        <v>1900</v>
      </c>
      <c r="TN54" t="s">
        <v>1900</v>
      </c>
      <c r="TO54" t="s">
        <v>1900</v>
      </c>
      <c r="TP54" t="s">
        <v>1900</v>
      </c>
      <c r="TQ54" t="s">
        <v>1900</v>
      </c>
      <c r="TR54" t="s">
        <v>1900</v>
      </c>
      <c r="TS54">
        <v>1719309.94426386</v>
      </c>
      <c r="TT54">
        <v>1754757.81556375</v>
      </c>
      <c r="TU54">
        <v>2118474.05861356</v>
      </c>
      <c r="TV54">
        <v>2395315.4473446</v>
      </c>
      <c r="TW54">
        <v>2241608.46773555</v>
      </c>
      <c r="TX54" t="s">
        <v>1900</v>
      </c>
      <c r="TY54" t="s">
        <v>1900</v>
      </c>
      <c r="TZ54" t="s">
        <v>1900</v>
      </c>
      <c r="UA54" t="s">
        <v>1900</v>
      </c>
      <c r="UB54" t="s">
        <v>1900</v>
      </c>
      <c r="UC54">
        <v>0</v>
      </c>
      <c r="UD54">
        <v>0</v>
      </c>
      <c r="UE54">
        <v>0</v>
      </c>
      <c r="UF54">
        <v>0</v>
      </c>
      <c r="UG54">
        <v>0</v>
      </c>
      <c r="UH54" t="s">
        <v>1900</v>
      </c>
      <c r="UI54" t="s">
        <v>1900</v>
      </c>
      <c r="UJ54" t="s">
        <v>1900</v>
      </c>
      <c r="UK54" t="s">
        <v>1900</v>
      </c>
      <c r="UL54" t="s">
        <v>1900</v>
      </c>
      <c r="UM54" t="s">
        <v>1900</v>
      </c>
      <c r="UN54" t="s">
        <v>1900</v>
      </c>
      <c r="UO54" t="s">
        <v>1900</v>
      </c>
      <c r="UP54" t="s">
        <v>1900</v>
      </c>
      <c r="UQ54" t="s">
        <v>1900</v>
      </c>
      <c r="UR54" t="s">
        <v>1900</v>
      </c>
      <c r="US54" t="s">
        <v>1900</v>
      </c>
      <c r="UT54" t="s">
        <v>1900</v>
      </c>
      <c r="UU54" t="s">
        <v>1900</v>
      </c>
      <c r="UV54" t="s">
        <v>1900</v>
      </c>
      <c r="UW54" t="s">
        <v>1900</v>
      </c>
      <c r="UX54" t="s">
        <v>1900</v>
      </c>
      <c r="UY54" t="s">
        <v>1900</v>
      </c>
      <c r="UZ54" t="s">
        <v>1900</v>
      </c>
      <c r="VA54" t="s">
        <v>1900</v>
      </c>
      <c r="VB54" t="s">
        <v>1900</v>
      </c>
      <c r="VC54" t="s">
        <v>1900</v>
      </c>
      <c r="VD54" t="s">
        <v>1900</v>
      </c>
      <c r="VE54" t="s">
        <v>1900</v>
      </c>
      <c r="VF54" t="s">
        <v>1900</v>
      </c>
      <c r="VG54" t="s">
        <v>1900</v>
      </c>
      <c r="VH54" t="s">
        <v>1900</v>
      </c>
      <c r="VI54" t="s">
        <v>1900</v>
      </c>
      <c r="VJ54" t="s">
        <v>1900</v>
      </c>
      <c r="VK54" t="s">
        <v>1900</v>
      </c>
      <c r="VL54" t="s">
        <v>1900</v>
      </c>
      <c r="VM54" t="s">
        <v>1900</v>
      </c>
      <c r="VN54" t="s">
        <v>1900</v>
      </c>
      <c r="VO54" t="s">
        <v>1900</v>
      </c>
      <c r="VP54" t="s">
        <v>1900</v>
      </c>
      <c r="VQ54" t="s">
        <v>1900</v>
      </c>
      <c r="VR54" t="s">
        <v>1900</v>
      </c>
      <c r="VS54" t="s">
        <v>1900</v>
      </c>
      <c r="VT54" t="s">
        <v>1900</v>
      </c>
      <c r="VU54" t="s">
        <v>1900</v>
      </c>
      <c r="VV54" t="s">
        <v>1900</v>
      </c>
      <c r="VW54" t="s">
        <v>1900</v>
      </c>
      <c r="VX54" t="s">
        <v>1900</v>
      </c>
      <c r="VY54" t="s">
        <v>1900</v>
      </c>
      <c r="VZ54" t="s">
        <v>1900</v>
      </c>
      <c r="WA54">
        <v>1695548.86769309</v>
      </c>
      <c r="WB54">
        <v>1733680.97974972</v>
      </c>
      <c r="WC54">
        <v>1713204.68265495</v>
      </c>
      <c r="WD54">
        <v>1969385.93733702</v>
      </c>
      <c r="WE54">
        <v>1782867.72681943</v>
      </c>
      <c r="WF54" t="s">
        <v>1900</v>
      </c>
      <c r="WG54" t="s">
        <v>1900</v>
      </c>
      <c r="WH54" t="s">
        <v>1900</v>
      </c>
      <c r="WI54" t="s">
        <v>1900</v>
      </c>
      <c r="WJ54" t="s">
        <v>1900</v>
      </c>
      <c r="WK54" t="s">
        <v>1900</v>
      </c>
      <c r="WL54" t="s">
        <v>1900</v>
      </c>
      <c r="WM54" t="s">
        <v>1900</v>
      </c>
      <c r="WN54" t="s">
        <v>1900</v>
      </c>
      <c r="WO54" t="s">
        <v>1900</v>
      </c>
      <c r="WP54" t="s">
        <v>1900</v>
      </c>
      <c r="WQ54" t="s">
        <v>1900</v>
      </c>
      <c r="WR54" t="s">
        <v>1900</v>
      </c>
      <c r="WS54" t="s">
        <v>1900</v>
      </c>
      <c r="WT54" t="s">
        <v>1900</v>
      </c>
      <c r="WU54" t="s">
        <v>1900</v>
      </c>
      <c r="WV54" t="s">
        <v>1900</v>
      </c>
      <c r="WW54" t="s">
        <v>1900</v>
      </c>
      <c r="WX54" t="s">
        <v>1900</v>
      </c>
      <c r="WY54" t="s">
        <v>1900</v>
      </c>
      <c r="WZ54" t="s">
        <v>1900</v>
      </c>
      <c r="XA54" t="s">
        <v>1900</v>
      </c>
      <c r="XB54" t="s">
        <v>1900</v>
      </c>
      <c r="XC54" t="s">
        <v>1900</v>
      </c>
      <c r="XD54" t="s">
        <v>1900</v>
      </c>
      <c r="XE54" t="s">
        <v>1900</v>
      </c>
      <c r="XF54" t="s">
        <v>1900</v>
      </c>
      <c r="XG54" t="s">
        <v>1900</v>
      </c>
      <c r="XH54" t="s">
        <v>1900</v>
      </c>
      <c r="XI54" t="s">
        <v>1900</v>
      </c>
      <c r="XJ54">
        <v>448.305929889679</v>
      </c>
      <c r="XK54">
        <v>476.829813995361</v>
      </c>
      <c r="XL54">
        <v>460.259011173248</v>
      </c>
      <c r="XM54">
        <v>488.739684677124</v>
      </c>
      <c r="XN54">
        <v>529.517889690399</v>
      </c>
      <c r="XO54" t="s">
        <v>1900</v>
      </c>
      <c r="XP54" t="s">
        <v>1900</v>
      </c>
      <c r="XQ54" t="s">
        <v>1900</v>
      </c>
      <c r="XR54" t="s">
        <v>1900</v>
      </c>
      <c r="XS54" t="s">
        <v>1900</v>
      </c>
      <c r="XT54" t="s">
        <v>1900</v>
      </c>
      <c r="XU54" t="s">
        <v>1900</v>
      </c>
      <c r="XV54" t="s">
        <v>1900</v>
      </c>
      <c r="XW54" t="s">
        <v>1900</v>
      </c>
      <c r="XX54" t="s">
        <v>1900</v>
      </c>
      <c r="XY54" t="s">
        <v>1900</v>
      </c>
      <c r="XZ54" t="s">
        <v>1900</v>
      </c>
      <c r="YA54" t="s">
        <v>1900</v>
      </c>
      <c r="YB54" t="s">
        <v>1900</v>
      </c>
      <c r="YC54" t="s">
        <v>1900</v>
      </c>
      <c r="YD54" t="s">
        <v>1900</v>
      </c>
      <c r="YE54" t="s">
        <v>1900</v>
      </c>
      <c r="YF54" t="s">
        <v>1900</v>
      </c>
      <c r="YG54" t="s">
        <v>1900</v>
      </c>
      <c r="YH54" t="s">
        <v>1900</v>
      </c>
      <c r="YI54" t="s">
        <v>1900</v>
      </c>
      <c r="YJ54" t="s">
        <v>1900</v>
      </c>
      <c r="YK54" t="s">
        <v>1900</v>
      </c>
      <c r="YL54" t="s">
        <v>1900</v>
      </c>
      <c r="YM54" t="s">
        <v>1900</v>
      </c>
      <c r="YN54" t="s">
        <v>1900</v>
      </c>
      <c r="YO54" t="s">
        <v>1900</v>
      </c>
      <c r="YP54" t="s">
        <v>1900</v>
      </c>
      <c r="YQ54" t="s">
        <v>1900</v>
      </c>
      <c r="YR54" t="s">
        <v>1900</v>
      </c>
      <c r="YS54" t="s">
        <v>1900</v>
      </c>
      <c r="YT54" t="s">
        <v>1900</v>
      </c>
      <c r="YU54" t="s">
        <v>1900</v>
      </c>
      <c r="YV54" t="s">
        <v>1900</v>
      </c>
      <c r="YW54" t="s">
        <v>1900</v>
      </c>
      <c r="YX54" t="s">
        <v>1900</v>
      </c>
      <c r="YY54" t="s">
        <v>1900</v>
      </c>
      <c r="YZ54" t="s">
        <v>1900</v>
      </c>
      <c r="ZA54" t="s">
        <v>1900</v>
      </c>
      <c r="ZB54" t="s">
        <v>1900</v>
      </c>
      <c r="ZC54" t="s">
        <v>1900</v>
      </c>
      <c r="ZD54" t="s">
        <v>1900</v>
      </c>
      <c r="ZE54" t="s">
        <v>1900</v>
      </c>
      <c r="ZF54" t="s">
        <v>1900</v>
      </c>
      <c r="ZG54" t="s">
        <v>1900</v>
      </c>
      <c r="ZH54" t="s">
        <v>1900</v>
      </c>
      <c r="ZI54" t="s">
        <v>1900</v>
      </c>
      <c r="ZJ54" t="s">
        <v>1900</v>
      </c>
      <c r="ZK54" t="s">
        <v>1900</v>
      </c>
      <c r="ZL54" t="s">
        <v>1900</v>
      </c>
      <c r="ZM54" t="s">
        <v>1900</v>
      </c>
      <c r="ZN54" t="s">
        <v>1900</v>
      </c>
      <c r="ZO54" t="s">
        <v>1900</v>
      </c>
      <c r="ZP54" t="s">
        <v>1900</v>
      </c>
      <c r="ZQ54" t="s">
        <v>1900</v>
      </c>
      <c r="ZR54" t="s">
        <v>1900</v>
      </c>
      <c r="ZS54" t="s">
        <v>1900</v>
      </c>
      <c r="ZT54" t="s">
        <v>1900</v>
      </c>
      <c r="ZU54" t="s">
        <v>1900</v>
      </c>
      <c r="ZV54" t="s">
        <v>1900</v>
      </c>
      <c r="ZW54" t="s">
        <v>1900</v>
      </c>
      <c r="ZX54" t="s">
        <v>1900</v>
      </c>
      <c r="ZY54" t="s">
        <v>1900</v>
      </c>
      <c r="ZZ54" t="s">
        <v>1900</v>
      </c>
      <c r="AAA54" t="s">
        <v>1900</v>
      </c>
      <c r="AAB54" t="s">
        <v>1900</v>
      </c>
      <c r="AAC54" t="s">
        <v>1900</v>
      </c>
      <c r="AAD54" t="s">
        <v>1900</v>
      </c>
      <c r="AAE54" t="s">
        <v>1900</v>
      </c>
      <c r="AAF54" t="s">
        <v>1900</v>
      </c>
      <c r="AAG54" t="s">
        <v>1900</v>
      </c>
      <c r="AAH54" t="s">
        <v>1900</v>
      </c>
      <c r="AAI54" t="s">
        <v>1900</v>
      </c>
      <c r="AAJ54" t="s">
        <v>1900</v>
      </c>
      <c r="AAK54" t="s">
        <v>1900</v>
      </c>
      <c r="AAL54" t="s">
        <v>1900</v>
      </c>
      <c r="AAM54" t="s">
        <v>1900</v>
      </c>
      <c r="AAN54" t="s">
        <v>1900</v>
      </c>
      <c r="AAO54" t="s">
        <v>1900</v>
      </c>
      <c r="AAP54" t="s">
        <v>1900</v>
      </c>
      <c r="AAQ54" t="s">
        <v>1900</v>
      </c>
      <c r="AAR54" t="s">
        <v>1900</v>
      </c>
      <c r="AAS54" t="s">
        <v>1900</v>
      </c>
      <c r="AAT54" t="s">
        <v>1900</v>
      </c>
      <c r="AAU54" t="s">
        <v>1900</v>
      </c>
      <c r="AAV54" t="s">
        <v>1900</v>
      </c>
      <c r="AAW54" t="s">
        <v>1900</v>
      </c>
      <c r="AAX54" t="s">
        <v>1900</v>
      </c>
      <c r="AAY54" t="s">
        <v>1900</v>
      </c>
      <c r="AAZ54" t="s">
        <v>1900</v>
      </c>
      <c r="ABA54" t="s">
        <v>1900</v>
      </c>
      <c r="ABB54" t="s">
        <v>1900</v>
      </c>
      <c r="ABC54" t="s">
        <v>1900</v>
      </c>
      <c r="ABD54" t="s">
        <v>1900</v>
      </c>
      <c r="ABE54" t="s">
        <v>1900</v>
      </c>
      <c r="ABF54" t="s">
        <v>1900</v>
      </c>
      <c r="ABG54" t="s">
        <v>1900</v>
      </c>
      <c r="ABH54" t="s">
        <v>1900</v>
      </c>
      <c r="ABI54" t="s">
        <v>1900</v>
      </c>
      <c r="ABJ54" t="s">
        <v>1900</v>
      </c>
      <c r="ABK54" t="s">
        <v>1900</v>
      </c>
      <c r="ABL54" t="s">
        <v>1900</v>
      </c>
      <c r="ABM54" t="s">
        <v>1900</v>
      </c>
      <c r="ABN54" t="s">
        <v>1900</v>
      </c>
      <c r="ABO54" t="s">
        <v>1900</v>
      </c>
      <c r="ABP54" t="s">
        <v>1900</v>
      </c>
      <c r="ABQ54" t="s">
        <v>1900</v>
      </c>
      <c r="ABR54" t="s">
        <v>1900</v>
      </c>
      <c r="ABS54" t="s">
        <v>1900</v>
      </c>
      <c r="ABT54" t="s">
        <v>1900</v>
      </c>
      <c r="ABU54" t="s">
        <v>1900</v>
      </c>
      <c r="ABV54" t="s">
        <v>1900</v>
      </c>
      <c r="ABW54" t="s">
        <v>1900</v>
      </c>
      <c r="ABX54" t="s">
        <v>1900</v>
      </c>
      <c r="ABY54" t="s">
        <v>1900</v>
      </c>
      <c r="ABZ54" t="s">
        <v>1900</v>
      </c>
      <c r="ACA54" t="s">
        <v>1900</v>
      </c>
      <c r="ACB54" t="s">
        <v>1900</v>
      </c>
      <c r="ACC54" t="s">
        <v>1900</v>
      </c>
      <c r="ACD54" t="s">
        <v>1900</v>
      </c>
      <c r="ACE54">
        <v>23.956</v>
      </c>
      <c r="ACF54">
        <v>65.535</v>
      </c>
      <c r="ACG54">
        <v>1.772</v>
      </c>
      <c r="ACH54">
        <v>1.925</v>
      </c>
      <c r="ACI54">
        <v>6.219</v>
      </c>
      <c r="ACJ54">
        <v>59.532</v>
      </c>
      <c r="ACK54">
        <v>98.985</v>
      </c>
      <c r="ACL54">
        <v>2.417</v>
      </c>
      <c r="ACM54">
        <v>1.996</v>
      </c>
      <c r="ACN54">
        <v>7.278</v>
      </c>
      <c r="ACO54">
        <v>0.325</v>
      </c>
      <c r="ACP54">
        <v>0.769</v>
      </c>
      <c r="ACQ54">
        <v>0.339</v>
      </c>
      <c r="ACR54">
        <v>0.342</v>
      </c>
      <c r="ACS54">
        <v>1.26</v>
      </c>
      <c r="ACT54">
        <v>16.922</v>
      </c>
      <c r="ACU54">
        <v>48.544</v>
      </c>
      <c r="ACV54">
        <v>1.028</v>
      </c>
      <c r="ACW54">
        <v>1.443</v>
      </c>
      <c r="ACX54">
        <v>4.664</v>
      </c>
      <c r="ACY54">
        <v>52.631</v>
      </c>
      <c r="ACZ54">
        <v>82.379</v>
      </c>
      <c r="ADA54">
        <v>1.673</v>
      </c>
      <c r="ADB54">
        <v>1.515</v>
      </c>
      <c r="ADC54">
        <v>5.738</v>
      </c>
      <c r="ADD54">
        <v>0.229</v>
      </c>
      <c r="ADE54">
        <v>0.57</v>
      </c>
      <c r="ADF54">
        <v>0.196</v>
      </c>
      <c r="ADG54">
        <v>0.256</v>
      </c>
      <c r="ADH54">
        <v>0.945</v>
      </c>
      <c r="ADI54">
        <v>0.172</v>
      </c>
      <c r="ADJ54">
        <v>0.422</v>
      </c>
      <c r="ADK54">
        <v>0.211</v>
      </c>
      <c r="ADL54">
        <v>0.252</v>
      </c>
      <c r="ADM54">
        <v>0.864</v>
      </c>
      <c r="ADN54">
        <v>100</v>
      </c>
      <c r="ADO54">
        <v>100</v>
      </c>
      <c r="ADP54">
        <v>100</v>
      </c>
      <c r="ADQ54">
        <v>100</v>
      </c>
      <c r="ADR54">
        <v>100</v>
      </c>
      <c r="ADS54">
        <v>0.433784027</v>
      </c>
      <c r="ADT54">
        <v>0.659785111</v>
      </c>
      <c r="ADU54">
        <v>0.302583209</v>
      </c>
      <c r="ADV54">
        <v>0.280715243</v>
      </c>
      <c r="ADW54">
        <v>1.04116413</v>
      </c>
      <c r="ADX54">
        <v>1.135</v>
      </c>
      <c r="ADY54">
        <v>1.416</v>
      </c>
      <c r="ADZ54">
        <v>0.989</v>
      </c>
      <c r="AEA54">
        <v>0.281</v>
      </c>
      <c r="AEB54">
        <v>1.653</v>
      </c>
      <c r="AEC54">
        <v>0.434</v>
      </c>
      <c r="AED54">
        <v>0.66</v>
      </c>
      <c r="AEE54">
        <v>0.303</v>
      </c>
      <c r="AEF54">
        <v>0.281</v>
      </c>
      <c r="AEG54">
        <v>1.041</v>
      </c>
      <c r="AEH54">
        <v>0.823</v>
      </c>
      <c r="AEI54">
        <v>1.069</v>
      </c>
      <c r="AEJ54">
        <v>0.8090000000000001</v>
      </c>
      <c r="AEK54" t="s">
        <v>1900</v>
      </c>
      <c r="AEL54">
        <v>1.26</v>
      </c>
      <c r="AEM54">
        <v>0.43567391</v>
      </c>
      <c r="AEN54">
        <v>0.664167187</v>
      </c>
      <c r="AEO54">
        <v>0.303501554</v>
      </c>
      <c r="AEP54">
        <v>0.281505472</v>
      </c>
      <c r="AEQ54">
        <v>1.052118409</v>
      </c>
      <c r="AER54" t="s">
        <v>1900</v>
      </c>
      <c r="AES54" t="s">
        <v>1900</v>
      </c>
      <c r="AET54" t="s">
        <v>1900</v>
      </c>
      <c r="AEU54" t="s">
        <v>1900</v>
      </c>
      <c r="AEV54" t="s">
        <v>1900</v>
      </c>
      <c r="AEW54" t="s">
        <v>1900</v>
      </c>
      <c r="AEX54" t="s">
        <v>1900</v>
      </c>
      <c r="AEY54" t="s">
        <v>1900</v>
      </c>
      <c r="AEZ54" t="s">
        <v>1900</v>
      </c>
      <c r="AFA54" t="s">
        <v>1900</v>
      </c>
      <c r="AFB54" t="s">
        <v>1900</v>
      </c>
      <c r="AFC54" t="s">
        <v>1900</v>
      </c>
      <c r="AFD54" t="s">
        <v>1900</v>
      </c>
      <c r="AFE54" t="s">
        <v>1900</v>
      </c>
      <c r="AFF54" t="s">
        <v>1900</v>
      </c>
      <c r="AFG54">
        <v>136.462</v>
      </c>
      <c r="AFH54">
        <v>151.711</v>
      </c>
      <c r="AFI54">
        <v>8.391999999999999</v>
      </c>
      <c r="AFJ54">
        <v>7.613</v>
      </c>
      <c r="AFK54">
        <v>7.125</v>
      </c>
      <c r="AFL54">
        <v>1.643</v>
      </c>
      <c r="AFM54">
        <v>2.865</v>
      </c>
      <c r="AFN54">
        <v>3.926</v>
      </c>
      <c r="AFO54">
        <v>29.191</v>
      </c>
      <c r="AFP54">
        <v>6.629</v>
      </c>
      <c r="AFQ54" t="s">
        <v>1901</v>
      </c>
      <c r="AFR54" t="s">
        <v>1901</v>
      </c>
      <c r="AFS54" t="s">
        <v>1901</v>
      </c>
      <c r="AFT54" t="s">
        <v>1901</v>
      </c>
      <c r="AFU54" t="s">
        <v>1901</v>
      </c>
      <c r="AFV54">
        <v>105.315</v>
      </c>
      <c r="AFW54">
        <v>111.096</v>
      </c>
      <c r="AFX54">
        <v>149.569</v>
      </c>
      <c r="AFY54">
        <v>145.761</v>
      </c>
      <c r="AFZ54">
        <v>141.66</v>
      </c>
      <c r="AGA54">
        <v>0</v>
      </c>
      <c r="AGB54">
        <v>0</v>
      </c>
      <c r="AGC54">
        <v>0</v>
      </c>
      <c r="AGD54">
        <v>0</v>
      </c>
      <c r="AGE54">
        <v>0</v>
      </c>
      <c r="AGF54" t="s">
        <v>1900</v>
      </c>
      <c r="AGG54" t="s">
        <v>1900</v>
      </c>
      <c r="AGH54" t="s">
        <v>1900</v>
      </c>
      <c r="AGI54" t="s">
        <v>1900</v>
      </c>
      <c r="AGJ54" t="s">
        <v>1900</v>
      </c>
      <c r="AGK54" t="s">
        <v>1900</v>
      </c>
      <c r="AGL54" t="s">
        <v>1900</v>
      </c>
      <c r="AGM54" t="s">
        <v>1900</v>
      </c>
      <c r="AGN54" t="s">
        <v>1900</v>
      </c>
      <c r="AGO54" t="s">
        <v>1900</v>
      </c>
      <c r="AGP54" t="s">
        <v>1900</v>
      </c>
      <c r="AGQ54" t="s">
        <v>1900</v>
      </c>
      <c r="AGR54" t="s">
        <v>1900</v>
      </c>
      <c r="AGS54" t="s">
        <v>1900</v>
      </c>
      <c r="AGT54" t="s">
        <v>1900</v>
      </c>
      <c r="AGU54">
        <v>0</v>
      </c>
      <c r="AGV54">
        <v>0</v>
      </c>
      <c r="AGW54">
        <v>0</v>
      </c>
      <c r="AGX54">
        <v>0</v>
      </c>
      <c r="AGY54">
        <v>0</v>
      </c>
      <c r="AGZ54">
        <v>0.867</v>
      </c>
      <c r="AHA54">
        <v>0.843</v>
      </c>
      <c r="AHB54">
        <v>1.057</v>
      </c>
      <c r="AHC54">
        <v>1.046</v>
      </c>
      <c r="AHD54">
        <v>1.213</v>
      </c>
      <c r="AHE54">
        <v>0.867</v>
      </c>
      <c r="AHF54">
        <v>0.843</v>
      </c>
      <c r="AHG54">
        <v>1.057</v>
      </c>
      <c r="AHH54">
        <v>1.046</v>
      </c>
      <c r="AHI54">
        <v>1.213</v>
      </c>
      <c r="AHJ54">
        <v>52.002</v>
      </c>
      <c r="AHK54">
        <v>43.202</v>
      </c>
      <c r="AHL54">
        <v>879.525</v>
      </c>
      <c r="AHM54">
        <v>870.485</v>
      </c>
      <c r="AHN54">
        <v>101.944</v>
      </c>
      <c r="AHO54">
        <v>1.356</v>
      </c>
      <c r="AHP54">
        <v>1.174</v>
      </c>
      <c r="AHQ54">
        <v>19.109</v>
      </c>
      <c r="AHR54">
        <v>17.761</v>
      </c>
      <c r="AHS54">
        <v>20.266</v>
      </c>
      <c r="AHT54">
        <v>1.375</v>
      </c>
      <c r="AHU54">
        <v>1.188</v>
      </c>
      <c r="AHV54">
        <v>23.622</v>
      </c>
      <c r="AHW54">
        <v>21.597</v>
      </c>
      <c r="AHX54">
        <v>25.417</v>
      </c>
      <c r="AHY54">
        <v>1.923</v>
      </c>
      <c r="AHZ54">
        <v>2.315</v>
      </c>
      <c r="AIA54">
        <v>0.114</v>
      </c>
      <c r="AIB54">
        <v>0.115</v>
      </c>
      <c r="AIC54">
        <v>0.981</v>
      </c>
      <c r="AID54">
        <v>4.674350172</v>
      </c>
      <c r="AIE54">
        <v>5.022457559</v>
      </c>
      <c r="AIF54">
        <v>4.125094454</v>
      </c>
      <c r="AIG54">
        <v>3.383281744</v>
      </c>
      <c r="AIH54">
        <v>3.532421578</v>
      </c>
      <c r="AII54">
        <v>30.284251615</v>
      </c>
      <c r="AIJ54">
        <v>27.079348682</v>
      </c>
      <c r="AIK54">
        <v>18.747924549</v>
      </c>
      <c r="AIL54">
        <v>31.198105766</v>
      </c>
      <c r="AIM54">
        <v>39.091058641</v>
      </c>
      <c r="AIN54">
        <v>98.617987603</v>
      </c>
      <c r="AIO54">
        <v>98.798874943</v>
      </c>
      <c r="AIP54">
        <v>80.869750361</v>
      </c>
      <c r="AIQ54">
        <v>82.21822889800001</v>
      </c>
      <c r="AIR54">
        <v>79.535197715</v>
      </c>
      <c r="AIS54" t="s">
        <v>1900</v>
      </c>
      <c r="AIT54" t="s">
        <v>1900</v>
      </c>
      <c r="AIU54" t="s">
        <v>1900</v>
      </c>
      <c r="AIV54" t="s">
        <v>1900</v>
      </c>
      <c r="AIW54" t="s">
        <v>1900</v>
      </c>
      <c r="AIX54">
        <v>0.2538499083215</v>
      </c>
      <c r="AIY54">
        <v>0.586961898421288</v>
      </c>
      <c r="AIZ54">
        <v>0.341579552714229</v>
      </c>
      <c r="AJA54">
        <v>0.481628087346554</v>
      </c>
      <c r="AJB54">
        <v>1.4869903413552</v>
      </c>
      <c r="AJC54">
        <v>147.385120675623</v>
      </c>
      <c r="AJD54">
        <v>139.025209757806</v>
      </c>
      <c r="AJE54">
        <v>161.952646552463</v>
      </c>
      <c r="AJF54">
        <v>190.747787994497</v>
      </c>
      <c r="AJG54">
        <v>172.027101098282</v>
      </c>
      <c r="AJH54">
        <v>34.82</v>
      </c>
      <c r="AJI54">
        <v>37.534</v>
      </c>
      <c r="AJJ54">
        <v>30.23</v>
      </c>
      <c r="AJK54">
        <v>32.213</v>
      </c>
      <c r="AJL54">
        <v>24.854</v>
      </c>
      <c r="AJM54">
        <v>51.3194764094734</v>
      </c>
      <c r="AJN54">
        <v>52.1810837132292</v>
      </c>
      <c r="AJO54">
        <v>48.957895649389</v>
      </c>
      <c r="AJP54">
        <v>61.4463177661014</v>
      </c>
      <c r="AJQ54">
        <v>42.7553840427184</v>
      </c>
      <c r="AJR54">
        <v>1.05967129832196</v>
      </c>
      <c r="AJS54">
        <v>0.895652626957893</v>
      </c>
      <c r="AJT54">
        <v>19.2766248197067</v>
      </c>
      <c r="AJU54">
        <v>25.0259273329353</v>
      </c>
      <c r="AJV54">
        <v>23.9097108035922</v>
      </c>
      <c r="AJW54">
        <v>43.1164575747594</v>
      </c>
      <c r="AJX54">
        <v>42.9031448444042</v>
      </c>
      <c r="AJY54">
        <v>67.2863689872074</v>
      </c>
      <c r="AJZ54">
        <v>77.23236267430541</v>
      </c>
      <c r="AKA54">
        <v>67.69247023666679</v>
      </c>
      <c r="AKB54">
        <v>78.1504522953299</v>
      </c>
      <c r="AKC54">
        <v>76.2938177797279</v>
      </c>
      <c r="AKD54">
        <v>100.879716619722</v>
      </c>
      <c r="AKE54">
        <v>140.900909067071</v>
      </c>
      <c r="AKF54">
        <v>117.979393426218</v>
      </c>
      <c r="AKG54" t="s">
        <v>1900</v>
      </c>
      <c r="AKH54" t="s">
        <v>1900</v>
      </c>
      <c r="AKI54" t="s">
        <v>1900</v>
      </c>
      <c r="AKJ54" t="s">
        <v>1900</v>
      </c>
      <c r="AKK54" t="s">
        <v>1900</v>
      </c>
      <c r="AKL54">
        <v>0</v>
      </c>
      <c r="AKM54">
        <v>0</v>
      </c>
      <c r="AKN54">
        <v>0</v>
      </c>
      <c r="AKO54">
        <v>0</v>
      </c>
      <c r="AKP54">
        <v>0</v>
      </c>
      <c r="AKQ54">
        <v>0</v>
      </c>
      <c r="AKR54">
        <v>0</v>
      </c>
      <c r="AKS54">
        <v>0</v>
      </c>
      <c r="AKT54">
        <v>0</v>
      </c>
      <c r="AKU54">
        <v>0</v>
      </c>
      <c r="AKV54">
        <v>0</v>
      </c>
      <c r="AKW54">
        <v>0</v>
      </c>
      <c r="AKX54">
        <v>0</v>
      </c>
      <c r="AKY54">
        <v>0</v>
      </c>
      <c r="AKZ54">
        <v>0</v>
      </c>
      <c r="ALA54">
        <v>0</v>
      </c>
      <c r="ALB54">
        <v>0</v>
      </c>
      <c r="ALC54">
        <v>0</v>
      </c>
      <c r="ALD54">
        <v>0</v>
      </c>
      <c r="ALE54">
        <v>0</v>
      </c>
      <c r="ALF54">
        <v>5.233696103</v>
      </c>
      <c r="ALG54">
        <v>6.400982431</v>
      </c>
      <c r="ALH54">
        <v>6.495176904</v>
      </c>
      <c r="ALI54">
        <v>7.833934514</v>
      </c>
      <c r="ALJ54">
        <v>0</v>
      </c>
      <c r="ALK54">
        <v>9.870306714</v>
      </c>
      <c r="ALL54">
        <v>11.664089582</v>
      </c>
      <c r="ALM54">
        <v>10.427379489</v>
      </c>
      <c r="ALN54">
        <v>10.605365787</v>
      </c>
      <c r="ALO54">
        <v>0</v>
      </c>
      <c r="ALP54">
        <v>29.25428104</v>
      </c>
      <c r="ALQ54">
        <v>30.859974996</v>
      </c>
      <c r="ALR54">
        <v>41.546940117</v>
      </c>
      <c r="ALS54">
        <v>40.489257433</v>
      </c>
      <c r="ALT54">
        <v>39.349886923</v>
      </c>
      <c r="ALU54">
        <v>0</v>
      </c>
      <c r="ALV54">
        <v>0</v>
      </c>
      <c r="ALW54">
        <v>0</v>
      </c>
      <c r="ALX54">
        <v>0</v>
      </c>
      <c r="ALY54">
        <v>0</v>
      </c>
      <c r="ALZ54">
        <v>100</v>
      </c>
      <c r="AMA54">
        <v>100</v>
      </c>
      <c r="AMB54">
        <v>100</v>
      </c>
      <c r="AMC54">
        <v>100</v>
      </c>
      <c r="AMD54">
        <v>100</v>
      </c>
      <c r="AME54">
        <v>100</v>
      </c>
      <c r="AMF54" t="s">
        <v>1901</v>
      </c>
      <c r="AMG54" t="s">
        <v>1901</v>
      </c>
      <c r="AMH54">
        <v>100</v>
      </c>
      <c r="AMI54" t="s">
        <v>1901</v>
      </c>
      <c r="AMJ54" t="s">
        <v>1900</v>
      </c>
      <c r="AMK54" t="s">
        <v>1900</v>
      </c>
      <c r="AML54" t="s">
        <v>1900</v>
      </c>
      <c r="AMM54" t="s">
        <v>1900</v>
      </c>
      <c r="AMN54" t="s">
        <v>1900</v>
      </c>
      <c r="AMO54">
        <v>1.00435673942806</v>
      </c>
      <c r="AMP54">
        <v>1.00664167187024</v>
      </c>
      <c r="AMQ54">
        <v>1.0030350152205</v>
      </c>
      <c r="AMR54">
        <v>1.00281505471565</v>
      </c>
      <c r="AMS54">
        <v>1.01052118447662</v>
      </c>
      <c r="AMT54">
        <v>1.00435673910626</v>
      </c>
      <c r="AMU54">
        <v>1.00664167187024</v>
      </c>
      <c r="AMV54">
        <v>1.00303501553507</v>
      </c>
      <c r="AMW54">
        <v>1.00281505471565</v>
      </c>
      <c r="AMX54">
        <v>1.01052118409724</v>
      </c>
      <c r="AMY54" t="s">
        <v>1900</v>
      </c>
      <c r="AMZ54" t="s">
        <v>1900</v>
      </c>
      <c r="ANA54" t="s">
        <v>1900</v>
      </c>
      <c r="ANB54" t="s">
        <v>1900</v>
      </c>
      <c r="ANC54" t="s">
        <v>1900</v>
      </c>
      <c r="AND54">
        <v>0.433784026653956</v>
      </c>
      <c r="ANE54">
        <v>0.659785110813024</v>
      </c>
      <c r="ANF54">
        <v>0.302583208862198</v>
      </c>
      <c r="ANG54">
        <v>0.280715242796784</v>
      </c>
      <c r="ANH54">
        <v>1.04116412984332</v>
      </c>
      <c r="ANI54">
        <v>0.433784026653956</v>
      </c>
      <c r="ANJ54">
        <v>0.660410524578708</v>
      </c>
      <c r="ANK54">
        <v>0.302882064913381</v>
      </c>
      <c r="ANL54">
        <v>0.280715242796784</v>
      </c>
      <c r="ANM54">
        <v>1.04116423538215</v>
      </c>
      <c r="ANN54">
        <v>0.435673910485943</v>
      </c>
      <c r="ANO54">
        <v>0.664167187023914</v>
      </c>
      <c r="ANP54">
        <v>0.303501553602034</v>
      </c>
      <c r="ANQ54">
        <v>0.281505471564773</v>
      </c>
      <c r="ANR54">
        <v>1.05211840932469</v>
      </c>
      <c r="ANS54">
        <v>59.1948281236954</v>
      </c>
      <c r="ANT54">
        <v>100.096413713921</v>
      </c>
      <c r="ANU54">
        <v>2.5392670784022</v>
      </c>
      <c r="ANV54">
        <v>2.1371583182749</v>
      </c>
      <c r="ANW54">
        <v>7.41826524486656</v>
      </c>
      <c r="ANX54" t="s">
        <v>1900</v>
      </c>
      <c r="ANY54" t="s">
        <v>1900</v>
      </c>
      <c r="ANZ54" t="s">
        <v>1900</v>
      </c>
      <c r="AOA54" t="s">
        <v>1900</v>
      </c>
      <c r="AOB54" t="s">
        <v>1900</v>
      </c>
      <c r="AOC54">
        <v>100.435673910486</v>
      </c>
      <c r="AOD54">
        <v>100.664167187024</v>
      </c>
      <c r="AOE54">
        <v>100.303501553602</v>
      </c>
      <c r="AOF54">
        <v>100.281505471565</v>
      </c>
      <c r="AOG54">
        <v>101.052118409325</v>
      </c>
      <c r="AOH54" t="s">
        <v>1901</v>
      </c>
      <c r="AOI54" t="s">
        <v>1901</v>
      </c>
      <c r="AOJ54" t="s">
        <v>1901</v>
      </c>
      <c r="AOK54" t="s">
        <v>1901</v>
      </c>
      <c r="AOL54" t="s">
        <v>1901</v>
      </c>
      <c r="AOM54" t="s">
        <v>1900</v>
      </c>
      <c r="AON54" t="s">
        <v>1900</v>
      </c>
      <c r="AOO54" t="s">
        <v>1900</v>
      </c>
      <c r="AOP54" t="s">
        <v>1900</v>
      </c>
      <c r="AOQ54" t="s">
        <v>1900</v>
      </c>
      <c r="AOR54">
        <v>0.435673910626142</v>
      </c>
      <c r="AOS54">
        <v>0.664167187023914</v>
      </c>
      <c r="AOT54">
        <v>0.303501553506563</v>
      </c>
      <c r="AOU54">
        <v>0.281505471564773</v>
      </c>
      <c r="AOV54">
        <v>1.05211840972384</v>
      </c>
      <c r="AOW54">
        <v>0.818079862990047</v>
      </c>
      <c r="AOX54">
        <v>1.20228304333646</v>
      </c>
      <c r="AOY54">
        <v>0.485768131109334</v>
      </c>
      <c r="AOZ54">
        <v>0.380024600233998</v>
      </c>
      <c r="APA54">
        <v>1.51813331530646</v>
      </c>
      <c r="APB54">
        <v>0.121668097316292</v>
      </c>
      <c r="APC54">
        <v>0.312741371568951</v>
      </c>
      <c r="APD54">
        <v>0.122327250689107</v>
      </c>
      <c r="APE54">
        <v>0.189370942109557</v>
      </c>
      <c r="APF54">
        <v>0.648295131167775</v>
      </c>
      <c r="APG54">
        <v>0.121668097316292</v>
      </c>
      <c r="APH54">
        <v>0.313037820754712</v>
      </c>
      <c r="API54">
        <v>0.122448071137904</v>
      </c>
      <c r="APJ54">
        <v>0.189370942109557</v>
      </c>
      <c r="APK54">
        <v>0.648295196882971</v>
      </c>
      <c r="APL54" t="s">
        <v>1900</v>
      </c>
      <c r="APM54" t="s">
        <v>1900</v>
      </c>
      <c r="APN54" t="s">
        <v>1900</v>
      </c>
      <c r="APO54" t="s">
        <v>1900</v>
      </c>
      <c r="APP54" t="s">
        <v>1900</v>
      </c>
      <c r="APQ54">
        <v>0.122198173513007</v>
      </c>
      <c r="APR54">
        <v>0.31481849713916</v>
      </c>
      <c r="APS54">
        <v>0.122698515756831</v>
      </c>
      <c r="APT54">
        <v>0.189904031673149</v>
      </c>
      <c r="APU54">
        <v>0.655115963838085</v>
      </c>
      <c r="APV54">
        <v>0.122198173473684</v>
      </c>
      <c r="APW54">
        <v>0.31481849713916</v>
      </c>
      <c r="APX54">
        <v>0.122698515795427</v>
      </c>
      <c r="APY54">
        <v>0.189904031673149</v>
      </c>
      <c r="APZ54">
        <v>0.655115963589547</v>
      </c>
      <c r="AQA54">
        <v>0.229455706680904</v>
      </c>
      <c r="AQB54">
        <v>0.569888046615366</v>
      </c>
      <c r="AQC54">
        <v>0.196384591777043</v>
      </c>
      <c r="AQD54">
        <v>0.256365190055667</v>
      </c>
      <c r="AQE54">
        <v>0.945286538948352</v>
      </c>
      <c r="AQF54" t="s">
        <v>1900</v>
      </c>
      <c r="AQG54" t="s">
        <v>1900</v>
      </c>
      <c r="AQH54" t="s">
        <v>1900</v>
      </c>
      <c r="AQI54" t="s">
        <v>1900</v>
      </c>
      <c r="AQJ54" t="s">
        <v>1900</v>
      </c>
      <c r="AQK54">
        <v>7</v>
      </c>
      <c r="AQO54" t="s">
        <v>1903</v>
      </c>
      <c r="AQP54">
        <v>4</v>
      </c>
      <c r="AQQ54">
        <v>0</v>
      </c>
      <c r="AQS54" t="s">
        <v>1905</v>
      </c>
      <c r="AQU54" t="s">
        <v>1906</v>
      </c>
      <c r="AQV54">
        <v>3242472.65278591</v>
      </c>
      <c r="AQW54">
        <v>3197579.83658454</v>
      </c>
      <c r="AQX54">
        <v>3401005.58826772</v>
      </c>
      <c r="AQY54">
        <v>14065.328436408</v>
      </c>
      <c r="AQZ54">
        <v>21097.1556681442</v>
      </c>
      <c r="ARA54">
        <v>10290.8718425632</v>
      </c>
      <c r="ARB54">
        <v>9841058.07763817</v>
      </c>
      <c r="ARC54">
        <v>45453.3559471154</v>
      </c>
      <c r="ARD54">
        <v>0.004640178655480557</v>
      </c>
      <c r="ARE54">
        <v>0.004640178655480557</v>
      </c>
      <c r="ARF54">
        <v>0.004640178655480557</v>
      </c>
      <c r="ARG54">
        <v>0.004640178655480557</v>
      </c>
      <c r="ARH54">
        <v>0.004640178655480557</v>
      </c>
      <c r="ARI54">
        <v>0.004640178655480557</v>
      </c>
      <c r="ARJ54" t="s">
        <v>1215</v>
      </c>
      <c r="ARK54" t="s">
        <v>1553</v>
      </c>
      <c r="ARL54" t="s">
        <v>1908</v>
      </c>
      <c r="ARM54" t="s">
        <v>1908</v>
      </c>
      <c r="ARN54" t="s">
        <v>1909</v>
      </c>
      <c r="ARO54" t="s">
        <v>1908</v>
      </c>
      <c r="ARP54" t="s">
        <v>1907</v>
      </c>
      <c r="ARQ54" t="s">
        <v>1953</v>
      </c>
      <c r="ARR54">
        <f>HYPERLINK("C:\Users\Usuario\Documents\Proyectos\llmthon\evidence\gtyabogados_com_234501.png", "Ver Evidencia")</f>
        <v>0</v>
      </c>
      <c r="ARS54">
        <v>100</v>
      </c>
    </row>
    <row r="55" spans="1:1163">
      <c r="A55">
        <v>206</v>
      </c>
      <c r="B55" t="s">
        <v>1216</v>
      </c>
      <c r="C55" t="s">
        <v>1339</v>
      </c>
      <c r="E55" s="2">
        <v>34997</v>
      </c>
      <c r="F55" t="s">
        <v>1431</v>
      </c>
      <c r="G55" t="s">
        <v>1433</v>
      </c>
      <c r="H55" t="s">
        <v>1434</v>
      </c>
      <c r="I55" t="s">
        <v>1437</v>
      </c>
      <c r="J55" t="s">
        <v>1453</v>
      </c>
      <c r="L55" t="s">
        <v>1554</v>
      </c>
      <c r="N55" t="s">
        <v>1640</v>
      </c>
      <c r="O55" t="s">
        <v>1664</v>
      </c>
      <c r="P55">
        <v>8299</v>
      </c>
      <c r="Q55">
        <v>8299</v>
      </c>
      <c r="R55" t="s">
        <v>1724</v>
      </c>
      <c r="Z55" t="s">
        <v>1899</v>
      </c>
      <c r="AA55" s="2">
        <v>45657</v>
      </c>
      <c r="AB55">
        <v>2024</v>
      </c>
      <c r="AC55">
        <v>4068103.20783752</v>
      </c>
      <c r="AD55">
        <v>3946531.70265493</v>
      </c>
      <c r="AE55">
        <v>3540235.89209129</v>
      </c>
      <c r="AF55">
        <v>3061172.82283208</v>
      </c>
      <c r="AG55">
        <v>2454410.45755574</v>
      </c>
      <c r="AH55">
        <v>4068103.20783752</v>
      </c>
      <c r="AI55">
        <v>3946531.70265493</v>
      </c>
      <c r="AJ55">
        <v>3540233.3642505</v>
      </c>
      <c r="AK55">
        <v>3061172.82283208</v>
      </c>
      <c r="AL55">
        <v>2454410.45755574</v>
      </c>
      <c r="AM55">
        <v>83962.4895482397</v>
      </c>
      <c r="AN55">
        <v>83396.630577383</v>
      </c>
      <c r="AO55">
        <v>61025.7563705742</v>
      </c>
      <c r="AP55">
        <v>140275.49284029</v>
      </c>
      <c r="AQ55">
        <v>75808.86945159431</v>
      </c>
      <c r="AR55">
        <v>3984140.71828928</v>
      </c>
      <c r="AS55">
        <v>3863135.07207755</v>
      </c>
      <c r="AT55">
        <v>3479210.13572072</v>
      </c>
      <c r="AU55">
        <v>2920897.32999179</v>
      </c>
      <c r="AV55">
        <v>2378601.58810415</v>
      </c>
      <c r="AW55">
        <v>3553885.70947875</v>
      </c>
      <c r="AX55">
        <v>3424472.83600633</v>
      </c>
      <c r="AY55">
        <v>3115145.78051643</v>
      </c>
      <c r="AZ55">
        <v>2600107.2752836</v>
      </c>
      <c r="BA55">
        <v>2102808.40560846</v>
      </c>
      <c r="BB55">
        <v>430255.008810539</v>
      </c>
      <c r="BC55">
        <v>438662.234966221</v>
      </c>
      <c r="BD55">
        <v>364064.35520429</v>
      </c>
      <c r="BE55">
        <v>320790.054708195</v>
      </c>
      <c r="BF55">
        <v>275793.181268591</v>
      </c>
      <c r="BG55">
        <v>4851.60891103148</v>
      </c>
      <c r="BH55">
        <v>73.5709330177307</v>
      </c>
      <c r="BI55">
        <v>457.752502375841</v>
      </c>
      <c r="BJ55">
        <v>-84.9891944718361</v>
      </c>
      <c r="BK55">
        <v>1181.79356619656</v>
      </c>
      <c r="BL55">
        <v>4935.96755375266</v>
      </c>
      <c r="BM55">
        <v>307.598988046646</v>
      </c>
      <c r="BN55">
        <v>459.821705383062</v>
      </c>
      <c r="BO55">
        <v>798.392608737945</v>
      </c>
      <c r="BP55">
        <v>2551.28669543266</v>
      </c>
      <c r="BQ55">
        <v>84.3586427211762</v>
      </c>
      <c r="BR55">
        <v>234.028055028915</v>
      </c>
      <c r="BS55">
        <v>2.06920300722122</v>
      </c>
      <c r="BT55">
        <v>883.382935810089</v>
      </c>
      <c r="BU55">
        <v>1369.4919021368</v>
      </c>
      <c r="BV55">
        <v>435106.617721571</v>
      </c>
      <c r="BW55">
        <v>438735.805899239</v>
      </c>
      <c r="BX55">
        <v>364522.107706666</v>
      </c>
      <c r="BY55">
        <v>320705.064381123</v>
      </c>
      <c r="BZ55">
        <v>276974.976061887</v>
      </c>
      <c r="CA55">
        <v>108793.622257144</v>
      </c>
      <c r="CB55">
        <v>110285.823144922</v>
      </c>
      <c r="CC55">
        <v>91130.5269266665</v>
      </c>
      <c r="CD55">
        <v>84135.8027921677</v>
      </c>
      <c r="CE55">
        <v>69312.7652833164</v>
      </c>
      <c r="CF55">
        <v>326312.995464426</v>
      </c>
      <c r="CG55">
        <v>328449.982754316</v>
      </c>
      <c r="CH55">
        <v>273391.580779999</v>
      </c>
      <c r="CI55">
        <v>236569.261588955</v>
      </c>
      <c r="CJ55">
        <v>207662.209551471</v>
      </c>
      <c r="CK55" t="s">
        <v>1900</v>
      </c>
      <c r="CL55" t="s">
        <v>1900</v>
      </c>
      <c r="CM55" t="s">
        <v>1900</v>
      </c>
      <c r="CN55" t="s">
        <v>1900</v>
      </c>
      <c r="CO55" t="s">
        <v>1900</v>
      </c>
      <c r="CP55" t="s">
        <v>1900</v>
      </c>
      <c r="CQ55" t="s">
        <v>1900</v>
      </c>
      <c r="CR55" t="s">
        <v>1900</v>
      </c>
      <c r="CS55" t="s">
        <v>1900</v>
      </c>
      <c r="CT55" t="s">
        <v>1900</v>
      </c>
      <c r="CU55" t="s">
        <v>1900</v>
      </c>
      <c r="CV55" t="s">
        <v>1900</v>
      </c>
      <c r="CW55" t="s">
        <v>1900</v>
      </c>
      <c r="CX55" t="s">
        <v>1900</v>
      </c>
      <c r="CY55" t="s">
        <v>1900</v>
      </c>
      <c r="CZ55">
        <v>326312.995464426</v>
      </c>
      <c r="DA55">
        <v>328449.982754316</v>
      </c>
      <c r="DB55">
        <v>273391.580779999</v>
      </c>
      <c r="DC55">
        <v>236569.261588955</v>
      </c>
      <c r="DD55">
        <v>207662.209551471</v>
      </c>
      <c r="DE55" t="s">
        <v>1900</v>
      </c>
      <c r="DF55" t="s">
        <v>1900</v>
      </c>
      <c r="DG55" t="s">
        <v>1900</v>
      </c>
      <c r="DH55" t="s">
        <v>1900</v>
      </c>
      <c r="DI55" t="s">
        <v>1900</v>
      </c>
      <c r="DJ55">
        <v>83962.4895482397</v>
      </c>
      <c r="DK55">
        <v>83396.630577383</v>
      </c>
      <c r="DL55">
        <v>61025.7563705742</v>
      </c>
      <c r="DM55">
        <v>140275.49284029</v>
      </c>
      <c r="DN55">
        <v>75808.86945159431</v>
      </c>
      <c r="DO55">
        <v>327117.082931093</v>
      </c>
      <c r="DP55">
        <v>263809.597444506</v>
      </c>
      <c r="DQ55">
        <v>250320.873859048</v>
      </c>
      <c r="DR55">
        <v>251554.039348841</v>
      </c>
      <c r="DS55">
        <v>230002.228429323</v>
      </c>
      <c r="DT55">
        <v>3781.13721308231</v>
      </c>
      <c r="DU55">
        <v>3894.03279759407</v>
      </c>
      <c r="DV55">
        <v>708.58470402956</v>
      </c>
      <c r="DW55">
        <v>1228.12381739616</v>
      </c>
      <c r="DX55">
        <v>1982.2316663146</v>
      </c>
      <c r="DY55">
        <v>3222987.48933457</v>
      </c>
      <c r="DZ55">
        <v>3156769.20576423</v>
      </c>
      <c r="EA55">
        <v>2864116.32195335</v>
      </c>
      <c r="EB55">
        <v>2347325.11211736</v>
      </c>
      <c r="EC55">
        <v>1870823.94673992</v>
      </c>
      <c r="ED55">
        <v>84.3586427211762</v>
      </c>
      <c r="EE55">
        <v>234.028055028915</v>
      </c>
      <c r="EF55">
        <v>2.06920300722122</v>
      </c>
      <c r="EG55">
        <v>883.382935810089</v>
      </c>
      <c r="EH55">
        <v>1369.4919021368</v>
      </c>
      <c r="EI55" t="s">
        <v>1900</v>
      </c>
      <c r="EJ55" t="s">
        <v>1900</v>
      </c>
      <c r="EK55" t="s">
        <v>1900</v>
      </c>
      <c r="EL55" t="s">
        <v>1900</v>
      </c>
      <c r="EM55" t="s">
        <v>1900</v>
      </c>
      <c r="EN55">
        <v>330094.132677509</v>
      </c>
      <c r="EO55">
        <v>332344.01555191</v>
      </c>
      <c r="EP55">
        <v>274100.165484029</v>
      </c>
      <c r="EQ55">
        <v>237797.385406351</v>
      </c>
      <c r="ER55">
        <v>209644.441217785</v>
      </c>
      <c r="ES55">
        <v>766089.196508467</v>
      </c>
      <c r="ET55">
        <v>706673.464196367</v>
      </c>
      <c r="EU55">
        <v>615553.634406151</v>
      </c>
      <c r="EV55">
        <v>574370.61048317</v>
      </c>
      <c r="EW55">
        <v>510328.926832562</v>
      </c>
      <c r="EX55">
        <v>434036.146023622</v>
      </c>
      <c r="EY55">
        <v>442556.267763815</v>
      </c>
      <c r="EZ55">
        <v>364772.93990832</v>
      </c>
      <c r="FA55">
        <v>322018.178525591</v>
      </c>
      <c r="FB55">
        <v>277775.412934905</v>
      </c>
      <c r="FC55">
        <v>40872.9259658957</v>
      </c>
      <c r="FD55">
        <v>41071.431932354</v>
      </c>
      <c r="FE55">
        <v>40121.4730001986</v>
      </c>
      <c r="FF55">
        <v>31879.0516821384</v>
      </c>
      <c r="FG55">
        <v>14775.6499163628</v>
      </c>
      <c r="FH55">
        <v>3804.12805992246</v>
      </c>
      <c r="FI55">
        <v>3454.64040040016</v>
      </c>
      <c r="FJ55">
        <v>4097.46992608309</v>
      </c>
      <c r="FK55">
        <v>245.38918261528</v>
      </c>
      <c r="FL55">
        <v>531.738939422369</v>
      </c>
      <c r="FM55">
        <v>8655.911506076811</v>
      </c>
      <c r="FN55">
        <v>7490.03591143608</v>
      </c>
      <c r="FO55">
        <v>6944.21329424977</v>
      </c>
      <c r="FP55">
        <v>754.42506480217</v>
      </c>
      <c r="FQ55">
        <v>1882.08809248805</v>
      </c>
      <c r="FR55">
        <v>28412.8843220973</v>
      </c>
      <c r="FS55">
        <v>30126.7556205177</v>
      </c>
      <c r="FT55">
        <v>29079.7897798657</v>
      </c>
      <c r="FU55">
        <v>30879.237434721</v>
      </c>
      <c r="FV55">
        <v>12361.8228844523</v>
      </c>
      <c r="FW55">
        <v>3804.12805992246</v>
      </c>
      <c r="FX55">
        <v>3454.64040040016</v>
      </c>
      <c r="FY55">
        <v>4097.46992608309</v>
      </c>
      <c r="FZ55">
        <v>245.38918261528</v>
      </c>
      <c r="GA55">
        <v>531.738939422369</v>
      </c>
      <c r="GB55">
        <v>8655.911506076811</v>
      </c>
      <c r="GC55">
        <v>7490.03591143608</v>
      </c>
      <c r="GD55">
        <v>6944.21329424977</v>
      </c>
      <c r="GE55">
        <v>754.42506480217</v>
      </c>
      <c r="GF55">
        <v>1882.08809248805</v>
      </c>
      <c r="GG55">
        <v>28412.8843220973</v>
      </c>
      <c r="GH55">
        <v>30126.7556205177</v>
      </c>
      <c r="GI55">
        <v>29079.7897798657</v>
      </c>
      <c r="GJ55">
        <v>30879.237434721</v>
      </c>
      <c r="GK55">
        <v>12361.8228844523</v>
      </c>
      <c r="GL55">
        <v>4600450.29274868</v>
      </c>
      <c r="GM55">
        <v>4340504.12631492</v>
      </c>
      <c r="GN55">
        <v>3732402.58338402</v>
      </c>
      <c r="GO55">
        <v>3172992.09537942</v>
      </c>
      <c r="GP55">
        <v>2672078.43602187</v>
      </c>
      <c r="GQ55">
        <v>0</v>
      </c>
      <c r="GR55">
        <v>0</v>
      </c>
      <c r="GS55">
        <v>0</v>
      </c>
      <c r="GT55">
        <v>0</v>
      </c>
      <c r="GU55">
        <v>0</v>
      </c>
      <c r="GV55">
        <v>3116412.61365994</v>
      </c>
      <c r="GW55">
        <v>2895655.96533482</v>
      </c>
      <c r="GX55">
        <v>2694372.9116922</v>
      </c>
      <c r="GY55">
        <v>2323560.0203639</v>
      </c>
      <c r="GZ55">
        <v>1548866.34496028</v>
      </c>
      <c r="HA55">
        <v>1484037.67804984</v>
      </c>
      <c r="HB55">
        <v>1444848.1598751</v>
      </c>
      <c r="HC55">
        <v>1038029.67169182</v>
      </c>
      <c r="HD55">
        <v>849432.075015521</v>
      </c>
      <c r="HE55">
        <v>1123212.09106159</v>
      </c>
      <c r="HF55">
        <v>1472271.20677845</v>
      </c>
      <c r="HG55">
        <v>1432260.68043099</v>
      </c>
      <c r="HH55">
        <v>1038029.67169182</v>
      </c>
      <c r="HI55">
        <v>849432.075015521</v>
      </c>
      <c r="HJ55">
        <v>1123212.09106159</v>
      </c>
      <c r="HK55">
        <v>4641323.21871458</v>
      </c>
      <c r="HL55">
        <v>4381575.55824727</v>
      </c>
      <c r="HM55">
        <v>3772524.05638422</v>
      </c>
      <c r="HN55">
        <v>3204871.14706156</v>
      </c>
      <c r="HO55">
        <v>2686854.08593823</v>
      </c>
      <c r="HP55">
        <v>1785279.98199912</v>
      </c>
      <c r="HQ55">
        <v>1602349.53926478</v>
      </c>
      <c r="HR55">
        <v>1229628.43075503</v>
      </c>
      <c r="HS55">
        <v>966016.049818325</v>
      </c>
      <c r="HT55">
        <v>786905.391353065</v>
      </c>
      <c r="HU55">
        <v>20729.3703195095</v>
      </c>
      <c r="HV55">
        <v>22765.52961689</v>
      </c>
      <c r="HW55">
        <v>21974.3813049555</v>
      </c>
      <c r="HX55">
        <v>21823.0106802464</v>
      </c>
      <c r="HY55">
        <v>23643.8229273915</v>
      </c>
      <c r="HZ55">
        <v>1764550.61167961</v>
      </c>
      <c r="IA55">
        <v>1579584.00964789</v>
      </c>
      <c r="IB55">
        <v>1207654.04945008</v>
      </c>
      <c r="IC55">
        <v>944193.039138079</v>
      </c>
      <c r="ID55">
        <v>763261.5684256729</v>
      </c>
      <c r="IE55">
        <v>0</v>
      </c>
      <c r="IF55">
        <v>0</v>
      </c>
      <c r="IG55">
        <v>0</v>
      </c>
      <c r="IH55">
        <v>0</v>
      </c>
      <c r="II55">
        <v>0</v>
      </c>
      <c r="IJ55" t="s">
        <v>1900</v>
      </c>
      <c r="IK55" t="s">
        <v>1900</v>
      </c>
      <c r="IL55" t="s">
        <v>1900</v>
      </c>
      <c r="IM55" t="s">
        <v>1900</v>
      </c>
      <c r="IN55" t="s">
        <v>1900</v>
      </c>
      <c r="IO55" t="s">
        <v>1900</v>
      </c>
      <c r="IP55" t="s">
        <v>1900</v>
      </c>
      <c r="IQ55" t="s">
        <v>1900</v>
      </c>
      <c r="IR55" t="s">
        <v>1900</v>
      </c>
      <c r="IS55" t="s">
        <v>1900</v>
      </c>
      <c r="IT55" t="s">
        <v>1900</v>
      </c>
      <c r="IU55" t="s">
        <v>1900</v>
      </c>
      <c r="IV55" t="s">
        <v>1900</v>
      </c>
      <c r="IW55" t="s">
        <v>1900</v>
      </c>
      <c r="IX55" t="s">
        <v>1900</v>
      </c>
      <c r="IY55">
        <v>2856043.23671545</v>
      </c>
      <c r="IZ55">
        <v>2779226.01898249</v>
      </c>
      <c r="JA55">
        <v>2542895.62562919</v>
      </c>
      <c r="JB55">
        <v>2238855.09724324</v>
      </c>
      <c r="JC55">
        <v>1899948.69458517</v>
      </c>
      <c r="JD55">
        <v>0</v>
      </c>
      <c r="JE55">
        <v>0</v>
      </c>
      <c r="JF55">
        <v>0</v>
      </c>
      <c r="JG55">
        <v>0</v>
      </c>
      <c r="JH55">
        <v>0</v>
      </c>
      <c r="JI55">
        <v>0</v>
      </c>
      <c r="JJ55">
        <v>0</v>
      </c>
      <c r="JK55">
        <v>0</v>
      </c>
      <c r="JL55">
        <v>0</v>
      </c>
      <c r="JM55">
        <v>0</v>
      </c>
      <c r="JN55">
        <v>2856043.23671545</v>
      </c>
      <c r="JO55">
        <v>2779226.01898249</v>
      </c>
      <c r="JP55">
        <v>2542895.62562919</v>
      </c>
      <c r="JQ55">
        <v>2238855.09724324</v>
      </c>
      <c r="JR55">
        <v>1899948.69458517</v>
      </c>
      <c r="JS55">
        <v>4641323.21871458</v>
      </c>
      <c r="JT55">
        <v>4381575.55824727</v>
      </c>
      <c r="JU55">
        <v>3772524.05638422</v>
      </c>
      <c r="JV55">
        <v>3204871.14706156</v>
      </c>
      <c r="JW55">
        <v>2686854.08593823</v>
      </c>
      <c r="JX55">
        <v>3116412.61365994</v>
      </c>
      <c r="JY55">
        <v>2895655.96533482</v>
      </c>
      <c r="JZ55">
        <v>2694372.9116922</v>
      </c>
      <c r="KA55">
        <v>2323560.0203639</v>
      </c>
      <c r="KB55">
        <v>1548866.34496028</v>
      </c>
      <c r="KC55" t="s">
        <v>1900</v>
      </c>
      <c r="KD55" t="s">
        <v>1900</v>
      </c>
      <c r="KE55" t="s">
        <v>1900</v>
      </c>
      <c r="KF55" t="s">
        <v>1900</v>
      </c>
      <c r="KG55" t="s">
        <v>1900</v>
      </c>
      <c r="KH55" t="s">
        <v>1900</v>
      </c>
      <c r="KI55" t="s">
        <v>1900</v>
      </c>
      <c r="KJ55" t="s">
        <v>1900</v>
      </c>
      <c r="KK55" t="s">
        <v>1900</v>
      </c>
      <c r="KL55" t="s">
        <v>1900</v>
      </c>
      <c r="KM55">
        <v>5</v>
      </c>
      <c r="KN55">
        <v>3</v>
      </c>
      <c r="KO55">
        <v>3</v>
      </c>
      <c r="KP55">
        <v>3</v>
      </c>
      <c r="KQ55">
        <v>2</v>
      </c>
      <c r="KR55" t="s">
        <v>1900</v>
      </c>
      <c r="KS55" t="s">
        <v>1900</v>
      </c>
      <c r="KT55" t="s">
        <v>1900</v>
      </c>
      <c r="KU55" t="s">
        <v>1900</v>
      </c>
      <c r="KV55" t="s">
        <v>1900</v>
      </c>
      <c r="KW55" t="s">
        <v>1900</v>
      </c>
      <c r="KX55" t="s">
        <v>1900</v>
      </c>
      <c r="KY55" t="s">
        <v>1900</v>
      </c>
      <c r="KZ55" t="s">
        <v>1900</v>
      </c>
      <c r="LA55" t="s">
        <v>1900</v>
      </c>
      <c r="LB55" t="s">
        <v>1900</v>
      </c>
      <c r="LC55" t="s">
        <v>1900</v>
      </c>
      <c r="LD55" t="s">
        <v>1900</v>
      </c>
      <c r="LE55" t="s">
        <v>1900</v>
      </c>
      <c r="LF55" t="s">
        <v>1900</v>
      </c>
      <c r="LG55" t="s">
        <v>1900</v>
      </c>
      <c r="LH55" t="s">
        <v>1900</v>
      </c>
      <c r="LI55" t="s">
        <v>1900</v>
      </c>
      <c r="LJ55" t="s">
        <v>1900</v>
      </c>
      <c r="LK55" t="s">
        <v>1900</v>
      </c>
      <c r="LL55" t="s">
        <v>1900</v>
      </c>
      <c r="LM55" t="s">
        <v>1900</v>
      </c>
      <c r="LN55" t="s">
        <v>1900</v>
      </c>
      <c r="LO55" t="s">
        <v>1900</v>
      </c>
      <c r="LP55" t="s">
        <v>1900</v>
      </c>
      <c r="LQ55" t="s">
        <v>1900</v>
      </c>
      <c r="LR55" t="s">
        <v>1900</v>
      </c>
      <c r="LS55" t="s">
        <v>1900</v>
      </c>
      <c r="LT55" t="s">
        <v>1900</v>
      </c>
      <c r="LU55" t="s">
        <v>1900</v>
      </c>
      <c r="LV55" t="s">
        <v>1900</v>
      </c>
      <c r="LW55" t="s">
        <v>1900</v>
      </c>
      <c r="LX55" t="s">
        <v>1900</v>
      </c>
      <c r="LY55" t="s">
        <v>1900</v>
      </c>
      <c r="LZ55" t="s">
        <v>1900</v>
      </c>
      <c r="MA55" t="s">
        <v>1900</v>
      </c>
      <c r="MB55" t="s">
        <v>1900</v>
      </c>
      <c r="MC55" t="s">
        <v>1900</v>
      </c>
      <c r="MD55" t="s">
        <v>1900</v>
      </c>
      <c r="ME55" t="s">
        <v>1900</v>
      </c>
      <c r="MF55" t="s">
        <v>1900</v>
      </c>
      <c r="MG55" t="s">
        <v>1900</v>
      </c>
      <c r="MH55" t="s">
        <v>1900</v>
      </c>
      <c r="MI55" t="s">
        <v>1900</v>
      </c>
      <c r="MJ55" t="s">
        <v>1900</v>
      </c>
      <c r="MK55" t="s">
        <v>1900</v>
      </c>
      <c r="ML55" t="s">
        <v>1900</v>
      </c>
      <c r="MM55" t="s">
        <v>1900</v>
      </c>
      <c r="MN55" t="s">
        <v>1900</v>
      </c>
      <c r="MO55" t="s">
        <v>1900</v>
      </c>
      <c r="MP55">
        <v>1484037.67804984</v>
      </c>
      <c r="MQ55">
        <v>1444848.1598751</v>
      </c>
      <c r="MR55">
        <v>1038029.67169182</v>
      </c>
      <c r="MS55">
        <v>849432.075015521</v>
      </c>
      <c r="MT55">
        <v>1123212.09106159</v>
      </c>
      <c r="MU55" t="s">
        <v>1900</v>
      </c>
      <c r="MV55" t="s">
        <v>1900</v>
      </c>
      <c r="MW55" t="s">
        <v>1900</v>
      </c>
      <c r="MX55" t="s">
        <v>1900</v>
      </c>
      <c r="MY55" t="s">
        <v>1900</v>
      </c>
      <c r="MZ55" t="s">
        <v>1900</v>
      </c>
      <c r="NA55" t="s">
        <v>1900</v>
      </c>
      <c r="NB55" t="s">
        <v>1900</v>
      </c>
      <c r="NC55" t="s">
        <v>1900</v>
      </c>
      <c r="ND55" t="s">
        <v>1900</v>
      </c>
      <c r="NE55" t="s">
        <v>1900</v>
      </c>
      <c r="NF55" t="s">
        <v>1900</v>
      </c>
      <c r="NG55" t="s">
        <v>1900</v>
      </c>
      <c r="NH55" t="s">
        <v>1900</v>
      </c>
      <c r="NI55" t="s">
        <v>1900</v>
      </c>
      <c r="NJ55" t="s">
        <v>1900</v>
      </c>
      <c r="NK55" t="s">
        <v>1900</v>
      </c>
      <c r="NL55" t="s">
        <v>1900</v>
      </c>
      <c r="NM55" t="s">
        <v>1900</v>
      </c>
      <c r="NN55" t="s">
        <v>1900</v>
      </c>
      <c r="NO55" t="s">
        <v>1900</v>
      </c>
      <c r="NP55" t="s">
        <v>1900</v>
      </c>
      <c r="NQ55" t="s">
        <v>1900</v>
      </c>
      <c r="NR55" t="s">
        <v>1900</v>
      </c>
      <c r="NS55" t="s">
        <v>1900</v>
      </c>
      <c r="NT55">
        <v>40872.9259658957</v>
      </c>
      <c r="NU55">
        <v>41071.431932354</v>
      </c>
      <c r="NV55">
        <v>40121.4730001986</v>
      </c>
      <c r="NW55">
        <v>31879.0516821384</v>
      </c>
      <c r="NX55">
        <v>14775.6499163628</v>
      </c>
      <c r="NY55" t="s">
        <v>1900</v>
      </c>
      <c r="NZ55" t="s">
        <v>1900</v>
      </c>
      <c r="OA55" t="s">
        <v>1900</v>
      </c>
      <c r="OB55" t="s">
        <v>1900</v>
      </c>
      <c r="OC55" t="s">
        <v>1900</v>
      </c>
      <c r="OD55" t="s">
        <v>1900</v>
      </c>
      <c r="OE55" t="s">
        <v>1900</v>
      </c>
      <c r="OF55" t="s">
        <v>1900</v>
      </c>
      <c r="OG55" t="s">
        <v>1900</v>
      </c>
      <c r="OH55" t="s">
        <v>1900</v>
      </c>
      <c r="OI55" t="s">
        <v>1900</v>
      </c>
      <c r="OJ55" t="s">
        <v>1900</v>
      </c>
      <c r="OK55" t="s">
        <v>1900</v>
      </c>
      <c r="OL55" t="s">
        <v>1900</v>
      </c>
      <c r="OM55" t="s">
        <v>1900</v>
      </c>
      <c r="ON55" t="s">
        <v>1900</v>
      </c>
      <c r="OO55" t="s">
        <v>1900</v>
      </c>
      <c r="OP55" t="s">
        <v>1900</v>
      </c>
      <c r="OQ55" t="s">
        <v>1900</v>
      </c>
      <c r="OR55" t="s">
        <v>1900</v>
      </c>
      <c r="OS55" t="s">
        <v>1900</v>
      </c>
      <c r="OT55" t="s">
        <v>1900</v>
      </c>
      <c r="OU55" t="s">
        <v>1900</v>
      </c>
      <c r="OV55" t="s">
        <v>1900</v>
      </c>
      <c r="OW55" t="s">
        <v>1900</v>
      </c>
      <c r="OX55" t="s">
        <v>1900</v>
      </c>
      <c r="OY55" t="s">
        <v>1900</v>
      </c>
      <c r="OZ55" t="s">
        <v>1900</v>
      </c>
      <c r="PA55" t="s">
        <v>1900</v>
      </c>
      <c r="PB55" t="s">
        <v>1900</v>
      </c>
      <c r="PC55" t="s">
        <v>1900</v>
      </c>
      <c r="PD55" t="s">
        <v>1900</v>
      </c>
      <c r="PE55" t="s">
        <v>1900</v>
      </c>
      <c r="PF55" t="s">
        <v>1900</v>
      </c>
      <c r="PG55" t="s">
        <v>1900</v>
      </c>
      <c r="PH55" t="s">
        <v>1900</v>
      </c>
      <c r="PI55" t="s">
        <v>1900</v>
      </c>
      <c r="PJ55" t="s">
        <v>1900</v>
      </c>
      <c r="PK55" t="s">
        <v>1900</v>
      </c>
      <c r="PL55" t="s">
        <v>1900</v>
      </c>
      <c r="PM55" t="s">
        <v>1900</v>
      </c>
      <c r="PN55" t="s">
        <v>1900</v>
      </c>
      <c r="PO55" t="s">
        <v>1900</v>
      </c>
      <c r="PP55" t="s">
        <v>1900</v>
      </c>
      <c r="PQ55" t="s">
        <v>1900</v>
      </c>
      <c r="PR55" t="s">
        <v>1900</v>
      </c>
      <c r="PS55" t="s">
        <v>1900</v>
      </c>
      <c r="PT55" t="s">
        <v>1900</v>
      </c>
      <c r="PU55" t="s">
        <v>1900</v>
      </c>
      <c r="PV55" t="s">
        <v>1900</v>
      </c>
      <c r="PW55" t="s">
        <v>1900</v>
      </c>
      <c r="PX55" t="s">
        <v>1900</v>
      </c>
      <c r="PY55" t="s">
        <v>1900</v>
      </c>
      <c r="PZ55" t="s">
        <v>1900</v>
      </c>
      <c r="QA55" t="s">
        <v>1900</v>
      </c>
      <c r="QB55" t="s">
        <v>1900</v>
      </c>
      <c r="QC55" t="s">
        <v>1900</v>
      </c>
      <c r="QD55" t="s">
        <v>1900</v>
      </c>
      <c r="QE55" t="s">
        <v>1900</v>
      </c>
      <c r="QF55" t="s">
        <v>1900</v>
      </c>
      <c r="QG55" t="s">
        <v>1900</v>
      </c>
      <c r="QH55" t="s">
        <v>1900</v>
      </c>
      <c r="QI55" t="s">
        <v>1900</v>
      </c>
      <c r="QJ55" t="s">
        <v>1900</v>
      </c>
      <c r="QK55" t="s">
        <v>1900</v>
      </c>
      <c r="QL55" t="s">
        <v>1900</v>
      </c>
      <c r="QM55" t="s">
        <v>1900</v>
      </c>
      <c r="QN55" t="s">
        <v>1900</v>
      </c>
      <c r="QO55" t="s">
        <v>1900</v>
      </c>
      <c r="QP55" t="s">
        <v>1900</v>
      </c>
      <c r="QQ55" t="s">
        <v>1900</v>
      </c>
      <c r="QR55" t="s">
        <v>1900</v>
      </c>
      <c r="QS55" t="s">
        <v>1900</v>
      </c>
      <c r="QT55" t="s">
        <v>1900</v>
      </c>
      <c r="QU55" t="s">
        <v>1900</v>
      </c>
      <c r="QV55" t="s">
        <v>1900</v>
      </c>
      <c r="QW55" t="s">
        <v>1900</v>
      </c>
      <c r="QX55" t="s">
        <v>1900</v>
      </c>
      <c r="QY55" t="s">
        <v>1900</v>
      </c>
      <c r="QZ55" t="s">
        <v>1900</v>
      </c>
      <c r="RA55" t="s">
        <v>1900</v>
      </c>
      <c r="RB55" t="s">
        <v>1900</v>
      </c>
      <c r="RC55" t="s">
        <v>1900</v>
      </c>
      <c r="RD55" t="s">
        <v>1900</v>
      </c>
      <c r="RE55" t="s">
        <v>1900</v>
      </c>
      <c r="RF55" t="s">
        <v>1900</v>
      </c>
      <c r="RG55" t="s">
        <v>1900</v>
      </c>
      <c r="RH55" t="s">
        <v>1900</v>
      </c>
      <c r="RI55" t="s">
        <v>1900</v>
      </c>
      <c r="RJ55" t="s">
        <v>1900</v>
      </c>
      <c r="RK55" t="s">
        <v>1900</v>
      </c>
      <c r="RL55" t="s">
        <v>1900</v>
      </c>
      <c r="RM55" t="s">
        <v>1900</v>
      </c>
      <c r="RN55" t="s">
        <v>1900</v>
      </c>
      <c r="RO55" t="s">
        <v>1900</v>
      </c>
      <c r="RP55" t="s">
        <v>1900</v>
      </c>
      <c r="RQ55" t="s">
        <v>1900</v>
      </c>
      <c r="RR55" t="s">
        <v>1900</v>
      </c>
      <c r="RS55" t="s">
        <v>1900</v>
      </c>
      <c r="RT55" t="s">
        <v>1900</v>
      </c>
      <c r="RU55" t="s">
        <v>1900</v>
      </c>
      <c r="RV55" t="s">
        <v>1900</v>
      </c>
      <c r="RW55" t="s">
        <v>1900</v>
      </c>
      <c r="RX55" t="s">
        <v>1900</v>
      </c>
      <c r="RY55" t="s">
        <v>1900</v>
      </c>
      <c r="RZ55" t="s">
        <v>1900</v>
      </c>
      <c r="SA55" t="s">
        <v>1900</v>
      </c>
      <c r="SB55" t="s">
        <v>1900</v>
      </c>
      <c r="SC55" t="s">
        <v>1900</v>
      </c>
      <c r="SD55" t="s">
        <v>1900</v>
      </c>
      <c r="SE55" t="s">
        <v>1900</v>
      </c>
      <c r="SF55" t="s">
        <v>1900</v>
      </c>
      <c r="SG55" t="s">
        <v>1900</v>
      </c>
      <c r="SH55" t="s">
        <v>1900</v>
      </c>
      <c r="SI55" t="s">
        <v>1900</v>
      </c>
      <c r="SJ55">
        <v>28412.8843220973</v>
      </c>
      <c r="SK55">
        <v>30126.7556205177</v>
      </c>
      <c r="SL55">
        <v>29079.7897798657</v>
      </c>
      <c r="SM55">
        <v>30879.237434721</v>
      </c>
      <c r="SN55">
        <v>12361.8228844523</v>
      </c>
      <c r="SO55" t="s">
        <v>1900</v>
      </c>
      <c r="SP55" t="s">
        <v>1900</v>
      </c>
      <c r="SQ55" t="s">
        <v>1900</v>
      </c>
      <c r="SR55" t="s">
        <v>1900</v>
      </c>
      <c r="SS55" t="s">
        <v>1900</v>
      </c>
      <c r="ST55" t="s">
        <v>1900</v>
      </c>
      <c r="SU55" t="s">
        <v>1900</v>
      </c>
      <c r="SV55" t="s">
        <v>1900</v>
      </c>
      <c r="SW55" t="s">
        <v>1900</v>
      </c>
      <c r="SX55" t="s">
        <v>1900</v>
      </c>
      <c r="SY55" t="s">
        <v>1900</v>
      </c>
      <c r="SZ55" t="s">
        <v>1900</v>
      </c>
      <c r="TA55" t="s">
        <v>1900</v>
      </c>
      <c r="TB55" t="s">
        <v>1900</v>
      </c>
      <c r="TC55" t="s">
        <v>1900</v>
      </c>
      <c r="TD55" t="s">
        <v>1900</v>
      </c>
      <c r="TE55" t="s">
        <v>1900</v>
      </c>
      <c r="TF55" t="s">
        <v>1900</v>
      </c>
      <c r="TG55" t="s">
        <v>1900</v>
      </c>
      <c r="TH55" t="s">
        <v>1900</v>
      </c>
      <c r="TI55" t="s">
        <v>1900</v>
      </c>
      <c r="TJ55" t="s">
        <v>1900</v>
      </c>
      <c r="TK55" t="s">
        <v>1900</v>
      </c>
      <c r="TL55" t="s">
        <v>1900</v>
      </c>
      <c r="TM55" t="s">
        <v>1900</v>
      </c>
      <c r="TN55" t="s">
        <v>1900</v>
      </c>
      <c r="TO55" t="s">
        <v>1900</v>
      </c>
      <c r="TP55" t="s">
        <v>1900</v>
      </c>
      <c r="TQ55" t="s">
        <v>1900</v>
      </c>
      <c r="TR55" t="s">
        <v>1900</v>
      </c>
      <c r="TS55">
        <v>4641323.21871458</v>
      </c>
      <c r="TT55">
        <v>4381575.55824727</v>
      </c>
      <c r="TU55">
        <v>3772524.05638422</v>
      </c>
      <c r="TV55">
        <v>3204871.14706156</v>
      </c>
      <c r="TW55">
        <v>2686854.08593823</v>
      </c>
      <c r="TX55" t="s">
        <v>1900</v>
      </c>
      <c r="TY55" t="s">
        <v>1900</v>
      </c>
      <c r="TZ55" t="s">
        <v>1900</v>
      </c>
      <c r="UA55" t="s">
        <v>1900</v>
      </c>
      <c r="UB55" t="s">
        <v>1900</v>
      </c>
      <c r="UC55">
        <v>0</v>
      </c>
      <c r="UD55">
        <v>0</v>
      </c>
      <c r="UE55">
        <v>0</v>
      </c>
      <c r="UF55">
        <v>0</v>
      </c>
      <c r="UG55">
        <v>0</v>
      </c>
      <c r="UH55" t="s">
        <v>1900</v>
      </c>
      <c r="UI55" t="s">
        <v>1900</v>
      </c>
      <c r="UJ55" t="s">
        <v>1900</v>
      </c>
      <c r="UK55" t="s">
        <v>1900</v>
      </c>
      <c r="UL55" t="s">
        <v>1900</v>
      </c>
      <c r="UM55" t="s">
        <v>1900</v>
      </c>
      <c r="UN55" t="s">
        <v>1900</v>
      </c>
      <c r="UO55" t="s">
        <v>1900</v>
      </c>
      <c r="UP55" t="s">
        <v>1900</v>
      </c>
      <c r="UQ55" t="s">
        <v>1900</v>
      </c>
      <c r="UR55" t="s">
        <v>1900</v>
      </c>
      <c r="US55" t="s">
        <v>1900</v>
      </c>
      <c r="UT55" t="s">
        <v>1900</v>
      </c>
      <c r="UU55" t="s">
        <v>1900</v>
      </c>
      <c r="UV55" t="s">
        <v>1900</v>
      </c>
      <c r="UW55" t="s">
        <v>1900</v>
      </c>
      <c r="UX55" t="s">
        <v>1900</v>
      </c>
      <c r="UY55" t="s">
        <v>1900</v>
      </c>
      <c r="UZ55" t="s">
        <v>1900</v>
      </c>
      <c r="VA55" t="s">
        <v>1900</v>
      </c>
      <c r="VB55" t="s">
        <v>1900</v>
      </c>
      <c r="VC55" t="s">
        <v>1900</v>
      </c>
      <c r="VD55" t="s">
        <v>1900</v>
      </c>
      <c r="VE55" t="s">
        <v>1900</v>
      </c>
      <c r="VF55" t="s">
        <v>1900</v>
      </c>
      <c r="VG55" t="s">
        <v>1900</v>
      </c>
      <c r="VH55" t="s">
        <v>1900</v>
      </c>
      <c r="VI55" t="s">
        <v>1900</v>
      </c>
      <c r="VJ55" t="s">
        <v>1900</v>
      </c>
      <c r="VK55" t="s">
        <v>1900</v>
      </c>
      <c r="VL55" t="s">
        <v>1900</v>
      </c>
      <c r="VM55" t="s">
        <v>1900</v>
      </c>
      <c r="VN55" t="s">
        <v>1900</v>
      </c>
      <c r="VO55" t="s">
        <v>1900</v>
      </c>
      <c r="VP55" t="s">
        <v>1900</v>
      </c>
      <c r="VQ55" t="s">
        <v>1900</v>
      </c>
      <c r="VR55" t="s">
        <v>1900</v>
      </c>
      <c r="VS55" t="s">
        <v>1900</v>
      </c>
      <c r="VT55" t="s">
        <v>1900</v>
      </c>
      <c r="VU55" t="s">
        <v>1900</v>
      </c>
      <c r="VV55" t="s">
        <v>1900</v>
      </c>
      <c r="VW55" t="s">
        <v>1900</v>
      </c>
      <c r="VX55" t="s">
        <v>1900</v>
      </c>
      <c r="VY55" t="s">
        <v>1900</v>
      </c>
      <c r="VZ55" t="s">
        <v>1900</v>
      </c>
      <c r="WA55">
        <v>2856043.23671545</v>
      </c>
      <c r="WB55">
        <v>2779226.01898249</v>
      </c>
      <c r="WC55">
        <v>2542895.62562919</v>
      </c>
      <c r="WD55">
        <v>2238855.09724324</v>
      </c>
      <c r="WE55">
        <v>1899948.69458517</v>
      </c>
      <c r="WF55" t="s">
        <v>1900</v>
      </c>
      <c r="WG55" t="s">
        <v>1900</v>
      </c>
      <c r="WH55" t="s">
        <v>1900</v>
      </c>
      <c r="WI55" t="s">
        <v>1900</v>
      </c>
      <c r="WJ55" t="s">
        <v>1900</v>
      </c>
      <c r="WK55" t="s">
        <v>1900</v>
      </c>
      <c r="WL55" t="s">
        <v>1900</v>
      </c>
      <c r="WM55" t="s">
        <v>1900</v>
      </c>
      <c r="WN55" t="s">
        <v>1900</v>
      </c>
      <c r="WO55" t="s">
        <v>1900</v>
      </c>
      <c r="WP55" t="s">
        <v>1900</v>
      </c>
      <c r="WQ55" t="s">
        <v>1900</v>
      </c>
      <c r="WR55" t="s">
        <v>1900</v>
      </c>
      <c r="WS55" t="s">
        <v>1900</v>
      </c>
      <c r="WT55" t="s">
        <v>1900</v>
      </c>
      <c r="WU55" t="s">
        <v>1900</v>
      </c>
      <c r="WV55" t="s">
        <v>1900</v>
      </c>
      <c r="WW55" t="s">
        <v>1900</v>
      </c>
      <c r="WX55" t="s">
        <v>1900</v>
      </c>
      <c r="WY55" t="s">
        <v>1900</v>
      </c>
      <c r="WZ55" t="s">
        <v>1900</v>
      </c>
      <c r="XA55" t="s">
        <v>1900</v>
      </c>
      <c r="XB55" t="s">
        <v>1900</v>
      </c>
      <c r="XC55" t="s">
        <v>1900</v>
      </c>
      <c r="XD55" t="s">
        <v>1900</v>
      </c>
      <c r="XE55" t="s">
        <v>1900</v>
      </c>
      <c r="XF55" t="s">
        <v>1900</v>
      </c>
      <c r="XG55" t="s">
        <v>1900</v>
      </c>
      <c r="XH55" t="s">
        <v>1900</v>
      </c>
      <c r="XI55" t="s">
        <v>1900</v>
      </c>
      <c r="XJ55" t="s">
        <v>1900</v>
      </c>
      <c r="XK55" t="s">
        <v>1900</v>
      </c>
      <c r="XL55" t="s">
        <v>1900</v>
      </c>
      <c r="XM55" t="s">
        <v>1900</v>
      </c>
      <c r="XN55" t="s">
        <v>1900</v>
      </c>
      <c r="XO55" t="s">
        <v>1900</v>
      </c>
      <c r="XP55" t="s">
        <v>1900</v>
      </c>
      <c r="XQ55" t="s">
        <v>1900</v>
      </c>
      <c r="XR55" t="s">
        <v>1900</v>
      </c>
      <c r="XS55" t="s">
        <v>1900</v>
      </c>
      <c r="XT55" t="s">
        <v>1900</v>
      </c>
      <c r="XU55" t="s">
        <v>1900</v>
      </c>
      <c r="XV55" t="s">
        <v>1900</v>
      </c>
      <c r="XW55" t="s">
        <v>1900</v>
      </c>
      <c r="XX55" t="s">
        <v>1900</v>
      </c>
      <c r="XY55" t="s">
        <v>1900</v>
      </c>
      <c r="XZ55" t="s">
        <v>1900</v>
      </c>
      <c r="YA55" t="s">
        <v>1900</v>
      </c>
      <c r="YB55" t="s">
        <v>1900</v>
      </c>
      <c r="YC55" t="s">
        <v>1900</v>
      </c>
      <c r="YD55" t="s">
        <v>1900</v>
      </c>
      <c r="YE55" t="s">
        <v>1900</v>
      </c>
      <c r="YF55" t="s">
        <v>1900</v>
      </c>
      <c r="YG55" t="s">
        <v>1900</v>
      </c>
      <c r="YH55" t="s">
        <v>1900</v>
      </c>
      <c r="YI55" t="s">
        <v>1900</v>
      </c>
      <c r="YJ55" t="s">
        <v>1900</v>
      </c>
      <c r="YK55" t="s">
        <v>1900</v>
      </c>
      <c r="YL55" t="s">
        <v>1900</v>
      </c>
      <c r="YM55" t="s">
        <v>1900</v>
      </c>
      <c r="YN55" t="s">
        <v>1900</v>
      </c>
      <c r="YO55" t="s">
        <v>1900</v>
      </c>
      <c r="YP55" t="s">
        <v>1900</v>
      </c>
      <c r="YQ55" t="s">
        <v>1900</v>
      </c>
      <c r="YR55" t="s">
        <v>1900</v>
      </c>
      <c r="YS55" t="s">
        <v>1900</v>
      </c>
      <c r="YT55" t="s">
        <v>1900</v>
      </c>
      <c r="YU55" t="s">
        <v>1900</v>
      </c>
      <c r="YV55" t="s">
        <v>1900</v>
      </c>
      <c r="YW55" t="s">
        <v>1900</v>
      </c>
      <c r="YX55" t="s">
        <v>1900</v>
      </c>
      <c r="YY55" t="s">
        <v>1900</v>
      </c>
      <c r="YZ55" t="s">
        <v>1900</v>
      </c>
      <c r="ZA55" t="s">
        <v>1900</v>
      </c>
      <c r="ZB55" t="s">
        <v>1900</v>
      </c>
      <c r="ZC55" t="s">
        <v>1900</v>
      </c>
      <c r="ZD55" t="s">
        <v>1900</v>
      </c>
      <c r="ZE55" t="s">
        <v>1900</v>
      </c>
      <c r="ZF55" t="s">
        <v>1900</v>
      </c>
      <c r="ZG55" t="s">
        <v>1900</v>
      </c>
      <c r="ZH55" t="s">
        <v>1900</v>
      </c>
      <c r="ZI55" t="s">
        <v>1900</v>
      </c>
      <c r="ZJ55" t="s">
        <v>1900</v>
      </c>
      <c r="ZK55" t="s">
        <v>1900</v>
      </c>
      <c r="ZL55" t="s">
        <v>1900</v>
      </c>
      <c r="ZM55" t="s">
        <v>1900</v>
      </c>
      <c r="ZN55" t="s">
        <v>1900</v>
      </c>
      <c r="ZO55" t="s">
        <v>1900</v>
      </c>
      <c r="ZP55" t="s">
        <v>1900</v>
      </c>
      <c r="ZQ55" t="s">
        <v>1900</v>
      </c>
      <c r="ZR55" t="s">
        <v>1900</v>
      </c>
      <c r="ZS55" t="s">
        <v>1900</v>
      </c>
      <c r="ZT55" t="s">
        <v>1900</v>
      </c>
      <c r="ZU55" t="s">
        <v>1900</v>
      </c>
      <c r="ZV55" t="s">
        <v>1900</v>
      </c>
      <c r="ZW55" t="s">
        <v>1900</v>
      </c>
      <c r="ZX55" t="s">
        <v>1900</v>
      </c>
      <c r="ZY55" t="s">
        <v>1900</v>
      </c>
      <c r="ZZ55" t="s">
        <v>1900</v>
      </c>
      <c r="AAA55" t="s">
        <v>1900</v>
      </c>
      <c r="AAB55" t="s">
        <v>1900</v>
      </c>
      <c r="AAC55" t="s">
        <v>1900</v>
      </c>
      <c r="AAD55" t="s">
        <v>1900</v>
      </c>
      <c r="AAE55" t="s">
        <v>1900</v>
      </c>
      <c r="AAF55" t="s">
        <v>1900</v>
      </c>
      <c r="AAG55" t="s">
        <v>1900</v>
      </c>
      <c r="AAH55" t="s">
        <v>1900</v>
      </c>
      <c r="AAI55" t="s">
        <v>1900</v>
      </c>
      <c r="AAJ55" t="s">
        <v>1900</v>
      </c>
      <c r="AAK55" t="s">
        <v>1900</v>
      </c>
      <c r="AAL55" t="s">
        <v>1900</v>
      </c>
      <c r="AAM55" t="s">
        <v>1900</v>
      </c>
      <c r="AAN55" t="s">
        <v>1900</v>
      </c>
      <c r="AAO55" t="s">
        <v>1900</v>
      </c>
      <c r="AAP55" t="s">
        <v>1900</v>
      </c>
      <c r="AAQ55" t="s">
        <v>1900</v>
      </c>
      <c r="AAR55" t="s">
        <v>1900</v>
      </c>
      <c r="AAS55" t="s">
        <v>1900</v>
      </c>
      <c r="AAT55" t="s">
        <v>1900</v>
      </c>
      <c r="AAU55" t="s">
        <v>1900</v>
      </c>
      <c r="AAV55" t="s">
        <v>1900</v>
      </c>
      <c r="AAW55" t="s">
        <v>1900</v>
      </c>
      <c r="AAX55" t="s">
        <v>1900</v>
      </c>
      <c r="AAY55" t="s">
        <v>1900</v>
      </c>
      <c r="AAZ55" t="s">
        <v>1900</v>
      </c>
      <c r="ABA55" t="s">
        <v>1900</v>
      </c>
      <c r="ABB55" t="s">
        <v>1900</v>
      </c>
      <c r="ABC55" t="s">
        <v>1900</v>
      </c>
      <c r="ABD55" t="s">
        <v>1900</v>
      </c>
      <c r="ABE55" t="s">
        <v>1900</v>
      </c>
      <c r="ABF55" t="s">
        <v>1900</v>
      </c>
      <c r="ABG55" t="s">
        <v>1900</v>
      </c>
      <c r="ABH55" t="s">
        <v>1900</v>
      </c>
      <c r="ABI55" t="s">
        <v>1900</v>
      </c>
      <c r="ABJ55" t="s">
        <v>1900</v>
      </c>
      <c r="ABK55" t="s">
        <v>1900</v>
      </c>
      <c r="ABL55" t="s">
        <v>1900</v>
      </c>
      <c r="ABM55" t="s">
        <v>1900</v>
      </c>
      <c r="ABN55" t="s">
        <v>1900</v>
      </c>
      <c r="ABO55" t="s">
        <v>1900</v>
      </c>
      <c r="ABP55" t="s">
        <v>1900</v>
      </c>
      <c r="ABQ55" t="s">
        <v>1900</v>
      </c>
      <c r="ABR55" t="s">
        <v>1900</v>
      </c>
      <c r="ABS55" t="s">
        <v>1900</v>
      </c>
      <c r="ABT55" t="s">
        <v>1900</v>
      </c>
      <c r="ABU55" t="s">
        <v>1900</v>
      </c>
      <c r="ABV55" t="s">
        <v>1900</v>
      </c>
      <c r="ABW55" t="s">
        <v>1900</v>
      </c>
      <c r="ABX55" t="s">
        <v>1900</v>
      </c>
      <c r="ABY55" t="s">
        <v>1900</v>
      </c>
      <c r="ABZ55" t="s">
        <v>1900</v>
      </c>
      <c r="ACA55" t="s">
        <v>1900</v>
      </c>
      <c r="ACB55" t="s">
        <v>1900</v>
      </c>
      <c r="ACC55" t="s">
        <v>1900</v>
      </c>
      <c r="ACD55" t="s">
        <v>1900</v>
      </c>
      <c r="ACE55">
        <v>24.372</v>
      </c>
      <c r="ACF55">
        <v>27.381</v>
      </c>
      <c r="ACG55">
        <v>29.645</v>
      </c>
      <c r="ACH55">
        <v>33.199</v>
      </c>
      <c r="ACI55">
        <v>35.198</v>
      </c>
      <c r="ACJ55">
        <v>24.377</v>
      </c>
      <c r="ACK55">
        <v>27.395</v>
      </c>
      <c r="ACL55">
        <v>29.645</v>
      </c>
      <c r="ACM55">
        <v>33.29</v>
      </c>
      <c r="ACN55">
        <v>35.372</v>
      </c>
      <c r="ACO55">
        <v>9.375</v>
      </c>
      <c r="ACP55">
        <v>10.013</v>
      </c>
      <c r="ACQ55">
        <v>9.663</v>
      </c>
      <c r="ACR55">
        <v>10.007</v>
      </c>
      <c r="ACS55">
        <v>10.309</v>
      </c>
      <c r="ACT55">
        <v>18.278</v>
      </c>
      <c r="ACU55">
        <v>20.498</v>
      </c>
      <c r="ACV55">
        <v>22.234</v>
      </c>
      <c r="ACW55">
        <v>24.489</v>
      </c>
      <c r="ACX55">
        <v>26.39</v>
      </c>
      <c r="ACY55">
        <v>18.283</v>
      </c>
      <c r="ACZ55">
        <v>20.513</v>
      </c>
      <c r="ADA55">
        <v>22.234</v>
      </c>
      <c r="ADB55">
        <v>24.581</v>
      </c>
      <c r="ADC55">
        <v>26.564</v>
      </c>
      <c r="ADD55">
        <v>7.031</v>
      </c>
      <c r="ADE55">
        <v>7.496</v>
      </c>
      <c r="ADF55">
        <v>7.247</v>
      </c>
      <c r="ADG55">
        <v>7.382</v>
      </c>
      <c r="ADH55">
        <v>7.729</v>
      </c>
      <c r="ADI55">
        <v>10.696</v>
      </c>
      <c r="ADJ55">
        <v>11.117</v>
      </c>
      <c r="ADK55">
        <v>10.297</v>
      </c>
      <c r="ADL55">
        <v>10.477</v>
      </c>
      <c r="ADM55">
        <v>11.285</v>
      </c>
      <c r="ADN55">
        <v>97.93600000000001</v>
      </c>
      <c r="ADO55">
        <v>97.887</v>
      </c>
      <c r="ADP55">
        <v>98.276</v>
      </c>
      <c r="ADQ55">
        <v>95.41800000000001</v>
      </c>
      <c r="ADR55">
        <v>96.911</v>
      </c>
      <c r="ADS55">
        <v>10.576305143</v>
      </c>
      <c r="ADT55">
        <v>11.115132679</v>
      </c>
      <c r="ADU55">
        <v>10.283618558</v>
      </c>
      <c r="ADV55">
        <v>10.479318656</v>
      </c>
      <c r="ADW55">
        <v>11.236636497</v>
      </c>
      <c r="ADX55">
        <v>10.669</v>
      </c>
      <c r="ADY55">
        <v>11.214</v>
      </c>
      <c r="ADZ55">
        <v>10.304</v>
      </c>
      <c r="AEA55">
        <v>10.519</v>
      </c>
      <c r="AEB55">
        <v>11.317</v>
      </c>
      <c r="AEC55">
        <v>10.576</v>
      </c>
      <c r="AED55">
        <v>11.115</v>
      </c>
      <c r="AEE55">
        <v>10.284</v>
      </c>
      <c r="AEF55">
        <v>10.479</v>
      </c>
      <c r="AEG55">
        <v>11.237</v>
      </c>
      <c r="AEH55">
        <v>8.114000000000001</v>
      </c>
      <c r="AEI55">
        <v>8.420999999999999</v>
      </c>
      <c r="AEJ55">
        <v>7.742</v>
      </c>
      <c r="AEK55">
        <v>7.768</v>
      </c>
      <c r="AEL55">
        <v>8.542</v>
      </c>
      <c r="AEM55">
        <v>11.827184238</v>
      </c>
      <c r="AEN55">
        <v>12.505090027</v>
      </c>
      <c r="AEO55">
        <v>11.46236439</v>
      </c>
      <c r="AEP55">
        <v>11.70603094</v>
      </c>
      <c r="AEQ55">
        <v>12.659092731</v>
      </c>
      <c r="AER55">
        <v>1.121066079</v>
      </c>
      <c r="AES55">
        <v>1.128096281</v>
      </c>
      <c r="AET55">
        <v>1.116869123</v>
      </c>
      <c r="AEU55">
        <v>1.1233757</v>
      </c>
      <c r="AEV55">
        <v>1.131154688</v>
      </c>
      <c r="AEW55" t="s">
        <v>1900</v>
      </c>
      <c r="AEX55" t="s">
        <v>1900</v>
      </c>
      <c r="AEY55" t="s">
        <v>1900</v>
      </c>
      <c r="AEZ55" t="s">
        <v>1900</v>
      </c>
      <c r="AFA55" t="s">
        <v>1900</v>
      </c>
      <c r="AFB55" t="s">
        <v>1900</v>
      </c>
      <c r="AFC55" t="s">
        <v>1900</v>
      </c>
      <c r="AFD55" t="s">
        <v>1900</v>
      </c>
      <c r="AFE55" t="s">
        <v>1900</v>
      </c>
      <c r="AFF55" t="s">
        <v>1900</v>
      </c>
      <c r="AFG55">
        <v>2.279</v>
      </c>
      <c r="AFH55">
        <v>2.463</v>
      </c>
      <c r="AFI55">
        <v>2.879</v>
      </c>
      <c r="AFJ55">
        <v>3.169</v>
      </c>
      <c r="AFK55">
        <v>3.119</v>
      </c>
      <c r="AFL55" t="s">
        <v>1901</v>
      </c>
      <c r="AFM55" t="s">
        <v>1901</v>
      </c>
      <c r="AFN55" t="s">
        <v>1901</v>
      </c>
      <c r="AFO55">
        <v>363.138</v>
      </c>
      <c r="AFP55">
        <v>201.384</v>
      </c>
      <c r="AFQ55" t="s">
        <v>1901</v>
      </c>
      <c r="AFR55" t="s">
        <v>1901</v>
      </c>
      <c r="AFS55" t="s">
        <v>1901</v>
      </c>
      <c r="AFT55" t="s">
        <v>1901</v>
      </c>
      <c r="AFU55" t="s">
        <v>1901</v>
      </c>
      <c r="AFV55">
        <v>275.782</v>
      </c>
      <c r="AFW55">
        <v>264.14</v>
      </c>
      <c r="AFX55">
        <v>273.986</v>
      </c>
      <c r="AFY55">
        <v>273.255</v>
      </c>
      <c r="AFZ55">
        <v>227.18</v>
      </c>
      <c r="AGA55">
        <v>0</v>
      </c>
      <c r="AGB55">
        <v>0</v>
      </c>
      <c r="AGC55">
        <v>0</v>
      </c>
      <c r="AGD55">
        <v>0</v>
      </c>
      <c r="AGE55">
        <v>0</v>
      </c>
      <c r="AGF55" t="s">
        <v>1900</v>
      </c>
      <c r="AGG55" t="s">
        <v>1900</v>
      </c>
      <c r="AGH55" t="s">
        <v>1900</v>
      </c>
      <c r="AGI55" t="s">
        <v>1900</v>
      </c>
      <c r="AGJ55" t="s">
        <v>1900</v>
      </c>
      <c r="AGK55" t="s">
        <v>1900</v>
      </c>
      <c r="AGL55" t="s">
        <v>1900</v>
      </c>
      <c r="AGM55" t="s">
        <v>1900</v>
      </c>
      <c r="AGN55" t="s">
        <v>1900</v>
      </c>
      <c r="AGO55" t="s">
        <v>1900</v>
      </c>
      <c r="AGP55" t="s">
        <v>1900</v>
      </c>
      <c r="AGQ55" t="s">
        <v>1900</v>
      </c>
      <c r="AGR55" t="s">
        <v>1900</v>
      </c>
      <c r="AGS55" t="s">
        <v>1900</v>
      </c>
      <c r="AGT55" t="s">
        <v>1900</v>
      </c>
      <c r="AGU55">
        <v>0</v>
      </c>
      <c r="AGV55">
        <v>0</v>
      </c>
      <c r="AGW55">
        <v>0</v>
      </c>
      <c r="AGX55">
        <v>0</v>
      </c>
      <c r="AGY55">
        <v>0</v>
      </c>
      <c r="AGZ55">
        <v>1.611</v>
      </c>
      <c r="AHA55">
        <v>1.562</v>
      </c>
      <c r="AHB55">
        <v>1.468</v>
      </c>
      <c r="AHC55">
        <v>1.417</v>
      </c>
      <c r="AHD55">
        <v>1.406</v>
      </c>
      <c r="AHE55">
        <v>1.611</v>
      </c>
      <c r="AHF55">
        <v>1.562</v>
      </c>
      <c r="AHG55">
        <v>1.468</v>
      </c>
      <c r="AHH55">
        <v>1.417</v>
      </c>
      <c r="AHI55">
        <v>1.406</v>
      </c>
      <c r="AHJ55" t="s">
        <v>1901</v>
      </c>
      <c r="AHK55" t="s">
        <v>1901</v>
      </c>
      <c r="AHL55" t="s">
        <v>1901</v>
      </c>
      <c r="AHM55" t="s">
        <v>1901</v>
      </c>
      <c r="AHN55" t="s">
        <v>1901</v>
      </c>
      <c r="AHO55">
        <v>38.465</v>
      </c>
      <c r="AHP55">
        <v>36.57</v>
      </c>
      <c r="AHQ55">
        <v>32.594</v>
      </c>
      <c r="AHR55">
        <v>30.142</v>
      </c>
      <c r="AHS55">
        <v>29.287</v>
      </c>
      <c r="AHT55">
        <v>62.509</v>
      </c>
      <c r="AHU55">
        <v>57.655</v>
      </c>
      <c r="AHV55">
        <v>48.355</v>
      </c>
      <c r="AHW55">
        <v>43.148</v>
      </c>
      <c r="AHX55">
        <v>41.417</v>
      </c>
      <c r="AHY55">
        <v>0</v>
      </c>
      <c r="AHZ55">
        <v>0</v>
      </c>
      <c r="AIA55">
        <v>0</v>
      </c>
      <c r="AIB55">
        <v>0</v>
      </c>
      <c r="AIC55">
        <v>0</v>
      </c>
      <c r="AID55">
        <v>0.612172068</v>
      </c>
      <c r="AIE55">
        <v>0.687578138</v>
      </c>
      <c r="AIF55">
        <v>0.7708311289999999</v>
      </c>
      <c r="AIG55">
        <v>0.9635094830000001</v>
      </c>
      <c r="AIH55">
        <v>0.460085382</v>
      </c>
      <c r="AII55">
        <v>31.974452287</v>
      </c>
      <c r="AIJ55">
        <v>32.975539065</v>
      </c>
      <c r="AIK55">
        <v>27.515521602</v>
      </c>
      <c r="AIL55">
        <v>26.50440645</v>
      </c>
      <c r="AIM55">
        <v>41.803985447</v>
      </c>
      <c r="AIN55">
        <v>61.5351076</v>
      </c>
      <c r="AIO55">
        <v>63.429832078</v>
      </c>
      <c r="AIP55">
        <v>67.405683506</v>
      </c>
      <c r="AIQ55">
        <v>69.857881784</v>
      </c>
      <c r="AIR55">
        <v>70.712760493</v>
      </c>
      <c r="AIS55">
        <v>0</v>
      </c>
      <c r="AIT55">
        <v>0</v>
      </c>
      <c r="AIU55">
        <v>0</v>
      </c>
      <c r="AIV55">
        <v>0</v>
      </c>
      <c r="AIW55">
        <v>0</v>
      </c>
      <c r="AIX55">
        <v>87.0213235443141</v>
      </c>
      <c r="AIY55">
        <v>146.24526863308</v>
      </c>
      <c r="AIZ55">
        <v>121.507368880022</v>
      </c>
      <c r="AJA55">
        <v>106.901688504574</v>
      </c>
      <c r="AJB55">
        <v>138.487488030943</v>
      </c>
      <c r="AJC55">
        <v>813.620641567505</v>
      </c>
      <c r="AJD55">
        <v>1315.51056791998</v>
      </c>
      <c r="AJE55">
        <v>1180.07863105263</v>
      </c>
      <c r="AJF55">
        <v>1020.39094132156</v>
      </c>
      <c r="AJG55">
        <v>1227.20522877787</v>
      </c>
      <c r="AJH55">
        <v>8.041</v>
      </c>
      <c r="AJI55">
        <v>6.685</v>
      </c>
      <c r="AJJ55">
        <v>7.071</v>
      </c>
      <c r="AJK55">
        <v>8.218</v>
      </c>
      <c r="AJL55">
        <v>9.371</v>
      </c>
      <c r="AJM55">
        <v>65.42341658621859</v>
      </c>
      <c r="AJN55">
        <v>87.9365328498354</v>
      </c>
      <c r="AJO55">
        <v>83.44029128634929</v>
      </c>
      <c r="AJP55">
        <v>83.851346827147</v>
      </c>
      <c r="AJQ55">
        <v>115.001114214662</v>
      </c>
      <c r="AJR55">
        <v>357.055996399825</v>
      </c>
      <c r="AJS55">
        <v>534.116512719928</v>
      </c>
      <c r="AJT55">
        <v>409.876143940543</v>
      </c>
      <c r="AJU55">
        <v>322.005349561908</v>
      </c>
      <c r="AJV55">
        <v>393.452695676532</v>
      </c>
      <c r="AJW55">
        <v>623.282522731988</v>
      </c>
      <c r="AJX55">
        <v>965.2186547432721</v>
      </c>
      <c r="AJY55">
        <v>898.1243042529341</v>
      </c>
      <c r="AJZ55">
        <v>774.5200071655011</v>
      </c>
      <c r="AKA55">
        <v>774.433172480139</v>
      </c>
      <c r="AKB55">
        <v>928.264643742915</v>
      </c>
      <c r="AKC55">
        <v>1460.52518645076</v>
      </c>
      <c r="AKD55">
        <v>1257.50801879474</v>
      </c>
      <c r="AKE55">
        <v>1068.29038197632</v>
      </c>
      <c r="AKF55">
        <v>1343.42704296912</v>
      </c>
      <c r="AKG55">
        <v>0</v>
      </c>
      <c r="AKH55">
        <v>0</v>
      </c>
      <c r="AKI55">
        <v>0</v>
      </c>
      <c r="AKJ55">
        <v>0</v>
      </c>
      <c r="AKK55">
        <v>0</v>
      </c>
      <c r="AKL55">
        <v>0</v>
      </c>
      <c r="AKM55">
        <v>0</v>
      </c>
      <c r="AKN55">
        <v>0</v>
      </c>
      <c r="AKO55">
        <v>0</v>
      </c>
      <c r="AKP55">
        <v>0</v>
      </c>
      <c r="AKQ55">
        <v>0</v>
      </c>
      <c r="AKR55">
        <v>0</v>
      </c>
      <c r="AKS55">
        <v>0</v>
      </c>
      <c r="AKT55">
        <v>0</v>
      </c>
      <c r="AKU55">
        <v>0</v>
      </c>
      <c r="AKV55">
        <v>0.0935111</v>
      </c>
      <c r="AKW55">
        <v>0.087536112</v>
      </c>
      <c r="AKX55">
        <v>0.115740026</v>
      </c>
      <c r="AKY55">
        <v>0.008016182</v>
      </c>
      <c r="AKZ55">
        <v>0.02166463</v>
      </c>
      <c r="ALA55">
        <v>0.081962145</v>
      </c>
      <c r="ALB55">
        <v>0.078844707</v>
      </c>
      <c r="ALC55">
        <v>0.108613487</v>
      </c>
      <c r="ALD55">
        <v>0.007656757</v>
      </c>
      <c r="ALE55">
        <v>0.019790391</v>
      </c>
      <c r="ALF55">
        <v>0.212775121</v>
      </c>
      <c r="ALG55">
        <v>0.189787805</v>
      </c>
      <c r="ALH55">
        <v>0.196151147</v>
      </c>
      <c r="ALI55">
        <v>0.024644968</v>
      </c>
      <c r="ALJ55">
        <v>0.07668187999999999</v>
      </c>
      <c r="ALK55">
        <v>0.186496632</v>
      </c>
      <c r="ALL55">
        <v>0.170943895</v>
      </c>
      <c r="ALM55">
        <v>0.1840734</v>
      </c>
      <c r="ALN55">
        <v>0.02353995</v>
      </c>
      <c r="ALO55">
        <v>0.07004802</v>
      </c>
      <c r="ALP55">
        <v>76.606036141</v>
      </c>
      <c r="ALQ55">
        <v>73.372170389</v>
      </c>
      <c r="ALR55">
        <v>76.107157653</v>
      </c>
      <c r="ALS55">
        <v>75.90424176800001</v>
      </c>
      <c r="ALT55">
        <v>63.105432924</v>
      </c>
      <c r="ALU55">
        <v>0</v>
      </c>
      <c r="ALV55">
        <v>0</v>
      </c>
      <c r="ALW55">
        <v>0</v>
      </c>
      <c r="ALX55">
        <v>0</v>
      </c>
      <c r="ALY55">
        <v>0</v>
      </c>
      <c r="ALZ55">
        <v>97.9360776937399</v>
      </c>
      <c r="AMA55">
        <v>97.8868374344673</v>
      </c>
      <c r="AMB55">
        <v>98.27622344299419</v>
      </c>
      <c r="AMC55">
        <v>95.4175898925395</v>
      </c>
      <c r="AMD55">
        <v>96.91132063024661</v>
      </c>
      <c r="AME55">
        <v>97.9360776937399</v>
      </c>
      <c r="AMF55">
        <v>97.8868374344673</v>
      </c>
      <c r="AMG55">
        <v>98.276293615387</v>
      </c>
      <c r="AMH55">
        <v>95.4175898925395</v>
      </c>
      <c r="AMI55">
        <v>96.91132063024661</v>
      </c>
      <c r="AMJ55">
        <v>4745.14362273672</v>
      </c>
      <c r="AMK55">
        <v>4632.24358745882</v>
      </c>
      <c r="AML55">
        <v>5701.21591708504</v>
      </c>
      <c r="AMM55">
        <v>2082.25775639752</v>
      </c>
      <c r="AMN55">
        <v>3137.62968015627</v>
      </c>
      <c r="AMO55">
        <v>1.12106607921098</v>
      </c>
      <c r="AMP55">
        <v>1.12809628140686</v>
      </c>
      <c r="AMQ55">
        <v>1.11686912294164</v>
      </c>
      <c r="AMR55">
        <v>1.123375699825</v>
      </c>
      <c r="AMS55">
        <v>1.13115468901499</v>
      </c>
      <c r="AMT55">
        <v>1.12106607921098</v>
      </c>
      <c r="AMU55">
        <v>1.12809628108418</v>
      </c>
      <c r="AMV55">
        <v>1.11686912294163</v>
      </c>
      <c r="AMW55">
        <v>1.123375699825</v>
      </c>
      <c r="AMX55">
        <v>1.13115468843144</v>
      </c>
      <c r="AMY55">
        <v>1.12106607921098</v>
      </c>
      <c r="AMZ55">
        <v>1.12809628104285</v>
      </c>
      <c r="ANA55">
        <v>1.11686912294164</v>
      </c>
      <c r="ANB55">
        <v>1.123375699825</v>
      </c>
      <c r="ANC55">
        <v>1.1311546883549</v>
      </c>
      <c r="AND55">
        <v>10.5763051434295</v>
      </c>
      <c r="ANE55">
        <v>11.1151326789323</v>
      </c>
      <c r="ANF55">
        <v>10.283618558232</v>
      </c>
      <c r="ANG55">
        <v>10.4793186557632</v>
      </c>
      <c r="ANH55">
        <v>11.2366364973544</v>
      </c>
      <c r="ANI55">
        <v>10.5763051434295</v>
      </c>
      <c r="ANJ55">
        <v>11.1151326789323</v>
      </c>
      <c r="ANK55">
        <v>10.2836259010673</v>
      </c>
      <c r="ANL55">
        <v>10.4793186557632</v>
      </c>
      <c r="ANM55">
        <v>11.2366364973544</v>
      </c>
      <c r="ANN55">
        <v>11.8271842383533</v>
      </c>
      <c r="ANO55">
        <v>12.5050900270599</v>
      </c>
      <c r="ANP55">
        <v>11.4623643898375</v>
      </c>
      <c r="ANQ55">
        <v>11.7060309398972</v>
      </c>
      <c r="ANR55">
        <v>12.6590927314505</v>
      </c>
      <c r="ANS55">
        <v>24.1001418908393</v>
      </c>
      <c r="ANT55">
        <v>27.3761887913354</v>
      </c>
      <c r="ANU55">
        <v>29.6076722120635</v>
      </c>
      <c r="ANV55">
        <v>33.2075284637894</v>
      </c>
      <c r="ANW55">
        <v>35.0478195090735</v>
      </c>
      <c r="ANX55">
        <v>97.9360776937399</v>
      </c>
      <c r="ANY55">
        <v>97.8868374344673</v>
      </c>
      <c r="ANZ55">
        <v>98.27622344299419</v>
      </c>
      <c r="AOA55">
        <v>95.4175898925395</v>
      </c>
      <c r="AOB55">
        <v>96.91132063024661</v>
      </c>
      <c r="AOC55">
        <v>109.519158038395</v>
      </c>
      <c r="AOD55">
        <v>110.127674580289</v>
      </c>
      <c r="AOE55">
        <v>109.541002282601</v>
      </c>
      <c r="AOF55">
        <v>106.587202487464</v>
      </c>
      <c r="AOG55">
        <v>109.179414576103</v>
      </c>
      <c r="AOH55">
        <v>85.84062196367999</v>
      </c>
      <c r="AOI55">
        <v>88.1677154877798</v>
      </c>
      <c r="AOJ55">
        <v>92.2249953537837</v>
      </c>
      <c r="AOK55">
        <v>91.13930626102911</v>
      </c>
      <c r="AOL55">
        <v>88.5273822852034</v>
      </c>
      <c r="AOM55">
        <v>512.437174178049</v>
      </c>
      <c r="AON55">
        <v>525.995153436313</v>
      </c>
      <c r="AOO55">
        <v>596.574916652466</v>
      </c>
      <c r="AOP55">
        <v>228.685744183005</v>
      </c>
      <c r="AOQ55">
        <v>363.800678289617</v>
      </c>
      <c r="AOR55">
        <v>12.1066079210984</v>
      </c>
      <c r="AOS55">
        <v>12.8096281084184</v>
      </c>
      <c r="AOT55">
        <v>11.6869122941635</v>
      </c>
      <c r="AOU55">
        <v>12.3375699825003</v>
      </c>
      <c r="AOV55">
        <v>13.115468843144</v>
      </c>
      <c r="AOW55">
        <v>9.270093646477379</v>
      </c>
      <c r="AOX55">
        <v>10.0115182115379</v>
      </c>
      <c r="AOY55">
        <v>9.65041838734432</v>
      </c>
      <c r="AOZ55">
        <v>10.009452486173</v>
      </c>
      <c r="APA55">
        <v>10.2645388416128</v>
      </c>
      <c r="APB55">
        <v>8.021256560938729</v>
      </c>
      <c r="APC55">
        <v>8.32249700498692</v>
      </c>
      <c r="APD55">
        <v>7.72241141870638</v>
      </c>
      <c r="APE55">
        <v>7.72805964512941</v>
      </c>
      <c r="APF55">
        <v>8.46077757337598</v>
      </c>
      <c r="APG55">
        <v>8.021256560938729</v>
      </c>
      <c r="APH55">
        <v>8.32249700498692</v>
      </c>
      <c r="API55">
        <v>7.72241693275716</v>
      </c>
      <c r="APJ55">
        <v>7.72805964512941</v>
      </c>
      <c r="APK55">
        <v>8.46077757337598</v>
      </c>
      <c r="APL55">
        <v>388.641400725674</v>
      </c>
      <c r="APM55">
        <v>393.840830834946</v>
      </c>
      <c r="APN55">
        <v>447.993760404787</v>
      </c>
      <c r="APO55">
        <v>168.646181024863</v>
      </c>
      <c r="APP55">
        <v>273.928645887626</v>
      </c>
      <c r="APQ55">
        <v>9.181865207260341</v>
      </c>
      <c r="APR55">
        <v>9.59125677099426</v>
      </c>
      <c r="APS55">
        <v>8.77620503316146</v>
      </c>
      <c r="APT55">
        <v>9.098442354196781</v>
      </c>
      <c r="APU55">
        <v>9.87546982395588</v>
      </c>
      <c r="APV55">
        <v>8.969945352631949</v>
      </c>
      <c r="APW55">
        <v>9.3632327479599</v>
      </c>
      <c r="APX55">
        <v>8.60758235520092</v>
      </c>
      <c r="APY55">
        <v>8.63270869824197</v>
      </c>
      <c r="APZ55">
        <v>9.53183525219141</v>
      </c>
      <c r="AQA55">
        <v>7.03060269857266</v>
      </c>
      <c r="AQB55">
        <v>7.49616156079033</v>
      </c>
      <c r="AQC55">
        <v>7.24691417984044</v>
      </c>
      <c r="AQD55">
        <v>7.38155297774943</v>
      </c>
      <c r="AQE55">
        <v>7.72882348313144</v>
      </c>
      <c r="AQF55">
        <v>0.121066079210984</v>
      </c>
      <c r="AQG55">
        <v>0.128096281042851</v>
      </c>
      <c r="AQH55">
        <v>0.116869122941635</v>
      </c>
      <c r="AQI55">
        <v>0.123375699825003</v>
      </c>
      <c r="AQJ55">
        <v>0.131154688354905</v>
      </c>
      <c r="AQK55">
        <v>5</v>
      </c>
      <c r="AQO55" t="s">
        <v>1903</v>
      </c>
      <c r="AQP55">
        <v>7</v>
      </c>
      <c r="AQQ55">
        <v>0</v>
      </c>
      <c r="AQS55" t="s">
        <v>1905</v>
      </c>
      <c r="AQU55" t="s">
        <v>1906</v>
      </c>
      <c r="AQV55">
        <v>4068103.20783752</v>
      </c>
      <c r="AQW55">
        <v>3946531.70265493</v>
      </c>
      <c r="AQX55">
        <v>3540235.89209129</v>
      </c>
      <c r="AQY55">
        <v>430255.008810539</v>
      </c>
      <c r="AQZ55">
        <v>438662.234966221</v>
      </c>
      <c r="ARA55">
        <v>364064.35520429</v>
      </c>
      <c r="ARB55">
        <v>11554870.80258374</v>
      </c>
      <c r="ARC55">
        <v>1232981.59898105</v>
      </c>
      <c r="ARD55">
        <v>0.119453093775769</v>
      </c>
      <c r="ARE55">
        <v>0.119453093775769</v>
      </c>
      <c r="ARF55">
        <v>0.119453093775769</v>
      </c>
      <c r="ARG55">
        <v>0.119453093775769</v>
      </c>
      <c r="ARH55">
        <v>0.119453093775769</v>
      </c>
      <c r="ARI55">
        <v>0.119453093775769</v>
      </c>
      <c r="ARJ55" t="s">
        <v>1216</v>
      </c>
      <c r="ARK55" t="s">
        <v>1554</v>
      </c>
      <c r="ARL55" t="s">
        <v>1908</v>
      </c>
      <c r="ARM55" t="s">
        <v>1908</v>
      </c>
      <c r="ARN55" t="s">
        <v>1909</v>
      </c>
      <c r="ARO55" t="s">
        <v>1909</v>
      </c>
      <c r="ARP55" t="s">
        <v>1907</v>
      </c>
      <c r="ARQ55" t="s">
        <v>1954</v>
      </c>
      <c r="ARR55">
        <f>HYPERLINK("C:\Users\Usuario\Documents\Proyectos\llmthon\evidence\grudilec_com_234522.png", "Ver Evidencia")</f>
        <v>0</v>
      </c>
      <c r="ARS55">
        <v>100</v>
      </c>
    </row>
    <row r="56" spans="1:1163">
      <c r="A56">
        <v>357</v>
      </c>
      <c r="B56" t="s">
        <v>1217</v>
      </c>
      <c r="C56" t="s">
        <v>1340</v>
      </c>
      <c r="E56" s="2">
        <v>29503</v>
      </c>
      <c r="F56" t="s">
        <v>1431</v>
      </c>
      <c r="G56" t="s">
        <v>1433</v>
      </c>
      <c r="H56" t="s">
        <v>1434</v>
      </c>
      <c r="I56" t="s">
        <v>1443</v>
      </c>
      <c r="J56" t="s">
        <v>1478</v>
      </c>
      <c r="L56" t="s">
        <v>1555</v>
      </c>
      <c r="N56" t="s">
        <v>1626</v>
      </c>
      <c r="O56" t="s">
        <v>1650</v>
      </c>
      <c r="P56">
        <v>6920</v>
      </c>
      <c r="Q56">
        <v>6920</v>
      </c>
      <c r="R56" t="s">
        <v>1725</v>
      </c>
      <c r="Z56" t="s">
        <v>1899</v>
      </c>
      <c r="AA56" s="2">
        <v>45657</v>
      </c>
      <c r="AB56">
        <v>2024</v>
      </c>
      <c r="AC56">
        <v>1977936.49450552</v>
      </c>
      <c r="AD56">
        <v>2165929.82609269</v>
      </c>
      <c r="AE56">
        <v>1869024.79919032</v>
      </c>
      <c r="AF56">
        <v>1923468.96175203</v>
      </c>
      <c r="AG56">
        <v>1775680.66757762</v>
      </c>
      <c r="AH56">
        <v>1976791.00387172</v>
      </c>
      <c r="AI56">
        <v>2165929.82609269</v>
      </c>
      <c r="AJ56">
        <v>1867994.46408467</v>
      </c>
      <c r="AK56">
        <v>1907193.49533377</v>
      </c>
      <c r="AL56">
        <v>1775680.66757762</v>
      </c>
      <c r="AM56">
        <v>2625.4238078022</v>
      </c>
      <c r="AN56">
        <v>137397.971662521</v>
      </c>
      <c r="AO56">
        <v>-238.065005779266</v>
      </c>
      <c r="AP56">
        <v>33978.009223938</v>
      </c>
      <c r="AQ56">
        <v>32619.1585202396</v>
      </c>
      <c r="AR56">
        <v>1975311.07069772</v>
      </c>
      <c r="AS56">
        <v>2028531.85443017</v>
      </c>
      <c r="AT56">
        <v>1869262.8641961</v>
      </c>
      <c r="AU56">
        <v>1889490.9525281</v>
      </c>
      <c r="AV56">
        <v>1743061.50783029</v>
      </c>
      <c r="AW56">
        <v>1804291.98904355</v>
      </c>
      <c r="AX56">
        <v>1989190.74166936</v>
      </c>
      <c r="AY56">
        <v>1858392.46618759</v>
      </c>
      <c r="AZ56">
        <v>1814895.54046984</v>
      </c>
      <c r="BA56">
        <v>1947146.59039719</v>
      </c>
      <c r="BB56">
        <v>171019.081654168</v>
      </c>
      <c r="BC56">
        <v>39341.1116558075</v>
      </c>
      <c r="BD56">
        <v>10870.3980085135</v>
      </c>
      <c r="BE56">
        <v>74595.41205825809</v>
      </c>
      <c r="BF56">
        <v>-204085.081339806</v>
      </c>
      <c r="BG56">
        <v>46224.1416661465</v>
      </c>
      <c r="BH56">
        <v>25226.4430713177</v>
      </c>
      <c r="BI56">
        <v>-6319.78222324431</v>
      </c>
      <c r="BJ56">
        <v>53599.9131406546</v>
      </c>
      <c r="BK56">
        <v>48288.7380052447</v>
      </c>
      <c r="BL56">
        <v>49722.7397600853</v>
      </c>
      <c r="BM56">
        <v>30431.3048071957</v>
      </c>
      <c r="BN56">
        <v>49.0849084496498</v>
      </c>
      <c r="BO56">
        <v>61160.4166030884</v>
      </c>
      <c r="BP56">
        <v>55441.1071498513</v>
      </c>
      <c r="BQ56">
        <v>3498.59809393883</v>
      </c>
      <c r="BR56">
        <v>5204.86173587799</v>
      </c>
      <c r="BS56">
        <v>6368.86819829345</v>
      </c>
      <c r="BT56">
        <v>7560.50346243382</v>
      </c>
      <c r="BU56">
        <v>7152.36914460659</v>
      </c>
      <c r="BV56">
        <v>217243.223320315</v>
      </c>
      <c r="BW56">
        <v>64567.5547271252</v>
      </c>
      <c r="BX56">
        <v>4550.61471866965</v>
      </c>
      <c r="BY56">
        <v>128195.325198913</v>
      </c>
      <c r="BZ56">
        <v>-155796.343334562</v>
      </c>
      <c r="CA56">
        <v>25669.4934714258</v>
      </c>
      <c r="CB56" t="s">
        <v>1900</v>
      </c>
      <c r="CC56" t="s">
        <v>1900</v>
      </c>
      <c r="CD56" t="s">
        <v>1900</v>
      </c>
      <c r="CE56" t="s">
        <v>1900</v>
      </c>
      <c r="CF56">
        <v>191573.729848889</v>
      </c>
      <c r="CG56">
        <v>64567.5547271252</v>
      </c>
      <c r="CH56">
        <v>4550.61471866965</v>
      </c>
      <c r="CI56">
        <v>128195.325198913</v>
      </c>
      <c r="CJ56">
        <v>-155796.343334562</v>
      </c>
      <c r="CK56" t="s">
        <v>1900</v>
      </c>
      <c r="CL56" t="s">
        <v>1900</v>
      </c>
      <c r="CM56" t="s">
        <v>1900</v>
      </c>
      <c r="CN56" t="s">
        <v>1900</v>
      </c>
      <c r="CO56" t="s">
        <v>1900</v>
      </c>
      <c r="CP56" t="s">
        <v>1900</v>
      </c>
      <c r="CQ56" t="s">
        <v>1900</v>
      </c>
      <c r="CR56" t="s">
        <v>1900</v>
      </c>
      <c r="CS56" t="s">
        <v>1900</v>
      </c>
      <c r="CT56" t="s">
        <v>1900</v>
      </c>
      <c r="CU56" t="s">
        <v>1900</v>
      </c>
      <c r="CV56" t="s">
        <v>1900</v>
      </c>
      <c r="CW56" t="s">
        <v>1900</v>
      </c>
      <c r="CX56" t="s">
        <v>1900</v>
      </c>
      <c r="CY56" t="s">
        <v>1900</v>
      </c>
      <c r="CZ56">
        <v>191573.729848889</v>
      </c>
      <c r="DA56">
        <v>64567.5547271252</v>
      </c>
      <c r="DB56">
        <v>4550.61471866965</v>
      </c>
      <c r="DC56">
        <v>128195.325198913</v>
      </c>
      <c r="DD56">
        <v>-155796.343334562</v>
      </c>
      <c r="DE56" t="s">
        <v>1900</v>
      </c>
      <c r="DF56" t="s">
        <v>1900</v>
      </c>
      <c r="DG56" t="s">
        <v>1900</v>
      </c>
      <c r="DH56" t="s">
        <v>1900</v>
      </c>
      <c r="DI56" t="s">
        <v>1900</v>
      </c>
      <c r="DJ56" t="s">
        <v>1900</v>
      </c>
      <c r="DK56" t="s">
        <v>1900</v>
      </c>
      <c r="DL56" t="s">
        <v>1900</v>
      </c>
      <c r="DM56" t="s">
        <v>1900</v>
      </c>
      <c r="DN56" t="s">
        <v>1900</v>
      </c>
      <c r="DO56">
        <v>874225.704416996</v>
      </c>
      <c r="DP56">
        <v>940988.112153902</v>
      </c>
      <c r="DQ56">
        <v>838430.413863146</v>
      </c>
      <c r="DR56">
        <v>855010.573243904</v>
      </c>
      <c r="DS56">
        <v>726078.766255885</v>
      </c>
      <c r="DT56">
        <v>27114.4884538698</v>
      </c>
      <c r="DU56">
        <v>35587.2592211246</v>
      </c>
      <c r="DV56">
        <v>55175.2235255897</v>
      </c>
      <c r="DW56">
        <v>50102.3980871916</v>
      </c>
      <c r="DX56">
        <v>40036.9001593411</v>
      </c>
      <c r="DY56">
        <v>902951.796172685</v>
      </c>
      <c r="DZ56">
        <v>1012615.37139934</v>
      </c>
      <c r="EA56">
        <v>964786.828798854</v>
      </c>
      <c r="EB56">
        <v>909782.569138741</v>
      </c>
      <c r="EC56">
        <v>1181030.92398196</v>
      </c>
      <c r="ED56">
        <v>3498.59809393883</v>
      </c>
      <c r="EE56">
        <v>5204.86173587799</v>
      </c>
      <c r="EF56">
        <v>6368.86819829345</v>
      </c>
      <c r="EG56">
        <v>7560.50346243382</v>
      </c>
      <c r="EH56">
        <v>7152.36914460659</v>
      </c>
      <c r="EI56" t="s">
        <v>1900</v>
      </c>
      <c r="EJ56" t="s">
        <v>1900</v>
      </c>
      <c r="EK56" t="s">
        <v>1900</v>
      </c>
      <c r="EL56" t="s">
        <v>1900</v>
      </c>
      <c r="EM56" t="s">
        <v>1900</v>
      </c>
      <c r="EN56">
        <v>218688.218302759</v>
      </c>
      <c r="EO56">
        <v>100154.81394825</v>
      </c>
      <c r="EP56">
        <v>59725.8382442594</v>
      </c>
      <c r="EQ56">
        <v>178297.723286104</v>
      </c>
      <c r="ER56">
        <v>-115759.44317522</v>
      </c>
      <c r="ES56">
        <v>1122082.01428512</v>
      </c>
      <c r="ET56">
        <v>1046347.78783803</v>
      </c>
      <c r="EU56">
        <v>904525.1203056989</v>
      </c>
      <c r="EV56">
        <v>1040868.79885984</v>
      </c>
      <c r="EW56">
        <v>617471.692225271</v>
      </c>
      <c r="EX56">
        <v>198133.569069139</v>
      </c>
      <c r="EY56">
        <v>74928.37087693209</v>
      </c>
      <c r="EZ56">
        <v>66045.62153410311</v>
      </c>
      <c r="FA56">
        <v>124697.81014545</v>
      </c>
      <c r="FB56">
        <v>-164048.181180465</v>
      </c>
      <c r="FC56">
        <v>101718.965719497</v>
      </c>
      <c r="FD56">
        <v>79373.55582187651</v>
      </c>
      <c r="FE56">
        <v>100102.772487891</v>
      </c>
      <c r="FF56">
        <v>147417.47783711</v>
      </c>
      <c r="FG56">
        <v>190720.448365873</v>
      </c>
      <c r="FH56">
        <v>39997.6323246956</v>
      </c>
      <c r="FI56">
        <v>0</v>
      </c>
      <c r="FJ56">
        <v>0</v>
      </c>
      <c r="FK56">
        <v>0</v>
      </c>
      <c r="FL56">
        <v>0</v>
      </c>
      <c r="FM56">
        <v>35735.0794533551</v>
      </c>
      <c r="FN56">
        <v>66098.908614378</v>
      </c>
      <c r="FO56">
        <v>87353.4421548665</v>
      </c>
      <c r="FP56">
        <v>133879.223211908</v>
      </c>
      <c r="FQ56">
        <v>177218.367999411</v>
      </c>
      <c r="FR56">
        <v>25986.2539414465</v>
      </c>
      <c r="FS56">
        <v>13274.6472074986</v>
      </c>
      <c r="FT56">
        <v>12749.3303330243</v>
      </c>
      <c r="FU56">
        <v>13538.2546252012</v>
      </c>
      <c r="FV56">
        <v>13502.0803664625</v>
      </c>
      <c r="FW56">
        <v>39997.6323246956</v>
      </c>
      <c r="FX56">
        <v>0</v>
      </c>
      <c r="FY56">
        <v>0</v>
      </c>
      <c r="FZ56">
        <v>0</v>
      </c>
      <c r="GA56">
        <v>0</v>
      </c>
      <c r="GB56">
        <v>35735.0794533551</v>
      </c>
      <c r="GC56">
        <v>66098.908614378</v>
      </c>
      <c r="GD56">
        <v>87353.4421548665</v>
      </c>
      <c r="GE56">
        <v>133879.223211908</v>
      </c>
      <c r="GF56">
        <v>177218.367999411</v>
      </c>
      <c r="GG56">
        <v>25986.2539414465</v>
      </c>
      <c r="GH56">
        <v>13274.6472074986</v>
      </c>
      <c r="GI56">
        <v>12749.3303330243</v>
      </c>
      <c r="GJ56">
        <v>13538.2546252012</v>
      </c>
      <c r="GK56">
        <v>13502.0803664625</v>
      </c>
      <c r="GL56">
        <v>979217.889364029</v>
      </c>
      <c r="GM56">
        <v>1080640.62737823</v>
      </c>
      <c r="GN56">
        <v>1011733.04528462</v>
      </c>
      <c r="GO56">
        <v>1144451.65586586</v>
      </c>
      <c r="GP56">
        <v>1057941.68537443</v>
      </c>
      <c r="GQ56">
        <v>173451.633762202</v>
      </c>
      <c r="GR56">
        <v>187280.125049019</v>
      </c>
      <c r="GS56">
        <v>313394.874556899</v>
      </c>
      <c r="GT56">
        <v>332534.848072529</v>
      </c>
      <c r="GU56">
        <v>397093.01459372</v>
      </c>
      <c r="GV56">
        <v>301384.258143654</v>
      </c>
      <c r="GW56">
        <v>651940.535432901</v>
      </c>
      <c r="GX56">
        <v>351827.42993142</v>
      </c>
      <c r="GY56">
        <v>226334.971950674</v>
      </c>
      <c r="GZ56">
        <v>235744.537768954</v>
      </c>
      <c r="HA56">
        <v>504381.997458173</v>
      </c>
      <c r="HB56">
        <v>241419.966896315</v>
      </c>
      <c r="HC56">
        <v>346510.740796304</v>
      </c>
      <c r="HD56">
        <v>585581.835842657</v>
      </c>
      <c r="HE56">
        <v>425104.133011758</v>
      </c>
      <c r="HF56">
        <v>452224.877126862</v>
      </c>
      <c r="HG56">
        <v>186169.942100782</v>
      </c>
      <c r="HH56">
        <v>293180.766383386</v>
      </c>
      <c r="HI56">
        <v>528951.820469427</v>
      </c>
      <c r="HJ56">
        <v>363749.168040216</v>
      </c>
      <c r="HK56">
        <v>1080936.85508353</v>
      </c>
      <c r="HL56">
        <v>1160014.18320011</v>
      </c>
      <c r="HM56">
        <v>1111835.81777251</v>
      </c>
      <c r="HN56">
        <v>1291869.13370297</v>
      </c>
      <c r="HO56">
        <v>1248662.13374031</v>
      </c>
      <c r="HP56">
        <v>409002.220124333</v>
      </c>
      <c r="HQ56">
        <v>393587.154187078</v>
      </c>
      <c r="HR56">
        <v>555383.857189488</v>
      </c>
      <c r="HS56">
        <v>709504.652901721</v>
      </c>
      <c r="HT56">
        <v>632265.319146371</v>
      </c>
      <c r="HU56">
        <v>50161.1865333319</v>
      </c>
      <c r="HV56">
        <v>53352.7389440536</v>
      </c>
      <c r="HW56">
        <v>51498.6230915785</v>
      </c>
      <c r="HX56">
        <v>52420.1400303841</v>
      </c>
      <c r="HY56">
        <v>59248.0354744196</v>
      </c>
      <c r="HZ56">
        <v>358841.033591001</v>
      </c>
      <c r="IA56">
        <v>340234.415243025</v>
      </c>
      <c r="IB56">
        <v>503885.23409791</v>
      </c>
      <c r="IC56">
        <v>657084.512871337</v>
      </c>
      <c r="ID56">
        <v>573017.2824448521</v>
      </c>
      <c r="IE56">
        <v>125593.59401009</v>
      </c>
      <c r="IF56">
        <v>191536.487509222</v>
      </c>
      <c r="IG56">
        <v>255556.22411719</v>
      </c>
      <c r="IH56">
        <v>347791.359298181</v>
      </c>
      <c r="II56">
        <v>378669.627944905</v>
      </c>
      <c r="IJ56">
        <v>125593.59401009</v>
      </c>
      <c r="IK56">
        <v>191536.487509222</v>
      </c>
      <c r="IL56">
        <v>255556.22411719</v>
      </c>
      <c r="IM56">
        <v>347791.359298181</v>
      </c>
      <c r="IN56">
        <v>378669.627944905</v>
      </c>
      <c r="IO56">
        <v>0</v>
      </c>
      <c r="IP56">
        <v>0</v>
      </c>
      <c r="IQ56">
        <v>0</v>
      </c>
      <c r="IR56">
        <v>0</v>
      </c>
      <c r="IS56">
        <v>0</v>
      </c>
      <c r="IT56">
        <v>0</v>
      </c>
      <c r="IU56">
        <v>0</v>
      </c>
      <c r="IV56">
        <v>0</v>
      </c>
      <c r="IW56">
        <v>0</v>
      </c>
      <c r="IX56">
        <v>0</v>
      </c>
      <c r="IY56">
        <v>546341.040949104</v>
      </c>
      <c r="IZ56">
        <v>574890.541503811</v>
      </c>
      <c r="JA56">
        <v>300895.736465836</v>
      </c>
      <c r="JB56">
        <v>234573.121503067</v>
      </c>
      <c r="JC56">
        <v>237727.18664903</v>
      </c>
      <c r="JD56">
        <v>54485.2110905075</v>
      </c>
      <c r="JE56">
        <v>73220.5815604973</v>
      </c>
      <c r="JF56">
        <v>71968.0431845963</v>
      </c>
      <c r="JG56">
        <v>56941.5370877981</v>
      </c>
      <c r="JH56">
        <v>81544.9328557908</v>
      </c>
      <c r="JI56">
        <v>0</v>
      </c>
      <c r="JJ56">
        <v>0</v>
      </c>
      <c r="JK56">
        <v>0</v>
      </c>
      <c r="JL56">
        <v>0</v>
      </c>
      <c r="JM56">
        <v>0</v>
      </c>
      <c r="JN56">
        <v>491855.829858596</v>
      </c>
      <c r="JO56">
        <v>501669.959943314</v>
      </c>
      <c r="JP56">
        <v>228927.693281239</v>
      </c>
      <c r="JQ56">
        <v>177631.584415269</v>
      </c>
      <c r="JR56">
        <v>156182.25379324</v>
      </c>
      <c r="JS56">
        <v>1080936.85508353</v>
      </c>
      <c r="JT56">
        <v>1160014.18320011</v>
      </c>
      <c r="JU56">
        <v>1111835.81777251</v>
      </c>
      <c r="JV56">
        <v>1291869.13370297</v>
      </c>
      <c r="JW56">
        <v>1248662.13374031</v>
      </c>
      <c r="JX56">
        <v>474835.891905856</v>
      </c>
      <c r="JY56">
        <v>839220.66048192</v>
      </c>
      <c r="JZ56">
        <v>665222.304488319</v>
      </c>
      <c r="KA56">
        <v>558869.818890603</v>
      </c>
      <c r="KB56">
        <v>632837.552362674</v>
      </c>
      <c r="KC56" t="s">
        <v>1900</v>
      </c>
      <c r="KD56" t="s">
        <v>1900</v>
      </c>
      <c r="KE56" t="s">
        <v>1900</v>
      </c>
      <c r="KF56" t="s">
        <v>1900</v>
      </c>
      <c r="KG56" t="s">
        <v>1900</v>
      </c>
      <c r="KH56" t="s">
        <v>1900</v>
      </c>
      <c r="KI56" t="s">
        <v>1900</v>
      </c>
      <c r="KJ56" t="s">
        <v>1900</v>
      </c>
      <c r="KK56" t="s">
        <v>1900</v>
      </c>
      <c r="KL56" t="s">
        <v>1900</v>
      </c>
      <c r="KM56">
        <v>26</v>
      </c>
      <c r="KN56">
        <v>27</v>
      </c>
      <c r="KO56">
        <v>28</v>
      </c>
      <c r="KP56">
        <v>28</v>
      </c>
      <c r="KQ56">
        <v>21</v>
      </c>
      <c r="KR56" t="s">
        <v>1900</v>
      </c>
      <c r="KS56" t="s">
        <v>1900</v>
      </c>
      <c r="KT56" t="s">
        <v>1900</v>
      </c>
      <c r="KU56" t="s">
        <v>1900</v>
      </c>
      <c r="KV56" t="s">
        <v>1900</v>
      </c>
      <c r="KW56" t="s">
        <v>1900</v>
      </c>
      <c r="KX56" t="s">
        <v>1900</v>
      </c>
      <c r="KY56" t="s">
        <v>1900</v>
      </c>
      <c r="KZ56" t="s">
        <v>1900</v>
      </c>
      <c r="LA56" t="s">
        <v>1900</v>
      </c>
      <c r="LB56" t="s">
        <v>1900</v>
      </c>
      <c r="LC56" t="s">
        <v>1900</v>
      </c>
      <c r="LD56" t="s">
        <v>1900</v>
      </c>
      <c r="LE56" t="s">
        <v>1900</v>
      </c>
      <c r="LF56" t="s">
        <v>1900</v>
      </c>
      <c r="LG56" t="s">
        <v>1900</v>
      </c>
      <c r="LH56" t="s">
        <v>1900</v>
      </c>
      <c r="LI56" t="s">
        <v>1900</v>
      </c>
      <c r="LJ56" t="s">
        <v>1900</v>
      </c>
      <c r="LK56" t="s">
        <v>1900</v>
      </c>
      <c r="LL56" t="s">
        <v>1900</v>
      </c>
      <c r="LM56" t="s">
        <v>1900</v>
      </c>
      <c r="LN56" t="s">
        <v>1900</v>
      </c>
      <c r="LO56" t="s">
        <v>1900</v>
      </c>
      <c r="LP56" t="s">
        <v>1900</v>
      </c>
      <c r="LQ56" t="s">
        <v>1900</v>
      </c>
      <c r="LR56" t="s">
        <v>1900</v>
      </c>
      <c r="LS56" t="s">
        <v>1900</v>
      </c>
      <c r="LT56" t="s">
        <v>1900</v>
      </c>
      <c r="LU56" t="s">
        <v>1900</v>
      </c>
      <c r="LV56" t="s">
        <v>1900</v>
      </c>
      <c r="LW56" t="s">
        <v>1900</v>
      </c>
      <c r="LX56" t="s">
        <v>1900</v>
      </c>
      <c r="LY56" t="s">
        <v>1900</v>
      </c>
      <c r="LZ56" t="s">
        <v>1900</v>
      </c>
      <c r="MA56" t="s">
        <v>1900</v>
      </c>
      <c r="MB56" t="s">
        <v>1900</v>
      </c>
      <c r="MC56" t="s">
        <v>1900</v>
      </c>
      <c r="MD56" t="s">
        <v>1900</v>
      </c>
      <c r="ME56" t="s">
        <v>1900</v>
      </c>
      <c r="MF56" t="s">
        <v>1900</v>
      </c>
      <c r="MG56" t="s">
        <v>1900</v>
      </c>
      <c r="MH56" t="s">
        <v>1900</v>
      </c>
      <c r="MI56" t="s">
        <v>1900</v>
      </c>
      <c r="MJ56" t="s">
        <v>1900</v>
      </c>
      <c r="MK56" t="s">
        <v>1900</v>
      </c>
      <c r="ML56" t="s">
        <v>1900</v>
      </c>
      <c r="MM56" t="s">
        <v>1900</v>
      </c>
      <c r="MN56" t="s">
        <v>1900</v>
      </c>
      <c r="MO56" t="s">
        <v>1900</v>
      </c>
      <c r="MP56">
        <v>504381.997458173</v>
      </c>
      <c r="MQ56">
        <v>241419.966896315</v>
      </c>
      <c r="MR56">
        <v>346510.740796304</v>
      </c>
      <c r="MS56">
        <v>585581.835842657</v>
      </c>
      <c r="MT56">
        <v>425104.133011758</v>
      </c>
      <c r="MU56" t="s">
        <v>1900</v>
      </c>
      <c r="MV56" t="s">
        <v>1900</v>
      </c>
      <c r="MW56" t="s">
        <v>1900</v>
      </c>
      <c r="MX56" t="s">
        <v>1900</v>
      </c>
      <c r="MY56" t="s">
        <v>1900</v>
      </c>
      <c r="MZ56" t="s">
        <v>1900</v>
      </c>
      <c r="NA56" t="s">
        <v>1900</v>
      </c>
      <c r="NB56" t="s">
        <v>1900</v>
      </c>
      <c r="NC56" t="s">
        <v>1900</v>
      </c>
      <c r="ND56" t="s">
        <v>1900</v>
      </c>
      <c r="NE56" t="s">
        <v>1900</v>
      </c>
      <c r="NF56" t="s">
        <v>1900</v>
      </c>
      <c r="NG56" t="s">
        <v>1900</v>
      </c>
      <c r="NH56" t="s">
        <v>1900</v>
      </c>
      <c r="NI56" t="s">
        <v>1900</v>
      </c>
      <c r="NJ56" t="s">
        <v>1900</v>
      </c>
      <c r="NK56" t="s">
        <v>1900</v>
      </c>
      <c r="NL56" t="s">
        <v>1900</v>
      </c>
      <c r="NM56" t="s">
        <v>1900</v>
      </c>
      <c r="NN56" t="s">
        <v>1900</v>
      </c>
      <c r="NO56" t="s">
        <v>1900</v>
      </c>
      <c r="NP56" t="s">
        <v>1900</v>
      </c>
      <c r="NQ56" t="s">
        <v>1900</v>
      </c>
      <c r="NR56" t="s">
        <v>1900</v>
      </c>
      <c r="NS56" t="s">
        <v>1900</v>
      </c>
      <c r="NT56">
        <v>101718.965719497</v>
      </c>
      <c r="NU56">
        <v>79373.55582187651</v>
      </c>
      <c r="NV56">
        <v>100102.772487891</v>
      </c>
      <c r="NW56">
        <v>147417.47783711</v>
      </c>
      <c r="NX56">
        <v>190720.448365873</v>
      </c>
      <c r="NY56" t="s">
        <v>1900</v>
      </c>
      <c r="NZ56" t="s">
        <v>1900</v>
      </c>
      <c r="OA56" t="s">
        <v>1900</v>
      </c>
      <c r="OB56" t="s">
        <v>1900</v>
      </c>
      <c r="OC56" t="s">
        <v>1900</v>
      </c>
      <c r="OD56" t="s">
        <v>1900</v>
      </c>
      <c r="OE56" t="s">
        <v>1900</v>
      </c>
      <c r="OF56" t="s">
        <v>1900</v>
      </c>
      <c r="OG56" t="s">
        <v>1900</v>
      </c>
      <c r="OH56" t="s">
        <v>1900</v>
      </c>
      <c r="OI56" t="s">
        <v>1900</v>
      </c>
      <c r="OJ56" t="s">
        <v>1900</v>
      </c>
      <c r="OK56" t="s">
        <v>1900</v>
      </c>
      <c r="OL56" t="s">
        <v>1900</v>
      </c>
      <c r="OM56" t="s">
        <v>1900</v>
      </c>
      <c r="ON56" t="s">
        <v>1900</v>
      </c>
      <c r="OO56" t="s">
        <v>1900</v>
      </c>
      <c r="OP56" t="s">
        <v>1900</v>
      </c>
      <c r="OQ56" t="s">
        <v>1900</v>
      </c>
      <c r="OR56" t="s">
        <v>1900</v>
      </c>
      <c r="OS56" t="s">
        <v>1900</v>
      </c>
      <c r="OT56" t="s">
        <v>1900</v>
      </c>
      <c r="OU56" t="s">
        <v>1900</v>
      </c>
      <c r="OV56" t="s">
        <v>1900</v>
      </c>
      <c r="OW56" t="s">
        <v>1900</v>
      </c>
      <c r="OX56" t="s">
        <v>1900</v>
      </c>
      <c r="OY56" t="s">
        <v>1900</v>
      </c>
      <c r="OZ56" t="s">
        <v>1900</v>
      </c>
      <c r="PA56" t="s">
        <v>1900</v>
      </c>
      <c r="PB56" t="s">
        <v>1900</v>
      </c>
      <c r="PC56" t="s">
        <v>1900</v>
      </c>
      <c r="PD56" t="s">
        <v>1900</v>
      </c>
      <c r="PE56" t="s">
        <v>1900</v>
      </c>
      <c r="PF56" t="s">
        <v>1900</v>
      </c>
      <c r="PG56" t="s">
        <v>1900</v>
      </c>
      <c r="PH56" t="s">
        <v>1900</v>
      </c>
      <c r="PI56" t="s">
        <v>1900</v>
      </c>
      <c r="PJ56" t="s">
        <v>1900</v>
      </c>
      <c r="PK56" t="s">
        <v>1900</v>
      </c>
      <c r="PL56" t="s">
        <v>1900</v>
      </c>
      <c r="PM56" t="s">
        <v>1900</v>
      </c>
      <c r="PN56" t="s">
        <v>1900</v>
      </c>
      <c r="PO56" t="s">
        <v>1900</v>
      </c>
      <c r="PP56" t="s">
        <v>1900</v>
      </c>
      <c r="PQ56" t="s">
        <v>1900</v>
      </c>
      <c r="PR56" t="s">
        <v>1900</v>
      </c>
      <c r="PS56" t="s">
        <v>1900</v>
      </c>
      <c r="PT56" t="s">
        <v>1900</v>
      </c>
      <c r="PU56" t="s">
        <v>1900</v>
      </c>
      <c r="PV56" t="s">
        <v>1900</v>
      </c>
      <c r="PW56" t="s">
        <v>1900</v>
      </c>
      <c r="PX56" t="s">
        <v>1900</v>
      </c>
      <c r="PY56" t="s">
        <v>1900</v>
      </c>
      <c r="PZ56" t="s">
        <v>1900</v>
      </c>
      <c r="QA56" t="s">
        <v>1900</v>
      </c>
      <c r="QB56" t="s">
        <v>1900</v>
      </c>
      <c r="QC56" t="s">
        <v>1900</v>
      </c>
      <c r="QD56" t="s">
        <v>1900</v>
      </c>
      <c r="QE56" t="s">
        <v>1900</v>
      </c>
      <c r="QF56" t="s">
        <v>1900</v>
      </c>
      <c r="QG56" t="s">
        <v>1900</v>
      </c>
      <c r="QH56" t="s">
        <v>1900</v>
      </c>
      <c r="QI56" t="s">
        <v>1900</v>
      </c>
      <c r="QJ56" t="s">
        <v>1900</v>
      </c>
      <c r="QK56" t="s">
        <v>1900</v>
      </c>
      <c r="QL56" t="s">
        <v>1900</v>
      </c>
      <c r="QM56" t="s">
        <v>1900</v>
      </c>
      <c r="QN56" t="s">
        <v>1900</v>
      </c>
      <c r="QO56" t="s">
        <v>1900</v>
      </c>
      <c r="QP56" t="s">
        <v>1900</v>
      </c>
      <c r="QQ56" t="s">
        <v>1900</v>
      </c>
      <c r="QR56" t="s">
        <v>1900</v>
      </c>
      <c r="QS56" t="s">
        <v>1900</v>
      </c>
      <c r="QT56" t="s">
        <v>1900</v>
      </c>
      <c r="QU56" t="s">
        <v>1900</v>
      </c>
      <c r="QV56" t="s">
        <v>1900</v>
      </c>
      <c r="QW56" t="s">
        <v>1900</v>
      </c>
      <c r="QX56" t="s">
        <v>1900</v>
      </c>
      <c r="QY56" t="s">
        <v>1900</v>
      </c>
      <c r="QZ56" t="s">
        <v>1900</v>
      </c>
      <c r="RA56" t="s">
        <v>1900</v>
      </c>
      <c r="RB56" t="s">
        <v>1900</v>
      </c>
      <c r="RC56" t="s">
        <v>1900</v>
      </c>
      <c r="RD56" t="s">
        <v>1900</v>
      </c>
      <c r="RE56" t="s">
        <v>1900</v>
      </c>
      <c r="RF56" t="s">
        <v>1900</v>
      </c>
      <c r="RG56" t="s">
        <v>1900</v>
      </c>
      <c r="RH56" t="s">
        <v>1900</v>
      </c>
      <c r="RI56" t="s">
        <v>1900</v>
      </c>
      <c r="RJ56" t="s">
        <v>1900</v>
      </c>
      <c r="RK56" t="s">
        <v>1900</v>
      </c>
      <c r="RL56" t="s">
        <v>1900</v>
      </c>
      <c r="RM56" t="s">
        <v>1900</v>
      </c>
      <c r="RN56" t="s">
        <v>1900</v>
      </c>
      <c r="RO56" t="s">
        <v>1900</v>
      </c>
      <c r="RP56" t="s">
        <v>1900</v>
      </c>
      <c r="RQ56" t="s">
        <v>1900</v>
      </c>
      <c r="RR56" t="s">
        <v>1900</v>
      </c>
      <c r="RS56" t="s">
        <v>1900</v>
      </c>
      <c r="RT56" t="s">
        <v>1900</v>
      </c>
      <c r="RU56" t="s">
        <v>1900</v>
      </c>
      <c r="RV56" t="s">
        <v>1900</v>
      </c>
      <c r="RW56" t="s">
        <v>1900</v>
      </c>
      <c r="RX56" t="s">
        <v>1900</v>
      </c>
      <c r="RY56" t="s">
        <v>1900</v>
      </c>
      <c r="RZ56" t="s">
        <v>1900</v>
      </c>
      <c r="SA56" t="s">
        <v>1900</v>
      </c>
      <c r="SB56" t="s">
        <v>1900</v>
      </c>
      <c r="SC56" t="s">
        <v>1900</v>
      </c>
      <c r="SD56" t="s">
        <v>1900</v>
      </c>
      <c r="SE56" t="s">
        <v>1900</v>
      </c>
      <c r="SF56" t="s">
        <v>1900</v>
      </c>
      <c r="SG56" t="s">
        <v>1900</v>
      </c>
      <c r="SH56" t="s">
        <v>1900</v>
      </c>
      <c r="SI56" t="s">
        <v>1900</v>
      </c>
      <c r="SJ56">
        <v>25986.2539414465</v>
      </c>
      <c r="SK56">
        <v>13274.6472074986</v>
      </c>
      <c r="SL56">
        <v>12749.3303330243</v>
      </c>
      <c r="SM56">
        <v>13538.2546252012</v>
      </c>
      <c r="SN56">
        <v>13502.0803664625</v>
      </c>
      <c r="SO56" t="s">
        <v>1900</v>
      </c>
      <c r="SP56" t="s">
        <v>1900</v>
      </c>
      <c r="SQ56" t="s">
        <v>1900</v>
      </c>
      <c r="SR56" t="s">
        <v>1900</v>
      </c>
      <c r="SS56" t="s">
        <v>1900</v>
      </c>
      <c r="ST56" t="s">
        <v>1900</v>
      </c>
      <c r="SU56" t="s">
        <v>1900</v>
      </c>
      <c r="SV56" t="s">
        <v>1900</v>
      </c>
      <c r="SW56" t="s">
        <v>1900</v>
      </c>
      <c r="SX56" t="s">
        <v>1900</v>
      </c>
      <c r="SY56" t="s">
        <v>1900</v>
      </c>
      <c r="SZ56" t="s">
        <v>1900</v>
      </c>
      <c r="TA56" t="s">
        <v>1900</v>
      </c>
      <c r="TB56" t="s">
        <v>1900</v>
      </c>
      <c r="TC56" t="s">
        <v>1900</v>
      </c>
      <c r="TD56" t="s">
        <v>1900</v>
      </c>
      <c r="TE56" t="s">
        <v>1900</v>
      </c>
      <c r="TF56" t="s">
        <v>1900</v>
      </c>
      <c r="TG56" t="s">
        <v>1900</v>
      </c>
      <c r="TH56" t="s">
        <v>1900</v>
      </c>
      <c r="TI56" t="s">
        <v>1900</v>
      </c>
      <c r="TJ56" t="s">
        <v>1900</v>
      </c>
      <c r="TK56" t="s">
        <v>1900</v>
      </c>
      <c r="TL56" t="s">
        <v>1900</v>
      </c>
      <c r="TM56" t="s">
        <v>1900</v>
      </c>
      <c r="TN56" t="s">
        <v>1900</v>
      </c>
      <c r="TO56" t="s">
        <v>1900</v>
      </c>
      <c r="TP56" t="s">
        <v>1900</v>
      </c>
      <c r="TQ56" t="s">
        <v>1900</v>
      </c>
      <c r="TR56" t="s">
        <v>1900</v>
      </c>
      <c r="TS56">
        <v>1080936.85508353</v>
      </c>
      <c r="TT56">
        <v>1160014.18320011</v>
      </c>
      <c r="TU56">
        <v>1111835.81777251</v>
      </c>
      <c r="TV56">
        <v>1291869.13370297</v>
      </c>
      <c r="TW56">
        <v>1248662.13374031</v>
      </c>
      <c r="TX56" t="s">
        <v>1900</v>
      </c>
      <c r="TY56" t="s">
        <v>1900</v>
      </c>
      <c r="TZ56" t="s">
        <v>1900</v>
      </c>
      <c r="UA56" t="s">
        <v>1900</v>
      </c>
      <c r="UB56" t="s">
        <v>1900</v>
      </c>
      <c r="UC56">
        <v>54485.2110905075</v>
      </c>
      <c r="UD56">
        <v>73220.5815604973</v>
      </c>
      <c r="UE56">
        <v>71968.0431845963</v>
      </c>
      <c r="UF56">
        <v>56941.5370877981</v>
      </c>
      <c r="UG56">
        <v>81544.9328557908</v>
      </c>
      <c r="UH56" t="s">
        <v>1900</v>
      </c>
      <c r="UI56" t="s">
        <v>1900</v>
      </c>
      <c r="UJ56" t="s">
        <v>1900</v>
      </c>
      <c r="UK56" t="s">
        <v>1900</v>
      </c>
      <c r="UL56" t="s">
        <v>1900</v>
      </c>
      <c r="UM56" t="s">
        <v>1900</v>
      </c>
      <c r="UN56" t="s">
        <v>1900</v>
      </c>
      <c r="UO56" t="s">
        <v>1900</v>
      </c>
      <c r="UP56" t="s">
        <v>1900</v>
      </c>
      <c r="UQ56" t="s">
        <v>1900</v>
      </c>
      <c r="UR56" t="s">
        <v>1900</v>
      </c>
      <c r="US56" t="s">
        <v>1900</v>
      </c>
      <c r="UT56" t="s">
        <v>1900</v>
      </c>
      <c r="UU56" t="s">
        <v>1900</v>
      </c>
      <c r="UV56" t="s">
        <v>1900</v>
      </c>
      <c r="UW56" t="s">
        <v>1900</v>
      </c>
      <c r="UX56" t="s">
        <v>1900</v>
      </c>
      <c r="UY56" t="s">
        <v>1900</v>
      </c>
      <c r="UZ56" t="s">
        <v>1900</v>
      </c>
      <c r="VA56" t="s">
        <v>1900</v>
      </c>
      <c r="VB56" t="s">
        <v>1900</v>
      </c>
      <c r="VC56" t="s">
        <v>1900</v>
      </c>
      <c r="VD56" t="s">
        <v>1900</v>
      </c>
      <c r="VE56" t="s">
        <v>1900</v>
      </c>
      <c r="VF56" t="s">
        <v>1900</v>
      </c>
      <c r="VG56" t="s">
        <v>1900</v>
      </c>
      <c r="VH56" t="s">
        <v>1900</v>
      </c>
      <c r="VI56" t="s">
        <v>1900</v>
      </c>
      <c r="VJ56" t="s">
        <v>1900</v>
      </c>
      <c r="VK56" t="s">
        <v>1900</v>
      </c>
      <c r="VL56" t="s">
        <v>1900</v>
      </c>
      <c r="VM56" t="s">
        <v>1900</v>
      </c>
      <c r="VN56" t="s">
        <v>1900</v>
      </c>
      <c r="VO56" t="s">
        <v>1900</v>
      </c>
      <c r="VP56" t="s">
        <v>1900</v>
      </c>
      <c r="VQ56" t="s">
        <v>1900</v>
      </c>
      <c r="VR56" t="s">
        <v>1900</v>
      </c>
      <c r="VS56" t="s">
        <v>1900</v>
      </c>
      <c r="VT56" t="s">
        <v>1900</v>
      </c>
      <c r="VU56" t="s">
        <v>1900</v>
      </c>
      <c r="VV56" t="s">
        <v>1900</v>
      </c>
      <c r="VW56" t="s">
        <v>1900</v>
      </c>
      <c r="VX56" t="s">
        <v>1900</v>
      </c>
      <c r="VY56" t="s">
        <v>1900</v>
      </c>
      <c r="VZ56" t="s">
        <v>1900</v>
      </c>
      <c r="WA56">
        <v>491855.829858596</v>
      </c>
      <c r="WB56">
        <v>501669.959943314</v>
      </c>
      <c r="WC56">
        <v>228927.693281239</v>
      </c>
      <c r="WD56">
        <v>177631.584415269</v>
      </c>
      <c r="WE56">
        <v>156182.25379324</v>
      </c>
      <c r="WF56" t="s">
        <v>1900</v>
      </c>
      <c r="WG56" t="s">
        <v>1900</v>
      </c>
      <c r="WH56" t="s">
        <v>1900</v>
      </c>
      <c r="WI56" t="s">
        <v>1900</v>
      </c>
      <c r="WJ56" t="s">
        <v>1900</v>
      </c>
      <c r="WK56" t="s">
        <v>1900</v>
      </c>
      <c r="WL56" t="s">
        <v>1900</v>
      </c>
      <c r="WM56" t="s">
        <v>1900</v>
      </c>
      <c r="WN56" t="s">
        <v>1900</v>
      </c>
      <c r="WO56" t="s">
        <v>1900</v>
      </c>
      <c r="WP56" t="s">
        <v>1900</v>
      </c>
      <c r="WQ56" t="s">
        <v>1900</v>
      </c>
      <c r="WR56" t="s">
        <v>1900</v>
      </c>
      <c r="WS56" t="s">
        <v>1900</v>
      </c>
      <c r="WT56" t="s">
        <v>1900</v>
      </c>
      <c r="WU56" t="s">
        <v>1900</v>
      </c>
      <c r="WV56" t="s">
        <v>1900</v>
      </c>
      <c r="WW56" t="s">
        <v>1900</v>
      </c>
      <c r="WX56" t="s">
        <v>1900</v>
      </c>
      <c r="WY56" t="s">
        <v>1900</v>
      </c>
      <c r="WZ56" t="s">
        <v>1900</v>
      </c>
      <c r="XA56" t="s">
        <v>1900</v>
      </c>
      <c r="XB56" t="s">
        <v>1900</v>
      </c>
      <c r="XC56" t="s">
        <v>1900</v>
      </c>
      <c r="XD56" t="s">
        <v>1900</v>
      </c>
      <c r="XE56" t="s">
        <v>1900</v>
      </c>
      <c r="XF56" t="s">
        <v>1900</v>
      </c>
      <c r="XG56" t="s">
        <v>1900</v>
      </c>
      <c r="XH56" t="s">
        <v>1900</v>
      </c>
      <c r="XI56" t="s">
        <v>1900</v>
      </c>
      <c r="XJ56">
        <v>0</v>
      </c>
      <c r="XK56">
        <v>0</v>
      </c>
      <c r="XL56">
        <v>0</v>
      </c>
      <c r="XM56">
        <v>0</v>
      </c>
      <c r="XN56">
        <v>0</v>
      </c>
      <c r="XO56" t="s">
        <v>1900</v>
      </c>
      <c r="XP56" t="s">
        <v>1900</v>
      </c>
      <c r="XQ56" t="s">
        <v>1900</v>
      </c>
      <c r="XR56" t="s">
        <v>1900</v>
      </c>
      <c r="XS56" t="s">
        <v>1900</v>
      </c>
      <c r="XT56" t="s">
        <v>1900</v>
      </c>
      <c r="XU56" t="s">
        <v>1900</v>
      </c>
      <c r="XV56" t="s">
        <v>1900</v>
      </c>
      <c r="XW56" t="s">
        <v>1900</v>
      </c>
      <c r="XX56" t="s">
        <v>1900</v>
      </c>
      <c r="XY56">
        <v>0</v>
      </c>
      <c r="XZ56">
        <v>0</v>
      </c>
      <c r="YA56">
        <v>0</v>
      </c>
      <c r="YB56">
        <v>0</v>
      </c>
      <c r="YC56">
        <v>0</v>
      </c>
      <c r="YD56" t="s">
        <v>1900</v>
      </c>
      <c r="YE56" t="s">
        <v>1900</v>
      </c>
      <c r="YF56" t="s">
        <v>1900</v>
      </c>
      <c r="YG56" t="s">
        <v>1900</v>
      </c>
      <c r="YH56" t="s">
        <v>1900</v>
      </c>
      <c r="YI56" t="s">
        <v>1900</v>
      </c>
      <c r="YJ56" t="s">
        <v>1900</v>
      </c>
      <c r="YK56" t="s">
        <v>1900</v>
      </c>
      <c r="YL56" t="s">
        <v>1900</v>
      </c>
      <c r="YM56" t="s">
        <v>1900</v>
      </c>
      <c r="YN56" t="s">
        <v>1900</v>
      </c>
      <c r="YO56" t="s">
        <v>1900</v>
      </c>
      <c r="YP56" t="s">
        <v>1900</v>
      </c>
      <c r="YQ56" t="s">
        <v>1900</v>
      </c>
      <c r="YR56" t="s">
        <v>1900</v>
      </c>
      <c r="YS56" t="s">
        <v>1900</v>
      </c>
      <c r="YT56" t="s">
        <v>1900</v>
      </c>
      <c r="YU56" t="s">
        <v>1900</v>
      </c>
      <c r="YV56" t="s">
        <v>1900</v>
      </c>
      <c r="YW56" t="s">
        <v>1900</v>
      </c>
      <c r="YX56" t="s">
        <v>1900</v>
      </c>
      <c r="YY56" t="s">
        <v>1900</v>
      </c>
      <c r="YZ56" t="s">
        <v>1900</v>
      </c>
      <c r="ZA56" t="s">
        <v>1900</v>
      </c>
      <c r="ZB56" t="s">
        <v>1900</v>
      </c>
      <c r="ZC56" t="s">
        <v>1900</v>
      </c>
      <c r="ZD56" t="s">
        <v>1900</v>
      </c>
      <c r="ZE56" t="s">
        <v>1900</v>
      </c>
      <c r="ZF56" t="s">
        <v>1900</v>
      </c>
      <c r="ZG56" t="s">
        <v>1900</v>
      </c>
      <c r="ZH56" t="s">
        <v>1900</v>
      </c>
      <c r="ZI56" t="s">
        <v>1900</v>
      </c>
      <c r="ZJ56" t="s">
        <v>1900</v>
      </c>
      <c r="ZK56" t="s">
        <v>1900</v>
      </c>
      <c r="ZL56" t="s">
        <v>1900</v>
      </c>
      <c r="ZM56" t="s">
        <v>1900</v>
      </c>
      <c r="ZN56" t="s">
        <v>1900</v>
      </c>
      <c r="ZO56" t="s">
        <v>1900</v>
      </c>
      <c r="ZP56" t="s">
        <v>1900</v>
      </c>
      <c r="ZQ56" t="s">
        <v>1900</v>
      </c>
      <c r="ZR56" t="s">
        <v>1900</v>
      </c>
      <c r="ZS56" t="s">
        <v>1900</v>
      </c>
      <c r="ZT56" t="s">
        <v>1900</v>
      </c>
      <c r="ZU56" t="s">
        <v>1900</v>
      </c>
      <c r="ZV56" t="s">
        <v>1900</v>
      </c>
      <c r="ZW56" t="s">
        <v>1900</v>
      </c>
      <c r="ZX56" t="s">
        <v>1900</v>
      </c>
      <c r="ZY56" t="s">
        <v>1900</v>
      </c>
      <c r="ZZ56" t="s">
        <v>1900</v>
      </c>
      <c r="AAA56" t="s">
        <v>1900</v>
      </c>
      <c r="AAB56" t="s">
        <v>1900</v>
      </c>
      <c r="AAC56" t="s">
        <v>1900</v>
      </c>
      <c r="AAD56" t="s">
        <v>1900</v>
      </c>
      <c r="AAE56" t="s">
        <v>1900</v>
      </c>
      <c r="AAF56" t="s">
        <v>1900</v>
      </c>
      <c r="AAG56" t="s">
        <v>1900</v>
      </c>
      <c r="AAH56" t="s">
        <v>1900</v>
      </c>
      <c r="AAI56" t="s">
        <v>1900</v>
      </c>
      <c r="AAJ56" t="s">
        <v>1900</v>
      </c>
      <c r="AAK56" t="s">
        <v>1900</v>
      </c>
      <c r="AAL56" t="s">
        <v>1900</v>
      </c>
      <c r="AAM56" t="s">
        <v>1900</v>
      </c>
      <c r="AAN56" t="s">
        <v>1900</v>
      </c>
      <c r="AAO56" t="s">
        <v>1900</v>
      </c>
      <c r="AAP56" t="s">
        <v>1900</v>
      </c>
      <c r="AAQ56" t="s">
        <v>1900</v>
      </c>
      <c r="AAR56" t="s">
        <v>1900</v>
      </c>
      <c r="AAS56" t="s">
        <v>1900</v>
      </c>
      <c r="AAT56" t="s">
        <v>1900</v>
      </c>
      <c r="AAU56" t="s">
        <v>1900</v>
      </c>
      <c r="AAV56" t="s">
        <v>1900</v>
      </c>
      <c r="AAW56" t="s">
        <v>1900</v>
      </c>
      <c r="AAX56" t="s">
        <v>1900</v>
      </c>
      <c r="AAY56" t="s">
        <v>1900</v>
      </c>
      <c r="AAZ56" t="s">
        <v>1900</v>
      </c>
      <c r="ABA56" t="s">
        <v>1900</v>
      </c>
      <c r="ABB56" t="s">
        <v>1900</v>
      </c>
      <c r="ABC56" t="s">
        <v>1900</v>
      </c>
      <c r="ABD56" t="s">
        <v>1900</v>
      </c>
      <c r="ABE56" t="s">
        <v>1900</v>
      </c>
      <c r="ABF56" t="s">
        <v>1900</v>
      </c>
      <c r="ABG56" t="s">
        <v>1900</v>
      </c>
      <c r="ABH56" t="s">
        <v>1900</v>
      </c>
      <c r="ABI56" t="s">
        <v>1900</v>
      </c>
      <c r="ABJ56" t="s">
        <v>1900</v>
      </c>
      <c r="ABK56" t="s">
        <v>1900</v>
      </c>
      <c r="ABL56" t="s">
        <v>1900</v>
      </c>
      <c r="ABM56" t="s">
        <v>1900</v>
      </c>
      <c r="ABN56" t="s">
        <v>1900</v>
      </c>
      <c r="ABO56" t="s">
        <v>1900</v>
      </c>
      <c r="ABP56" t="s">
        <v>1900</v>
      </c>
      <c r="ABQ56" t="s">
        <v>1900</v>
      </c>
      <c r="ABR56" t="s">
        <v>1900</v>
      </c>
      <c r="ABS56" t="s">
        <v>1900</v>
      </c>
      <c r="ABT56" t="s">
        <v>1900</v>
      </c>
      <c r="ABU56" t="s">
        <v>1900</v>
      </c>
      <c r="ABV56" t="s">
        <v>1900</v>
      </c>
      <c r="ABW56" t="s">
        <v>1900</v>
      </c>
      <c r="ABX56" t="s">
        <v>1900</v>
      </c>
      <c r="ABY56" t="s">
        <v>1900</v>
      </c>
      <c r="ABZ56" t="s">
        <v>1900</v>
      </c>
      <c r="ACA56" t="s">
        <v>1900</v>
      </c>
      <c r="ACB56" t="s">
        <v>1900</v>
      </c>
      <c r="ACC56" t="s">
        <v>1900</v>
      </c>
      <c r="ACD56" t="s">
        <v>1900</v>
      </c>
      <c r="ACE56">
        <v>53.115</v>
      </c>
      <c r="ACF56">
        <v>16.405</v>
      </c>
      <c r="ACG56">
        <v>0.819</v>
      </c>
      <c r="ACH56">
        <v>18.068</v>
      </c>
      <c r="ACI56">
        <v>-24.641</v>
      </c>
      <c r="ACJ56">
        <v>41.291</v>
      </c>
      <c r="ACK56">
        <v>11.924</v>
      </c>
      <c r="ACL56">
        <v>1.347</v>
      </c>
      <c r="ACM56">
        <v>12.84</v>
      </c>
      <c r="ACN56">
        <v>-14.704</v>
      </c>
      <c r="ACO56">
        <v>20.098</v>
      </c>
      <c r="ACP56">
        <v>5.566</v>
      </c>
      <c r="ACQ56">
        <v>0.409</v>
      </c>
      <c r="ACR56">
        <v>9.923</v>
      </c>
      <c r="ACS56">
        <v>-12.477</v>
      </c>
      <c r="ACT56">
        <v>46.839</v>
      </c>
      <c r="ACU56">
        <v>16.405</v>
      </c>
      <c r="ACV56">
        <v>0.819</v>
      </c>
      <c r="ACW56">
        <v>18.068</v>
      </c>
      <c r="ACX56">
        <v>-24.641</v>
      </c>
      <c r="ACY56">
        <v>36.49</v>
      </c>
      <c r="ACZ56">
        <v>11.924</v>
      </c>
      <c r="ADA56">
        <v>1.347</v>
      </c>
      <c r="ADB56">
        <v>12.84</v>
      </c>
      <c r="ADC56">
        <v>-14.704</v>
      </c>
      <c r="ADD56">
        <v>17.723</v>
      </c>
      <c r="ADE56">
        <v>5.566</v>
      </c>
      <c r="ADF56">
        <v>0.409</v>
      </c>
      <c r="ADG56">
        <v>9.923</v>
      </c>
      <c r="ADH56">
        <v>-12.477</v>
      </c>
      <c r="ADI56">
        <v>10.983</v>
      </c>
      <c r="ADJ56">
        <v>2.981</v>
      </c>
      <c r="ADK56">
        <v>0.243</v>
      </c>
      <c r="ADL56">
        <v>6.665</v>
      </c>
      <c r="ADM56">
        <v>-8.773999999999999</v>
      </c>
      <c r="ADN56">
        <v>99.867</v>
      </c>
      <c r="ADO56">
        <v>93.65600000000001</v>
      </c>
      <c r="ADP56" t="s">
        <v>1901</v>
      </c>
      <c r="ADQ56">
        <v>98.23399999999999</v>
      </c>
      <c r="ADR56">
        <v>98.163</v>
      </c>
      <c r="ADS56">
        <v>8.646338350000001</v>
      </c>
      <c r="ADT56">
        <v>1.816361324</v>
      </c>
      <c r="ADU56">
        <v>0.581608014</v>
      </c>
      <c r="ADV56">
        <v>3.878170823</v>
      </c>
      <c r="ADW56">
        <v>-11.493343655</v>
      </c>
      <c r="ADX56">
        <v>10.017</v>
      </c>
      <c r="ADY56">
        <v>3.459</v>
      </c>
      <c r="ADZ56">
        <v>3.534</v>
      </c>
      <c r="AEA56">
        <v>6.483</v>
      </c>
      <c r="AEB56">
        <v>-9.239000000000001</v>
      </c>
      <c r="AEC56">
        <v>8.646000000000001</v>
      </c>
      <c r="AED56">
        <v>1.816</v>
      </c>
      <c r="AEE56">
        <v>0.582</v>
      </c>
      <c r="AEF56">
        <v>3.878</v>
      </c>
      <c r="AEG56">
        <v>-11.493</v>
      </c>
      <c r="AEH56">
        <v>11.056</v>
      </c>
      <c r="AEI56">
        <v>4.624</v>
      </c>
      <c r="AEJ56">
        <v>3.196</v>
      </c>
      <c r="AEK56">
        <v>9.27</v>
      </c>
      <c r="AEL56">
        <v>-6.519</v>
      </c>
      <c r="AEM56">
        <v>9.464687230999999</v>
      </c>
      <c r="AEN56">
        <v>1.849963342</v>
      </c>
      <c r="AEO56">
        <v>0.585010481</v>
      </c>
      <c r="AEP56">
        <v>4.034641096</v>
      </c>
      <c r="AEQ56">
        <v>-10.30854693</v>
      </c>
      <c r="AER56">
        <v>1.094784593</v>
      </c>
      <c r="AES56">
        <v>1.019777446</v>
      </c>
      <c r="AET56">
        <v>1.005849355</v>
      </c>
      <c r="AEU56">
        <v>1.041101766</v>
      </c>
      <c r="AEV56">
        <v>0.895187613</v>
      </c>
      <c r="AEW56" t="s">
        <v>1900</v>
      </c>
      <c r="AEX56" t="s">
        <v>1900</v>
      </c>
      <c r="AEY56" t="s">
        <v>1900</v>
      </c>
      <c r="AEZ56" t="s">
        <v>1900</v>
      </c>
      <c r="AFA56" t="s">
        <v>1900</v>
      </c>
      <c r="AFB56" t="s">
        <v>1900</v>
      </c>
      <c r="AFC56" t="s">
        <v>1900</v>
      </c>
      <c r="AFD56" t="s">
        <v>1900</v>
      </c>
      <c r="AFE56" t="s">
        <v>1900</v>
      </c>
      <c r="AFF56" t="s">
        <v>1900</v>
      </c>
      <c r="AFG56">
        <v>3.7</v>
      </c>
      <c r="AFH56">
        <v>3.702</v>
      </c>
      <c r="AFI56">
        <v>2.305</v>
      </c>
      <c r="AFJ56">
        <v>1.819</v>
      </c>
      <c r="AFK56">
        <v>1.756</v>
      </c>
      <c r="AFL56">
        <v>48.882</v>
      </c>
      <c r="AFM56">
        <v>7.559</v>
      </c>
      <c r="AFN56">
        <v>1.707</v>
      </c>
      <c r="AFO56">
        <v>9.866</v>
      </c>
      <c r="AFP56">
        <v>-28.534</v>
      </c>
      <c r="AFQ56">
        <v>11.403</v>
      </c>
      <c r="AFR56">
        <v>11.565</v>
      </c>
      <c r="AFS56">
        <v>5.964</v>
      </c>
      <c r="AFT56">
        <v>5.784</v>
      </c>
      <c r="AFU56">
        <v>4.472</v>
      </c>
      <c r="AFV56">
        <v>54.854</v>
      </c>
      <c r="AFW56">
        <v>108.359</v>
      </c>
      <c r="AFX56">
        <v>67.767</v>
      </c>
      <c r="AFY56">
        <v>42.361</v>
      </c>
      <c r="AFZ56">
        <v>47.795</v>
      </c>
      <c r="AGA56">
        <v>0</v>
      </c>
      <c r="AGB56">
        <v>0</v>
      </c>
      <c r="AGC56">
        <v>0</v>
      </c>
      <c r="AGD56">
        <v>0</v>
      </c>
      <c r="AGE56">
        <v>0</v>
      </c>
      <c r="AGF56" t="s">
        <v>1900</v>
      </c>
      <c r="AGG56" t="s">
        <v>1900</v>
      </c>
      <c r="AGH56" t="s">
        <v>1900</v>
      </c>
      <c r="AGI56" t="s">
        <v>1900</v>
      </c>
      <c r="AGJ56" t="s">
        <v>1900</v>
      </c>
      <c r="AGK56" t="s">
        <v>1900</v>
      </c>
      <c r="AGL56" t="s">
        <v>1900</v>
      </c>
      <c r="AGM56" t="s">
        <v>1900</v>
      </c>
      <c r="AGN56" t="s">
        <v>1900</v>
      </c>
      <c r="AGO56" t="s">
        <v>1900</v>
      </c>
      <c r="AGP56" t="s">
        <v>1900</v>
      </c>
      <c r="AGQ56" t="s">
        <v>1900</v>
      </c>
      <c r="AGR56" t="s">
        <v>1900</v>
      </c>
      <c r="AGS56" t="s">
        <v>1900</v>
      </c>
      <c r="AGT56" t="s">
        <v>1900</v>
      </c>
      <c r="AGU56">
        <v>0</v>
      </c>
      <c r="AGV56">
        <v>0</v>
      </c>
      <c r="AGW56">
        <v>0</v>
      </c>
      <c r="AGX56">
        <v>0</v>
      </c>
      <c r="AGY56">
        <v>0</v>
      </c>
      <c r="AGZ56">
        <v>1.792</v>
      </c>
      <c r="AHA56">
        <v>1.88</v>
      </c>
      <c r="AHB56">
        <v>3.362</v>
      </c>
      <c r="AHC56">
        <v>4.879</v>
      </c>
      <c r="AHD56">
        <v>4.45</v>
      </c>
      <c r="AHE56">
        <v>1.475</v>
      </c>
      <c r="AHF56">
        <v>1.554</v>
      </c>
      <c r="AHG56">
        <v>2.321</v>
      </c>
      <c r="AHH56">
        <v>3.461</v>
      </c>
      <c r="AHI56">
        <v>2.78</v>
      </c>
      <c r="AHJ56">
        <v>3.257</v>
      </c>
      <c r="AHK56">
        <v>2.055</v>
      </c>
      <c r="AHL56">
        <v>2.173</v>
      </c>
      <c r="AHM56">
        <v>2.04</v>
      </c>
      <c r="AHN56">
        <v>1.67</v>
      </c>
      <c r="AHO56">
        <v>37.838</v>
      </c>
      <c r="AHP56">
        <v>33.93</v>
      </c>
      <c r="AHQ56">
        <v>49.952</v>
      </c>
      <c r="AHR56">
        <v>54.921</v>
      </c>
      <c r="AHS56">
        <v>50.635</v>
      </c>
      <c r="AHT56">
        <v>60.869</v>
      </c>
      <c r="AHU56">
        <v>51.354</v>
      </c>
      <c r="AHV56">
        <v>99.80800000000001</v>
      </c>
      <c r="AHW56" t="s">
        <v>1901</v>
      </c>
      <c r="AHX56" t="s">
        <v>1901</v>
      </c>
      <c r="AHY56">
        <v>44.029</v>
      </c>
      <c r="AHZ56">
        <v>67.268</v>
      </c>
      <c r="AIA56">
        <v>58.973</v>
      </c>
      <c r="AIB56">
        <v>57.044</v>
      </c>
      <c r="AIC56">
        <v>72.788</v>
      </c>
      <c r="AID56">
        <v>2.404049211</v>
      </c>
      <c r="AIE56">
        <v>1.144352147</v>
      </c>
      <c r="AIF56">
        <v>1.146691816</v>
      </c>
      <c r="AIG56">
        <v>1.047958673</v>
      </c>
      <c r="AIH56">
        <v>1.081323763</v>
      </c>
      <c r="AII56">
        <v>46.661559839</v>
      </c>
      <c r="AIJ56">
        <v>20.811811648</v>
      </c>
      <c r="AIK56">
        <v>31.16563932</v>
      </c>
      <c r="AIL56">
        <v>45.328262791</v>
      </c>
      <c r="AIM56">
        <v>34.044768519</v>
      </c>
      <c r="AIN56">
        <v>45.502734738</v>
      </c>
      <c r="AIO56">
        <v>43.246881565</v>
      </c>
      <c r="AIP56">
        <v>20.590062815</v>
      </c>
      <c r="AIQ56">
        <v>13.749967375</v>
      </c>
      <c r="AIR56">
        <v>12.507967494</v>
      </c>
      <c r="AIS56" t="s">
        <v>1901</v>
      </c>
      <c r="AIT56">
        <v>136.30486883</v>
      </c>
      <c r="AIU56" t="s">
        <v>1901</v>
      </c>
      <c r="AIV56">
        <v>978.6766666669999</v>
      </c>
      <c r="AIW56" t="s">
        <v>1901</v>
      </c>
      <c r="AIX56">
        <v>8.35550850932753</v>
      </c>
      <c r="AIY56">
        <v>2.391391243227</v>
      </c>
      <c r="AIZ56">
        <v>0.16252203042388</v>
      </c>
      <c r="AJA56">
        <v>4.57840422868967</v>
      </c>
      <c r="AJB56">
        <v>-7.41887302465558</v>
      </c>
      <c r="AJC56">
        <v>76.07448063782</v>
      </c>
      <c r="AJD56">
        <v>80.2196226565809</v>
      </c>
      <c r="AJE56">
        <v>66.7508859139258</v>
      </c>
      <c r="AJF56">
        <v>68.6953199007726</v>
      </c>
      <c r="AJG56">
        <v>84.55622226560121</v>
      </c>
      <c r="AJH56">
        <v>44.199</v>
      </c>
      <c r="AJI56">
        <v>43.445</v>
      </c>
      <c r="AJJ56">
        <v>44.859</v>
      </c>
      <c r="AJK56">
        <v>44.451</v>
      </c>
      <c r="AJL56">
        <v>40.89</v>
      </c>
      <c r="AJM56">
        <v>33.6240657143305</v>
      </c>
      <c r="AJN56">
        <v>34.8514117658854</v>
      </c>
      <c r="AJO56">
        <v>29.9439433522552</v>
      </c>
      <c r="AJP56">
        <v>30.5360923869681</v>
      </c>
      <c r="AJQ56">
        <v>34.5751793455184</v>
      </c>
      <c r="AJR56">
        <v>15.7308547799973</v>
      </c>
      <c r="AJS56">
        <v>14.5773024571142</v>
      </c>
      <c r="AJT56">
        <v>19.8351379091388</v>
      </c>
      <c r="AJU56">
        <v>25.3394514848471</v>
      </c>
      <c r="AJV56">
        <v>30.1078728077698</v>
      </c>
      <c r="AJW56">
        <v>18.262918919456</v>
      </c>
      <c r="AJX56">
        <v>31.0822462343302</v>
      </c>
      <c r="AJY56">
        <v>23.7579393698257</v>
      </c>
      <c r="AJZ56">
        <v>19.9596362676001</v>
      </c>
      <c r="AKA56">
        <v>30.1351217748129</v>
      </c>
      <c r="AKB56">
        <v>41.5744948258662</v>
      </c>
      <c r="AKC56">
        <v>42.9634878164854</v>
      </c>
      <c r="AKD56">
        <v>39.7084216823757</v>
      </c>
      <c r="AKE56">
        <v>46.1381837510347</v>
      </c>
      <c r="AKF56">
        <v>59.4601015482479</v>
      </c>
      <c r="AKG56" t="s">
        <v>1901</v>
      </c>
      <c r="AKH56">
        <v>136.30486883</v>
      </c>
      <c r="AKI56" t="s">
        <v>1901</v>
      </c>
      <c r="AKJ56">
        <v>978.6766666669999</v>
      </c>
      <c r="AKK56" t="s">
        <v>1901</v>
      </c>
      <c r="AKL56">
        <v>8.769322688000001</v>
      </c>
      <c r="AKM56">
        <v>8.64663863</v>
      </c>
      <c r="AKN56">
        <v>16.767828586</v>
      </c>
      <c r="AKO56">
        <v>17.288287708</v>
      </c>
      <c r="AKP56">
        <v>22.36286185</v>
      </c>
      <c r="AKQ56">
        <v>16.04641686</v>
      </c>
      <c r="AKR56">
        <v>16.144640967</v>
      </c>
      <c r="AKS56">
        <v>28.187154034</v>
      </c>
      <c r="AKT56">
        <v>25.740598594</v>
      </c>
      <c r="AKU56">
        <v>31.801478067</v>
      </c>
      <c r="AKV56">
        <v>2.022189915</v>
      </c>
      <c r="AKW56">
        <v>0</v>
      </c>
      <c r="AKX56">
        <v>0</v>
      </c>
      <c r="AKY56">
        <v>0</v>
      </c>
      <c r="AKZ56">
        <v>0</v>
      </c>
      <c r="ALA56">
        <v>3.70027464</v>
      </c>
      <c r="ALB56">
        <v>0</v>
      </c>
      <c r="ALC56">
        <v>0</v>
      </c>
      <c r="ALD56">
        <v>0</v>
      </c>
      <c r="ALE56">
        <v>0</v>
      </c>
      <c r="ALF56">
        <v>1.806684873</v>
      </c>
      <c r="ALG56">
        <v>3.051756701</v>
      </c>
      <c r="ALH56">
        <v>4.673744414</v>
      </c>
      <c r="ALI56">
        <v>6.960300679</v>
      </c>
      <c r="ALJ56">
        <v>9.980306214000001</v>
      </c>
      <c r="ALK56">
        <v>3.305935891</v>
      </c>
      <c r="ALL56">
        <v>5.698112107</v>
      </c>
      <c r="ALM56">
        <v>7.856685381</v>
      </c>
      <c r="ALN56">
        <v>10.363218667</v>
      </c>
      <c r="ALO56">
        <v>14.192659744</v>
      </c>
      <c r="ALP56">
        <v>15.237307112</v>
      </c>
      <c r="ALQ56">
        <v>30.099799522</v>
      </c>
      <c r="ALR56">
        <v>18.824117801</v>
      </c>
      <c r="ALS56">
        <v>11.767019715</v>
      </c>
      <c r="ALT56">
        <v>13.276291288</v>
      </c>
      <c r="ALU56">
        <v>0</v>
      </c>
      <c r="ALV56">
        <v>0</v>
      </c>
      <c r="ALW56">
        <v>0</v>
      </c>
      <c r="ALX56">
        <v>0</v>
      </c>
      <c r="ALY56">
        <v>0</v>
      </c>
      <c r="ALZ56">
        <v>99.8672645044421</v>
      </c>
      <c r="AMA56">
        <v>93.65639782012769</v>
      </c>
      <c r="AMB56" t="s">
        <v>1901</v>
      </c>
      <c r="AMC56">
        <v>98.2335036384997</v>
      </c>
      <c r="AMD56">
        <v>98.1630053002808</v>
      </c>
      <c r="AME56">
        <v>99.92513456551021</v>
      </c>
      <c r="AMF56">
        <v>93.65639782012769</v>
      </c>
      <c r="AMG56" t="s">
        <v>1901</v>
      </c>
      <c r="AMH56">
        <v>99.071801427124</v>
      </c>
      <c r="AMI56">
        <v>98.1630053002808</v>
      </c>
      <c r="AMJ56">
        <v>75237.7983633543</v>
      </c>
      <c r="AMK56">
        <v>1476.39141239485</v>
      </c>
      <c r="AML56" t="s">
        <v>1901</v>
      </c>
      <c r="AMM56">
        <v>5560.92306666667</v>
      </c>
      <c r="AMN56">
        <v>5343.67404587935</v>
      </c>
      <c r="AMO56">
        <v>1.09478459289997</v>
      </c>
      <c r="AMP56">
        <v>1.01977744614264</v>
      </c>
      <c r="AMQ56">
        <v>1.00584935540059</v>
      </c>
      <c r="AMR56">
        <v>1.04110176613192</v>
      </c>
      <c r="AMS56">
        <v>0.895187612697781</v>
      </c>
      <c r="AMT56">
        <v>1.09478459289997</v>
      </c>
      <c r="AMU56">
        <v>1.01977744558714</v>
      </c>
      <c r="AMV56">
        <v>1.00584935540059</v>
      </c>
      <c r="AMW56">
        <v>1.04110176613192</v>
      </c>
      <c r="AMX56">
        <v>0.895187613327985</v>
      </c>
      <c r="AMY56" t="s">
        <v>1900</v>
      </c>
      <c r="AMZ56" t="s">
        <v>1900</v>
      </c>
      <c r="ANA56" t="s">
        <v>1900</v>
      </c>
      <c r="ANB56" t="s">
        <v>1900</v>
      </c>
      <c r="ANC56" t="s">
        <v>1900</v>
      </c>
      <c r="AND56">
        <v>8.64633834954962</v>
      </c>
      <c r="ANE56">
        <v>1.8163613235235</v>
      </c>
      <c r="ANF56">
        <v>0.5816080136134411</v>
      </c>
      <c r="ANG56">
        <v>3.87817082269481</v>
      </c>
      <c r="ANH56">
        <v>-11.4933436549838</v>
      </c>
      <c r="ANI56">
        <v>8.6513486412682</v>
      </c>
      <c r="ANJ56">
        <v>1.8163613235235</v>
      </c>
      <c r="ANK56">
        <v>0.581928812826543</v>
      </c>
      <c r="ANL56">
        <v>3.91126606926706</v>
      </c>
      <c r="ANM56">
        <v>-11.4933436549838</v>
      </c>
      <c r="ANN56">
        <v>9.464687231293921</v>
      </c>
      <c r="ANO56">
        <v>1.84996334217004</v>
      </c>
      <c r="ANP56">
        <v>0.585010481454056</v>
      </c>
      <c r="ANQ56">
        <v>4.03464109649971</v>
      </c>
      <c r="ANR56">
        <v>-10.3085469304337</v>
      </c>
      <c r="ANS56">
        <v>31.9903518008404</v>
      </c>
      <c r="ANT56">
        <v>6.72355530563691</v>
      </c>
      <c r="ANU56">
        <v>1.34046870528311</v>
      </c>
      <c r="ANV56">
        <v>7.05530061567605</v>
      </c>
      <c r="ANW56">
        <v>-20.1877560892531</v>
      </c>
      <c r="ANX56" t="s">
        <v>1900</v>
      </c>
      <c r="ANY56" t="s">
        <v>1900</v>
      </c>
      <c r="ANZ56" t="s">
        <v>1900</v>
      </c>
      <c r="AOA56" t="s">
        <v>1900</v>
      </c>
      <c r="AOB56" t="s">
        <v>1900</v>
      </c>
      <c r="AOC56">
        <v>109.319388736237</v>
      </c>
      <c r="AOD56">
        <v>95.389006847397</v>
      </c>
      <c r="AOE56">
        <v>100.597822388023</v>
      </c>
      <c r="AOF56">
        <v>102.19687294683</v>
      </c>
      <c r="AOG56">
        <v>88.04382583057721</v>
      </c>
      <c r="AOH56" t="s">
        <v>1901</v>
      </c>
      <c r="AOI56" t="s">
        <v>1901</v>
      </c>
      <c r="AOJ56" t="s">
        <v>1901</v>
      </c>
      <c r="AOK56" t="s">
        <v>1901</v>
      </c>
      <c r="AOL56" t="s">
        <v>1901</v>
      </c>
      <c r="AOM56">
        <v>6513.96095159708</v>
      </c>
      <c r="AON56">
        <v>28.6329639220859</v>
      </c>
      <c r="AOO56" t="s">
        <v>1901</v>
      </c>
      <c r="AOP56">
        <v>219.540266666667</v>
      </c>
      <c r="AOQ56">
        <v>-625.66016598244</v>
      </c>
      <c r="AOR56">
        <v>9.478459289996909</v>
      </c>
      <c r="AOS56">
        <v>1.97774455871395</v>
      </c>
      <c r="AOT56">
        <v>0.584935540059178</v>
      </c>
      <c r="AOU56">
        <v>4.11017661319212</v>
      </c>
      <c r="AOV56">
        <v>-10.4812386672015</v>
      </c>
      <c r="AOW56">
        <v>15.8213757676856</v>
      </c>
      <c r="AOX56">
        <v>3.39143367603298</v>
      </c>
      <c r="AOY56">
        <v>0.977698130852768</v>
      </c>
      <c r="AOZ56">
        <v>5.77422357359374</v>
      </c>
      <c r="APA56">
        <v>-16.3442996968667</v>
      </c>
      <c r="APB56">
        <v>9.685534918894451</v>
      </c>
      <c r="APC56">
        <v>2.98105478530688</v>
      </c>
      <c r="APD56">
        <v>0.243475352528282</v>
      </c>
      <c r="APE56">
        <v>6.66479822383737</v>
      </c>
      <c r="APF56">
        <v>-8.77389421303428</v>
      </c>
      <c r="APG56">
        <v>9.691147393612921</v>
      </c>
      <c r="APH56">
        <v>2.98105478530688</v>
      </c>
      <c r="API56">
        <v>0.243609646932197</v>
      </c>
      <c r="APJ56">
        <v>6.72167378467689</v>
      </c>
      <c r="APK56">
        <v>-8.77389421303428</v>
      </c>
      <c r="APL56">
        <v>7296.86876760898</v>
      </c>
      <c r="APM56">
        <v>46.9930916343633</v>
      </c>
      <c r="APN56" t="s">
        <v>1901</v>
      </c>
      <c r="APO56">
        <v>377.2891</v>
      </c>
      <c r="APP56">
        <v>-477.622202417922</v>
      </c>
      <c r="APQ56">
        <v>10.6176678171941</v>
      </c>
      <c r="APR56">
        <v>3.24592073422476</v>
      </c>
      <c r="APS56">
        <v>0.244868336557834</v>
      </c>
      <c r="APT56">
        <v>7.06350984617691</v>
      </c>
      <c r="APU56">
        <v>-8.00126421415356</v>
      </c>
      <c r="APV56">
        <v>10.6022405056456</v>
      </c>
      <c r="APW56">
        <v>3.03620320604506</v>
      </c>
      <c r="APX56">
        <v>0.244899708860329</v>
      </c>
      <c r="APY56">
        <v>6.9336989119751</v>
      </c>
      <c r="APZ56">
        <v>-7.86943321045703</v>
      </c>
      <c r="AQA56">
        <v>17.7229344108251</v>
      </c>
      <c r="AQB56">
        <v>5.56610045482407</v>
      </c>
      <c r="AQC56">
        <v>0.409288372071561</v>
      </c>
      <c r="AQD56">
        <v>9.92324391492023</v>
      </c>
      <c r="AQE56">
        <v>-12.4770615785298</v>
      </c>
      <c r="AQF56" t="s">
        <v>1900</v>
      </c>
      <c r="AQG56" t="s">
        <v>1900</v>
      </c>
      <c r="AQH56" t="s">
        <v>1900</v>
      </c>
      <c r="AQI56" t="s">
        <v>1900</v>
      </c>
      <c r="AQJ56" t="s">
        <v>1900</v>
      </c>
      <c r="AQK56">
        <v>3</v>
      </c>
      <c r="AQO56" t="s">
        <v>1902</v>
      </c>
      <c r="AQP56">
        <v>2</v>
      </c>
      <c r="AQQ56">
        <v>0</v>
      </c>
      <c r="AQS56" t="s">
        <v>1905</v>
      </c>
      <c r="AQU56" t="s">
        <v>1906</v>
      </c>
      <c r="AQV56">
        <v>1977936.49450552</v>
      </c>
      <c r="AQW56">
        <v>2165929.82609269</v>
      </c>
      <c r="AQX56">
        <v>1869024.79919032</v>
      </c>
      <c r="AQY56">
        <v>171019.081654168</v>
      </c>
      <c r="AQZ56">
        <v>39341.1116558075</v>
      </c>
      <c r="ARA56">
        <v>10870.3980085135</v>
      </c>
      <c r="ARB56">
        <v>6012891.11978853</v>
      </c>
      <c r="ARC56">
        <v>221230.591318489</v>
      </c>
      <c r="ARD56">
        <v>0.03819812819328527</v>
      </c>
      <c r="ARE56">
        <v>0.03819812819328527</v>
      </c>
      <c r="ARF56">
        <v>0.03819812819328527</v>
      </c>
      <c r="ARG56">
        <v>0.03819812819328527</v>
      </c>
      <c r="ARH56">
        <v>0.03819812819328527</v>
      </c>
      <c r="ARI56">
        <v>0.03819812819328527</v>
      </c>
      <c r="ARJ56" t="s">
        <v>1217</v>
      </c>
      <c r="ARK56" t="s">
        <v>1555</v>
      </c>
      <c r="ARL56" t="s">
        <v>1908</v>
      </c>
      <c r="ARM56" t="s">
        <v>1908</v>
      </c>
      <c r="ARN56" t="s">
        <v>1909</v>
      </c>
      <c r="ARO56" t="s">
        <v>1909</v>
      </c>
      <c r="ARP56" t="s">
        <v>1907</v>
      </c>
      <c r="ARQ56" t="s">
        <v>1955</v>
      </c>
      <c r="ARR56">
        <f>HYPERLINK("C:\Users\Usuario\Documents\Proyectos\llmthon\evidence\rosgrupoasesor_es_234540.png", "Ver Evidencia")</f>
        <v>0</v>
      </c>
      <c r="ARS56">
        <v>95</v>
      </c>
    </row>
    <row r="57" spans="1:1163">
      <c r="A57">
        <v>340</v>
      </c>
      <c r="B57" t="s">
        <v>1218</v>
      </c>
      <c r="C57" t="s">
        <v>1341</v>
      </c>
      <c r="D57" t="s">
        <v>1417</v>
      </c>
      <c r="E57" s="2">
        <v>39986</v>
      </c>
      <c r="F57" t="s">
        <v>1431</v>
      </c>
      <c r="G57" t="s">
        <v>1433</v>
      </c>
      <c r="H57" t="s">
        <v>1434</v>
      </c>
      <c r="I57" t="s">
        <v>1443</v>
      </c>
      <c r="J57" t="s">
        <v>1479</v>
      </c>
      <c r="L57" t="s">
        <v>1556</v>
      </c>
      <c r="N57" t="s">
        <v>1626</v>
      </c>
      <c r="O57" t="s">
        <v>1650</v>
      </c>
      <c r="P57">
        <v>6920</v>
      </c>
      <c r="Q57">
        <v>6920</v>
      </c>
      <c r="R57" t="s">
        <v>1726</v>
      </c>
      <c r="Z57" t="s">
        <v>1899</v>
      </c>
      <c r="AA57" s="2">
        <v>45657</v>
      </c>
      <c r="AB57">
        <v>2024</v>
      </c>
      <c r="AC57">
        <v>2109181.74357409</v>
      </c>
      <c r="AD57">
        <v>2089819.59088535</v>
      </c>
      <c r="AE57">
        <v>2011899.43774679</v>
      </c>
      <c r="AF57">
        <v>2070780.34891834</v>
      </c>
      <c r="AG57">
        <v>2922163.06481085</v>
      </c>
      <c r="AH57">
        <v>2109181.74357409</v>
      </c>
      <c r="AI57">
        <v>2089819.59088535</v>
      </c>
      <c r="AJ57">
        <v>2011899.43774679</v>
      </c>
      <c r="AK57">
        <v>2065067.75081356</v>
      </c>
      <c r="AL57">
        <v>2921524.97317515</v>
      </c>
      <c r="AM57">
        <v>971823.324490752</v>
      </c>
      <c r="AN57">
        <v>1022966.80609493</v>
      </c>
      <c r="AO57">
        <v>1101680.5320569</v>
      </c>
      <c r="AP57">
        <v>1349639.6096298</v>
      </c>
      <c r="AQ57">
        <v>2047028.06808438</v>
      </c>
      <c r="AR57">
        <v>1137358.41908334</v>
      </c>
      <c r="AS57">
        <v>1066852.78479042</v>
      </c>
      <c r="AT57">
        <v>910218.905689889</v>
      </c>
      <c r="AU57">
        <v>721140.739288545</v>
      </c>
      <c r="AV57">
        <v>875134.9967264771</v>
      </c>
      <c r="AW57">
        <v>1119204.62617166</v>
      </c>
      <c r="AX57">
        <v>1033707.94131542</v>
      </c>
      <c r="AY57">
        <v>851218.524686964</v>
      </c>
      <c r="AZ57">
        <v>698573.281752205</v>
      </c>
      <c r="BA57">
        <v>836142.210819036</v>
      </c>
      <c r="BB57">
        <v>18153.7929116797</v>
      </c>
      <c r="BC57">
        <v>33144.8434749985</v>
      </c>
      <c r="BD57">
        <v>59000.3799363256</v>
      </c>
      <c r="BE57">
        <v>22567.4575363398</v>
      </c>
      <c r="BF57">
        <v>38992.7859074414</v>
      </c>
      <c r="BG57">
        <v>-10823.4631970167</v>
      </c>
      <c r="BH57">
        <v>-5976.28468208313</v>
      </c>
      <c r="BI57">
        <v>-5423.29575396776</v>
      </c>
      <c r="BJ57">
        <v>-3055.01943933964</v>
      </c>
      <c r="BK57">
        <v>-1992.61292638779</v>
      </c>
      <c r="BL57" t="s">
        <v>1900</v>
      </c>
      <c r="BM57" t="s">
        <v>1900</v>
      </c>
      <c r="BN57">
        <v>4.31972792744637</v>
      </c>
      <c r="BO57" t="s">
        <v>1900</v>
      </c>
      <c r="BP57" t="s">
        <v>1900</v>
      </c>
      <c r="BQ57">
        <v>10823.4631970167</v>
      </c>
      <c r="BR57">
        <v>5976.28468208313</v>
      </c>
      <c r="BS57">
        <v>5427.61548189521</v>
      </c>
      <c r="BT57">
        <v>3055.01943933964</v>
      </c>
      <c r="BU57">
        <v>1992.61292638779</v>
      </c>
      <c r="BV57">
        <v>7330.32971466303</v>
      </c>
      <c r="BW57">
        <v>27168.5587929153</v>
      </c>
      <c r="BX57">
        <v>53577.0841823578</v>
      </c>
      <c r="BY57">
        <v>19512.4380970001</v>
      </c>
      <c r="BZ57">
        <v>37000.1729810536</v>
      </c>
      <c r="CA57">
        <v>2181.91759379148</v>
      </c>
      <c r="CB57">
        <v>6167.62656795502</v>
      </c>
      <c r="CC57">
        <v>12782.234927237</v>
      </c>
      <c r="CD57">
        <v>4408.08039665222</v>
      </c>
      <c r="CE57">
        <v>8875.81783966422</v>
      </c>
      <c r="CF57">
        <v>5148.411081972</v>
      </c>
      <c r="CG57">
        <v>21000.9311199598</v>
      </c>
      <c r="CH57">
        <v>40794.8492551208</v>
      </c>
      <c r="CI57">
        <v>15104.3577003479</v>
      </c>
      <c r="CJ57">
        <v>28124.3539142901</v>
      </c>
      <c r="CK57" t="s">
        <v>1900</v>
      </c>
      <c r="CL57" t="s">
        <v>1900</v>
      </c>
      <c r="CM57" t="s">
        <v>1900</v>
      </c>
      <c r="CN57" t="s">
        <v>1900</v>
      </c>
      <c r="CO57" t="s">
        <v>1900</v>
      </c>
      <c r="CP57" t="s">
        <v>1900</v>
      </c>
      <c r="CQ57" t="s">
        <v>1900</v>
      </c>
      <c r="CR57" t="s">
        <v>1900</v>
      </c>
      <c r="CS57" t="s">
        <v>1900</v>
      </c>
      <c r="CT57" t="s">
        <v>1900</v>
      </c>
      <c r="CU57" t="s">
        <v>1900</v>
      </c>
      <c r="CV57" t="s">
        <v>1900</v>
      </c>
      <c r="CW57" t="s">
        <v>1900</v>
      </c>
      <c r="CX57" t="s">
        <v>1900</v>
      </c>
      <c r="CY57" t="s">
        <v>1900</v>
      </c>
      <c r="CZ57">
        <v>5148.411081972</v>
      </c>
      <c r="DA57">
        <v>21000.9311199598</v>
      </c>
      <c r="DB57">
        <v>40794.8492551208</v>
      </c>
      <c r="DC57">
        <v>15104.3577003479</v>
      </c>
      <c r="DD57">
        <v>28124.3539142901</v>
      </c>
      <c r="DE57" t="s">
        <v>1900</v>
      </c>
      <c r="DF57" t="s">
        <v>1900</v>
      </c>
      <c r="DG57" t="s">
        <v>1900</v>
      </c>
      <c r="DH57" t="s">
        <v>1900</v>
      </c>
      <c r="DI57" t="s">
        <v>1900</v>
      </c>
      <c r="DJ57">
        <v>971823.324490752</v>
      </c>
      <c r="DK57">
        <v>1298589.49974101</v>
      </c>
      <c r="DL57">
        <v>1731634.45521256</v>
      </c>
      <c r="DM57">
        <v>1349639.6096298</v>
      </c>
      <c r="DN57">
        <v>2047028.06808438</v>
      </c>
      <c r="DO57">
        <v>609484.316145537</v>
      </c>
      <c r="DP57">
        <v>598566.039029083</v>
      </c>
      <c r="DQ57">
        <v>506272.294418627</v>
      </c>
      <c r="DR57">
        <v>384173.833670855</v>
      </c>
      <c r="DS57">
        <v>429481.957014394</v>
      </c>
      <c r="DT57">
        <v>30680.1994581509</v>
      </c>
      <c r="DU57">
        <v>24555.7298703098</v>
      </c>
      <c r="DV57">
        <v>10969.1331231415</v>
      </c>
      <c r="DW57">
        <v>11858.7782592773</v>
      </c>
      <c r="DX57">
        <v>10798.8051518023</v>
      </c>
      <c r="DY57">
        <v>479040.110567975</v>
      </c>
      <c r="DZ57">
        <v>410586.171311029</v>
      </c>
      <c r="EA57">
        <v>333977.098211795</v>
      </c>
      <c r="EB57">
        <v>302540.668689473</v>
      </c>
      <c r="EC57">
        <v>395861.44865284</v>
      </c>
      <c r="ED57">
        <v>10823.4631970167</v>
      </c>
      <c r="EE57">
        <v>5976.28468208313</v>
      </c>
      <c r="EF57">
        <v>5427.61548189521</v>
      </c>
      <c r="EG57">
        <v>3055.01943933964</v>
      </c>
      <c r="EH57">
        <v>1992.61292638779</v>
      </c>
      <c r="EI57" t="s">
        <v>1900</v>
      </c>
      <c r="EJ57" t="s">
        <v>1900</v>
      </c>
      <c r="EK57" t="s">
        <v>1900</v>
      </c>
      <c r="EL57" t="s">
        <v>1900</v>
      </c>
      <c r="EM57" t="s">
        <v>1900</v>
      </c>
      <c r="EN57">
        <v>35828.6115790224</v>
      </c>
      <c r="EO57">
        <v>45556.6609902697</v>
      </c>
      <c r="EP57">
        <v>51763.9823782623</v>
      </c>
      <c r="EQ57">
        <v>26963.1359596252</v>
      </c>
      <c r="ER57">
        <v>38923.1590660924</v>
      </c>
      <c r="ES57">
        <v>658318.307476468</v>
      </c>
      <c r="ET57">
        <v>656266.612374392</v>
      </c>
      <c r="EU57">
        <v>576246.1261394219</v>
      </c>
      <c r="EV57">
        <v>418600.069466472</v>
      </c>
      <c r="EW57">
        <v>479273.548073637</v>
      </c>
      <c r="EX57">
        <v>48833.9923698306</v>
      </c>
      <c r="EY57">
        <v>57700.5733453083</v>
      </c>
      <c r="EZ57">
        <v>69969.5119928676</v>
      </c>
      <c r="FA57">
        <v>34426.2357956171</v>
      </c>
      <c r="FB57">
        <v>49791.5910592437</v>
      </c>
      <c r="FC57">
        <v>139589.731737074</v>
      </c>
      <c r="FD57">
        <v>105889.446071882</v>
      </c>
      <c r="FE57">
        <v>55047.476904881</v>
      </c>
      <c r="FF57">
        <v>38157.2590544701</v>
      </c>
      <c r="FG57">
        <v>49006.8855992436</v>
      </c>
      <c r="FH57">
        <v>18397.1759071267</v>
      </c>
      <c r="FI57">
        <v>30090.1027540684</v>
      </c>
      <c r="FJ57">
        <v>1225.81079387069</v>
      </c>
      <c r="FK57">
        <v>2929.92373538017</v>
      </c>
      <c r="FL57">
        <v>6513.20993251205</v>
      </c>
      <c r="FM57">
        <v>116144.293624818</v>
      </c>
      <c r="FN57">
        <v>70429.880708065</v>
      </c>
      <c r="FO57">
        <v>49666.0451808274</v>
      </c>
      <c r="FP57">
        <v>30361.5258341789</v>
      </c>
      <c r="FQ57">
        <v>38474.9745450675</v>
      </c>
      <c r="FR57">
        <v>5048.26220512867</v>
      </c>
      <c r="FS57">
        <v>5369.46260974884</v>
      </c>
      <c r="FT57">
        <v>4155.62093018293</v>
      </c>
      <c r="FU57">
        <v>4865.80835231066</v>
      </c>
      <c r="FV57">
        <v>4018.70112166405</v>
      </c>
      <c r="FW57">
        <v>18397.1759071267</v>
      </c>
      <c r="FX57">
        <v>30090.1027540684</v>
      </c>
      <c r="FY57">
        <v>1225.81079387069</v>
      </c>
      <c r="FZ57">
        <v>2929.92373538017</v>
      </c>
      <c r="GA57">
        <v>6513.20993251205</v>
      </c>
      <c r="GB57">
        <v>116144.293624818</v>
      </c>
      <c r="GC57">
        <v>70429.880708065</v>
      </c>
      <c r="GD57">
        <v>49666.0451808274</v>
      </c>
      <c r="GE57">
        <v>30361.5258341789</v>
      </c>
      <c r="GF57">
        <v>38474.9745450675</v>
      </c>
      <c r="GG57">
        <v>5048.26220512867</v>
      </c>
      <c r="GH57">
        <v>5369.46260974884</v>
      </c>
      <c r="GI57">
        <v>4155.62093018293</v>
      </c>
      <c r="GJ57">
        <v>4865.80835231066</v>
      </c>
      <c r="GK57">
        <v>4018.70112166405</v>
      </c>
      <c r="GL57">
        <v>1366657.93651888</v>
      </c>
      <c r="GM57">
        <v>1318751.64818954</v>
      </c>
      <c r="GN57">
        <v>901244.708251601</v>
      </c>
      <c r="GO57">
        <v>462821.406479144</v>
      </c>
      <c r="GP57">
        <v>648658.236855412</v>
      </c>
      <c r="GQ57">
        <v>1076189.61402037</v>
      </c>
      <c r="GR57">
        <v>943148.421273422</v>
      </c>
      <c r="GS57">
        <v>679349.905346066</v>
      </c>
      <c r="GT57">
        <v>29320.3490235329</v>
      </c>
      <c r="GU57">
        <v>31974.2196704447</v>
      </c>
      <c r="GV57">
        <v>198448.190445005</v>
      </c>
      <c r="GW57">
        <v>222953.684808874</v>
      </c>
      <c r="GX57">
        <v>172309.883281785</v>
      </c>
      <c r="GY57">
        <v>334788.790640402</v>
      </c>
      <c r="GZ57">
        <v>362712.723158938</v>
      </c>
      <c r="HA57">
        <v>92020.1320534969</v>
      </c>
      <c r="HB57">
        <v>152649.542107239</v>
      </c>
      <c r="HC57">
        <v>49584.918557151</v>
      </c>
      <c r="HD57">
        <v>98712.2668152094</v>
      </c>
      <c r="HE57">
        <v>253971.294026029</v>
      </c>
      <c r="HF57">
        <v>35075.8873056579</v>
      </c>
      <c r="HG57">
        <v>106495.019493656</v>
      </c>
      <c r="HH57">
        <v>42055.7725041449</v>
      </c>
      <c r="HI57">
        <v>98712.2668152094</v>
      </c>
      <c r="HJ57">
        <v>253971.294026029</v>
      </c>
      <c r="HK57">
        <v>1506247.66825595</v>
      </c>
      <c r="HL57">
        <v>1424641.09426142</v>
      </c>
      <c r="HM57">
        <v>956292.185156483</v>
      </c>
      <c r="HN57">
        <v>500978.665533614</v>
      </c>
      <c r="HO57">
        <v>697665.122454655</v>
      </c>
      <c r="HP57">
        <v>200806.066454039</v>
      </c>
      <c r="HQ57">
        <v>193961.156947384</v>
      </c>
      <c r="HR57">
        <v>131015.705476236</v>
      </c>
      <c r="HS57">
        <v>91278.72784724239</v>
      </c>
      <c r="HT57">
        <v>82530.011360395</v>
      </c>
      <c r="HU57">
        <v>3122.93201994896</v>
      </c>
      <c r="HV57">
        <v>3321.6314907074</v>
      </c>
      <c r="HW57">
        <v>3206.19806170464</v>
      </c>
      <c r="HX57">
        <v>3404.59652423859</v>
      </c>
      <c r="HY57">
        <v>3688.66049408913</v>
      </c>
      <c r="HZ57">
        <v>197683.13443409</v>
      </c>
      <c r="IA57">
        <v>190639.525456676</v>
      </c>
      <c r="IB57">
        <v>127809.507414532</v>
      </c>
      <c r="IC57">
        <v>87874.13132300381</v>
      </c>
      <c r="ID57">
        <v>78841.3508663058</v>
      </c>
      <c r="IE57">
        <v>145496.935304629</v>
      </c>
      <c r="IF57">
        <v>50333.3471889877</v>
      </c>
      <c r="IG57">
        <v>12571.1762205005</v>
      </c>
      <c r="IH57">
        <v>7748.82091555596</v>
      </c>
      <c r="II57">
        <v>23280.8960385919</v>
      </c>
      <c r="IJ57">
        <v>105645.528090315</v>
      </c>
      <c r="IK57">
        <v>9327.11028589249</v>
      </c>
      <c r="IL57">
        <v>12571.1762205005</v>
      </c>
      <c r="IM57">
        <v>7748.82091555596</v>
      </c>
      <c r="IN57">
        <v>23280.8960385919</v>
      </c>
      <c r="IO57">
        <v>39851.4072143137</v>
      </c>
      <c r="IP57">
        <v>41006.2369030952</v>
      </c>
      <c r="IQ57">
        <v>0</v>
      </c>
      <c r="IR57">
        <v>0</v>
      </c>
      <c r="IS57">
        <v>0</v>
      </c>
      <c r="IT57">
        <v>39318.8153646708</v>
      </c>
      <c r="IU57">
        <v>41006.2369030952</v>
      </c>
      <c r="IV57">
        <v>0</v>
      </c>
      <c r="IW57">
        <v>0</v>
      </c>
      <c r="IX57">
        <v>0</v>
      </c>
      <c r="IY57">
        <v>1159944.66649728</v>
      </c>
      <c r="IZ57">
        <v>1180346.59012505</v>
      </c>
      <c r="JA57">
        <v>812705.3034597459</v>
      </c>
      <c r="JB57">
        <v>401951.116770816</v>
      </c>
      <c r="JC57">
        <v>591854.215055668</v>
      </c>
      <c r="JD57">
        <v>731495.784538599</v>
      </c>
      <c r="JE57">
        <v>826704.7950149541</v>
      </c>
      <c r="JF57">
        <v>510790.569840813</v>
      </c>
      <c r="JG57">
        <v>147816.0172333</v>
      </c>
      <c r="JH57">
        <v>17094.8553212941</v>
      </c>
      <c r="JI57">
        <v>155892.122554904</v>
      </c>
      <c r="JJ57">
        <v>244486.122272367</v>
      </c>
      <c r="JK57">
        <v>205759.829812902</v>
      </c>
      <c r="JL57">
        <v>190604.444966984</v>
      </c>
      <c r="JM57">
        <v>475375.888026869</v>
      </c>
      <c r="JN57">
        <v>272556.758364879</v>
      </c>
      <c r="JO57">
        <v>109155.672837725</v>
      </c>
      <c r="JP57">
        <v>96154.90380603079</v>
      </c>
      <c r="JQ57">
        <v>63530.6545705318</v>
      </c>
      <c r="JR57">
        <v>99383.471707505</v>
      </c>
      <c r="JS57">
        <v>1506247.66825595</v>
      </c>
      <c r="JT57">
        <v>1424641.09426142</v>
      </c>
      <c r="JU57">
        <v>956292.185156483</v>
      </c>
      <c r="JV57">
        <v>500978.665533614</v>
      </c>
      <c r="JW57">
        <v>697665.122454655</v>
      </c>
      <c r="JX57">
        <v>1118745.68191047</v>
      </c>
      <c r="JY57">
        <v>921615.983809929</v>
      </c>
      <c r="JZ57">
        <v>645899.958814949</v>
      </c>
      <c r="KA57">
        <v>173504.694696951</v>
      </c>
      <c r="KB57">
        <v>-80688.9451974869</v>
      </c>
      <c r="KC57" t="s">
        <v>1900</v>
      </c>
      <c r="KD57" t="s">
        <v>1900</v>
      </c>
      <c r="KE57" t="s">
        <v>1900</v>
      </c>
      <c r="KF57" t="s">
        <v>1900</v>
      </c>
      <c r="KG57" t="s">
        <v>1900</v>
      </c>
      <c r="KH57" t="s">
        <v>1900</v>
      </c>
      <c r="KI57" t="s">
        <v>1900</v>
      </c>
      <c r="KJ57" t="s">
        <v>1900</v>
      </c>
      <c r="KK57" t="s">
        <v>1900</v>
      </c>
      <c r="KL57" t="s">
        <v>1900</v>
      </c>
      <c r="KM57">
        <v>9</v>
      </c>
      <c r="KN57">
        <v>9</v>
      </c>
      <c r="KO57">
        <v>8</v>
      </c>
      <c r="KP57">
        <v>10</v>
      </c>
      <c r="KQ57">
        <v>8</v>
      </c>
      <c r="KR57" t="s">
        <v>1900</v>
      </c>
      <c r="KS57" t="s">
        <v>1900</v>
      </c>
      <c r="KT57" t="s">
        <v>1900</v>
      </c>
      <c r="KU57" t="s">
        <v>1900</v>
      </c>
      <c r="KV57" t="s">
        <v>1900</v>
      </c>
      <c r="KW57" t="s">
        <v>1900</v>
      </c>
      <c r="KX57" t="s">
        <v>1900</v>
      </c>
      <c r="KY57" t="s">
        <v>1900</v>
      </c>
      <c r="KZ57" t="s">
        <v>1900</v>
      </c>
      <c r="LA57" t="s">
        <v>1900</v>
      </c>
      <c r="LB57" t="s">
        <v>1900</v>
      </c>
      <c r="LC57" t="s">
        <v>1900</v>
      </c>
      <c r="LD57" t="s">
        <v>1900</v>
      </c>
      <c r="LE57" t="s">
        <v>1900</v>
      </c>
      <c r="LF57" t="s">
        <v>1900</v>
      </c>
      <c r="LG57" t="s">
        <v>1900</v>
      </c>
      <c r="LH57" t="s">
        <v>1900</v>
      </c>
      <c r="LI57" t="s">
        <v>1900</v>
      </c>
      <c r="LJ57" t="s">
        <v>1900</v>
      </c>
      <c r="LK57" t="s">
        <v>1900</v>
      </c>
      <c r="LL57" t="s">
        <v>1900</v>
      </c>
      <c r="LM57" t="s">
        <v>1900</v>
      </c>
      <c r="LN57" t="s">
        <v>1900</v>
      </c>
      <c r="LO57" t="s">
        <v>1900</v>
      </c>
      <c r="LP57" t="s">
        <v>1900</v>
      </c>
      <c r="LQ57" t="s">
        <v>1900</v>
      </c>
      <c r="LR57" t="s">
        <v>1900</v>
      </c>
      <c r="LS57" t="s">
        <v>1900</v>
      </c>
      <c r="LT57" t="s">
        <v>1900</v>
      </c>
      <c r="LU57" t="s">
        <v>1900</v>
      </c>
      <c r="LV57" t="s">
        <v>1900</v>
      </c>
      <c r="LW57" t="s">
        <v>1900</v>
      </c>
      <c r="LX57" t="s">
        <v>1900</v>
      </c>
      <c r="LY57" t="s">
        <v>1900</v>
      </c>
      <c r="LZ57" t="s">
        <v>1900</v>
      </c>
      <c r="MA57" t="s">
        <v>1900</v>
      </c>
      <c r="MB57" t="s">
        <v>1900</v>
      </c>
      <c r="MC57" t="s">
        <v>1900</v>
      </c>
      <c r="MD57" t="s">
        <v>1900</v>
      </c>
      <c r="ME57" t="s">
        <v>1900</v>
      </c>
      <c r="MF57" t="s">
        <v>1900</v>
      </c>
      <c r="MG57" t="s">
        <v>1900</v>
      </c>
      <c r="MH57" t="s">
        <v>1900</v>
      </c>
      <c r="MI57" t="s">
        <v>1900</v>
      </c>
      <c r="MJ57" t="s">
        <v>1900</v>
      </c>
      <c r="MK57" t="s">
        <v>1900</v>
      </c>
      <c r="ML57" t="s">
        <v>1900</v>
      </c>
      <c r="MM57" t="s">
        <v>1900</v>
      </c>
      <c r="MN57" t="s">
        <v>1900</v>
      </c>
      <c r="MO57" t="s">
        <v>1900</v>
      </c>
      <c r="MP57">
        <v>92020.1320534969</v>
      </c>
      <c r="MQ57">
        <v>152649.542107239</v>
      </c>
      <c r="MR57">
        <v>49584.918557151</v>
      </c>
      <c r="MS57">
        <v>98712.2668152094</v>
      </c>
      <c r="MT57">
        <v>253971.294026029</v>
      </c>
      <c r="MU57" t="s">
        <v>1900</v>
      </c>
      <c r="MV57" t="s">
        <v>1900</v>
      </c>
      <c r="MW57" t="s">
        <v>1900</v>
      </c>
      <c r="MX57" t="s">
        <v>1900</v>
      </c>
      <c r="MY57" t="s">
        <v>1900</v>
      </c>
      <c r="MZ57" t="s">
        <v>1900</v>
      </c>
      <c r="NA57" t="s">
        <v>1900</v>
      </c>
      <c r="NB57" t="s">
        <v>1900</v>
      </c>
      <c r="NC57" t="s">
        <v>1900</v>
      </c>
      <c r="ND57" t="s">
        <v>1900</v>
      </c>
      <c r="NE57" t="s">
        <v>1900</v>
      </c>
      <c r="NF57" t="s">
        <v>1900</v>
      </c>
      <c r="NG57" t="s">
        <v>1900</v>
      </c>
      <c r="NH57" t="s">
        <v>1900</v>
      </c>
      <c r="NI57" t="s">
        <v>1900</v>
      </c>
      <c r="NJ57" t="s">
        <v>1900</v>
      </c>
      <c r="NK57" t="s">
        <v>1900</v>
      </c>
      <c r="NL57" t="s">
        <v>1900</v>
      </c>
      <c r="NM57" t="s">
        <v>1900</v>
      </c>
      <c r="NN57" t="s">
        <v>1900</v>
      </c>
      <c r="NO57" t="s">
        <v>1900</v>
      </c>
      <c r="NP57" t="s">
        <v>1900</v>
      </c>
      <c r="NQ57" t="s">
        <v>1900</v>
      </c>
      <c r="NR57" t="s">
        <v>1900</v>
      </c>
      <c r="NS57" t="s">
        <v>1900</v>
      </c>
      <c r="NT57">
        <v>139589.731737074</v>
      </c>
      <c r="NU57">
        <v>105889.446071882</v>
      </c>
      <c r="NV57">
        <v>55047.476904881</v>
      </c>
      <c r="NW57">
        <v>38157.2590544701</v>
      </c>
      <c r="NX57">
        <v>49006.8855992436</v>
      </c>
      <c r="NY57" t="s">
        <v>1900</v>
      </c>
      <c r="NZ57" t="s">
        <v>1900</v>
      </c>
      <c r="OA57" t="s">
        <v>1900</v>
      </c>
      <c r="OB57" t="s">
        <v>1900</v>
      </c>
      <c r="OC57" t="s">
        <v>1900</v>
      </c>
      <c r="OD57" t="s">
        <v>1900</v>
      </c>
      <c r="OE57" t="s">
        <v>1900</v>
      </c>
      <c r="OF57" t="s">
        <v>1900</v>
      </c>
      <c r="OG57" t="s">
        <v>1900</v>
      </c>
      <c r="OH57" t="s">
        <v>1900</v>
      </c>
      <c r="OI57" t="s">
        <v>1900</v>
      </c>
      <c r="OJ57" t="s">
        <v>1900</v>
      </c>
      <c r="OK57" t="s">
        <v>1900</v>
      </c>
      <c r="OL57" t="s">
        <v>1900</v>
      </c>
      <c r="OM57" t="s">
        <v>1900</v>
      </c>
      <c r="ON57" t="s">
        <v>1900</v>
      </c>
      <c r="OO57" t="s">
        <v>1900</v>
      </c>
      <c r="OP57" t="s">
        <v>1900</v>
      </c>
      <c r="OQ57" t="s">
        <v>1900</v>
      </c>
      <c r="OR57" t="s">
        <v>1900</v>
      </c>
      <c r="OS57" t="s">
        <v>1900</v>
      </c>
      <c r="OT57" t="s">
        <v>1900</v>
      </c>
      <c r="OU57" t="s">
        <v>1900</v>
      </c>
      <c r="OV57" t="s">
        <v>1900</v>
      </c>
      <c r="OW57" t="s">
        <v>1900</v>
      </c>
      <c r="OX57" t="s">
        <v>1900</v>
      </c>
      <c r="OY57" t="s">
        <v>1900</v>
      </c>
      <c r="OZ57" t="s">
        <v>1900</v>
      </c>
      <c r="PA57" t="s">
        <v>1900</v>
      </c>
      <c r="PB57" t="s">
        <v>1900</v>
      </c>
      <c r="PC57" t="s">
        <v>1900</v>
      </c>
      <c r="PD57" t="s">
        <v>1900</v>
      </c>
      <c r="PE57" t="s">
        <v>1900</v>
      </c>
      <c r="PF57" t="s">
        <v>1900</v>
      </c>
      <c r="PG57" t="s">
        <v>1900</v>
      </c>
      <c r="PH57" t="s">
        <v>1900</v>
      </c>
      <c r="PI57" t="s">
        <v>1900</v>
      </c>
      <c r="PJ57" t="s">
        <v>1900</v>
      </c>
      <c r="PK57" t="s">
        <v>1900</v>
      </c>
      <c r="PL57" t="s">
        <v>1900</v>
      </c>
      <c r="PM57" t="s">
        <v>1900</v>
      </c>
      <c r="PN57" t="s">
        <v>1900</v>
      </c>
      <c r="PO57" t="s">
        <v>1900</v>
      </c>
      <c r="PP57" t="s">
        <v>1900</v>
      </c>
      <c r="PQ57" t="s">
        <v>1900</v>
      </c>
      <c r="PR57" t="s">
        <v>1900</v>
      </c>
      <c r="PS57" t="s">
        <v>1900</v>
      </c>
      <c r="PT57" t="s">
        <v>1900</v>
      </c>
      <c r="PU57" t="s">
        <v>1900</v>
      </c>
      <c r="PV57" t="s">
        <v>1900</v>
      </c>
      <c r="PW57" t="s">
        <v>1900</v>
      </c>
      <c r="PX57" t="s">
        <v>1900</v>
      </c>
      <c r="PY57" t="s">
        <v>1900</v>
      </c>
      <c r="PZ57" t="s">
        <v>1900</v>
      </c>
      <c r="QA57" t="s">
        <v>1900</v>
      </c>
      <c r="QB57" t="s">
        <v>1900</v>
      </c>
      <c r="QC57" t="s">
        <v>1900</v>
      </c>
      <c r="QD57" t="s">
        <v>1900</v>
      </c>
      <c r="QE57" t="s">
        <v>1900</v>
      </c>
      <c r="QF57" t="s">
        <v>1900</v>
      </c>
      <c r="QG57" t="s">
        <v>1900</v>
      </c>
      <c r="QH57" t="s">
        <v>1900</v>
      </c>
      <c r="QI57" t="s">
        <v>1900</v>
      </c>
      <c r="QJ57" t="s">
        <v>1900</v>
      </c>
      <c r="QK57" t="s">
        <v>1900</v>
      </c>
      <c r="QL57" t="s">
        <v>1900</v>
      </c>
      <c r="QM57" t="s">
        <v>1900</v>
      </c>
      <c r="QN57" t="s">
        <v>1900</v>
      </c>
      <c r="QO57" t="s">
        <v>1900</v>
      </c>
      <c r="QP57" t="s">
        <v>1900</v>
      </c>
      <c r="QQ57" t="s">
        <v>1900</v>
      </c>
      <c r="QR57" t="s">
        <v>1900</v>
      </c>
      <c r="QS57" t="s">
        <v>1900</v>
      </c>
      <c r="QT57" t="s">
        <v>1900</v>
      </c>
      <c r="QU57" t="s">
        <v>1900</v>
      </c>
      <c r="QV57" t="s">
        <v>1900</v>
      </c>
      <c r="QW57" t="s">
        <v>1900</v>
      </c>
      <c r="QX57" t="s">
        <v>1900</v>
      </c>
      <c r="QY57" t="s">
        <v>1900</v>
      </c>
      <c r="QZ57" t="s">
        <v>1900</v>
      </c>
      <c r="RA57" t="s">
        <v>1900</v>
      </c>
      <c r="RB57" t="s">
        <v>1900</v>
      </c>
      <c r="RC57" t="s">
        <v>1900</v>
      </c>
      <c r="RD57" t="s">
        <v>1900</v>
      </c>
      <c r="RE57" t="s">
        <v>1900</v>
      </c>
      <c r="RF57" t="s">
        <v>1900</v>
      </c>
      <c r="RG57" t="s">
        <v>1900</v>
      </c>
      <c r="RH57" t="s">
        <v>1900</v>
      </c>
      <c r="RI57" t="s">
        <v>1900</v>
      </c>
      <c r="RJ57" t="s">
        <v>1900</v>
      </c>
      <c r="RK57" t="s">
        <v>1900</v>
      </c>
      <c r="RL57" t="s">
        <v>1900</v>
      </c>
      <c r="RM57" t="s">
        <v>1900</v>
      </c>
      <c r="RN57" t="s">
        <v>1900</v>
      </c>
      <c r="RO57" t="s">
        <v>1900</v>
      </c>
      <c r="RP57" t="s">
        <v>1900</v>
      </c>
      <c r="RQ57" t="s">
        <v>1900</v>
      </c>
      <c r="RR57" t="s">
        <v>1900</v>
      </c>
      <c r="RS57" t="s">
        <v>1900</v>
      </c>
      <c r="RT57" t="s">
        <v>1900</v>
      </c>
      <c r="RU57" t="s">
        <v>1900</v>
      </c>
      <c r="RV57" t="s">
        <v>1900</v>
      </c>
      <c r="RW57" t="s">
        <v>1900</v>
      </c>
      <c r="RX57" t="s">
        <v>1900</v>
      </c>
      <c r="RY57" t="s">
        <v>1900</v>
      </c>
      <c r="RZ57" t="s">
        <v>1900</v>
      </c>
      <c r="SA57" t="s">
        <v>1900</v>
      </c>
      <c r="SB57" t="s">
        <v>1900</v>
      </c>
      <c r="SC57" t="s">
        <v>1900</v>
      </c>
      <c r="SD57" t="s">
        <v>1900</v>
      </c>
      <c r="SE57" t="s">
        <v>1900</v>
      </c>
      <c r="SF57" t="s">
        <v>1900</v>
      </c>
      <c r="SG57" t="s">
        <v>1900</v>
      </c>
      <c r="SH57" t="s">
        <v>1900</v>
      </c>
      <c r="SI57" t="s">
        <v>1900</v>
      </c>
      <c r="SJ57">
        <v>5048.26220512867</v>
      </c>
      <c r="SK57">
        <v>5369.46260974884</v>
      </c>
      <c r="SL57">
        <v>4155.62093018293</v>
      </c>
      <c r="SM57">
        <v>4865.80835231066</v>
      </c>
      <c r="SN57">
        <v>4018.70112166405</v>
      </c>
      <c r="SO57" t="s">
        <v>1900</v>
      </c>
      <c r="SP57" t="s">
        <v>1900</v>
      </c>
      <c r="SQ57" t="s">
        <v>1900</v>
      </c>
      <c r="SR57" t="s">
        <v>1900</v>
      </c>
      <c r="SS57" t="s">
        <v>1900</v>
      </c>
      <c r="ST57" t="s">
        <v>1900</v>
      </c>
      <c r="SU57" t="s">
        <v>1900</v>
      </c>
      <c r="SV57" t="s">
        <v>1900</v>
      </c>
      <c r="SW57" t="s">
        <v>1900</v>
      </c>
      <c r="SX57" t="s">
        <v>1900</v>
      </c>
      <c r="SY57" t="s">
        <v>1900</v>
      </c>
      <c r="SZ57" t="s">
        <v>1900</v>
      </c>
      <c r="TA57" t="s">
        <v>1900</v>
      </c>
      <c r="TB57" t="s">
        <v>1900</v>
      </c>
      <c r="TC57" t="s">
        <v>1900</v>
      </c>
      <c r="TD57" t="s">
        <v>1900</v>
      </c>
      <c r="TE57" t="s">
        <v>1900</v>
      </c>
      <c r="TF57" t="s">
        <v>1900</v>
      </c>
      <c r="TG57" t="s">
        <v>1900</v>
      </c>
      <c r="TH57" t="s">
        <v>1900</v>
      </c>
      <c r="TI57" t="s">
        <v>1900</v>
      </c>
      <c r="TJ57" t="s">
        <v>1900</v>
      </c>
      <c r="TK57" t="s">
        <v>1900</v>
      </c>
      <c r="TL57" t="s">
        <v>1900</v>
      </c>
      <c r="TM57" t="s">
        <v>1900</v>
      </c>
      <c r="TN57" t="s">
        <v>1900</v>
      </c>
      <c r="TO57" t="s">
        <v>1900</v>
      </c>
      <c r="TP57" t="s">
        <v>1900</v>
      </c>
      <c r="TQ57" t="s">
        <v>1900</v>
      </c>
      <c r="TR57" t="s">
        <v>1900</v>
      </c>
      <c r="TS57">
        <v>1506247.66825595</v>
      </c>
      <c r="TT57">
        <v>1424641.09426142</v>
      </c>
      <c r="TU57">
        <v>956292.185156483</v>
      </c>
      <c r="TV57">
        <v>500978.665533614</v>
      </c>
      <c r="TW57">
        <v>697665.122454655</v>
      </c>
      <c r="TX57" t="s">
        <v>1900</v>
      </c>
      <c r="TY57" t="s">
        <v>1900</v>
      </c>
      <c r="TZ57" t="s">
        <v>1900</v>
      </c>
      <c r="UA57" t="s">
        <v>1900</v>
      </c>
      <c r="UB57" t="s">
        <v>1900</v>
      </c>
      <c r="UC57">
        <v>731495.784538599</v>
      </c>
      <c r="UD57">
        <v>826704.7950149541</v>
      </c>
      <c r="UE57">
        <v>510790.569840813</v>
      </c>
      <c r="UF57">
        <v>147816.0172333</v>
      </c>
      <c r="UG57">
        <v>17094.8553212941</v>
      </c>
      <c r="UH57" t="s">
        <v>1900</v>
      </c>
      <c r="UI57" t="s">
        <v>1900</v>
      </c>
      <c r="UJ57" t="s">
        <v>1900</v>
      </c>
      <c r="UK57" t="s">
        <v>1900</v>
      </c>
      <c r="UL57" t="s">
        <v>1900</v>
      </c>
      <c r="UM57" t="s">
        <v>1900</v>
      </c>
      <c r="UN57" t="s">
        <v>1900</v>
      </c>
      <c r="UO57" t="s">
        <v>1900</v>
      </c>
      <c r="UP57" t="s">
        <v>1900</v>
      </c>
      <c r="UQ57" t="s">
        <v>1900</v>
      </c>
      <c r="UR57" t="s">
        <v>1900</v>
      </c>
      <c r="US57" t="s">
        <v>1900</v>
      </c>
      <c r="UT57" t="s">
        <v>1900</v>
      </c>
      <c r="UU57" t="s">
        <v>1900</v>
      </c>
      <c r="UV57" t="s">
        <v>1900</v>
      </c>
      <c r="UW57" t="s">
        <v>1900</v>
      </c>
      <c r="UX57" t="s">
        <v>1900</v>
      </c>
      <c r="UY57" t="s">
        <v>1900</v>
      </c>
      <c r="UZ57" t="s">
        <v>1900</v>
      </c>
      <c r="VA57" t="s">
        <v>1900</v>
      </c>
      <c r="VB57" t="s">
        <v>1900</v>
      </c>
      <c r="VC57" t="s">
        <v>1900</v>
      </c>
      <c r="VD57" t="s">
        <v>1900</v>
      </c>
      <c r="VE57" t="s">
        <v>1900</v>
      </c>
      <c r="VF57" t="s">
        <v>1900</v>
      </c>
      <c r="VG57" t="s">
        <v>1900</v>
      </c>
      <c r="VH57" t="s">
        <v>1900</v>
      </c>
      <c r="VI57" t="s">
        <v>1900</v>
      </c>
      <c r="VJ57" t="s">
        <v>1900</v>
      </c>
      <c r="VK57" t="s">
        <v>1900</v>
      </c>
      <c r="VL57" t="s">
        <v>1900</v>
      </c>
      <c r="VM57" t="s">
        <v>1900</v>
      </c>
      <c r="VN57" t="s">
        <v>1900</v>
      </c>
      <c r="VO57" t="s">
        <v>1900</v>
      </c>
      <c r="VP57" t="s">
        <v>1900</v>
      </c>
      <c r="VQ57" t="s">
        <v>1900</v>
      </c>
      <c r="VR57" t="s">
        <v>1900</v>
      </c>
      <c r="VS57" t="s">
        <v>1900</v>
      </c>
      <c r="VT57" t="s">
        <v>1900</v>
      </c>
      <c r="VU57" t="s">
        <v>1900</v>
      </c>
      <c r="VV57" t="s">
        <v>1900</v>
      </c>
      <c r="VW57" t="s">
        <v>1900</v>
      </c>
      <c r="VX57" t="s">
        <v>1900</v>
      </c>
      <c r="VY57" t="s">
        <v>1900</v>
      </c>
      <c r="VZ57" t="s">
        <v>1900</v>
      </c>
      <c r="WA57">
        <v>272556.758364879</v>
      </c>
      <c r="WB57">
        <v>109155.672837725</v>
      </c>
      <c r="WC57">
        <v>96154.90380603079</v>
      </c>
      <c r="WD57">
        <v>63530.6545705318</v>
      </c>
      <c r="WE57">
        <v>99383.471707505</v>
      </c>
      <c r="WF57" t="s">
        <v>1900</v>
      </c>
      <c r="WG57" t="s">
        <v>1900</v>
      </c>
      <c r="WH57" t="s">
        <v>1900</v>
      </c>
      <c r="WI57" t="s">
        <v>1900</v>
      </c>
      <c r="WJ57" t="s">
        <v>1900</v>
      </c>
      <c r="WK57" t="s">
        <v>1900</v>
      </c>
      <c r="WL57" t="s">
        <v>1900</v>
      </c>
      <c r="WM57" t="s">
        <v>1900</v>
      </c>
      <c r="WN57" t="s">
        <v>1900</v>
      </c>
      <c r="WO57" t="s">
        <v>1900</v>
      </c>
      <c r="WP57" t="s">
        <v>1900</v>
      </c>
      <c r="WQ57" t="s">
        <v>1900</v>
      </c>
      <c r="WR57" t="s">
        <v>1900</v>
      </c>
      <c r="WS57" t="s">
        <v>1900</v>
      </c>
      <c r="WT57" t="s">
        <v>1900</v>
      </c>
      <c r="WU57" t="s">
        <v>1900</v>
      </c>
      <c r="WV57" t="s">
        <v>1900</v>
      </c>
      <c r="WW57" t="s">
        <v>1900</v>
      </c>
      <c r="WX57" t="s">
        <v>1900</v>
      </c>
      <c r="WY57" t="s">
        <v>1900</v>
      </c>
      <c r="WZ57" t="s">
        <v>1900</v>
      </c>
      <c r="XA57" t="s">
        <v>1900</v>
      </c>
      <c r="XB57" t="s">
        <v>1900</v>
      </c>
      <c r="XC57" t="s">
        <v>1900</v>
      </c>
      <c r="XD57" t="s">
        <v>1900</v>
      </c>
      <c r="XE57" t="s">
        <v>1900</v>
      </c>
      <c r="XF57" t="s">
        <v>1900</v>
      </c>
      <c r="XG57" t="s">
        <v>1900</v>
      </c>
      <c r="XH57" t="s">
        <v>1900</v>
      </c>
      <c r="XI57" t="s">
        <v>1900</v>
      </c>
      <c r="XJ57">
        <v>39851.4072143137</v>
      </c>
      <c r="XK57">
        <v>41006.2369030952</v>
      </c>
      <c r="XL57">
        <v>0</v>
      </c>
      <c r="XM57">
        <v>0</v>
      </c>
      <c r="XN57">
        <v>0</v>
      </c>
      <c r="XO57" t="s">
        <v>1900</v>
      </c>
      <c r="XP57" t="s">
        <v>1900</v>
      </c>
      <c r="XQ57" t="s">
        <v>1900</v>
      </c>
      <c r="XR57" t="s">
        <v>1900</v>
      </c>
      <c r="XS57" t="s">
        <v>1900</v>
      </c>
      <c r="XT57" t="s">
        <v>1900</v>
      </c>
      <c r="XU57" t="s">
        <v>1900</v>
      </c>
      <c r="XV57" t="s">
        <v>1900</v>
      </c>
      <c r="XW57" t="s">
        <v>1900</v>
      </c>
      <c r="XX57" t="s">
        <v>1900</v>
      </c>
      <c r="XY57">
        <v>39318.8153646708</v>
      </c>
      <c r="XZ57">
        <v>41006.2369030952</v>
      </c>
      <c r="YA57">
        <v>0</v>
      </c>
      <c r="YB57">
        <v>0</v>
      </c>
      <c r="YC57">
        <v>0</v>
      </c>
      <c r="YD57" t="s">
        <v>1900</v>
      </c>
      <c r="YE57" t="s">
        <v>1900</v>
      </c>
      <c r="YF57" t="s">
        <v>1900</v>
      </c>
      <c r="YG57" t="s">
        <v>1900</v>
      </c>
      <c r="YH57" t="s">
        <v>1900</v>
      </c>
      <c r="YI57" t="s">
        <v>1900</v>
      </c>
      <c r="YJ57" t="s">
        <v>1900</v>
      </c>
      <c r="YK57" t="s">
        <v>1900</v>
      </c>
      <c r="YL57" t="s">
        <v>1900</v>
      </c>
      <c r="YM57" t="s">
        <v>1900</v>
      </c>
      <c r="YN57" t="s">
        <v>1900</v>
      </c>
      <c r="YO57" t="s">
        <v>1900</v>
      </c>
      <c r="YP57" t="s">
        <v>1900</v>
      </c>
      <c r="YQ57" t="s">
        <v>1900</v>
      </c>
      <c r="YR57" t="s">
        <v>1900</v>
      </c>
      <c r="YS57" t="s">
        <v>1900</v>
      </c>
      <c r="YT57" t="s">
        <v>1900</v>
      </c>
      <c r="YU57" t="s">
        <v>1900</v>
      </c>
      <c r="YV57" t="s">
        <v>1900</v>
      </c>
      <c r="YW57" t="s">
        <v>1900</v>
      </c>
      <c r="YX57" t="s">
        <v>1900</v>
      </c>
      <c r="YY57" t="s">
        <v>1900</v>
      </c>
      <c r="YZ57" t="s">
        <v>1900</v>
      </c>
      <c r="ZA57" t="s">
        <v>1900</v>
      </c>
      <c r="ZB57" t="s">
        <v>1900</v>
      </c>
      <c r="ZC57" t="s">
        <v>1900</v>
      </c>
      <c r="ZD57" t="s">
        <v>1900</v>
      </c>
      <c r="ZE57" t="s">
        <v>1900</v>
      </c>
      <c r="ZF57" t="s">
        <v>1900</v>
      </c>
      <c r="ZG57" t="s">
        <v>1900</v>
      </c>
      <c r="ZH57" t="s">
        <v>1900</v>
      </c>
      <c r="ZI57" t="s">
        <v>1900</v>
      </c>
      <c r="ZJ57" t="s">
        <v>1900</v>
      </c>
      <c r="ZK57" t="s">
        <v>1900</v>
      </c>
      <c r="ZL57" t="s">
        <v>1900</v>
      </c>
      <c r="ZM57" t="s">
        <v>1900</v>
      </c>
      <c r="ZN57" t="s">
        <v>1900</v>
      </c>
      <c r="ZO57" t="s">
        <v>1900</v>
      </c>
      <c r="ZP57" t="s">
        <v>1900</v>
      </c>
      <c r="ZQ57" t="s">
        <v>1900</v>
      </c>
      <c r="ZR57" t="s">
        <v>1900</v>
      </c>
      <c r="ZS57" t="s">
        <v>1900</v>
      </c>
      <c r="ZT57" t="s">
        <v>1900</v>
      </c>
      <c r="ZU57" t="s">
        <v>1900</v>
      </c>
      <c r="ZV57" t="s">
        <v>1900</v>
      </c>
      <c r="ZW57" t="s">
        <v>1900</v>
      </c>
      <c r="ZX57" t="s">
        <v>1900</v>
      </c>
      <c r="ZY57" t="s">
        <v>1900</v>
      </c>
      <c r="ZZ57" t="s">
        <v>1900</v>
      </c>
      <c r="AAA57" t="s">
        <v>1900</v>
      </c>
      <c r="AAB57" t="s">
        <v>1900</v>
      </c>
      <c r="AAC57" t="s">
        <v>1900</v>
      </c>
      <c r="AAD57" t="s">
        <v>1900</v>
      </c>
      <c r="AAE57" t="s">
        <v>1900</v>
      </c>
      <c r="AAF57" t="s">
        <v>1900</v>
      </c>
      <c r="AAG57" t="s">
        <v>1900</v>
      </c>
      <c r="AAH57" t="s">
        <v>1900</v>
      </c>
      <c r="AAI57" t="s">
        <v>1900</v>
      </c>
      <c r="AAJ57" t="s">
        <v>1900</v>
      </c>
      <c r="AAK57" t="s">
        <v>1900</v>
      </c>
      <c r="AAL57" t="s">
        <v>1900</v>
      </c>
      <c r="AAM57" t="s">
        <v>1900</v>
      </c>
      <c r="AAN57" t="s">
        <v>1900</v>
      </c>
      <c r="AAO57" t="s">
        <v>1900</v>
      </c>
      <c r="AAP57" t="s">
        <v>1900</v>
      </c>
      <c r="AAQ57" t="s">
        <v>1900</v>
      </c>
      <c r="AAR57" t="s">
        <v>1900</v>
      </c>
      <c r="AAS57" t="s">
        <v>1900</v>
      </c>
      <c r="AAT57" t="s">
        <v>1900</v>
      </c>
      <c r="AAU57" t="s">
        <v>1900</v>
      </c>
      <c r="AAV57" t="s">
        <v>1900</v>
      </c>
      <c r="AAW57" t="s">
        <v>1900</v>
      </c>
      <c r="AAX57" t="s">
        <v>1900</v>
      </c>
      <c r="AAY57" t="s">
        <v>1900</v>
      </c>
      <c r="AAZ57" t="s">
        <v>1900</v>
      </c>
      <c r="ABA57" t="s">
        <v>1900</v>
      </c>
      <c r="ABB57" t="s">
        <v>1900</v>
      </c>
      <c r="ABC57" t="s">
        <v>1900</v>
      </c>
      <c r="ABD57" t="s">
        <v>1900</v>
      </c>
      <c r="ABE57" t="s">
        <v>1900</v>
      </c>
      <c r="ABF57" t="s">
        <v>1900</v>
      </c>
      <c r="ABG57" t="s">
        <v>1900</v>
      </c>
      <c r="ABH57" t="s">
        <v>1900</v>
      </c>
      <c r="ABI57" t="s">
        <v>1900</v>
      </c>
      <c r="ABJ57" t="s">
        <v>1900</v>
      </c>
      <c r="ABK57" t="s">
        <v>1900</v>
      </c>
      <c r="ABL57" t="s">
        <v>1900</v>
      </c>
      <c r="ABM57" t="s">
        <v>1900</v>
      </c>
      <c r="ABN57" t="s">
        <v>1900</v>
      </c>
      <c r="ABO57" t="s">
        <v>1900</v>
      </c>
      <c r="ABP57" t="s">
        <v>1900</v>
      </c>
      <c r="ABQ57" t="s">
        <v>1900</v>
      </c>
      <c r="ABR57" t="s">
        <v>1900</v>
      </c>
      <c r="ABS57" t="s">
        <v>1900</v>
      </c>
      <c r="ABT57" t="s">
        <v>1900</v>
      </c>
      <c r="ABU57" t="s">
        <v>1900</v>
      </c>
      <c r="ABV57" t="s">
        <v>1900</v>
      </c>
      <c r="ABW57" t="s">
        <v>1900</v>
      </c>
      <c r="ABX57" t="s">
        <v>1900</v>
      </c>
      <c r="ABY57" t="s">
        <v>1900</v>
      </c>
      <c r="ABZ57" t="s">
        <v>1900</v>
      </c>
      <c r="ACA57" t="s">
        <v>1900</v>
      </c>
      <c r="ACB57" t="s">
        <v>1900</v>
      </c>
      <c r="ACC57" t="s">
        <v>1900</v>
      </c>
      <c r="ACD57" t="s">
        <v>1900</v>
      </c>
      <c r="ACE57">
        <v>3.65</v>
      </c>
      <c r="ACF57">
        <v>14.007</v>
      </c>
      <c r="ACG57">
        <v>40.894</v>
      </c>
      <c r="ACH57">
        <v>21.377</v>
      </c>
      <c r="ACI57">
        <v>44.832</v>
      </c>
      <c r="ACJ57">
        <v>5.242</v>
      </c>
      <c r="ACK57">
        <v>13.568</v>
      </c>
      <c r="ACL57">
        <v>41.093</v>
      </c>
      <c r="ACM57">
        <v>22.789</v>
      </c>
      <c r="ACN57">
        <v>36.851</v>
      </c>
      <c r="ACO57">
        <v>0.487</v>
      </c>
      <c r="ACP57">
        <v>1.907</v>
      </c>
      <c r="ACQ57">
        <v>5.603</v>
      </c>
      <c r="ACR57">
        <v>3.895</v>
      </c>
      <c r="ACS57">
        <v>5.303</v>
      </c>
      <c r="ACT57">
        <v>2.564</v>
      </c>
      <c r="ACU57">
        <v>10.827</v>
      </c>
      <c r="ACV57">
        <v>31.137</v>
      </c>
      <c r="ACW57">
        <v>16.548</v>
      </c>
      <c r="ACX57">
        <v>34.078</v>
      </c>
      <c r="ACY57">
        <v>4.612</v>
      </c>
      <c r="ACZ57">
        <v>11.043</v>
      </c>
      <c r="ADA57">
        <v>32.191</v>
      </c>
      <c r="ADB57">
        <v>18.338</v>
      </c>
      <c r="ADC57">
        <v>28.463</v>
      </c>
      <c r="ADD57">
        <v>0.342</v>
      </c>
      <c r="ADE57">
        <v>1.474</v>
      </c>
      <c r="ADF57">
        <v>4.266</v>
      </c>
      <c r="ADG57">
        <v>3.015</v>
      </c>
      <c r="ADH57">
        <v>4.031</v>
      </c>
      <c r="ADI57">
        <v>0.348</v>
      </c>
      <c r="ADJ57">
        <v>1.3</v>
      </c>
      <c r="ADK57">
        <v>2.663</v>
      </c>
      <c r="ADL57">
        <v>0.9419999999999999</v>
      </c>
      <c r="ADM57">
        <v>1.266</v>
      </c>
      <c r="ADN57">
        <v>53.924</v>
      </c>
      <c r="ADO57">
        <v>51.05</v>
      </c>
      <c r="ADP57">
        <v>45.242</v>
      </c>
      <c r="ADQ57">
        <v>34.825</v>
      </c>
      <c r="ADR57">
        <v>29.948</v>
      </c>
      <c r="ADS57">
        <v>0.860703112</v>
      </c>
      <c r="ADT57">
        <v>1.586014583</v>
      </c>
      <c r="ADU57">
        <v>2.932571024</v>
      </c>
      <c r="ADV57">
        <v>1.089804505</v>
      </c>
      <c r="ADW57">
        <v>1.334380904</v>
      </c>
      <c r="ADX57">
        <v>2.315</v>
      </c>
      <c r="ADY57">
        <v>2.761</v>
      </c>
      <c r="ADZ57">
        <v>3.478</v>
      </c>
      <c r="AEA57">
        <v>1.662</v>
      </c>
      <c r="AEB57">
        <v>1.704</v>
      </c>
      <c r="AEC57">
        <v>0.861</v>
      </c>
      <c r="AED57">
        <v>1.586</v>
      </c>
      <c r="AEE57">
        <v>2.933</v>
      </c>
      <c r="AEF57">
        <v>1.09</v>
      </c>
      <c r="AEG57">
        <v>1.334</v>
      </c>
      <c r="AEH57">
        <v>1.699</v>
      </c>
      <c r="AEI57">
        <v>2.18</v>
      </c>
      <c r="AEJ57">
        <v>2.573</v>
      </c>
      <c r="AEK57">
        <v>1.302</v>
      </c>
      <c r="AEL57">
        <v>1.332</v>
      </c>
      <c r="AEM57">
        <v>0.868175526</v>
      </c>
      <c r="AEN57">
        <v>1.611574388</v>
      </c>
      <c r="AEO57">
        <v>3.021168949</v>
      </c>
      <c r="AEP57">
        <v>1.101812103</v>
      </c>
      <c r="AEQ57">
        <v>1.352427437</v>
      </c>
      <c r="AER57">
        <v>1.016220263</v>
      </c>
      <c r="AES57">
        <v>1.032064031</v>
      </c>
      <c r="AET57">
        <v>1.069312848</v>
      </c>
      <c r="AEU57">
        <v>1.032305068</v>
      </c>
      <c r="AEV57">
        <v>1.046634156</v>
      </c>
      <c r="AEW57" t="s">
        <v>1900</v>
      </c>
      <c r="AEX57" t="s">
        <v>1900</v>
      </c>
      <c r="AEY57" t="s">
        <v>1900</v>
      </c>
      <c r="AEZ57" t="s">
        <v>1900</v>
      </c>
      <c r="AFA57" t="s">
        <v>1900</v>
      </c>
      <c r="AFB57" t="s">
        <v>1900</v>
      </c>
      <c r="AFC57" t="s">
        <v>1900</v>
      </c>
      <c r="AFD57" t="s">
        <v>1900</v>
      </c>
      <c r="AFE57" t="s">
        <v>1900</v>
      </c>
      <c r="AFF57" t="s">
        <v>1900</v>
      </c>
      <c r="AFG57">
        <v>6.091</v>
      </c>
      <c r="AFH57">
        <v>8.555</v>
      </c>
      <c r="AFI57">
        <v>14.012</v>
      </c>
      <c r="AFJ57">
        <v>20.911</v>
      </c>
      <c r="AFK57">
        <v>27.617</v>
      </c>
      <c r="AFL57">
        <v>1.677</v>
      </c>
      <c r="AFM57">
        <v>5.546</v>
      </c>
      <c r="AFN57">
        <v>10.87</v>
      </c>
      <c r="AFO57">
        <v>7.387</v>
      </c>
      <c r="AFP57">
        <v>19.569</v>
      </c>
      <c r="AFQ57">
        <v>1.96</v>
      </c>
      <c r="AFR57">
        <v>2.216</v>
      </c>
      <c r="AFS57">
        <v>2.962</v>
      </c>
      <c r="AFT57">
        <v>70.626</v>
      </c>
      <c r="AFU57">
        <v>91.39100000000001</v>
      </c>
      <c r="AFV57">
        <v>33.872</v>
      </c>
      <c r="AFW57">
        <v>38.407</v>
      </c>
      <c r="AFX57">
        <v>30.832</v>
      </c>
      <c r="AFY57">
        <v>58.202</v>
      </c>
      <c r="AFZ57">
        <v>44.685</v>
      </c>
      <c r="AGA57">
        <v>26.608</v>
      </c>
      <c r="AGB57">
        <v>42.116</v>
      </c>
      <c r="AGC57">
        <v>36.818</v>
      </c>
      <c r="AGD57">
        <v>33.136</v>
      </c>
      <c r="AGE57">
        <v>58.565</v>
      </c>
      <c r="AGF57" t="s">
        <v>1900</v>
      </c>
      <c r="AGG57" t="s">
        <v>1900</v>
      </c>
      <c r="AGH57" t="s">
        <v>1900</v>
      </c>
      <c r="AGI57" t="s">
        <v>1900</v>
      </c>
      <c r="AGJ57" t="s">
        <v>1900</v>
      </c>
      <c r="AGK57" t="s">
        <v>1900</v>
      </c>
      <c r="AGL57" t="s">
        <v>1900</v>
      </c>
      <c r="AGM57" t="s">
        <v>1900</v>
      </c>
      <c r="AGN57" t="s">
        <v>1900</v>
      </c>
      <c r="AGO57" t="s">
        <v>1900</v>
      </c>
      <c r="AGP57" t="s">
        <v>1900</v>
      </c>
      <c r="AGQ57" t="s">
        <v>1900</v>
      </c>
      <c r="AGR57" t="s">
        <v>1900</v>
      </c>
      <c r="AGS57" t="s">
        <v>1900</v>
      </c>
      <c r="AGT57" t="s">
        <v>1900</v>
      </c>
      <c r="AGU57">
        <v>0</v>
      </c>
      <c r="AGV57">
        <v>0</v>
      </c>
      <c r="AGW57">
        <v>0</v>
      </c>
      <c r="AGX57">
        <v>0</v>
      </c>
      <c r="AGY57">
        <v>0</v>
      </c>
      <c r="AGZ57">
        <v>1.178</v>
      </c>
      <c r="AHA57">
        <v>1.117</v>
      </c>
      <c r="AHB57">
        <v>1.109</v>
      </c>
      <c r="AHC57">
        <v>1.151</v>
      </c>
      <c r="AHD57">
        <v>1.096</v>
      </c>
      <c r="AHE57">
        <v>0.25</v>
      </c>
      <c r="AHF57">
        <v>0.318</v>
      </c>
      <c r="AHG57">
        <v>0.273</v>
      </c>
      <c r="AHH57">
        <v>1.078</v>
      </c>
      <c r="AHI57">
        <v>1.042</v>
      </c>
      <c r="AHJ57">
        <v>1.38</v>
      </c>
      <c r="AHK57">
        <v>3.854</v>
      </c>
      <c r="AHL57">
        <v>10.422</v>
      </c>
      <c r="AHM57">
        <v>11.78</v>
      </c>
      <c r="AHN57">
        <v>3.545</v>
      </c>
      <c r="AHO57">
        <v>13.332</v>
      </c>
      <c r="AHP57">
        <v>13.615</v>
      </c>
      <c r="AHQ57">
        <v>13.7</v>
      </c>
      <c r="AHR57">
        <v>18.22</v>
      </c>
      <c r="AHS57">
        <v>11.829</v>
      </c>
      <c r="AHT57">
        <v>15.382</v>
      </c>
      <c r="AHU57">
        <v>15.76</v>
      </c>
      <c r="AHV57">
        <v>15.875</v>
      </c>
      <c r="AHW57">
        <v>22.279</v>
      </c>
      <c r="AHX57">
        <v>13.417</v>
      </c>
      <c r="AHY57">
        <v>436.736</v>
      </c>
      <c r="AHZ57">
        <v>452.172</v>
      </c>
      <c r="AIA57">
        <v>399.465</v>
      </c>
      <c r="AIB57">
        <v>170.428</v>
      </c>
      <c r="AIC57">
        <v>48.923</v>
      </c>
      <c r="AID57">
        <v>0.335154856</v>
      </c>
      <c r="AIE57">
        <v>0.376899321</v>
      </c>
      <c r="AIF57">
        <v>0.434555567</v>
      </c>
      <c r="AIG57">
        <v>0.971260592</v>
      </c>
      <c r="AIH57">
        <v>0.576021503</v>
      </c>
      <c r="AII57">
        <v>6.109229843</v>
      </c>
      <c r="AIJ57">
        <v>10.714947275</v>
      </c>
      <c r="AIK57">
        <v>5.185122218</v>
      </c>
      <c r="AIL57">
        <v>19.703886334</v>
      </c>
      <c r="AIM57">
        <v>36.403037195</v>
      </c>
      <c r="AIN57">
        <v>18.095082509</v>
      </c>
      <c r="AIO57">
        <v>7.66197699</v>
      </c>
      <c r="AIP57">
        <v>10.0549712</v>
      </c>
      <c r="AIQ57">
        <v>12.681309393</v>
      </c>
      <c r="AIR57">
        <v>14.245154087</v>
      </c>
      <c r="AIS57">
        <v>110.7392246</v>
      </c>
      <c r="AIT57">
        <v>92.197363165</v>
      </c>
      <c r="AIU57">
        <v>61.664873398</v>
      </c>
      <c r="AIV57">
        <v>2.172457656</v>
      </c>
      <c r="AIW57">
        <v>1.561982474</v>
      </c>
      <c r="AIX57">
        <v>0.814480617673874</v>
      </c>
      <c r="AIY57">
        <v>3.01872875476837</v>
      </c>
      <c r="AIZ57">
        <v>6.69713552279472</v>
      </c>
      <c r="AJA57">
        <v>1.95124380970001</v>
      </c>
      <c r="AJB57">
        <v>4.62502192940652</v>
      </c>
      <c r="AJC57">
        <v>234.353526832922</v>
      </c>
      <c r="AJD57">
        <v>232.202176519484</v>
      </c>
      <c r="AJE57">
        <v>251.487429718348</v>
      </c>
      <c r="AJF57">
        <v>207.078034891834</v>
      </c>
      <c r="AJG57">
        <v>365.270383408132</v>
      </c>
      <c r="AJH57">
        <v>28.897</v>
      </c>
      <c r="AJI57">
        <v>28.642</v>
      </c>
      <c r="AJJ57">
        <v>25.164</v>
      </c>
      <c r="AJK57">
        <v>18.552</v>
      </c>
      <c r="AJL57">
        <v>14.697</v>
      </c>
      <c r="AJM57">
        <v>67.7204795717263</v>
      </c>
      <c r="AJN57">
        <v>66.507337792676</v>
      </c>
      <c r="AJO57">
        <v>63.2840365356785</v>
      </c>
      <c r="AJP57">
        <v>38.4173833670854</v>
      </c>
      <c r="AJQ57">
        <v>53.6852446267992</v>
      </c>
      <c r="AJR57">
        <v>22.3117846998267</v>
      </c>
      <c r="AJS57">
        <v>21.5512401519318</v>
      </c>
      <c r="AJT57">
        <v>16.3769631845295</v>
      </c>
      <c r="AJU57">
        <v>9.127872784724239</v>
      </c>
      <c r="AJV57">
        <v>10.316252033599</v>
      </c>
      <c r="AJW57">
        <v>124.305075998697</v>
      </c>
      <c r="AJX57">
        <v>102.401776101659</v>
      </c>
      <c r="AJY57">
        <v>80.7374951185185</v>
      </c>
      <c r="AJZ57">
        <v>17.3504694696951</v>
      </c>
      <c r="AKA57">
        <v>-10.0861181496859</v>
      </c>
      <c r="AKB57">
        <v>167.360852490172</v>
      </c>
      <c r="AKC57">
        <v>158.293454795157</v>
      </c>
      <c r="AKD57">
        <v>119.53652341121</v>
      </c>
      <c r="AKE57">
        <v>50.0978665533614</v>
      </c>
      <c r="AKF57">
        <v>87.2081409203816</v>
      </c>
      <c r="AKG57">
        <v>110.7392246</v>
      </c>
      <c r="AKH57">
        <v>92.197363165</v>
      </c>
      <c r="AKI57">
        <v>61.664873398</v>
      </c>
      <c r="AKJ57">
        <v>2.172457656</v>
      </c>
      <c r="AKK57">
        <v>1.561982474</v>
      </c>
      <c r="AKL57">
        <v>51.024034192</v>
      </c>
      <c r="AKM57">
        <v>45.130614403</v>
      </c>
      <c r="AKN57">
        <v>33.766593528</v>
      </c>
      <c r="AKO57">
        <v>1.415908213</v>
      </c>
      <c r="AKP57">
        <v>1.094196969</v>
      </c>
      <c r="AKQ57">
        <v>71.44838373499999</v>
      </c>
      <c r="AKR57">
        <v>66.202528137</v>
      </c>
      <c r="AKS57">
        <v>71.039993413</v>
      </c>
      <c r="AKT57">
        <v>5.852614301</v>
      </c>
      <c r="AKU57">
        <v>4.583032553</v>
      </c>
      <c r="AKV57">
        <v>0.872242326</v>
      </c>
      <c r="AKW57">
        <v>1.439842123</v>
      </c>
      <c r="AKX57">
        <v>0.060928035</v>
      </c>
      <c r="AKY57">
        <v>0.141488871</v>
      </c>
      <c r="AKZ57">
        <v>0.222890023</v>
      </c>
      <c r="ALA57">
        <v>1.221391163</v>
      </c>
      <c r="ALB57">
        <v>2.112118124</v>
      </c>
      <c r="ALC57">
        <v>0.128183709</v>
      </c>
      <c r="ALD57">
        <v>0.584840022</v>
      </c>
      <c r="ALE57">
        <v>0.93357253</v>
      </c>
      <c r="ALF57">
        <v>5.506604349</v>
      </c>
      <c r="ALG57">
        <v>3.370141663</v>
      </c>
      <c r="ALH57">
        <v>2.468614696</v>
      </c>
      <c r="ALI57">
        <v>1.466187655</v>
      </c>
      <c r="ALJ57">
        <v>1.316660764</v>
      </c>
      <c r="ALK57">
        <v>7.71083641</v>
      </c>
      <c r="ALL57">
        <v>4.943692906</v>
      </c>
      <c r="ALM57">
        <v>5.193605673</v>
      </c>
      <c r="ALN57">
        <v>6.060442874</v>
      </c>
      <c r="ALO57">
        <v>5.514819834</v>
      </c>
      <c r="ALP57">
        <v>9.408776226000001</v>
      </c>
      <c r="ALQ57">
        <v>10.668561333</v>
      </c>
      <c r="ALR57">
        <v>8.564537573000001</v>
      </c>
      <c r="ALS57">
        <v>16.167276786</v>
      </c>
      <c r="ALT57">
        <v>12.412473743</v>
      </c>
      <c r="ALU57">
        <v>78.555577758</v>
      </c>
      <c r="ALV57">
        <v>109.657807397</v>
      </c>
      <c r="ALW57">
        <v>119.412668556</v>
      </c>
      <c r="ALX57">
        <v>56.932743955</v>
      </c>
      <c r="ALY57">
        <v>131.061266306</v>
      </c>
      <c r="ALZ57">
        <v>53.9241543574165</v>
      </c>
      <c r="AMA57">
        <v>51.0499944322202</v>
      </c>
      <c r="AMB57">
        <v>45.2417694747846</v>
      </c>
      <c r="AMC57">
        <v>34.8245886950408</v>
      </c>
      <c r="AMD57">
        <v>29.9481917099354</v>
      </c>
      <c r="AME57">
        <v>53.9241543574165</v>
      </c>
      <c r="AMF57">
        <v>51.0499944322202</v>
      </c>
      <c r="AMG57">
        <v>45.2417694747846</v>
      </c>
      <c r="AMH57">
        <v>34.9209239747434</v>
      </c>
      <c r="AMI57">
        <v>29.9547327084926</v>
      </c>
      <c r="AMJ57">
        <v>117.033455610806</v>
      </c>
      <c r="AMK57">
        <v>104.290068693726</v>
      </c>
      <c r="AML57">
        <v>82.6209485603291</v>
      </c>
      <c r="AMM57">
        <v>53.4320965495634</v>
      </c>
      <c r="AMN57">
        <v>42.751489848668</v>
      </c>
      <c r="AMO57">
        <v>1.01622026257502</v>
      </c>
      <c r="AMP57">
        <v>1.03206403099972</v>
      </c>
      <c r="AMQ57">
        <v>1.06931284892399</v>
      </c>
      <c r="AMR57">
        <v>1.03230506823813</v>
      </c>
      <c r="AMS57">
        <v>1.04663415553348</v>
      </c>
      <c r="AMT57">
        <v>1.01622026257502</v>
      </c>
      <c r="AMU57">
        <v>1.03206403099972</v>
      </c>
      <c r="AMV57">
        <v>1.06931284767096</v>
      </c>
      <c r="AMW57">
        <v>1.03230506823813</v>
      </c>
      <c r="AMX57">
        <v>1.04663415553348</v>
      </c>
      <c r="AMY57">
        <v>1.01622026257502</v>
      </c>
      <c r="AMZ57">
        <v>1.04372178930654</v>
      </c>
      <c r="ANA57">
        <v>1.26665078482321</v>
      </c>
      <c r="ANB57">
        <v>1.03230506823813</v>
      </c>
      <c r="ANC57">
        <v>1.04663415553348</v>
      </c>
      <c r="AND57">
        <v>0.860703112331961</v>
      </c>
      <c r="ANE57">
        <v>1.58601458324719</v>
      </c>
      <c r="ANF57">
        <v>2.9325710236493</v>
      </c>
      <c r="ANG57">
        <v>1.08980450524981</v>
      </c>
      <c r="ANH57">
        <v>1.33438090355048</v>
      </c>
      <c r="ANI57">
        <v>0.860703112331961</v>
      </c>
      <c r="ANJ57">
        <v>1.58601458324719</v>
      </c>
      <c r="ANK57">
        <v>2.9325710236493</v>
      </c>
      <c r="ANL57">
        <v>1.09281923207842</v>
      </c>
      <c r="ANM57">
        <v>1.33467234630767</v>
      </c>
      <c r="ANN57">
        <v>0.868175526105656</v>
      </c>
      <c r="ANO57">
        <v>1.61157438806173</v>
      </c>
      <c r="ANP57">
        <v>3.02116894881783</v>
      </c>
      <c r="ANQ57">
        <v>1.10181210318976</v>
      </c>
      <c r="ANR57">
        <v>1.35242743700424</v>
      </c>
      <c r="ANS57">
        <v>5.24217024382908</v>
      </c>
      <c r="ANT57">
        <v>13.5675763939807</v>
      </c>
      <c r="ANU57">
        <v>41.090369286616</v>
      </c>
      <c r="ANV57">
        <v>22.7890701307732</v>
      </c>
      <c r="ANW57">
        <v>36.8513859921919</v>
      </c>
      <c r="ANX57">
        <v>53.9241543574165</v>
      </c>
      <c r="ANY57">
        <v>37.8611672794749</v>
      </c>
      <c r="ANZ57">
        <v>13.9303673571331</v>
      </c>
      <c r="AOA57">
        <v>34.8245886950409</v>
      </c>
      <c r="AOB57">
        <v>29.9481917099354</v>
      </c>
      <c r="AOC57">
        <v>54.392310668207</v>
      </c>
      <c r="AOD57">
        <v>51.8727030675968</v>
      </c>
      <c r="AOE57">
        <v>46.6085997660525</v>
      </c>
      <c r="AOF57">
        <v>35.2082902281689</v>
      </c>
      <c r="AOG57">
        <v>30.3532192715072</v>
      </c>
      <c r="AOH57">
        <v>75.5093895282351</v>
      </c>
      <c r="AOI57">
        <v>74.8857230840665</v>
      </c>
      <c r="AOJ57">
        <v>95.18209181443279</v>
      </c>
      <c r="AOK57" t="s">
        <v>1901</v>
      </c>
      <c r="AOL57" t="s">
        <v>1901</v>
      </c>
      <c r="AOM57">
        <v>1.86801370724381</v>
      </c>
      <c r="AON57">
        <v>3.2400702816082</v>
      </c>
      <c r="AOO57">
        <v>5.35548902059371</v>
      </c>
      <c r="AOP57">
        <v>1.67210990069638</v>
      </c>
      <c r="AOQ57">
        <v>1.90484862007442</v>
      </c>
      <c r="AOR57">
        <v>1.62202625750185</v>
      </c>
      <c r="AOS57">
        <v>3.20640309997239</v>
      </c>
      <c r="AOT57">
        <v>6.93128476709585</v>
      </c>
      <c r="AOU57">
        <v>3.23050682381305</v>
      </c>
      <c r="AOV57">
        <v>4.66341555334784</v>
      </c>
      <c r="AOW57">
        <v>1.20523293043166</v>
      </c>
      <c r="AOX57">
        <v>2.32653989896184</v>
      </c>
      <c r="AOY57">
        <v>6.16970219480263</v>
      </c>
      <c r="AOZ57">
        <v>4.50467436817937</v>
      </c>
      <c r="APA57">
        <v>5.58904045113359</v>
      </c>
      <c r="APB57">
        <v>0.244095185142643</v>
      </c>
      <c r="APC57">
        <v>1.00491598468855</v>
      </c>
      <c r="APD57">
        <v>2.02767834662793</v>
      </c>
      <c r="APE57">
        <v>0.729404145072052</v>
      </c>
      <c r="APF57">
        <v>0.962449845902439</v>
      </c>
      <c r="APG57">
        <v>0.244095185142643</v>
      </c>
      <c r="APH57">
        <v>1.00491598468855</v>
      </c>
      <c r="API57">
        <v>2.02767834662793</v>
      </c>
      <c r="APJ57">
        <v>0.731421896177371</v>
      </c>
      <c r="APK57">
        <v>0.962660055023393</v>
      </c>
      <c r="APL57">
        <v>0.529768215294672</v>
      </c>
      <c r="APM57">
        <v>2.05294355543448</v>
      </c>
      <c r="APN57">
        <v>3.70296543036433</v>
      </c>
      <c r="APO57">
        <v>1.11914007210347</v>
      </c>
      <c r="APP57">
        <v>1.37391149407194</v>
      </c>
      <c r="APQ57">
        <v>0.460006236713173</v>
      </c>
      <c r="APR57">
        <v>2.03161166520938</v>
      </c>
      <c r="APS57">
        <v>4.79252366718911</v>
      </c>
      <c r="APT57">
        <v>2.1621722580718</v>
      </c>
      <c r="APU57">
        <v>3.36358499192872</v>
      </c>
      <c r="APV57">
        <v>0.246214359800453</v>
      </c>
      <c r="APW57">
        <v>1.02111095331933</v>
      </c>
      <c r="APX57">
        <v>2.08893793521816</v>
      </c>
      <c r="APY57">
        <v>0.737440808223624</v>
      </c>
      <c r="APZ57">
        <v>0.9754662816858291</v>
      </c>
      <c r="AQA57">
        <v>0.341803754487018</v>
      </c>
      <c r="AQB57">
        <v>1.47412082976923</v>
      </c>
      <c r="AQC57">
        <v>4.26593983390603</v>
      </c>
      <c r="AQD57">
        <v>3.01497024514199</v>
      </c>
      <c r="AQE57">
        <v>4.03121110818006</v>
      </c>
      <c r="AQF57">
        <v>0.0162202625750185</v>
      </c>
      <c r="AQG57">
        <v>0.0437217893065443</v>
      </c>
      <c r="AQH57">
        <v>0.266650784823211</v>
      </c>
      <c r="AQI57">
        <v>0.0323050682381305</v>
      </c>
      <c r="AQJ57">
        <v>0.0466341555334784</v>
      </c>
      <c r="AQK57">
        <v>2</v>
      </c>
      <c r="AQO57" t="s">
        <v>1902</v>
      </c>
      <c r="AQP57">
        <v>1</v>
      </c>
      <c r="AQQ57">
        <v>0</v>
      </c>
      <c r="AQS57" t="s">
        <v>1905</v>
      </c>
      <c r="AQU57" t="s">
        <v>1906</v>
      </c>
      <c r="AQV57">
        <v>2109181.74357409</v>
      </c>
      <c r="AQW57">
        <v>2089819.59088535</v>
      </c>
      <c r="AQX57">
        <v>2011899.43774679</v>
      </c>
      <c r="AQY57">
        <v>18153.7929116797</v>
      </c>
      <c r="AQZ57">
        <v>33144.8434749985</v>
      </c>
      <c r="ARA57">
        <v>59000.3799363256</v>
      </c>
      <c r="ARB57">
        <v>6210900.77220623</v>
      </c>
      <c r="ARC57">
        <v>110299.0163230038</v>
      </c>
      <c r="ARD57">
        <v>0.01808002238740382</v>
      </c>
      <c r="ARE57">
        <v>0.01808002238740382</v>
      </c>
      <c r="ARF57">
        <v>0.01808002238740382</v>
      </c>
      <c r="ARG57">
        <v>0.01808002238740382</v>
      </c>
      <c r="ARH57">
        <v>0.01808002238740382</v>
      </c>
      <c r="ARI57">
        <v>0.01808002238740382</v>
      </c>
      <c r="ARJ57" t="s">
        <v>1218</v>
      </c>
      <c r="ARK57" t="s">
        <v>1556</v>
      </c>
      <c r="ARL57" t="s">
        <v>1908</v>
      </c>
      <c r="ARM57" t="s">
        <v>1908</v>
      </c>
      <c r="ARN57" t="s">
        <v>1909</v>
      </c>
      <c r="ARO57" t="s">
        <v>1908</v>
      </c>
      <c r="ARP57" t="s">
        <v>1907</v>
      </c>
      <c r="ARQ57" t="s">
        <v>1956</v>
      </c>
      <c r="ARR57">
        <f>HYPERLINK("C:\Users\Usuario\Documents\Proyectos\llmthon\evidence\bedege_es_234556.png", "Ver Evidencia")</f>
        <v>0</v>
      </c>
      <c r="ARS57">
        <v>100</v>
      </c>
    </row>
    <row r="58" spans="1:1163">
      <c r="A58">
        <v>74</v>
      </c>
      <c r="B58" t="s">
        <v>1219</v>
      </c>
      <c r="C58" t="s">
        <v>1342</v>
      </c>
      <c r="E58" s="2">
        <v>33037</v>
      </c>
      <c r="F58" t="s">
        <v>1431</v>
      </c>
      <c r="G58" t="s">
        <v>1433</v>
      </c>
      <c r="H58" t="s">
        <v>1434</v>
      </c>
      <c r="I58" t="s">
        <v>1439</v>
      </c>
      <c r="J58" t="s">
        <v>1464</v>
      </c>
      <c r="L58" t="s">
        <v>1557</v>
      </c>
      <c r="N58" t="s">
        <v>1631</v>
      </c>
      <c r="O58" t="s">
        <v>1655</v>
      </c>
      <c r="P58">
        <v>6202</v>
      </c>
      <c r="Q58">
        <v>6202</v>
      </c>
      <c r="R58" t="s">
        <v>1727</v>
      </c>
      <c r="S58" t="s">
        <v>1814</v>
      </c>
      <c r="T58" t="s">
        <v>1858</v>
      </c>
      <c r="U58" t="s">
        <v>1873</v>
      </c>
      <c r="X58" t="s">
        <v>1885</v>
      </c>
      <c r="Z58" t="s">
        <v>1899</v>
      </c>
      <c r="AA58" s="2">
        <v>45657</v>
      </c>
      <c r="AB58">
        <v>2024</v>
      </c>
      <c r="AC58">
        <v>12347988.3599527</v>
      </c>
      <c r="AD58">
        <v>11156073.3821087</v>
      </c>
      <c r="AE58">
        <v>9649176.322936971</v>
      </c>
      <c r="AF58">
        <v>8570071.391875081</v>
      </c>
      <c r="AG58">
        <v>7781587.0117268</v>
      </c>
      <c r="AH58">
        <v>12308835.6022906</v>
      </c>
      <c r="AI58">
        <v>11083351.1778718</v>
      </c>
      <c r="AJ58">
        <v>9559531.686423389</v>
      </c>
      <c r="AK58">
        <v>8474008.50369909</v>
      </c>
      <c r="AL58">
        <v>7693072.47389606</v>
      </c>
      <c r="AM58">
        <v>705646.769226506</v>
      </c>
      <c r="AN58">
        <v>1162259.94200798</v>
      </c>
      <c r="AO58">
        <v>2600672.24264266</v>
      </c>
      <c r="AP58">
        <v>3108356.64583898</v>
      </c>
      <c r="AQ58">
        <v>2205513.93085045</v>
      </c>
      <c r="AR58">
        <v>11642341.5907262</v>
      </c>
      <c r="AS58">
        <v>9993813.44010067</v>
      </c>
      <c r="AT58">
        <v>7048504.08029431</v>
      </c>
      <c r="AU58">
        <v>5461714.7460361</v>
      </c>
      <c r="AV58">
        <v>5576073.08087634</v>
      </c>
      <c r="AW58">
        <v>9712488.09927935</v>
      </c>
      <c r="AX58">
        <v>8859751.331697529</v>
      </c>
      <c r="AY58">
        <v>6793612.44365225</v>
      </c>
      <c r="AZ58">
        <v>5299970.84834583</v>
      </c>
      <c r="BA58">
        <v>5444554.5781352</v>
      </c>
      <c r="BB58">
        <v>1929853.49144682</v>
      </c>
      <c r="BC58">
        <v>1134062.10840314</v>
      </c>
      <c r="BD58">
        <v>254891.636642051</v>
      </c>
      <c r="BE58">
        <v>161743.897690272</v>
      </c>
      <c r="BF58">
        <v>131518.50274114</v>
      </c>
      <c r="BG58">
        <v>9427.949960806251</v>
      </c>
      <c r="BH58">
        <v>-711315.769074777</v>
      </c>
      <c r="BI58">
        <v>-108979.984034711</v>
      </c>
      <c r="BJ58">
        <v>-124019.937535429</v>
      </c>
      <c r="BK58">
        <v>-106323.294982457</v>
      </c>
      <c r="BL58">
        <v>54235.7401437509</v>
      </c>
      <c r="BM58">
        <v>10549.7491345978</v>
      </c>
      <c r="BN58">
        <v>621.166209971905</v>
      </c>
      <c r="BO58">
        <v>0.588952159881592</v>
      </c>
      <c r="BP58">
        <v>11.5592754006386</v>
      </c>
      <c r="BQ58">
        <v>44807.7891440451</v>
      </c>
      <c r="BR58">
        <v>721865.518209374</v>
      </c>
      <c r="BS58">
        <v>109601.150244683</v>
      </c>
      <c r="BT58">
        <v>124020.526487589</v>
      </c>
      <c r="BU58">
        <v>106334.854257858</v>
      </c>
      <c r="BV58">
        <v>1939281.44244653</v>
      </c>
      <c r="BW58">
        <v>422746.338223362</v>
      </c>
      <c r="BX58">
        <v>145911.65260734</v>
      </c>
      <c r="BY58">
        <v>37723.9601548433</v>
      </c>
      <c r="BZ58">
        <v>25195.207758683</v>
      </c>
      <c r="CA58">
        <v>486171.002737771</v>
      </c>
      <c r="CB58">
        <v>248728.550676317</v>
      </c>
      <c r="CC58">
        <v>35110.5768717664</v>
      </c>
      <c r="CD58">
        <v>13897.4135087013</v>
      </c>
      <c r="CE58">
        <v>5522.94079787135</v>
      </c>
      <c r="CF58">
        <v>1453110.43866986</v>
      </c>
      <c r="CG58">
        <v>174017.787547045</v>
      </c>
      <c r="CH58">
        <v>110801.075735573</v>
      </c>
      <c r="CI58">
        <v>23826.546646142</v>
      </c>
      <c r="CJ58">
        <v>19672.2669608116</v>
      </c>
      <c r="CK58" t="s">
        <v>1900</v>
      </c>
      <c r="CL58" t="s">
        <v>1900</v>
      </c>
      <c r="CM58" t="s">
        <v>1900</v>
      </c>
      <c r="CN58" t="s">
        <v>1900</v>
      </c>
      <c r="CO58" t="s">
        <v>1900</v>
      </c>
      <c r="CP58" t="s">
        <v>1900</v>
      </c>
      <c r="CQ58" t="s">
        <v>1900</v>
      </c>
      <c r="CR58" t="s">
        <v>1900</v>
      </c>
      <c r="CS58" t="s">
        <v>1900</v>
      </c>
      <c r="CT58" t="s">
        <v>1900</v>
      </c>
      <c r="CU58" t="s">
        <v>1900</v>
      </c>
      <c r="CV58" t="s">
        <v>1900</v>
      </c>
      <c r="CW58" t="s">
        <v>1900</v>
      </c>
      <c r="CX58" t="s">
        <v>1900</v>
      </c>
      <c r="CY58" t="s">
        <v>1900</v>
      </c>
      <c r="CZ58">
        <v>1453110.43866986</v>
      </c>
      <c r="DA58">
        <v>174017.787547045</v>
      </c>
      <c r="DB58">
        <v>110801.075735573</v>
      </c>
      <c r="DC58">
        <v>23826.546646142</v>
      </c>
      <c r="DD58">
        <v>19672.2669608116</v>
      </c>
      <c r="DE58" t="s">
        <v>1900</v>
      </c>
      <c r="DF58" t="s">
        <v>1900</v>
      </c>
      <c r="DG58" t="s">
        <v>1900</v>
      </c>
      <c r="DH58" t="s">
        <v>1900</v>
      </c>
      <c r="DI58" t="s">
        <v>1900</v>
      </c>
      <c r="DJ58">
        <v>705646.769226506</v>
      </c>
      <c r="DK58">
        <v>1162259.94200798</v>
      </c>
      <c r="DL58">
        <v>2600672.24264266</v>
      </c>
      <c r="DM58">
        <v>3108356.64583898</v>
      </c>
      <c r="DN58">
        <v>2205513.93085045</v>
      </c>
      <c r="DO58">
        <v>9044091.114647839</v>
      </c>
      <c r="DP58">
        <v>8219377.35580556</v>
      </c>
      <c r="DQ58">
        <v>6212022.48235414</v>
      </c>
      <c r="DR58">
        <v>4705854.49542832</v>
      </c>
      <c r="DS58">
        <v>4858250.20189405</v>
      </c>
      <c r="DT58">
        <v>35339.8820679963</v>
      </c>
      <c r="DU58">
        <v>30994.2915098572</v>
      </c>
      <c r="DV58">
        <v>23652.7075977147</v>
      </c>
      <c r="DW58">
        <v>7596.9165623188</v>
      </c>
      <c r="DX58">
        <v>2040.16302424073</v>
      </c>
      <c r="DY58">
        <v>633057.102563516</v>
      </c>
      <c r="DZ58">
        <v>609379.684382114</v>
      </c>
      <c r="EA58">
        <v>557937.253700399</v>
      </c>
      <c r="EB58">
        <v>586519.436355186</v>
      </c>
      <c r="EC58">
        <v>584264.213216913</v>
      </c>
      <c r="ED58">
        <v>44807.7891440451</v>
      </c>
      <c r="EE58">
        <v>73791.0259115057</v>
      </c>
      <c r="EF58">
        <v>109601.150244683</v>
      </c>
      <c r="EG58">
        <v>124020.526487589</v>
      </c>
      <c r="EH58">
        <v>106035.57700972</v>
      </c>
      <c r="EI58" t="s">
        <v>1900</v>
      </c>
      <c r="EJ58" t="s">
        <v>1900</v>
      </c>
      <c r="EK58" t="s">
        <v>1900</v>
      </c>
      <c r="EL58" t="s">
        <v>1900</v>
      </c>
      <c r="EM58" t="s">
        <v>1900</v>
      </c>
      <c r="EN58">
        <v>1488450.32073785</v>
      </c>
      <c r="EO58">
        <v>205012.079056902</v>
      </c>
      <c r="EP58">
        <v>134453.783333288</v>
      </c>
      <c r="EQ58">
        <v>31423.4632084608</v>
      </c>
      <c r="ER58">
        <v>21712.4299850523</v>
      </c>
      <c r="ES58">
        <v>11063520.2283064</v>
      </c>
      <c r="ET58">
        <v>8746909.01145028</v>
      </c>
      <c r="EU58">
        <v>6491187.99173728</v>
      </c>
      <c r="EV58">
        <v>4875195.89863307</v>
      </c>
      <c r="EW58">
        <v>4991521.14845959</v>
      </c>
      <c r="EX58">
        <v>1965193.37247592</v>
      </c>
      <c r="EY58">
        <v>1165056.399913</v>
      </c>
      <c r="EZ58">
        <v>278544.344239765</v>
      </c>
      <c r="FA58">
        <v>169340.814252591</v>
      </c>
      <c r="FB58">
        <v>133558.664538282</v>
      </c>
      <c r="FC58">
        <v>509671.793417566</v>
      </c>
      <c r="FD58">
        <v>448249.506568871</v>
      </c>
      <c r="FE58">
        <v>2235058.03305397</v>
      </c>
      <c r="FF58">
        <v>1697562.15802159</v>
      </c>
      <c r="FG58">
        <v>3006631.37768264</v>
      </c>
      <c r="FH58">
        <v>0</v>
      </c>
      <c r="FI58">
        <v>0</v>
      </c>
      <c r="FJ58">
        <v>0</v>
      </c>
      <c r="FK58">
        <v>0</v>
      </c>
      <c r="FL58">
        <v>0</v>
      </c>
      <c r="FM58">
        <v>94926.93141295671</v>
      </c>
      <c r="FN58">
        <v>124719.9915728</v>
      </c>
      <c r="FO58">
        <v>116379.187338662</v>
      </c>
      <c r="FP58">
        <v>94986.3968877554</v>
      </c>
      <c r="FQ58">
        <v>21003.0193380654</v>
      </c>
      <c r="FR58">
        <v>414744.862004609</v>
      </c>
      <c r="FS58">
        <v>323529.514996071</v>
      </c>
      <c r="FT58">
        <v>2118678.84571531</v>
      </c>
      <c r="FU58">
        <v>1602575.76000124</v>
      </c>
      <c r="FV58">
        <v>2985628.35711748</v>
      </c>
      <c r="FW58">
        <v>0</v>
      </c>
      <c r="FX58">
        <v>0</v>
      </c>
      <c r="FY58">
        <v>0</v>
      </c>
      <c r="FZ58">
        <v>0</v>
      </c>
      <c r="GA58">
        <v>0</v>
      </c>
      <c r="GB58">
        <v>94926.93141295671</v>
      </c>
      <c r="GC58">
        <v>124719.9915728</v>
      </c>
      <c r="GD58">
        <v>116379.187338662</v>
      </c>
      <c r="GE58">
        <v>94986.3968877554</v>
      </c>
      <c r="GF58">
        <v>21003.0193380654</v>
      </c>
      <c r="GG58">
        <v>414744.862004609</v>
      </c>
      <c r="GH58">
        <v>323529.514996071</v>
      </c>
      <c r="GI58">
        <v>2118678.84571531</v>
      </c>
      <c r="GJ58">
        <v>1602575.76000124</v>
      </c>
      <c r="GK58">
        <v>2985628.35711748</v>
      </c>
      <c r="GL58">
        <v>12281708.0340915</v>
      </c>
      <c r="GM58">
        <v>8105310.88396393</v>
      </c>
      <c r="GN58">
        <v>5703699.53309339</v>
      </c>
      <c r="GO58">
        <v>5361364.28613617</v>
      </c>
      <c r="GP58">
        <v>4839116.39837682</v>
      </c>
      <c r="GQ58">
        <v>209.026587629318</v>
      </c>
      <c r="GR58">
        <v>146.081065559387</v>
      </c>
      <c r="GS58">
        <v>0</v>
      </c>
      <c r="GT58">
        <v>0</v>
      </c>
      <c r="GU58">
        <v>0</v>
      </c>
      <c r="GV58">
        <v>3867834.04466622</v>
      </c>
      <c r="GW58">
        <v>3617984.59035703</v>
      </c>
      <c r="GX58">
        <v>3610341.92988526</v>
      </c>
      <c r="GY58">
        <v>3567162.16875594</v>
      </c>
      <c r="GZ58">
        <v>2926062.07466685</v>
      </c>
      <c r="HA58">
        <v>8413664.962837679</v>
      </c>
      <c r="HB58">
        <v>4487180.21254134</v>
      </c>
      <c r="HC58">
        <v>2093357.60320814</v>
      </c>
      <c r="HD58">
        <v>1794202.11738024</v>
      </c>
      <c r="HE58">
        <v>1913054.32370997</v>
      </c>
      <c r="HF58">
        <v>8413664.962837679</v>
      </c>
      <c r="HG58">
        <v>4487180.21254134</v>
      </c>
      <c r="HH58">
        <v>2093357.60320814</v>
      </c>
      <c r="HI58">
        <v>1794136.33595438</v>
      </c>
      <c r="HJ58">
        <v>1913054.32370997</v>
      </c>
      <c r="HK58">
        <v>12791379.8275091</v>
      </c>
      <c r="HL58">
        <v>8553560.390532801</v>
      </c>
      <c r="HM58">
        <v>7938757.56614736</v>
      </c>
      <c r="HN58">
        <v>7058926.44415777</v>
      </c>
      <c r="HO58">
        <v>7845747.77605947</v>
      </c>
      <c r="HP58">
        <v>3994160.13557562</v>
      </c>
      <c r="HQ58">
        <v>2981688.12154499</v>
      </c>
      <c r="HR58">
        <v>2643410.80947521</v>
      </c>
      <c r="HS58">
        <v>2771041.47695274</v>
      </c>
      <c r="HT58">
        <v>2944881.16402675</v>
      </c>
      <c r="HU58">
        <v>215052.204966545</v>
      </c>
      <c r="HV58">
        <v>228735.102653503</v>
      </c>
      <c r="HW58">
        <v>220786.094069481</v>
      </c>
      <c r="HX58">
        <v>234448.263645172</v>
      </c>
      <c r="HY58">
        <v>254009.554982185</v>
      </c>
      <c r="HZ58">
        <v>3779107.92957017</v>
      </c>
      <c r="IA58">
        <v>2752953.01778649</v>
      </c>
      <c r="IB58">
        <v>2422624.71433913</v>
      </c>
      <c r="IC58">
        <v>2536593.21217497</v>
      </c>
      <c r="ID58">
        <v>2690871.60781747</v>
      </c>
      <c r="IE58">
        <v>1334520.87784552</v>
      </c>
      <c r="IF58">
        <v>1845141.06592664</v>
      </c>
      <c r="IG58">
        <v>2066195.94328398</v>
      </c>
      <c r="IH58">
        <v>2735788.37497666</v>
      </c>
      <c r="II58">
        <v>3115840.85930133</v>
      </c>
      <c r="IJ58">
        <v>1334520.87784552</v>
      </c>
      <c r="IK58">
        <v>1845141.06592664</v>
      </c>
      <c r="IL58">
        <v>2066195.94328398</v>
      </c>
      <c r="IM58">
        <v>2735788.37497666</v>
      </c>
      <c r="IN58">
        <v>3079617.88193257</v>
      </c>
      <c r="IO58">
        <v>0</v>
      </c>
      <c r="IP58">
        <v>0</v>
      </c>
      <c r="IQ58">
        <v>0</v>
      </c>
      <c r="IR58">
        <v>0</v>
      </c>
      <c r="IS58">
        <v>36222.9773687661</v>
      </c>
      <c r="IT58">
        <v>0</v>
      </c>
      <c r="IU58">
        <v>0</v>
      </c>
      <c r="IV58">
        <v>0</v>
      </c>
      <c r="IW58">
        <v>0</v>
      </c>
      <c r="IX58">
        <v>36222.9773687661</v>
      </c>
      <c r="IY58">
        <v>7462698.81408796</v>
      </c>
      <c r="IZ58">
        <v>3726731.20306117</v>
      </c>
      <c r="JA58">
        <v>3229150.81338818</v>
      </c>
      <c r="JB58">
        <v>1552096.59222837</v>
      </c>
      <c r="JC58">
        <v>1785025.75273138</v>
      </c>
      <c r="JD58">
        <v>487442.615775834</v>
      </c>
      <c r="JE58">
        <v>522669.621417704</v>
      </c>
      <c r="JF58">
        <v>432170.625617719</v>
      </c>
      <c r="JG58">
        <v>814404.122654557</v>
      </c>
      <c r="JH58">
        <v>1299964.96998566</v>
      </c>
      <c r="JI58">
        <v>0</v>
      </c>
      <c r="JJ58">
        <v>27.6029123878479</v>
      </c>
      <c r="JK58">
        <v>0</v>
      </c>
      <c r="JL58" t="s">
        <v>1900</v>
      </c>
      <c r="JM58" t="s">
        <v>1900</v>
      </c>
      <c r="JN58">
        <v>6975256.19831213</v>
      </c>
      <c r="JO58">
        <v>3204033.97873108</v>
      </c>
      <c r="JP58">
        <v>2796980.18777046</v>
      </c>
      <c r="JQ58">
        <v>737692.469573808</v>
      </c>
      <c r="JR58">
        <v>485060.78151862</v>
      </c>
      <c r="JS58">
        <v>12791379.8275091</v>
      </c>
      <c r="JT58">
        <v>8553560.390532801</v>
      </c>
      <c r="JU58">
        <v>7938757.56614736</v>
      </c>
      <c r="JV58">
        <v>7058926.44415777</v>
      </c>
      <c r="JW58">
        <v>7845747.77605947</v>
      </c>
      <c r="JX58">
        <v>3868043.07125385</v>
      </c>
      <c r="JY58">
        <v>3618103.0685102</v>
      </c>
      <c r="JZ58">
        <v>3610341.92988526</v>
      </c>
      <c r="KA58">
        <v>3567162.16875594</v>
      </c>
      <c r="KB58">
        <v>2926062.07466685</v>
      </c>
      <c r="KC58" t="s">
        <v>1900</v>
      </c>
      <c r="KD58" t="s">
        <v>1900</v>
      </c>
      <c r="KE58" t="s">
        <v>1900</v>
      </c>
      <c r="KF58" t="s">
        <v>1900</v>
      </c>
      <c r="KG58" t="s">
        <v>1900</v>
      </c>
      <c r="KH58" t="s">
        <v>1900</v>
      </c>
      <c r="KI58" t="s">
        <v>1900</v>
      </c>
      <c r="KJ58" t="s">
        <v>1900</v>
      </c>
      <c r="KK58" t="s">
        <v>1900</v>
      </c>
      <c r="KL58" t="s">
        <v>1900</v>
      </c>
      <c r="KM58">
        <v>177</v>
      </c>
      <c r="KN58">
        <v>161</v>
      </c>
      <c r="KO58">
        <v>137</v>
      </c>
      <c r="KP58">
        <v>82</v>
      </c>
      <c r="KQ58">
        <v>94</v>
      </c>
      <c r="KR58" t="s">
        <v>1900</v>
      </c>
      <c r="KS58" t="s">
        <v>1900</v>
      </c>
      <c r="KT58" t="s">
        <v>1900</v>
      </c>
      <c r="KU58" t="s">
        <v>1900</v>
      </c>
      <c r="KV58" t="s">
        <v>1900</v>
      </c>
      <c r="KW58" t="s">
        <v>1900</v>
      </c>
      <c r="KX58" t="s">
        <v>1900</v>
      </c>
      <c r="KY58" t="s">
        <v>1900</v>
      </c>
      <c r="KZ58" t="s">
        <v>1900</v>
      </c>
      <c r="LA58" t="s">
        <v>1900</v>
      </c>
      <c r="LB58" t="s">
        <v>1900</v>
      </c>
      <c r="LC58" t="s">
        <v>1900</v>
      </c>
      <c r="LD58" t="s">
        <v>1900</v>
      </c>
      <c r="LE58" t="s">
        <v>1900</v>
      </c>
      <c r="LF58" t="s">
        <v>1900</v>
      </c>
      <c r="LG58" t="s">
        <v>1900</v>
      </c>
      <c r="LH58" t="s">
        <v>1900</v>
      </c>
      <c r="LI58" t="s">
        <v>1900</v>
      </c>
      <c r="LJ58" t="s">
        <v>1900</v>
      </c>
      <c r="LK58" t="s">
        <v>1900</v>
      </c>
      <c r="LL58" t="s">
        <v>1900</v>
      </c>
      <c r="LM58" t="s">
        <v>1900</v>
      </c>
      <c r="LN58" t="s">
        <v>1900</v>
      </c>
      <c r="LO58" t="s">
        <v>1900</v>
      </c>
      <c r="LP58" t="s">
        <v>1900</v>
      </c>
      <c r="LQ58" t="s">
        <v>1900</v>
      </c>
      <c r="LR58" t="s">
        <v>1900</v>
      </c>
      <c r="LS58" t="s">
        <v>1900</v>
      </c>
      <c r="LT58" t="s">
        <v>1900</v>
      </c>
      <c r="LU58" t="s">
        <v>1900</v>
      </c>
      <c r="LV58" t="s">
        <v>1900</v>
      </c>
      <c r="LW58" t="s">
        <v>1900</v>
      </c>
      <c r="LX58" t="s">
        <v>1900</v>
      </c>
      <c r="LY58" t="s">
        <v>1900</v>
      </c>
      <c r="LZ58" t="s">
        <v>1900</v>
      </c>
      <c r="MA58" t="s">
        <v>1900</v>
      </c>
      <c r="MB58" t="s">
        <v>1900</v>
      </c>
      <c r="MC58" t="s">
        <v>1900</v>
      </c>
      <c r="MD58" t="s">
        <v>1900</v>
      </c>
      <c r="ME58" t="s">
        <v>1900</v>
      </c>
      <c r="MF58" t="s">
        <v>1900</v>
      </c>
      <c r="MG58" t="s">
        <v>1900</v>
      </c>
      <c r="MH58" t="s">
        <v>1900</v>
      </c>
      <c r="MI58" t="s">
        <v>1900</v>
      </c>
      <c r="MJ58" t="s">
        <v>1900</v>
      </c>
      <c r="MK58" t="s">
        <v>1900</v>
      </c>
      <c r="ML58" t="s">
        <v>1900</v>
      </c>
      <c r="MM58" t="s">
        <v>1900</v>
      </c>
      <c r="MN58" t="s">
        <v>1900</v>
      </c>
      <c r="MO58" t="s">
        <v>1900</v>
      </c>
      <c r="MP58">
        <v>8413664.962837679</v>
      </c>
      <c r="MQ58">
        <v>4487180.21254134</v>
      </c>
      <c r="MR58">
        <v>2093357.60320814</v>
      </c>
      <c r="MS58">
        <v>1794202.11738024</v>
      </c>
      <c r="MT58">
        <v>1913054.32370997</v>
      </c>
      <c r="MU58" t="s">
        <v>1900</v>
      </c>
      <c r="MV58" t="s">
        <v>1900</v>
      </c>
      <c r="MW58" t="s">
        <v>1900</v>
      </c>
      <c r="MX58" t="s">
        <v>1900</v>
      </c>
      <c r="MY58" t="s">
        <v>1900</v>
      </c>
      <c r="MZ58" t="s">
        <v>1900</v>
      </c>
      <c r="NA58" t="s">
        <v>1900</v>
      </c>
      <c r="NB58" t="s">
        <v>1900</v>
      </c>
      <c r="NC58" t="s">
        <v>1900</v>
      </c>
      <c r="ND58" t="s">
        <v>1900</v>
      </c>
      <c r="NE58" t="s">
        <v>1900</v>
      </c>
      <c r="NF58" t="s">
        <v>1900</v>
      </c>
      <c r="NG58" t="s">
        <v>1900</v>
      </c>
      <c r="NH58" t="s">
        <v>1900</v>
      </c>
      <c r="NI58" t="s">
        <v>1900</v>
      </c>
      <c r="NJ58" t="s">
        <v>1900</v>
      </c>
      <c r="NK58" t="s">
        <v>1900</v>
      </c>
      <c r="NL58" t="s">
        <v>1900</v>
      </c>
      <c r="NM58" t="s">
        <v>1900</v>
      </c>
      <c r="NN58" t="s">
        <v>1900</v>
      </c>
      <c r="NO58" t="s">
        <v>1900</v>
      </c>
      <c r="NP58" t="s">
        <v>1900</v>
      </c>
      <c r="NQ58" t="s">
        <v>1900</v>
      </c>
      <c r="NR58" t="s">
        <v>1900</v>
      </c>
      <c r="NS58" t="s">
        <v>1900</v>
      </c>
      <c r="NT58">
        <v>509671.793417566</v>
      </c>
      <c r="NU58">
        <v>448249.506568871</v>
      </c>
      <c r="NV58">
        <v>2235058.03305397</v>
      </c>
      <c r="NW58">
        <v>1697562.15802159</v>
      </c>
      <c r="NX58">
        <v>3006631.37768264</v>
      </c>
      <c r="NY58" t="s">
        <v>1900</v>
      </c>
      <c r="NZ58" t="s">
        <v>1900</v>
      </c>
      <c r="OA58" t="s">
        <v>1900</v>
      </c>
      <c r="OB58" t="s">
        <v>1900</v>
      </c>
      <c r="OC58" t="s">
        <v>1900</v>
      </c>
      <c r="OD58" t="s">
        <v>1900</v>
      </c>
      <c r="OE58" t="s">
        <v>1900</v>
      </c>
      <c r="OF58" t="s">
        <v>1900</v>
      </c>
      <c r="OG58" t="s">
        <v>1900</v>
      </c>
      <c r="OH58" t="s">
        <v>1900</v>
      </c>
      <c r="OI58" t="s">
        <v>1900</v>
      </c>
      <c r="OJ58" t="s">
        <v>1900</v>
      </c>
      <c r="OK58" t="s">
        <v>1900</v>
      </c>
      <c r="OL58" t="s">
        <v>1900</v>
      </c>
      <c r="OM58" t="s">
        <v>1900</v>
      </c>
      <c r="ON58" t="s">
        <v>1900</v>
      </c>
      <c r="OO58" t="s">
        <v>1900</v>
      </c>
      <c r="OP58" t="s">
        <v>1900</v>
      </c>
      <c r="OQ58" t="s">
        <v>1900</v>
      </c>
      <c r="OR58" t="s">
        <v>1900</v>
      </c>
      <c r="OS58" t="s">
        <v>1900</v>
      </c>
      <c r="OT58" t="s">
        <v>1900</v>
      </c>
      <c r="OU58" t="s">
        <v>1900</v>
      </c>
      <c r="OV58" t="s">
        <v>1900</v>
      </c>
      <c r="OW58" t="s">
        <v>1900</v>
      </c>
      <c r="OX58" t="s">
        <v>1900</v>
      </c>
      <c r="OY58" t="s">
        <v>1900</v>
      </c>
      <c r="OZ58" t="s">
        <v>1900</v>
      </c>
      <c r="PA58" t="s">
        <v>1900</v>
      </c>
      <c r="PB58" t="s">
        <v>1900</v>
      </c>
      <c r="PC58" t="s">
        <v>1900</v>
      </c>
      <c r="PD58" t="s">
        <v>1900</v>
      </c>
      <c r="PE58" t="s">
        <v>1900</v>
      </c>
      <c r="PF58" t="s">
        <v>1900</v>
      </c>
      <c r="PG58" t="s">
        <v>1900</v>
      </c>
      <c r="PH58" t="s">
        <v>1900</v>
      </c>
      <c r="PI58" t="s">
        <v>1900</v>
      </c>
      <c r="PJ58" t="s">
        <v>1900</v>
      </c>
      <c r="PK58" t="s">
        <v>1900</v>
      </c>
      <c r="PL58" t="s">
        <v>1900</v>
      </c>
      <c r="PM58" t="s">
        <v>1900</v>
      </c>
      <c r="PN58" t="s">
        <v>1900</v>
      </c>
      <c r="PO58" t="s">
        <v>1900</v>
      </c>
      <c r="PP58" t="s">
        <v>1900</v>
      </c>
      <c r="PQ58" t="s">
        <v>1900</v>
      </c>
      <c r="PR58" t="s">
        <v>1900</v>
      </c>
      <c r="PS58" t="s">
        <v>1900</v>
      </c>
      <c r="PT58" t="s">
        <v>1900</v>
      </c>
      <c r="PU58" t="s">
        <v>1900</v>
      </c>
      <c r="PV58" t="s">
        <v>1900</v>
      </c>
      <c r="PW58" t="s">
        <v>1900</v>
      </c>
      <c r="PX58" t="s">
        <v>1900</v>
      </c>
      <c r="PY58" t="s">
        <v>1900</v>
      </c>
      <c r="PZ58" t="s">
        <v>1900</v>
      </c>
      <c r="QA58" t="s">
        <v>1900</v>
      </c>
      <c r="QB58" t="s">
        <v>1900</v>
      </c>
      <c r="QC58" t="s">
        <v>1900</v>
      </c>
      <c r="QD58" t="s">
        <v>1900</v>
      </c>
      <c r="QE58" t="s">
        <v>1900</v>
      </c>
      <c r="QF58" t="s">
        <v>1900</v>
      </c>
      <c r="QG58" t="s">
        <v>1900</v>
      </c>
      <c r="QH58" t="s">
        <v>1900</v>
      </c>
      <c r="QI58" t="s">
        <v>1900</v>
      </c>
      <c r="QJ58" t="s">
        <v>1900</v>
      </c>
      <c r="QK58" t="s">
        <v>1900</v>
      </c>
      <c r="QL58" t="s">
        <v>1900</v>
      </c>
      <c r="QM58" t="s">
        <v>1900</v>
      </c>
      <c r="QN58" t="s">
        <v>1900</v>
      </c>
      <c r="QO58" t="s">
        <v>1900</v>
      </c>
      <c r="QP58" t="s">
        <v>1900</v>
      </c>
      <c r="QQ58" t="s">
        <v>1900</v>
      </c>
      <c r="QR58" t="s">
        <v>1900</v>
      </c>
      <c r="QS58" t="s">
        <v>1900</v>
      </c>
      <c r="QT58" t="s">
        <v>1900</v>
      </c>
      <c r="QU58" t="s">
        <v>1900</v>
      </c>
      <c r="QV58" t="s">
        <v>1900</v>
      </c>
      <c r="QW58" t="s">
        <v>1900</v>
      </c>
      <c r="QX58" t="s">
        <v>1900</v>
      </c>
      <c r="QY58" t="s">
        <v>1900</v>
      </c>
      <c r="QZ58" t="s">
        <v>1900</v>
      </c>
      <c r="RA58" t="s">
        <v>1900</v>
      </c>
      <c r="RB58" t="s">
        <v>1900</v>
      </c>
      <c r="RC58" t="s">
        <v>1900</v>
      </c>
      <c r="RD58" t="s">
        <v>1900</v>
      </c>
      <c r="RE58" t="s">
        <v>1900</v>
      </c>
      <c r="RF58" t="s">
        <v>1900</v>
      </c>
      <c r="RG58" t="s">
        <v>1900</v>
      </c>
      <c r="RH58" t="s">
        <v>1900</v>
      </c>
      <c r="RI58" t="s">
        <v>1900</v>
      </c>
      <c r="RJ58" t="s">
        <v>1900</v>
      </c>
      <c r="RK58" t="s">
        <v>1900</v>
      </c>
      <c r="RL58" t="s">
        <v>1900</v>
      </c>
      <c r="RM58" t="s">
        <v>1900</v>
      </c>
      <c r="RN58" t="s">
        <v>1900</v>
      </c>
      <c r="RO58" t="s">
        <v>1900</v>
      </c>
      <c r="RP58" t="s">
        <v>1900</v>
      </c>
      <c r="RQ58" t="s">
        <v>1900</v>
      </c>
      <c r="RR58" t="s">
        <v>1900</v>
      </c>
      <c r="RS58" t="s">
        <v>1900</v>
      </c>
      <c r="RT58" t="s">
        <v>1900</v>
      </c>
      <c r="RU58" t="s">
        <v>1900</v>
      </c>
      <c r="RV58" t="s">
        <v>1900</v>
      </c>
      <c r="RW58" t="s">
        <v>1900</v>
      </c>
      <c r="RX58" t="s">
        <v>1900</v>
      </c>
      <c r="RY58" t="s">
        <v>1900</v>
      </c>
      <c r="RZ58" t="s">
        <v>1900</v>
      </c>
      <c r="SA58" t="s">
        <v>1900</v>
      </c>
      <c r="SB58" t="s">
        <v>1900</v>
      </c>
      <c r="SC58" t="s">
        <v>1900</v>
      </c>
      <c r="SD58" t="s">
        <v>1900</v>
      </c>
      <c r="SE58" t="s">
        <v>1900</v>
      </c>
      <c r="SF58" t="s">
        <v>1900</v>
      </c>
      <c r="SG58" t="s">
        <v>1900</v>
      </c>
      <c r="SH58" t="s">
        <v>1900</v>
      </c>
      <c r="SI58" t="s">
        <v>1900</v>
      </c>
      <c r="SJ58">
        <v>414744.862004609</v>
      </c>
      <c r="SK58">
        <v>323529.514996071</v>
      </c>
      <c r="SL58">
        <v>2118678.84571531</v>
      </c>
      <c r="SM58">
        <v>1602575.76000124</v>
      </c>
      <c r="SN58">
        <v>2985628.35711748</v>
      </c>
      <c r="SO58" t="s">
        <v>1900</v>
      </c>
      <c r="SP58" t="s">
        <v>1900</v>
      </c>
      <c r="SQ58" t="s">
        <v>1900</v>
      </c>
      <c r="SR58" t="s">
        <v>1900</v>
      </c>
      <c r="SS58" t="s">
        <v>1900</v>
      </c>
      <c r="ST58" t="s">
        <v>1900</v>
      </c>
      <c r="SU58" t="s">
        <v>1900</v>
      </c>
      <c r="SV58" t="s">
        <v>1900</v>
      </c>
      <c r="SW58" t="s">
        <v>1900</v>
      </c>
      <c r="SX58" t="s">
        <v>1900</v>
      </c>
      <c r="SY58" t="s">
        <v>1900</v>
      </c>
      <c r="SZ58" t="s">
        <v>1900</v>
      </c>
      <c r="TA58" t="s">
        <v>1900</v>
      </c>
      <c r="TB58" t="s">
        <v>1900</v>
      </c>
      <c r="TC58" t="s">
        <v>1900</v>
      </c>
      <c r="TD58" t="s">
        <v>1900</v>
      </c>
      <c r="TE58" t="s">
        <v>1900</v>
      </c>
      <c r="TF58" t="s">
        <v>1900</v>
      </c>
      <c r="TG58" t="s">
        <v>1900</v>
      </c>
      <c r="TH58" t="s">
        <v>1900</v>
      </c>
      <c r="TI58" t="s">
        <v>1900</v>
      </c>
      <c r="TJ58" t="s">
        <v>1900</v>
      </c>
      <c r="TK58" t="s">
        <v>1900</v>
      </c>
      <c r="TL58" t="s">
        <v>1900</v>
      </c>
      <c r="TM58" t="s">
        <v>1900</v>
      </c>
      <c r="TN58" t="s">
        <v>1900</v>
      </c>
      <c r="TO58" t="s">
        <v>1900</v>
      </c>
      <c r="TP58" t="s">
        <v>1900</v>
      </c>
      <c r="TQ58" t="s">
        <v>1900</v>
      </c>
      <c r="TR58" t="s">
        <v>1900</v>
      </c>
      <c r="TS58">
        <v>12791379.8275091</v>
      </c>
      <c r="TT58">
        <v>8553560.390532801</v>
      </c>
      <c r="TU58">
        <v>7938757.56614736</v>
      </c>
      <c r="TV58">
        <v>7058926.44415777</v>
      </c>
      <c r="TW58">
        <v>7845747.77605947</v>
      </c>
      <c r="TX58" t="s">
        <v>1900</v>
      </c>
      <c r="TY58" t="s">
        <v>1900</v>
      </c>
      <c r="TZ58" t="s">
        <v>1900</v>
      </c>
      <c r="UA58" t="s">
        <v>1900</v>
      </c>
      <c r="UB58" t="s">
        <v>1900</v>
      </c>
      <c r="UC58">
        <v>487442.615775834</v>
      </c>
      <c r="UD58">
        <v>522669.621417704</v>
      </c>
      <c r="UE58">
        <v>432170.625617719</v>
      </c>
      <c r="UF58">
        <v>814404.122654557</v>
      </c>
      <c r="UG58">
        <v>1299964.96998566</v>
      </c>
      <c r="UH58" t="s">
        <v>1900</v>
      </c>
      <c r="UI58" t="s">
        <v>1900</v>
      </c>
      <c r="UJ58" t="s">
        <v>1900</v>
      </c>
      <c r="UK58" t="s">
        <v>1900</v>
      </c>
      <c r="UL58" t="s">
        <v>1900</v>
      </c>
      <c r="UM58" t="s">
        <v>1900</v>
      </c>
      <c r="UN58" t="s">
        <v>1900</v>
      </c>
      <c r="UO58" t="s">
        <v>1900</v>
      </c>
      <c r="UP58" t="s">
        <v>1900</v>
      </c>
      <c r="UQ58" t="s">
        <v>1900</v>
      </c>
      <c r="UR58" t="s">
        <v>1900</v>
      </c>
      <c r="US58" t="s">
        <v>1900</v>
      </c>
      <c r="UT58" t="s">
        <v>1900</v>
      </c>
      <c r="UU58" t="s">
        <v>1900</v>
      </c>
      <c r="UV58" t="s">
        <v>1900</v>
      </c>
      <c r="UW58" t="s">
        <v>1900</v>
      </c>
      <c r="UX58" t="s">
        <v>1900</v>
      </c>
      <c r="UY58" t="s">
        <v>1900</v>
      </c>
      <c r="UZ58" t="s">
        <v>1900</v>
      </c>
      <c r="VA58" t="s">
        <v>1900</v>
      </c>
      <c r="VB58" t="s">
        <v>1900</v>
      </c>
      <c r="VC58" t="s">
        <v>1900</v>
      </c>
      <c r="VD58" t="s">
        <v>1900</v>
      </c>
      <c r="VE58" t="s">
        <v>1900</v>
      </c>
      <c r="VF58" t="s">
        <v>1900</v>
      </c>
      <c r="VG58" t="s">
        <v>1900</v>
      </c>
      <c r="VH58" t="s">
        <v>1900</v>
      </c>
      <c r="VI58" t="s">
        <v>1900</v>
      </c>
      <c r="VJ58" t="s">
        <v>1900</v>
      </c>
      <c r="VK58" t="s">
        <v>1900</v>
      </c>
      <c r="VL58" t="s">
        <v>1900</v>
      </c>
      <c r="VM58" t="s">
        <v>1900</v>
      </c>
      <c r="VN58" t="s">
        <v>1900</v>
      </c>
      <c r="VO58" t="s">
        <v>1900</v>
      </c>
      <c r="VP58" t="s">
        <v>1900</v>
      </c>
      <c r="VQ58" t="s">
        <v>1900</v>
      </c>
      <c r="VR58" t="s">
        <v>1900</v>
      </c>
      <c r="VS58" t="s">
        <v>1900</v>
      </c>
      <c r="VT58" t="s">
        <v>1900</v>
      </c>
      <c r="VU58" t="s">
        <v>1900</v>
      </c>
      <c r="VV58" t="s">
        <v>1900</v>
      </c>
      <c r="VW58" t="s">
        <v>1900</v>
      </c>
      <c r="VX58" t="s">
        <v>1900</v>
      </c>
      <c r="VY58" t="s">
        <v>1900</v>
      </c>
      <c r="VZ58" t="s">
        <v>1900</v>
      </c>
      <c r="WA58">
        <v>6975256.19831213</v>
      </c>
      <c r="WB58">
        <v>3204033.97873108</v>
      </c>
      <c r="WC58">
        <v>2796980.18777046</v>
      </c>
      <c r="WD58">
        <v>737692.469573808</v>
      </c>
      <c r="WE58">
        <v>485060.78151862</v>
      </c>
      <c r="WF58" t="s">
        <v>1900</v>
      </c>
      <c r="WG58" t="s">
        <v>1900</v>
      </c>
      <c r="WH58" t="s">
        <v>1900</v>
      </c>
      <c r="WI58" t="s">
        <v>1900</v>
      </c>
      <c r="WJ58" t="s">
        <v>1900</v>
      </c>
      <c r="WK58" t="s">
        <v>1900</v>
      </c>
      <c r="WL58" t="s">
        <v>1900</v>
      </c>
      <c r="WM58" t="s">
        <v>1900</v>
      </c>
      <c r="WN58" t="s">
        <v>1900</v>
      </c>
      <c r="WO58" t="s">
        <v>1900</v>
      </c>
      <c r="WP58" t="s">
        <v>1900</v>
      </c>
      <c r="WQ58" t="s">
        <v>1900</v>
      </c>
      <c r="WR58" t="s">
        <v>1900</v>
      </c>
      <c r="WS58" t="s">
        <v>1900</v>
      </c>
      <c r="WT58" t="s">
        <v>1900</v>
      </c>
      <c r="WU58" t="s">
        <v>1900</v>
      </c>
      <c r="WV58" t="s">
        <v>1900</v>
      </c>
      <c r="WW58" t="s">
        <v>1900</v>
      </c>
      <c r="WX58" t="s">
        <v>1900</v>
      </c>
      <c r="WY58" t="s">
        <v>1900</v>
      </c>
      <c r="WZ58" t="s">
        <v>1900</v>
      </c>
      <c r="XA58" t="s">
        <v>1900</v>
      </c>
      <c r="XB58" t="s">
        <v>1900</v>
      </c>
      <c r="XC58" t="s">
        <v>1900</v>
      </c>
      <c r="XD58" t="s">
        <v>1900</v>
      </c>
      <c r="XE58" t="s">
        <v>1900</v>
      </c>
      <c r="XF58" t="s">
        <v>1900</v>
      </c>
      <c r="XG58" t="s">
        <v>1900</v>
      </c>
      <c r="XH58" t="s">
        <v>1900</v>
      </c>
      <c r="XI58" t="s">
        <v>1900</v>
      </c>
      <c r="XJ58">
        <v>0</v>
      </c>
      <c r="XK58">
        <v>0</v>
      </c>
      <c r="XL58">
        <v>0</v>
      </c>
      <c r="XM58">
        <v>0</v>
      </c>
      <c r="XN58">
        <v>36222.9773687661</v>
      </c>
      <c r="XO58" t="s">
        <v>1900</v>
      </c>
      <c r="XP58" t="s">
        <v>1900</v>
      </c>
      <c r="XQ58" t="s">
        <v>1900</v>
      </c>
      <c r="XR58" t="s">
        <v>1900</v>
      </c>
      <c r="XS58" t="s">
        <v>1900</v>
      </c>
      <c r="XT58" t="s">
        <v>1900</v>
      </c>
      <c r="XU58" t="s">
        <v>1900</v>
      </c>
      <c r="XV58" t="s">
        <v>1900</v>
      </c>
      <c r="XW58" t="s">
        <v>1900</v>
      </c>
      <c r="XX58" t="s">
        <v>1900</v>
      </c>
      <c r="XY58">
        <v>0</v>
      </c>
      <c r="XZ58">
        <v>0</v>
      </c>
      <c r="YA58">
        <v>0</v>
      </c>
      <c r="YB58">
        <v>0</v>
      </c>
      <c r="YC58">
        <v>36222.9773687661</v>
      </c>
      <c r="YD58" t="s">
        <v>1900</v>
      </c>
      <c r="YE58" t="s">
        <v>1900</v>
      </c>
      <c r="YF58" t="s">
        <v>1900</v>
      </c>
      <c r="YG58" t="s">
        <v>1900</v>
      </c>
      <c r="YH58" t="s">
        <v>1900</v>
      </c>
      <c r="YI58" t="s">
        <v>1900</v>
      </c>
      <c r="YJ58" t="s">
        <v>1900</v>
      </c>
      <c r="YK58" t="s">
        <v>1900</v>
      </c>
      <c r="YL58" t="s">
        <v>1900</v>
      </c>
      <c r="YM58" t="s">
        <v>1900</v>
      </c>
      <c r="YN58" t="s">
        <v>1900</v>
      </c>
      <c r="YO58" t="s">
        <v>1900</v>
      </c>
      <c r="YP58" t="s">
        <v>1900</v>
      </c>
      <c r="YQ58" t="s">
        <v>1900</v>
      </c>
      <c r="YR58" t="s">
        <v>1900</v>
      </c>
      <c r="YS58" t="s">
        <v>1900</v>
      </c>
      <c r="YT58" t="s">
        <v>1900</v>
      </c>
      <c r="YU58" t="s">
        <v>1900</v>
      </c>
      <c r="YV58" t="s">
        <v>1900</v>
      </c>
      <c r="YW58" t="s">
        <v>1900</v>
      </c>
      <c r="YX58" t="s">
        <v>1900</v>
      </c>
      <c r="YY58" t="s">
        <v>1900</v>
      </c>
      <c r="YZ58" t="s">
        <v>1900</v>
      </c>
      <c r="ZA58" t="s">
        <v>1900</v>
      </c>
      <c r="ZB58" t="s">
        <v>1900</v>
      </c>
      <c r="ZC58" t="s">
        <v>1900</v>
      </c>
      <c r="ZD58" t="s">
        <v>1900</v>
      </c>
      <c r="ZE58" t="s">
        <v>1900</v>
      </c>
      <c r="ZF58" t="s">
        <v>1900</v>
      </c>
      <c r="ZG58" t="s">
        <v>1900</v>
      </c>
      <c r="ZH58" t="s">
        <v>1900</v>
      </c>
      <c r="ZI58" t="s">
        <v>1900</v>
      </c>
      <c r="ZJ58" t="s">
        <v>1900</v>
      </c>
      <c r="ZK58" t="s">
        <v>1900</v>
      </c>
      <c r="ZL58" t="s">
        <v>1900</v>
      </c>
      <c r="ZM58" t="s">
        <v>1900</v>
      </c>
      <c r="ZN58" t="s">
        <v>1900</v>
      </c>
      <c r="ZO58" t="s">
        <v>1900</v>
      </c>
      <c r="ZP58" t="s">
        <v>1900</v>
      </c>
      <c r="ZQ58" t="s">
        <v>1900</v>
      </c>
      <c r="ZR58" t="s">
        <v>1900</v>
      </c>
      <c r="ZS58" t="s">
        <v>1900</v>
      </c>
      <c r="ZT58" t="s">
        <v>1900</v>
      </c>
      <c r="ZU58" t="s">
        <v>1900</v>
      </c>
      <c r="ZV58" t="s">
        <v>1900</v>
      </c>
      <c r="ZW58" t="s">
        <v>1900</v>
      </c>
      <c r="ZX58" t="s">
        <v>1900</v>
      </c>
      <c r="ZY58" t="s">
        <v>1900</v>
      </c>
      <c r="ZZ58" t="s">
        <v>1900</v>
      </c>
      <c r="AAA58" t="s">
        <v>1900</v>
      </c>
      <c r="AAB58" t="s">
        <v>1900</v>
      </c>
      <c r="AAC58" t="s">
        <v>1900</v>
      </c>
      <c r="AAD58" t="s">
        <v>1900</v>
      </c>
      <c r="AAE58" t="s">
        <v>1900</v>
      </c>
      <c r="AAF58" t="s">
        <v>1900</v>
      </c>
      <c r="AAG58" t="s">
        <v>1900</v>
      </c>
      <c r="AAH58" t="s">
        <v>1900</v>
      </c>
      <c r="AAI58" t="s">
        <v>1900</v>
      </c>
      <c r="AAJ58" t="s">
        <v>1900</v>
      </c>
      <c r="AAK58" t="s">
        <v>1900</v>
      </c>
      <c r="AAL58" t="s">
        <v>1900</v>
      </c>
      <c r="AAM58" t="s">
        <v>1900</v>
      </c>
      <c r="AAN58" t="s">
        <v>1900</v>
      </c>
      <c r="AAO58" t="s">
        <v>1900</v>
      </c>
      <c r="AAP58" t="s">
        <v>1900</v>
      </c>
      <c r="AAQ58" t="s">
        <v>1900</v>
      </c>
      <c r="AAR58" t="s">
        <v>1900</v>
      </c>
      <c r="AAS58" t="s">
        <v>1900</v>
      </c>
      <c r="AAT58" t="s">
        <v>1900</v>
      </c>
      <c r="AAU58" t="s">
        <v>1900</v>
      </c>
      <c r="AAV58" t="s">
        <v>1900</v>
      </c>
      <c r="AAW58" t="s">
        <v>1900</v>
      </c>
      <c r="AAX58" t="s">
        <v>1900</v>
      </c>
      <c r="AAY58" t="s">
        <v>1900</v>
      </c>
      <c r="AAZ58" t="s">
        <v>1900</v>
      </c>
      <c r="ABA58" t="s">
        <v>1900</v>
      </c>
      <c r="ABB58" t="s">
        <v>1900</v>
      </c>
      <c r="ABC58" t="s">
        <v>1900</v>
      </c>
      <c r="ABD58" t="s">
        <v>1900</v>
      </c>
      <c r="ABE58" t="s">
        <v>1900</v>
      </c>
      <c r="ABF58" t="s">
        <v>1900</v>
      </c>
      <c r="ABG58" t="s">
        <v>1900</v>
      </c>
      <c r="ABH58" t="s">
        <v>1900</v>
      </c>
      <c r="ABI58" t="s">
        <v>1900</v>
      </c>
      <c r="ABJ58" t="s">
        <v>1900</v>
      </c>
      <c r="ABK58" t="s">
        <v>1900</v>
      </c>
      <c r="ABL58" t="s">
        <v>1900</v>
      </c>
      <c r="ABM58" t="s">
        <v>1900</v>
      </c>
      <c r="ABN58" t="s">
        <v>1900</v>
      </c>
      <c r="ABO58" t="s">
        <v>1900</v>
      </c>
      <c r="ABP58" t="s">
        <v>1900</v>
      </c>
      <c r="ABQ58" t="s">
        <v>1900</v>
      </c>
      <c r="ABR58" t="s">
        <v>1900</v>
      </c>
      <c r="ABS58" t="s">
        <v>1900</v>
      </c>
      <c r="ABT58" t="s">
        <v>1900</v>
      </c>
      <c r="ABU58" t="s">
        <v>1900</v>
      </c>
      <c r="ABV58" t="s">
        <v>1900</v>
      </c>
      <c r="ABW58" t="s">
        <v>1900</v>
      </c>
      <c r="ABX58" t="s">
        <v>1900</v>
      </c>
      <c r="ABY58" t="s">
        <v>1900</v>
      </c>
      <c r="ABZ58" t="s">
        <v>1900</v>
      </c>
      <c r="ACA58" t="s">
        <v>1900</v>
      </c>
      <c r="ACB58" t="s">
        <v>1900</v>
      </c>
      <c r="ACC58" t="s">
        <v>1900</v>
      </c>
      <c r="ACD58" t="s">
        <v>1900</v>
      </c>
      <c r="ACE58">
        <v>48.553</v>
      </c>
      <c r="ACF58">
        <v>14.178</v>
      </c>
      <c r="ACG58">
        <v>5.52</v>
      </c>
      <c r="ACH58">
        <v>1.361</v>
      </c>
      <c r="ACI58">
        <v>0.856</v>
      </c>
      <c r="ACJ58">
        <v>37.234</v>
      </c>
      <c r="ACK58">
        <v>10.287</v>
      </c>
      <c r="ACL58">
        <v>5.425</v>
      </c>
      <c r="ACM58">
        <v>2.937</v>
      </c>
      <c r="ACN58">
        <v>2.165</v>
      </c>
      <c r="ACO58">
        <v>15.161</v>
      </c>
      <c r="ACP58">
        <v>4.942</v>
      </c>
      <c r="ACQ58">
        <v>1.838</v>
      </c>
      <c r="ACR58">
        <v>0.534</v>
      </c>
      <c r="ACS58">
        <v>0.321</v>
      </c>
      <c r="ACT58">
        <v>36.381</v>
      </c>
      <c r="ACU58">
        <v>5.836</v>
      </c>
      <c r="ACV58">
        <v>4.192</v>
      </c>
      <c r="ACW58">
        <v>0.86</v>
      </c>
      <c r="ACX58">
        <v>0.668</v>
      </c>
      <c r="ACY58">
        <v>28.11</v>
      </c>
      <c r="ACZ58">
        <v>5.134</v>
      </c>
      <c r="ADA58">
        <v>4.68</v>
      </c>
      <c r="ADB58">
        <v>2.685</v>
      </c>
      <c r="ADC58">
        <v>2.074</v>
      </c>
      <c r="ADD58">
        <v>11.36</v>
      </c>
      <c r="ADE58">
        <v>2.034</v>
      </c>
      <c r="ADF58">
        <v>1.396</v>
      </c>
      <c r="ADG58">
        <v>0.338</v>
      </c>
      <c r="ADH58">
        <v>0.251</v>
      </c>
      <c r="ADI58">
        <v>15.705</v>
      </c>
      <c r="ADJ58">
        <v>3.789</v>
      </c>
      <c r="ADK58">
        <v>1.512</v>
      </c>
      <c r="ADL58">
        <v>0.44</v>
      </c>
      <c r="ADM58">
        <v>0.324</v>
      </c>
      <c r="ADN58">
        <v>94.285</v>
      </c>
      <c r="ADO58">
        <v>89.58199999999999</v>
      </c>
      <c r="ADP58">
        <v>73.048</v>
      </c>
      <c r="ADQ58">
        <v>63.73</v>
      </c>
      <c r="ADR58">
        <v>71.657</v>
      </c>
      <c r="ADS58">
        <v>15.628889785</v>
      </c>
      <c r="ADT58">
        <v>10.165423528</v>
      </c>
      <c r="ADU58">
        <v>2.641589584</v>
      </c>
      <c r="ADV58">
        <v>1.887310972</v>
      </c>
      <c r="ADW58">
        <v>1.690124425</v>
      </c>
      <c r="ADX58">
        <v>15.915</v>
      </c>
      <c r="ADY58">
        <v>10.443</v>
      </c>
      <c r="ADZ58">
        <v>2.887</v>
      </c>
      <c r="AEA58">
        <v>1.976</v>
      </c>
      <c r="AEB58">
        <v>1.716</v>
      </c>
      <c r="AEC58">
        <v>15.629</v>
      </c>
      <c r="AED58">
        <v>10.165</v>
      </c>
      <c r="AEE58">
        <v>2.642</v>
      </c>
      <c r="AEF58">
        <v>1.887</v>
      </c>
      <c r="AEG58">
        <v>1.69</v>
      </c>
      <c r="AEH58">
        <v>12.054</v>
      </c>
      <c r="AEI58">
        <v>1.838</v>
      </c>
      <c r="AEJ58">
        <v>1.393</v>
      </c>
      <c r="AEK58">
        <v>0.367</v>
      </c>
      <c r="AEL58">
        <v>0.279</v>
      </c>
      <c r="AEM58">
        <v>18.523982611</v>
      </c>
      <c r="AEN58">
        <v>11.315713757</v>
      </c>
      <c r="AEO58">
        <v>2.713262852</v>
      </c>
      <c r="AEP58">
        <v>1.92361558</v>
      </c>
      <c r="AEQ58">
        <v>1.719180718</v>
      </c>
      <c r="AER58">
        <v>1.198698158</v>
      </c>
      <c r="AES58">
        <v>1.128001573</v>
      </c>
      <c r="AET58">
        <v>1.037519308</v>
      </c>
      <c r="AEU58">
        <v>1.030517884</v>
      </c>
      <c r="AEV58">
        <v>1.024155971</v>
      </c>
      <c r="AEW58" t="s">
        <v>1900</v>
      </c>
      <c r="AEX58" t="s">
        <v>1900</v>
      </c>
      <c r="AEY58" t="s">
        <v>1900</v>
      </c>
      <c r="AEZ58" t="s">
        <v>1900</v>
      </c>
      <c r="AFA58" t="s">
        <v>1900</v>
      </c>
      <c r="AFB58" t="s">
        <v>1900</v>
      </c>
      <c r="AFC58" t="s">
        <v>1900</v>
      </c>
      <c r="AFD58" t="s">
        <v>1900</v>
      </c>
      <c r="AFE58" t="s">
        <v>1900</v>
      </c>
      <c r="AFF58" t="s">
        <v>1900</v>
      </c>
      <c r="AFG58">
        <v>2.317</v>
      </c>
      <c r="AFH58">
        <v>2.311</v>
      </c>
      <c r="AFI58">
        <v>2.049</v>
      </c>
      <c r="AFJ58">
        <v>1.556</v>
      </c>
      <c r="AFK58">
        <v>1.284</v>
      </c>
      <c r="AFL58">
        <v>43.07</v>
      </c>
      <c r="AFM58">
        <v>15.369</v>
      </c>
      <c r="AFN58">
        <v>2.326</v>
      </c>
      <c r="AFO58">
        <v>1.304</v>
      </c>
      <c r="AFP58">
        <v>1.24</v>
      </c>
      <c r="AFQ58" t="s">
        <v>1901</v>
      </c>
      <c r="AFR58" t="s">
        <v>1901</v>
      </c>
      <c r="AFS58" t="s">
        <v>1901</v>
      </c>
      <c r="AFT58" t="s">
        <v>1901</v>
      </c>
      <c r="AFU58" t="s">
        <v>1901</v>
      </c>
      <c r="AFV58">
        <v>112.765</v>
      </c>
      <c r="AFW58">
        <v>116.75</v>
      </c>
      <c r="AFX58">
        <v>134.698</v>
      </c>
      <c r="AFY58">
        <v>149.845</v>
      </c>
      <c r="AFZ58">
        <v>135.369</v>
      </c>
      <c r="AGA58">
        <v>0</v>
      </c>
      <c r="AGB58">
        <v>0.001</v>
      </c>
      <c r="AGC58">
        <v>0</v>
      </c>
      <c r="AGD58" t="s">
        <v>1900</v>
      </c>
      <c r="AGE58" t="s">
        <v>1900</v>
      </c>
      <c r="AGF58" t="s">
        <v>1900</v>
      </c>
      <c r="AGG58" t="s">
        <v>1900</v>
      </c>
      <c r="AGH58" t="s">
        <v>1900</v>
      </c>
      <c r="AGI58" t="s">
        <v>1900</v>
      </c>
      <c r="AGJ58" t="s">
        <v>1900</v>
      </c>
      <c r="AGK58" t="s">
        <v>1900</v>
      </c>
      <c r="AGL58" t="s">
        <v>1900</v>
      </c>
      <c r="AGM58" t="s">
        <v>1900</v>
      </c>
      <c r="AGN58" t="s">
        <v>1900</v>
      </c>
      <c r="AGO58" t="s">
        <v>1900</v>
      </c>
      <c r="AGP58" t="s">
        <v>1900</v>
      </c>
      <c r="AGQ58" t="s">
        <v>1900</v>
      </c>
      <c r="AGR58" t="s">
        <v>1900</v>
      </c>
      <c r="AGS58" t="s">
        <v>1900</v>
      </c>
      <c r="AGT58" t="s">
        <v>1900</v>
      </c>
      <c r="AGU58">
        <v>0</v>
      </c>
      <c r="AGV58">
        <v>0</v>
      </c>
      <c r="AGW58">
        <v>0</v>
      </c>
      <c r="AGX58">
        <v>0</v>
      </c>
      <c r="AGY58">
        <v>0</v>
      </c>
      <c r="AGZ58">
        <v>1.646</v>
      </c>
      <c r="AHA58">
        <v>2.175</v>
      </c>
      <c r="AHB58">
        <v>1.766</v>
      </c>
      <c r="AHC58">
        <v>3.454</v>
      </c>
      <c r="AHD58">
        <v>2.711</v>
      </c>
      <c r="AHE58">
        <v>1.646</v>
      </c>
      <c r="AHF58">
        <v>2.175</v>
      </c>
      <c r="AHG58">
        <v>1.766</v>
      </c>
      <c r="AHH58">
        <v>3.454</v>
      </c>
      <c r="AHI58">
        <v>2.711</v>
      </c>
      <c r="AHJ58">
        <v>2.993</v>
      </c>
      <c r="AHK58">
        <v>1.616</v>
      </c>
      <c r="AHL58">
        <v>1.279</v>
      </c>
      <c r="AHM58">
        <v>1.013</v>
      </c>
      <c r="AHN58">
        <v>0.945</v>
      </c>
      <c r="AHO58">
        <v>31.225</v>
      </c>
      <c r="AHP58">
        <v>34.859</v>
      </c>
      <c r="AHQ58">
        <v>33.298</v>
      </c>
      <c r="AHR58">
        <v>39.256</v>
      </c>
      <c r="AHS58">
        <v>37.535</v>
      </c>
      <c r="AHT58">
        <v>45.403</v>
      </c>
      <c r="AHU58">
        <v>53.513</v>
      </c>
      <c r="AHV58">
        <v>49.92</v>
      </c>
      <c r="AHW58">
        <v>64.625</v>
      </c>
      <c r="AHX58">
        <v>60.089</v>
      </c>
      <c r="AHY58">
        <v>45.616</v>
      </c>
      <c r="AHZ58">
        <v>79.41200000000001</v>
      </c>
      <c r="AIA58">
        <v>94.51300000000001</v>
      </c>
      <c r="AIB58">
        <v>128.118</v>
      </c>
      <c r="AIC58">
        <v>149.949</v>
      </c>
      <c r="AID58">
        <v>3.242377817</v>
      </c>
      <c r="AIE58">
        <v>3.782395871</v>
      </c>
      <c r="AIF58">
        <v>26.687788713</v>
      </c>
      <c r="AIG58">
        <v>22.702825602</v>
      </c>
      <c r="AIH58">
        <v>38.054095573</v>
      </c>
      <c r="AII58">
        <v>65.77605447000001</v>
      </c>
      <c r="AIJ58">
        <v>52.459794608</v>
      </c>
      <c r="AIK58">
        <v>26.368831467</v>
      </c>
      <c r="AIL58">
        <v>25.417492753</v>
      </c>
      <c r="AIM58">
        <v>24.383326845</v>
      </c>
      <c r="AIN58">
        <v>54.530912946</v>
      </c>
      <c r="AIO58">
        <v>37.458483163</v>
      </c>
      <c r="AIP58">
        <v>35.231963748</v>
      </c>
      <c r="AIQ58">
        <v>10.450490955</v>
      </c>
      <c r="AIR58">
        <v>6.182467183</v>
      </c>
      <c r="AIS58">
        <v>0.029621986</v>
      </c>
      <c r="AIT58">
        <v>0.012568709</v>
      </c>
      <c r="AIU58">
        <v>0</v>
      </c>
      <c r="AIV58">
        <v>0</v>
      </c>
      <c r="AIW58">
        <v>0</v>
      </c>
      <c r="AIX58">
        <v>10.9563924710741</v>
      </c>
      <c r="AIY58">
        <v>2.62575411340618</v>
      </c>
      <c r="AIZ58">
        <v>1.06504865260243</v>
      </c>
      <c r="AJA58">
        <v>0.460048653688431</v>
      </c>
      <c r="AJB58">
        <v>0.268034072875381</v>
      </c>
      <c r="AJC58">
        <v>69.7626464770749</v>
      </c>
      <c r="AJD58">
        <v>69.2923810425692</v>
      </c>
      <c r="AJE58">
        <v>70.4319436671984</v>
      </c>
      <c r="AJF58">
        <v>104.51306616894</v>
      </c>
      <c r="AJG58">
        <v>82.78284044585109</v>
      </c>
      <c r="AJH58">
        <v>73.24299999999999</v>
      </c>
      <c r="AJI58">
        <v>73.676</v>
      </c>
      <c r="AJJ58">
        <v>64.379</v>
      </c>
      <c r="AJK58">
        <v>54.91</v>
      </c>
      <c r="AJL58">
        <v>62.433</v>
      </c>
      <c r="AJM58">
        <v>51.0965597349823</v>
      </c>
      <c r="AJN58">
        <v>51.052032881525</v>
      </c>
      <c r="AJO58">
        <v>45.3432294478625</v>
      </c>
      <c r="AJP58">
        <v>57.3884690973258</v>
      </c>
      <c r="AJQ58">
        <v>51.6835131255174</v>
      </c>
      <c r="AJR58">
        <v>22.5658766717413</v>
      </c>
      <c r="AJS58">
        <v>18.5198016814594</v>
      </c>
      <c r="AJT58">
        <v>19.2949692643052</v>
      </c>
      <c r="AJU58">
        <v>33.7931892405653</v>
      </c>
      <c r="AJV58">
        <v>31.3285224732828</v>
      </c>
      <c r="AJW58">
        <v>21.8533505383128</v>
      </c>
      <c r="AJX58">
        <v>22.4726901204672</v>
      </c>
      <c r="AJY58">
        <v>26.3528607320136</v>
      </c>
      <c r="AJZ58">
        <v>43.5019772533894</v>
      </c>
      <c r="AKA58">
        <v>31.1283199954814</v>
      </c>
      <c r="AKB58">
        <v>72.2676826060774</v>
      </c>
      <c r="AKC58">
        <v>53.127704488061</v>
      </c>
      <c r="AKD58">
        <v>57.9471353402597</v>
      </c>
      <c r="AKE58">
        <v>86.0844688035679</v>
      </c>
      <c r="AKF58">
        <v>83.46540216016651</v>
      </c>
      <c r="AKG58">
        <v>0.029621986</v>
      </c>
      <c r="AKH58">
        <v>0.012568709</v>
      </c>
      <c r="AKI58">
        <v>0</v>
      </c>
      <c r="AKJ58">
        <v>0</v>
      </c>
      <c r="AKK58">
        <v>0</v>
      </c>
      <c r="AKL58">
        <v>0.001692799</v>
      </c>
      <c r="AKM58">
        <v>0.001309431</v>
      </c>
      <c r="AKN58">
        <v>0</v>
      </c>
      <c r="AKO58">
        <v>0</v>
      </c>
      <c r="AKP58">
        <v>0</v>
      </c>
      <c r="AKQ58">
        <v>0.001634121</v>
      </c>
      <c r="AKR58">
        <v>0.001707839</v>
      </c>
      <c r="AKS58">
        <v>0</v>
      </c>
      <c r="AKT58">
        <v>0</v>
      </c>
      <c r="AKU58">
        <v>0</v>
      </c>
      <c r="AKV58">
        <v>0</v>
      </c>
      <c r="AKW58">
        <v>0</v>
      </c>
      <c r="AKX58">
        <v>0</v>
      </c>
      <c r="AKY58">
        <v>0</v>
      </c>
      <c r="AKZ58">
        <v>0</v>
      </c>
      <c r="ALA58">
        <v>0</v>
      </c>
      <c r="ALB58">
        <v>0</v>
      </c>
      <c r="ALC58">
        <v>0</v>
      </c>
      <c r="ALD58">
        <v>0</v>
      </c>
      <c r="ALE58">
        <v>0</v>
      </c>
      <c r="ALF58">
        <v>0.768764342</v>
      </c>
      <c r="ALG58">
        <v>1.117955999</v>
      </c>
      <c r="ALH58">
        <v>1.206104889</v>
      </c>
      <c r="ALI58">
        <v>1.108350124</v>
      </c>
      <c r="ALJ58">
        <v>0.269906631</v>
      </c>
      <c r="ALK58">
        <v>0.742116431</v>
      </c>
      <c r="ALL58">
        <v>1.458106167</v>
      </c>
      <c r="ALM58">
        <v>1.465962229</v>
      </c>
      <c r="ALN58">
        <v>1.345621004</v>
      </c>
      <c r="ALO58">
        <v>0.267699395</v>
      </c>
      <c r="ALP58">
        <v>31.323596459</v>
      </c>
      <c r="ALQ58">
        <v>32.430627394</v>
      </c>
      <c r="ALR58">
        <v>37.416063393</v>
      </c>
      <c r="ALS58">
        <v>41.623482532</v>
      </c>
      <c r="ALT58">
        <v>37.602382011</v>
      </c>
      <c r="ALU58">
        <v>0</v>
      </c>
      <c r="ALV58">
        <v>0.000762936</v>
      </c>
      <c r="ALW58">
        <v>0</v>
      </c>
      <c r="ALX58" t="s">
        <v>1900</v>
      </c>
      <c r="ALY58" t="s">
        <v>1900</v>
      </c>
      <c r="ALZ58">
        <v>94.28533013915791</v>
      </c>
      <c r="AMA58">
        <v>89.5818187797874</v>
      </c>
      <c r="AMB58">
        <v>73.0477280588124</v>
      </c>
      <c r="AMC58">
        <v>63.7300962418367</v>
      </c>
      <c r="AMD58">
        <v>71.65727341316421</v>
      </c>
      <c r="AME58">
        <v>94.58523914771909</v>
      </c>
      <c r="AMF58">
        <v>90.1696001481354</v>
      </c>
      <c r="AMG58">
        <v>73.73273410772531</v>
      </c>
      <c r="AMH58">
        <v>64.4525521027262</v>
      </c>
      <c r="AMI58">
        <v>72.48174379998289</v>
      </c>
      <c r="AMJ58">
        <v>1649.88236302533</v>
      </c>
      <c r="AMK58">
        <v>859.860439036971</v>
      </c>
      <c r="AML58">
        <v>271.026235629447</v>
      </c>
      <c r="AMM58">
        <v>175.710684722986</v>
      </c>
      <c r="AMN58">
        <v>252.824205863265</v>
      </c>
      <c r="AMO58">
        <v>1.19869815764202</v>
      </c>
      <c r="AMP58">
        <v>1.12800157317574</v>
      </c>
      <c r="AMQ58">
        <v>1.03751930784339</v>
      </c>
      <c r="AMR58">
        <v>1.03051788440322</v>
      </c>
      <c r="AMS58">
        <v>1.02415597104478</v>
      </c>
      <c r="AMT58">
        <v>1.19869815764202</v>
      </c>
      <c r="AMU58">
        <v>1.12800157317574</v>
      </c>
      <c r="AMV58">
        <v>1.03751930784339</v>
      </c>
      <c r="AMW58">
        <v>1.03051788440322</v>
      </c>
      <c r="AMX58">
        <v>1.02415597104478</v>
      </c>
      <c r="AMY58">
        <v>1.19869815764202</v>
      </c>
      <c r="AMZ58">
        <v>1.12800157317574</v>
      </c>
      <c r="ANA58">
        <v>1.03751930784339</v>
      </c>
      <c r="ANB58">
        <v>1.03051788440322</v>
      </c>
      <c r="ANC58">
        <v>1.02415597104478</v>
      </c>
      <c r="AND58">
        <v>15.628889785042</v>
      </c>
      <c r="ANE58">
        <v>10.1654235281553</v>
      </c>
      <c r="ANF58">
        <v>2.64158958351865</v>
      </c>
      <c r="ANG58">
        <v>1.88731097203712</v>
      </c>
      <c r="ANH58">
        <v>1.69012442504264</v>
      </c>
      <c r="ANI58">
        <v>15.6786031904406</v>
      </c>
      <c r="ANJ58">
        <v>10.232122849877</v>
      </c>
      <c r="ANK58">
        <v>2.6663611252427</v>
      </c>
      <c r="ANL58">
        <v>1.90870586947922</v>
      </c>
      <c r="ANM58">
        <v>1.70957056738261</v>
      </c>
      <c r="ANN58">
        <v>18.523982611137</v>
      </c>
      <c r="ANO58">
        <v>11.3157137567641</v>
      </c>
      <c r="ANP58">
        <v>2.71326285240116</v>
      </c>
      <c r="ANQ58">
        <v>1.92361557993708</v>
      </c>
      <c r="ANR58">
        <v>1.71918071827279</v>
      </c>
      <c r="ANS58">
        <v>36.2163448438023</v>
      </c>
      <c r="ANT58">
        <v>23.4949708049888</v>
      </c>
      <c r="ANU58">
        <v>5.41216390291438</v>
      </c>
      <c r="ANV58">
        <v>2.93715081161629</v>
      </c>
      <c r="ANW58">
        <v>2.17001377451263</v>
      </c>
      <c r="ANX58">
        <v>94.28533013915791</v>
      </c>
      <c r="ANY58">
        <v>89.5818187797874</v>
      </c>
      <c r="ANZ58">
        <v>73.0477280588124</v>
      </c>
      <c r="AOA58">
        <v>63.7300962418367</v>
      </c>
      <c r="AOB58">
        <v>71.65727341316421</v>
      </c>
      <c r="AOC58">
        <v>111.750728298989</v>
      </c>
      <c r="AOD58">
        <v>99.7186409710112</v>
      </c>
      <c r="AOE58">
        <v>75.02970492875519</v>
      </c>
      <c r="AOF58">
        <v>64.9560183022536</v>
      </c>
      <c r="AOG58">
        <v>72.8891914409233</v>
      </c>
      <c r="AOH58">
        <v>91.01708922510601</v>
      </c>
      <c r="AOI58" t="s">
        <v>1901</v>
      </c>
      <c r="AOJ58">
        <v>88.7859847282741</v>
      </c>
      <c r="AOK58">
        <v>77.3731641665769</v>
      </c>
      <c r="AOL58">
        <v>71.0712763146833</v>
      </c>
      <c r="AOM58">
        <v>273.487185885118</v>
      </c>
      <c r="AON58">
        <v>97.5738789073187</v>
      </c>
      <c r="AOO58">
        <v>9.800990392508821</v>
      </c>
      <c r="AOP58">
        <v>5.20351800385557</v>
      </c>
      <c r="AOQ58">
        <v>5.96316808075777</v>
      </c>
      <c r="AOR58">
        <v>19.8698157642017</v>
      </c>
      <c r="AOS58">
        <v>12.800157317574</v>
      </c>
      <c r="AOT58">
        <v>3.75193078433866</v>
      </c>
      <c r="AOU58">
        <v>3.05178844032235</v>
      </c>
      <c r="AOV58">
        <v>2.41559710447766</v>
      </c>
      <c r="AOW58">
        <v>15.0871408516576</v>
      </c>
      <c r="AOX58">
        <v>13.2583632619036</v>
      </c>
      <c r="AOY58">
        <v>3.21072453111512</v>
      </c>
      <c r="AOZ58">
        <v>2.29133847717223</v>
      </c>
      <c r="APA58">
        <v>1.67630296684347</v>
      </c>
      <c r="APB58">
        <v>11.7679932658717</v>
      </c>
      <c r="APC58">
        <v>1.55984800015857</v>
      </c>
      <c r="APD58">
        <v>1.14829568895108</v>
      </c>
      <c r="APE58">
        <v>0.278020398625045</v>
      </c>
      <c r="APF58">
        <v>0.252805333040235</v>
      </c>
      <c r="APG58">
        <v>11.8054256764908</v>
      </c>
      <c r="APH58">
        <v>1.57008277329041</v>
      </c>
      <c r="API58">
        <v>1.15906384716455</v>
      </c>
      <c r="APJ58">
        <v>0.281172087988125</v>
      </c>
      <c r="APK58">
        <v>0.255714046989198</v>
      </c>
      <c r="APL58">
        <v>205.926038641498</v>
      </c>
      <c r="APM58">
        <v>14.9723638626315</v>
      </c>
      <c r="APN58">
        <v>4.2604782686104</v>
      </c>
      <c r="APO58">
        <v>0.766531944718685</v>
      </c>
      <c r="APP58">
        <v>0.891958408679193</v>
      </c>
      <c r="APQ58">
        <v>14.9612583698061</v>
      </c>
      <c r="APR58">
        <v>1.96413850718881</v>
      </c>
      <c r="APS58">
        <v>1.63095962059335</v>
      </c>
      <c r="APT58">
        <v>0.449559956609544</v>
      </c>
      <c r="APU58">
        <v>0.361320043329412</v>
      </c>
      <c r="APV58">
        <v>13.9478942921216</v>
      </c>
      <c r="APW58">
        <v>1.73635593489713</v>
      </c>
      <c r="APX58">
        <v>1.17945196931511</v>
      </c>
      <c r="APY58">
        <v>0.283368442328399</v>
      </c>
      <c r="APZ58">
        <v>0.257151513580628</v>
      </c>
      <c r="AQA58">
        <v>11.360075756212</v>
      </c>
      <c r="AQB58">
        <v>2.03444857581938</v>
      </c>
      <c r="AQC58">
        <v>1.39569793903335</v>
      </c>
      <c r="AQD58">
        <v>0.337537822990942</v>
      </c>
      <c r="AQE58">
        <v>0.250737947768849</v>
      </c>
      <c r="AQF58">
        <v>0.198698157642017</v>
      </c>
      <c r="AQG58">
        <v>0.12800157317574</v>
      </c>
      <c r="AQH58">
        <v>0.0375193078433866</v>
      </c>
      <c r="AQI58">
        <v>0.0305178844032235</v>
      </c>
      <c r="AQJ58">
        <v>0.0241559710447766</v>
      </c>
      <c r="AQK58">
        <v>12</v>
      </c>
      <c r="AQO58" t="s">
        <v>1903</v>
      </c>
      <c r="AQP58">
        <v>21</v>
      </c>
      <c r="AQQ58">
        <v>0</v>
      </c>
      <c r="AQS58" t="s">
        <v>1905</v>
      </c>
      <c r="AQU58" t="s">
        <v>1906</v>
      </c>
      <c r="AQV58">
        <v>12347988.3599527</v>
      </c>
      <c r="AQW58">
        <v>11156073.3821087</v>
      </c>
      <c r="AQX58">
        <v>9649176.322936971</v>
      </c>
      <c r="AQY58">
        <v>1929853.49144682</v>
      </c>
      <c r="AQZ58">
        <v>1134062.10840314</v>
      </c>
      <c r="ARA58">
        <v>254891.636642051</v>
      </c>
      <c r="ARB58">
        <v>33153238.06499837</v>
      </c>
      <c r="ARC58">
        <v>3318807.236492011</v>
      </c>
      <c r="ARD58">
        <v>0.1112408430235894</v>
      </c>
      <c r="ARE58">
        <v>0.1112408430235894</v>
      </c>
      <c r="ARF58">
        <v>0.1112408430235894</v>
      </c>
      <c r="ARG58">
        <v>0.1112408430235894</v>
      </c>
      <c r="ARH58">
        <v>0.1112408430235894</v>
      </c>
      <c r="ARI58">
        <v>0.1112408430235894</v>
      </c>
      <c r="ARJ58" t="s">
        <v>1219</v>
      </c>
      <c r="ARK58" t="s">
        <v>1557</v>
      </c>
      <c r="ARL58" t="s">
        <v>1908</v>
      </c>
      <c r="ARM58" t="s">
        <v>1908</v>
      </c>
      <c r="ARN58" t="s">
        <v>1909</v>
      </c>
      <c r="ARO58" t="s">
        <v>1908</v>
      </c>
      <c r="ARP58" t="s">
        <v>1907</v>
      </c>
      <c r="ARQ58" t="s">
        <v>1957</v>
      </c>
      <c r="ARR58">
        <f>HYPERLINK("C:\Users\Usuario\Documents\Proyectos\llmthon\evidence\guadaltel_com_234620.png", "Ver Evidencia")</f>
        <v>0</v>
      </c>
      <c r="ARS58">
        <v>95</v>
      </c>
    </row>
    <row r="59" spans="1:1163">
      <c r="A59">
        <v>329</v>
      </c>
      <c r="B59" t="s">
        <v>1220</v>
      </c>
      <c r="C59" t="s">
        <v>1343</v>
      </c>
      <c r="E59" s="2">
        <v>35515</v>
      </c>
      <c r="F59" t="s">
        <v>1431</v>
      </c>
      <c r="G59" t="s">
        <v>1433</v>
      </c>
      <c r="H59" t="s">
        <v>1434</v>
      </c>
      <c r="I59" t="s">
        <v>1436</v>
      </c>
      <c r="J59" t="s">
        <v>1480</v>
      </c>
      <c r="L59" t="s">
        <v>1558</v>
      </c>
      <c r="N59" t="s">
        <v>1640</v>
      </c>
      <c r="O59" t="s">
        <v>1664</v>
      </c>
      <c r="P59">
        <v>8299</v>
      </c>
      <c r="Q59">
        <v>8299</v>
      </c>
      <c r="R59" t="s">
        <v>1728</v>
      </c>
      <c r="Z59" t="s">
        <v>1899</v>
      </c>
      <c r="AA59" s="2">
        <v>45657</v>
      </c>
      <c r="AB59">
        <v>2024</v>
      </c>
      <c r="AC59">
        <v>2196416.12255846</v>
      </c>
      <c r="AD59">
        <v>1932874.11625015</v>
      </c>
      <c r="AE59">
        <v>1865505.20220099</v>
      </c>
      <c r="AF59">
        <v>2132486.78080366</v>
      </c>
      <c r="AG59">
        <v>2095701.12131921</v>
      </c>
      <c r="AH59">
        <v>2124365.67592418</v>
      </c>
      <c r="AI59">
        <v>1917454.87303019</v>
      </c>
      <c r="AJ59">
        <v>1865505.20220099</v>
      </c>
      <c r="AK59">
        <v>2132486.78080366</v>
      </c>
      <c r="AL59">
        <v>2095701.12131921</v>
      </c>
      <c r="AM59">
        <v>850275.007902019</v>
      </c>
      <c r="AN59">
        <v>753306.109474525</v>
      </c>
      <c r="AO59">
        <v>826464.084880447</v>
      </c>
      <c r="AP59">
        <v>835624.204887128</v>
      </c>
      <c r="AQ59">
        <v>850099.054185867</v>
      </c>
      <c r="AR59">
        <v>1346141.11465644</v>
      </c>
      <c r="AS59">
        <v>1179568.00567063</v>
      </c>
      <c r="AT59">
        <v>1039041.11732054</v>
      </c>
      <c r="AU59">
        <v>1296862.57591653</v>
      </c>
      <c r="AV59">
        <v>1245602.06713334</v>
      </c>
      <c r="AW59">
        <v>1217587.2906835</v>
      </c>
      <c r="AX59">
        <v>1102399.71149344</v>
      </c>
      <c r="AY59">
        <v>1001703.53298066</v>
      </c>
      <c r="AZ59">
        <v>1219636.31456008</v>
      </c>
      <c r="BA59">
        <v>1276253.75599184</v>
      </c>
      <c r="BB59">
        <v>128553.823972938</v>
      </c>
      <c r="BC59">
        <v>77168.29528218271</v>
      </c>
      <c r="BD59">
        <v>37337.584339875</v>
      </c>
      <c r="BE59">
        <v>77226.2613564491</v>
      </c>
      <c r="BF59">
        <v>-30651.6888584971</v>
      </c>
      <c r="BG59">
        <v>15628.1346267903</v>
      </c>
      <c r="BH59">
        <v>2618.3981251049</v>
      </c>
      <c r="BI59">
        <v>-255.983877182007</v>
      </c>
      <c r="BJ59">
        <v>-67.956018447876</v>
      </c>
      <c r="BK59">
        <v>-22.0877873897552</v>
      </c>
      <c r="BL59">
        <v>16273.6652455246</v>
      </c>
      <c r="BM59">
        <v>4311.39148489952</v>
      </c>
      <c r="BN59" t="s">
        <v>1900</v>
      </c>
      <c r="BO59" t="s">
        <v>1900</v>
      </c>
      <c r="BP59" t="s">
        <v>1900</v>
      </c>
      <c r="BQ59">
        <v>645.53061873436</v>
      </c>
      <c r="BR59">
        <v>1692.99335979462</v>
      </c>
      <c r="BS59">
        <v>255.983877182007</v>
      </c>
      <c r="BT59">
        <v>67.956018447876</v>
      </c>
      <c r="BU59">
        <v>22.0877873897552</v>
      </c>
      <c r="BV59">
        <v>144181.958599728</v>
      </c>
      <c r="BW59">
        <v>79786.6934072876</v>
      </c>
      <c r="BX59">
        <v>37081.600462693</v>
      </c>
      <c r="BY59">
        <v>77158.3053380012</v>
      </c>
      <c r="BZ59">
        <v>-30673.7766458869</v>
      </c>
      <c r="CA59">
        <v>18622.585940516</v>
      </c>
      <c r="CB59">
        <v>4774.26514263153</v>
      </c>
      <c r="CC59">
        <v>143.116319334507</v>
      </c>
      <c r="CD59">
        <v>17500.5661928415</v>
      </c>
      <c r="CE59">
        <v>-3749.303741467</v>
      </c>
      <c r="CF59">
        <v>125559.372659212</v>
      </c>
      <c r="CG59">
        <v>75012.42715965561</v>
      </c>
      <c r="CH59">
        <v>36938.4841433585</v>
      </c>
      <c r="CI59">
        <v>59657.7391451597</v>
      </c>
      <c r="CJ59">
        <v>-26924.4716773206</v>
      </c>
      <c r="CK59" t="s">
        <v>1900</v>
      </c>
      <c r="CL59" t="s">
        <v>1900</v>
      </c>
      <c r="CM59" t="s">
        <v>1900</v>
      </c>
      <c r="CN59" t="s">
        <v>1900</v>
      </c>
      <c r="CO59" t="s">
        <v>1900</v>
      </c>
      <c r="CP59" t="s">
        <v>1900</v>
      </c>
      <c r="CQ59" t="s">
        <v>1900</v>
      </c>
      <c r="CR59" t="s">
        <v>1900</v>
      </c>
      <c r="CS59" t="s">
        <v>1900</v>
      </c>
      <c r="CT59" t="s">
        <v>1900</v>
      </c>
      <c r="CU59" t="s">
        <v>1900</v>
      </c>
      <c r="CV59" t="s">
        <v>1900</v>
      </c>
      <c r="CW59" t="s">
        <v>1900</v>
      </c>
      <c r="CX59" t="s">
        <v>1900</v>
      </c>
      <c r="CY59" t="s">
        <v>1900</v>
      </c>
      <c r="CZ59">
        <v>125559.372659212</v>
      </c>
      <c r="DA59">
        <v>75012.42715965561</v>
      </c>
      <c r="DB59">
        <v>36938.4841433585</v>
      </c>
      <c r="DC59">
        <v>59657.7391451597</v>
      </c>
      <c r="DD59">
        <v>-26924.4716773206</v>
      </c>
      <c r="DE59" t="s">
        <v>1900</v>
      </c>
      <c r="DF59" t="s">
        <v>1900</v>
      </c>
      <c r="DG59" t="s">
        <v>1900</v>
      </c>
      <c r="DH59" t="s">
        <v>1900</v>
      </c>
      <c r="DI59" t="s">
        <v>1900</v>
      </c>
      <c r="DJ59">
        <v>850275.007902019</v>
      </c>
      <c r="DK59">
        <v>753306.109474525</v>
      </c>
      <c r="DL59">
        <v>826464.084880447</v>
      </c>
      <c r="DM59">
        <v>835624.204887128</v>
      </c>
      <c r="DN59">
        <v>850099.054185867</v>
      </c>
      <c r="DO59">
        <v>568346.626631643</v>
      </c>
      <c r="DP59">
        <v>515188.823310413</v>
      </c>
      <c r="DQ59">
        <v>443027.947116506</v>
      </c>
      <c r="DR59">
        <v>571482.4796991349</v>
      </c>
      <c r="DS59">
        <v>654025.8759659471</v>
      </c>
      <c r="DT59">
        <v>54027.866734612</v>
      </c>
      <c r="DU59">
        <v>44838.201822834</v>
      </c>
      <c r="DV59">
        <v>43830.3913987041</v>
      </c>
      <c r="DW59">
        <v>33229.82478683</v>
      </c>
      <c r="DX59">
        <v>36962.1819867432</v>
      </c>
      <c r="DY59">
        <v>595212.797317246</v>
      </c>
      <c r="DZ59">
        <v>542372.686360197</v>
      </c>
      <c r="EA59">
        <v>514845.194465452</v>
      </c>
      <c r="EB59">
        <v>614924.010074115</v>
      </c>
      <c r="EC59">
        <v>585265.69803915</v>
      </c>
      <c r="ED59">
        <v>645.53061873436</v>
      </c>
      <c r="EE59">
        <v>1692.99335979462</v>
      </c>
      <c r="EF59">
        <v>255.983877182007</v>
      </c>
      <c r="EG59">
        <v>67.956018447876</v>
      </c>
      <c r="EH59">
        <v>22.0877873897552</v>
      </c>
      <c r="EI59" t="s">
        <v>1900</v>
      </c>
      <c r="EJ59" t="s">
        <v>1900</v>
      </c>
      <c r="EK59" t="s">
        <v>1900</v>
      </c>
      <c r="EL59" t="s">
        <v>1900</v>
      </c>
      <c r="EM59" t="s">
        <v>1900</v>
      </c>
      <c r="EN59">
        <v>179587.239393824</v>
      </c>
      <c r="EO59">
        <v>119850.63008749</v>
      </c>
      <c r="EP59">
        <v>80768.87554206249</v>
      </c>
      <c r="EQ59">
        <v>92887.5639319897</v>
      </c>
      <c r="ER59">
        <v>10037.7090823233</v>
      </c>
      <c r="ES59">
        <v>767201.982584717</v>
      </c>
      <c r="ET59">
        <v>641506.71190033</v>
      </c>
      <c r="EU59">
        <v>524195.922855085</v>
      </c>
      <c r="EV59">
        <v>681938.565842414</v>
      </c>
      <c r="EW59">
        <v>660336.369094193</v>
      </c>
      <c r="EX59">
        <v>182581.69070755</v>
      </c>
      <c r="EY59">
        <v>122006.497105017</v>
      </c>
      <c r="EZ59">
        <v>81167.975738579</v>
      </c>
      <c r="FA59">
        <v>110456.086143279</v>
      </c>
      <c r="FB59">
        <v>6310.49312824607</v>
      </c>
      <c r="FC59">
        <v>414577.422565602</v>
      </c>
      <c r="FD59">
        <v>421690.554449539</v>
      </c>
      <c r="FE59">
        <v>315718.066900259</v>
      </c>
      <c r="FF59">
        <v>298692.275193357</v>
      </c>
      <c r="FG59">
        <v>337777.415031874</v>
      </c>
      <c r="FH59">
        <v>18197.9565311635</v>
      </c>
      <c r="FI59">
        <v>6499.99966711998</v>
      </c>
      <c r="FJ59">
        <v>6274.11149975657</v>
      </c>
      <c r="FK59">
        <v>6662.35141861439</v>
      </c>
      <c r="FL59">
        <v>7218.22756400704</v>
      </c>
      <c r="FM59">
        <v>364717.215618265</v>
      </c>
      <c r="FN59">
        <v>386694.061643543</v>
      </c>
      <c r="FO59">
        <v>297468.496326184</v>
      </c>
      <c r="FP59">
        <v>288619.584966946</v>
      </c>
      <c r="FQ59">
        <v>324259.247393596</v>
      </c>
      <c r="FR59">
        <v>31662.2504161739</v>
      </c>
      <c r="FS59">
        <v>28496.493138876</v>
      </c>
      <c r="FT59">
        <v>11975.4580077189</v>
      </c>
      <c r="FU59">
        <v>3410.33880779743</v>
      </c>
      <c r="FV59">
        <v>6299.94007427096</v>
      </c>
      <c r="FW59">
        <v>18197.9565311635</v>
      </c>
      <c r="FX59">
        <v>6499.99966711998</v>
      </c>
      <c r="FY59">
        <v>6274.11149975657</v>
      </c>
      <c r="FZ59">
        <v>6662.35141861439</v>
      </c>
      <c r="GA59">
        <v>7218.22756400704</v>
      </c>
      <c r="GB59">
        <v>364717.215618265</v>
      </c>
      <c r="GC59">
        <v>386694.061643543</v>
      </c>
      <c r="GD59">
        <v>297468.496326184</v>
      </c>
      <c r="GE59">
        <v>288619.584966946</v>
      </c>
      <c r="GF59">
        <v>324259.247393596</v>
      </c>
      <c r="GG59">
        <v>31662.2504161739</v>
      </c>
      <c r="GH59">
        <v>28496.493138876</v>
      </c>
      <c r="GI59">
        <v>11975.4580077189</v>
      </c>
      <c r="GJ59">
        <v>3410.33880779743</v>
      </c>
      <c r="GK59">
        <v>6299.94007427096</v>
      </c>
      <c r="GL59">
        <v>1719509.20519581</v>
      </c>
      <c r="GM59">
        <v>1787160.7838058</v>
      </c>
      <c r="GN59">
        <v>1636801.18549843</v>
      </c>
      <c r="GO59">
        <v>1815494.95785656</v>
      </c>
      <c r="GP59">
        <v>1998742.22603348</v>
      </c>
      <c r="GQ59">
        <v>46359.0219935417</v>
      </c>
      <c r="GR59">
        <v>52980.3537769318</v>
      </c>
      <c r="GS59">
        <v>57872.8349533081</v>
      </c>
      <c r="GT59">
        <v>51291.2886299372</v>
      </c>
      <c r="GU59">
        <v>56884.4704298139</v>
      </c>
      <c r="GV59">
        <v>746409.343283167</v>
      </c>
      <c r="GW59">
        <v>786997.265194702</v>
      </c>
      <c r="GX59">
        <v>661849.9515583341</v>
      </c>
      <c r="GY59">
        <v>794600.594952536</v>
      </c>
      <c r="GZ59">
        <v>879786.242995012</v>
      </c>
      <c r="HA59">
        <v>926740.839919097</v>
      </c>
      <c r="HB59">
        <v>947183.1648341659</v>
      </c>
      <c r="HC59">
        <v>917078.398986787</v>
      </c>
      <c r="HD59">
        <v>969603.074274087</v>
      </c>
      <c r="HE59">
        <v>1062071.51260865</v>
      </c>
      <c r="HF59">
        <v>926740.839919097</v>
      </c>
      <c r="HG59">
        <v>947183.1648341659</v>
      </c>
      <c r="HH59">
        <v>917077.332387298</v>
      </c>
      <c r="HI59">
        <v>969603.074274087</v>
      </c>
      <c r="HJ59">
        <v>1062071.51260865</v>
      </c>
      <c r="HK59">
        <v>2134086.62776141</v>
      </c>
      <c r="HL59">
        <v>2208851.33825534</v>
      </c>
      <c r="HM59">
        <v>1952519.25239869</v>
      </c>
      <c r="HN59">
        <v>2114187.23304992</v>
      </c>
      <c r="HO59">
        <v>2336519.64106535</v>
      </c>
      <c r="HP59">
        <v>1688272.08286076</v>
      </c>
      <c r="HQ59">
        <v>1697451.02019516</v>
      </c>
      <c r="HR59">
        <v>1570370.95885485</v>
      </c>
      <c r="HS59">
        <v>1648707.56834514</v>
      </c>
      <c r="HT59">
        <v>1856613.8055357</v>
      </c>
      <c r="HU59">
        <v>56195.9565755141</v>
      </c>
      <c r="HV59">
        <v>59771.4768747044</v>
      </c>
      <c r="HW59">
        <v>57694.2968649685</v>
      </c>
      <c r="HX59">
        <v>67390.6357003927</v>
      </c>
      <c r="HY59">
        <v>79650.7823771894</v>
      </c>
      <c r="HZ59">
        <v>1632076.12628525</v>
      </c>
      <c r="IA59">
        <v>1637679.54332046</v>
      </c>
      <c r="IB59">
        <v>1512676.66198989</v>
      </c>
      <c r="IC59">
        <v>1581316.93264475</v>
      </c>
      <c r="ID59">
        <v>1776963.02315851</v>
      </c>
      <c r="IE59">
        <v>47623.5912927175</v>
      </c>
      <c r="IF59">
        <v>78724.7326806927</v>
      </c>
      <c r="IG59">
        <v>27042.3181074202</v>
      </c>
      <c r="IH59">
        <v>20044.7262634993</v>
      </c>
      <c r="II59">
        <v>20759.8696118832</v>
      </c>
      <c r="IJ59">
        <v>0</v>
      </c>
      <c r="IK59">
        <v>34251.9655718613</v>
      </c>
      <c r="IL59">
        <v>0</v>
      </c>
      <c r="IM59">
        <v>0</v>
      </c>
      <c r="IN59">
        <v>0</v>
      </c>
      <c r="IO59">
        <v>47623.5912927175</v>
      </c>
      <c r="IP59">
        <v>44472.7671088314</v>
      </c>
      <c r="IQ59">
        <v>27042.3181074202</v>
      </c>
      <c r="IR59">
        <v>20044.7262634993</v>
      </c>
      <c r="IS59">
        <v>20759.8696118832</v>
      </c>
      <c r="IT59" t="s">
        <v>1900</v>
      </c>
      <c r="IU59" t="s">
        <v>1900</v>
      </c>
      <c r="IV59" t="s">
        <v>1900</v>
      </c>
      <c r="IW59" t="s">
        <v>1900</v>
      </c>
      <c r="IX59" t="s">
        <v>1900</v>
      </c>
      <c r="IY59">
        <v>398190.953607926</v>
      </c>
      <c r="IZ59">
        <v>432675.585379486</v>
      </c>
      <c r="JA59">
        <v>355105.975436413</v>
      </c>
      <c r="JB59">
        <v>445434.938441277</v>
      </c>
      <c r="JC59">
        <v>459145.965917772</v>
      </c>
      <c r="JD59">
        <v>0</v>
      </c>
      <c r="JE59">
        <v>0</v>
      </c>
      <c r="JF59">
        <v>0</v>
      </c>
      <c r="JG59">
        <v>0</v>
      </c>
      <c r="JH59">
        <v>0</v>
      </c>
      <c r="JI59">
        <v>226436.694693639</v>
      </c>
      <c r="JJ59">
        <v>299243.405246763</v>
      </c>
      <c r="JK59">
        <v>235251.199003297</v>
      </c>
      <c r="JL59">
        <v>306217.803958297</v>
      </c>
      <c r="JM59">
        <v>331966.020001686</v>
      </c>
      <c r="JN59">
        <v>171754.257875388</v>
      </c>
      <c r="JO59">
        <v>133432.180132723</v>
      </c>
      <c r="JP59">
        <v>119854.776433116</v>
      </c>
      <c r="JQ59">
        <v>139217.13448298</v>
      </c>
      <c r="JR59">
        <v>127179.945916086</v>
      </c>
      <c r="JS59">
        <v>2134086.62776141</v>
      </c>
      <c r="JT59">
        <v>2208851.33825534</v>
      </c>
      <c r="JU59">
        <v>1952519.25239869</v>
      </c>
      <c r="JV59">
        <v>2114187.23304992</v>
      </c>
      <c r="JW59">
        <v>2336519.64106535</v>
      </c>
      <c r="JX59">
        <v>566331.670583069</v>
      </c>
      <c r="JY59">
        <v>540734.213724871</v>
      </c>
      <c r="JZ59">
        <v>484471.587508345</v>
      </c>
      <c r="KA59">
        <v>539674.079624176</v>
      </c>
      <c r="KB59">
        <v>604704.69342314</v>
      </c>
      <c r="KC59" t="s">
        <v>1900</v>
      </c>
      <c r="KD59" t="s">
        <v>1900</v>
      </c>
      <c r="KE59" t="s">
        <v>1900</v>
      </c>
      <c r="KF59" t="s">
        <v>1900</v>
      </c>
      <c r="KG59" t="s">
        <v>1900</v>
      </c>
      <c r="KH59" t="s">
        <v>1900</v>
      </c>
      <c r="KI59" t="s">
        <v>1900</v>
      </c>
      <c r="KJ59" t="s">
        <v>1900</v>
      </c>
      <c r="KK59" t="s">
        <v>1900</v>
      </c>
      <c r="KL59" t="s">
        <v>1900</v>
      </c>
      <c r="KM59">
        <v>8</v>
      </c>
      <c r="KN59">
        <v>7</v>
      </c>
      <c r="KO59">
        <v>7</v>
      </c>
      <c r="KP59">
        <v>6</v>
      </c>
      <c r="KQ59">
        <v>9</v>
      </c>
      <c r="KR59" t="s">
        <v>1900</v>
      </c>
      <c r="KS59" t="s">
        <v>1900</v>
      </c>
      <c r="KT59" t="s">
        <v>1900</v>
      </c>
      <c r="KU59" t="s">
        <v>1900</v>
      </c>
      <c r="KV59" t="s">
        <v>1900</v>
      </c>
      <c r="KW59" t="s">
        <v>1900</v>
      </c>
      <c r="KX59" t="s">
        <v>1900</v>
      </c>
      <c r="KY59" t="s">
        <v>1900</v>
      </c>
      <c r="KZ59" t="s">
        <v>1900</v>
      </c>
      <c r="LA59" t="s">
        <v>1900</v>
      </c>
      <c r="LB59" t="s">
        <v>1900</v>
      </c>
      <c r="LC59" t="s">
        <v>1900</v>
      </c>
      <c r="LD59" t="s">
        <v>1900</v>
      </c>
      <c r="LE59" t="s">
        <v>1900</v>
      </c>
      <c r="LF59" t="s">
        <v>1900</v>
      </c>
      <c r="LG59" t="s">
        <v>1900</v>
      </c>
      <c r="LH59" t="s">
        <v>1900</v>
      </c>
      <c r="LI59" t="s">
        <v>1900</v>
      </c>
      <c r="LJ59" t="s">
        <v>1900</v>
      </c>
      <c r="LK59" t="s">
        <v>1900</v>
      </c>
      <c r="LL59" t="s">
        <v>1900</v>
      </c>
      <c r="LM59" t="s">
        <v>1900</v>
      </c>
      <c r="LN59" t="s">
        <v>1900</v>
      </c>
      <c r="LO59" t="s">
        <v>1900</v>
      </c>
      <c r="LP59" t="s">
        <v>1900</v>
      </c>
      <c r="LQ59" t="s">
        <v>1900</v>
      </c>
      <c r="LR59" t="s">
        <v>1900</v>
      </c>
      <c r="LS59" t="s">
        <v>1900</v>
      </c>
      <c r="LT59" t="s">
        <v>1900</v>
      </c>
      <c r="LU59" t="s">
        <v>1900</v>
      </c>
      <c r="LV59" t="s">
        <v>1900</v>
      </c>
      <c r="LW59" t="s">
        <v>1900</v>
      </c>
      <c r="LX59" t="s">
        <v>1900</v>
      </c>
      <c r="LY59" t="s">
        <v>1900</v>
      </c>
      <c r="LZ59" t="s">
        <v>1900</v>
      </c>
      <c r="MA59" t="s">
        <v>1900</v>
      </c>
      <c r="MB59" t="s">
        <v>1900</v>
      </c>
      <c r="MC59" t="s">
        <v>1900</v>
      </c>
      <c r="MD59" t="s">
        <v>1900</v>
      </c>
      <c r="ME59" t="s">
        <v>1900</v>
      </c>
      <c r="MF59" t="s">
        <v>1900</v>
      </c>
      <c r="MG59" t="s">
        <v>1900</v>
      </c>
      <c r="MH59" t="s">
        <v>1900</v>
      </c>
      <c r="MI59" t="s">
        <v>1900</v>
      </c>
      <c r="MJ59" t="s">
        <v>1900</v>
      </c>
      <c r="MK59" t="s">
        <v>1900</v>
      </c>
      <c r="ML59" t="s">
        <v>1900</v>
      </c>
      <c r="MM59" t="s">
        <v>1900</v>
      </c>
      <c r="MN59" t="s">
        <v>1900</v>
      </c>
      <c r="MO59" t="s">
        <v>1900</v>
      </c>
      <c r="MP59">
        <v>926740.839919097</v>
      </c>
      <c r="MQ59">
        <v>947183.1648341659</v>
      </c>
      <c r="MR59">
        <v>917078.398986787</v>
      </c>
      <c r="MS59">
        <v>969603.074274087</v>
      </c>
      <c r="MT59">
        <v>1062071.51260865</v>
      </c>
      <c r="MU59" t="s">
        <v>1900</v>
      </c>
      <c r="MV59" t="s">
        <v>1900</v>
      </c>
      <c r="MW59" t="s">
        <v>1900</v>
      </c>
      <c r="MX59" t="s">
        <v>1900</v>
      </c>
      <c r="MY59" t="s">
        <v>1900</v>
      </c>
      <c r="MZ59" t="s">
        <v>1900</v>
      </c>
      <c r="NA59" t="s">
        <v>1900</v>
      </c>
      <c r="NB59" t="s">
        <v>1900</v>
      </c>
      <c r="NC59" t="s">
        <v>1900</v>
      </c>
      <c r="ND59" t="s">
        <v>1900</v>
      </c>
      <c r="NE59" t="s">
        <v>1900</v>
      </c>
      <c r="NF59" t="s">
        <v>1900</v>
      </c>
      <c r="NG59" t="s">
        <v>1900</v>
      </c>
      <c r="NH59" t="s">
        <v>1900</v>
      </c>
      <c r="NI59" t="s">
        <v>1900</v>
      </c>
      <c r="NJ59" t="s">
        <v>1900</v>
      </c>
      <c r="NK59" t="s">
        <v>1900</v>
      </c>
      <c r="NL59" t="s">
        <v>1900</v>
      </c>
      <c r="NM59" t="s">
        <v>1900</v>
      </c>
      <c r="NN59" t="s">
        <v>1900</v>
      </c>
      <c r="NO59" t="s">
        <v>1900</v>
      </c>
      <c r="NP59" t="s">
        <v>1900</v>
      </c>
      <c r="NQ59" t="s">
        <v>1900</v>
      </c>
      <c r="NR59" t="s">
        <v>1900</v>
      </c>
      <c r="NS59" t="s">
        <v>1900</v>
      </c>
      <c r="NT59">
        <v>414577.422565602</v>
      </c>
      <c r="NU59">
        <v>421690.554449539</v>
      </c>
      <c r="NV59">
        <v>315718.066900259</v>
      </c>
      <c r="NW59">
        <v>298692.275193357</v>
      </c>
      <c r="NX59">
        <v>337777.415031874</v>
      </c>
      <c r="NY59" t="s">
        <v>1900</v>
      </c>
      <c r="NZ59" t="s">
        <v>1900</v>
      </c>
      <c r="OA59" t="s">
        <v>1900</v>
      </c>
      <c r="OB59" t="s">
        <v>1900</v>
      </c>
      <c r="OC59" t="s">
        <v>1900</v>
      </c>
      <c r="OD59" t="s">
        <v>1900</v>
      </c>
      <c r="OE59" t="s">
        <v>1900</v>
      </c>
      <c r="OF59" t="s">
        <v>1900</v>
      </c>
      <c r="OG59" t="s">
        <v>1900</v>
      </c>
      <c r="OH59" t="s">
        <v>1900</v>
      </c>
      <c r="OI59" t="s">
        <v>1900</v>
      </c>
      <c r="OJ59" t="s">
        <v>1900</v>
      </c>
      <c r="OK59" t="s">
        <v>1900</v>
      </c>
      <c r="OL59" t="s">
        <v>1900</v>
      </c>
      <c r="OM59" t="s">
        <v>1900</v>
      </c>
      <c r="ON59" t="s">
        <v>1900</v>
      </c>
      <c r="OO59" t="s">
        <v>1900</v>
      </c>
      <c r="OP59" t="s">
        <v>1900</v>
      </c>
      <c r="OQ59" t="s">
        <v>1900</v>
      </c>
      <c r="OR59" t="s">
        <v>1900</v>
      </c>
      <c r="OS59" t="s">
        <v>1900</v>
      </c>
      <c r="OT59" t="s">
        <v>1900</v>
      </c>
      <c r="OU59" t="s">
        <v>1900</v>
      </c>
      <c r="OV59" t="s">
        <v>1900</v>
      </c>
      <c r="OW59" t="s">
        <v>1900</v>
      </c>
      <c r="OX59" t="s">
        <v>1900</v>
      </c>
      <c r="OY59" t="s">
        <v>1900</v>
      </c>
      <c r="OZ59" t="s">
        <v>1900</v>
      </c>
      <c r="PA59" t="s">
        <v>1900</v>
      </c>
      <c r="PB59" t="s">
        <v>1900</v>
      </c>
      <c r="PC59" t="s">
        <v>1900</v>
      </c>
      <c r="PD59" t="s">
        <v>1900</v>
      </c>
      <c r="PE59" t="s">
        <v>1900</v>
      </c>
      <c r="PF59" t="s">
        <v>1900</v>
      </c>
      <c r="PG59" t="s">
        <v>1900</v>
      </c>
      <c r="PH59" t="s">
        <v>1900</v>
      </c>
      <c r="PI59" t="s">
        <v>1900</v>
      </c>
      <c r="PJ59" t="s">
        <v>1900</v>
      </c>
      <c r="PK59" t="s">
        <v>1900</v>
      </c>
      <c r="PL59" t="s">
        <v>1900</v>
      </c>
      <c r="PM59" t="s">
        <v>1900</v>
      </c>
      <c r="PN59" t="s">
        <v>1900</v>
      </c>
      <c r="PO59" t="s">
        <v>1900</v>
      </c>
      <c r="PP59" t="s">
        <v>1900</v>
      </c>
      <c r="PQ59" t="s">
        <v>1900</v>
      </c>
      <c r="PR59" t="s">
        <v>1900</v>
      </c>
      <c r="PS59" t="s">
        <v>1900</v>
      </c>
      <c r="PT59" t="s">
        <v>1900</v>
      </c>
      <c r="PU59" t="s">
        <v>1900</v>
      </c>
      <c r="PV59" t="s">
        <v>1900</v>
      </c>
      <c r="PW59" t="s">
        <v>1900</v>
      </c>
      <c r="PX59" t="s">
        <v>1900</v>
      </c>
      <c r="PY59" t="s">
        <v>1900</v>
      </c>
      <c r="PZ59" t="s">
        <v>1900</v>
      </c>
      <c r="QA59" t="s">
        <v>1900</v>
      </c>
      <c r="QB59" t="s">
        <v>1900</v>
      </c>
      <c r="QC59" t="s">
        <v>1900</v>
      </c>
      <c r="QD59" t="s">
        <v>1900</v>
      </c>
      <c r="QE59" t="s">
        <v>1900</v>
      </c>
      <c r="QF59" t="s">
        <v>1900</v>
      </c>
      <c r="QG59" t="s">
        <v>1900</v>
      </c>
      <c r="QH59" t="s">
        <v>1900</v>
      </c>
      <c r="QI59" t="s">
        <v>1900</v>
      </c>
      <c r="QJ59" t="s">
        <v>1900</v>
      </c>
      <c r="QK59" t="s">
        <v>1900</v>
      </c>
      <c r="QL59" t="s">
        <v>1900</v>
      </c>
      <c r="QM59" t="s">
        <v>1900</v>
      </c>
      <c r="QN59" t="s">
        <v>1900</v>
      </c>
      <c r="QO59" t="s">
        <v>1900</v>
      </c>
      <c r="QP59" t="s">
        <v>1900</v>
      </c>
      <c r="QQ59" t="s">
        <v>1900</v>
      </c>
      <c r="QR59" t="s">
        <v>1900</v>
      </c>
      <c r="QS59" t="s">
        <v>1900</v>
      </c>
      <c r="QT59" t="s">
        <v>1900</v>
      </c>
      <c r="QU59" t="s">
        <v>1900</v>
      </c>
      <c r="QV59" t="s">
        <v>1900</v>
      </c>
      <c r="QW59" t="s">
        <v>1900</v>
      </c>
      <c r="QX59" t="s">
        <v>1900</v>
      </c>
      <c r="QY59" t="s">
        <v>1900</v>
      </c>
      <c r="QZ59" t="s">
        <v>1900</v>
      </c>
      <c r="RA59" t="s">
        <v>1900</v>
      </c>
      <c r="RB59" t="s">
        <v>1900</v>
      </c>
      <c r="RC59" t="s">
        <v>1900</v>
      </c>
      <c r="RD59" t="s">
        <v>1900</v>
      </c>
      <c r="RE59" t="s">
        <v>1900</v>
      </c>
      <c r="RF59" t="s">
        <v>1900</v>
      </c>
      <c r="RG59" t="s">
        <v>1900</v>
      </c>
      <c r="RH59" t="s">
        <v>1900</v>
      </c>
      <c r="RI59" t="s">
        <v>1900</v>
      </c>
      <c r="RJ59" t="s">
        <v>1900</v>
      </c>
      <c r="RK59" t="s">
        <v>1900</v>
      </c>
      <c r="RL59" t="s">
        <v>1900</v>
      </c>
      <c r="RM59" t="s">
        <v>1900</v>
      </c>
      <c r="RN59" t="s">
        <v>1900</v>
      </c>
      <c r="RO59" t="s">
        <v>1900</v>
      </c>
      <c r="RP59" t="s">
        <v>1900</v>
      </c>
      <c r="RQ59" t="s">
        <v>1900</v>
      </c>
      <c r="RR59" t="s">
        <v>1900</v>
      </c>
      <c r="RS59" t="s">
        <v>1900</v>
      </c>
      <c r="RT59" t="s">
        <v>1900</v>
      </c>
      <c r="RU59" t="s">
        <v>1900</v>
      </c>
      <c r="RV59" t="s">
        <v>1900</v>
      </c>
      <c r="RW59" t="s">
        <v>1900</v>
      </c>
      <c r="RX59" t="s">
        <v>1900</v>
      </c>
      <c r="RY59" t="s">
        <v>1900</v>
      </c>
      <c r="RZ59" t="s">
        <v>1900</v>
      </c>
      <c r="SA59" t="s">
        <v>1900</v>
      </c>
      <c r="SB59" t="s">
        <v>1900</v>
      </c>
      <c r="SC59" t="s">
        <v>1900</v>
      </c>
      <c r="SD59" t="s">
        <v>1900</v>
      </c>
      <c r="SE59" t="s">
        <v>1900</v>
      </c>
      <c r="SF59" t="s">
        <v>1900</v>
      </c>
      <c r="SG59" t="s">
        <v>1900</v>
      </c>
      <c r="SH59" t="s">
        <v>1900</v>
      </c>
      <c r="SI59" t="s">
        <v>1900</v>
      </c>
      <c r="SJ59">
        <v>31662.2504161739</v>
      </c>
      <c r="SK59">
        <v>28496.493138876</v>
      </c>
      <c r="SL59">
        <v>11975.4580077189</v>
      </c>
      <c r="SM59">
        <v>3410.33880779743</v>
      </c>
      <c r="SN59">
        <v>6299.94007427096</v>
      </c>
      <c r="SO59" t="s">
        <v>1900</v>
      </c>
      <c r="SP59" t="s">
        <v>1900</v>
      </c>
      <c r="SQ59" t="s">
        <v>1900</v>
      </c>
      <c r="SR59" t="s">
        <v>1900</v>
      </c>
      <c r="SS59" t="s">
        <v>1900</v>
      </c>
      <c r="ST59" t="s">
        <v>1900</v>
      </c>
      <c r="SU59" t="s">
        <v>1900</v>
      </c>
      <c r="SV59" t="s">
        <v>1900</v>
      </c>
      <c r="SW59" t="s">
        <v>1900</v>
      </c>
      <c r="SX59" t="s">
        <v>1900</v>
      </c>
      <c r="SY59" t="s">
        <v>1900</v>
      </c>
      <c r="SZ59" t="s">
        <v>1900</v>
      </c>
      <c r="TA59" t="s">
        <v>1900</v>
      </c>
      <c r="TB59" t="s">
        <v>1900</v>
      </c>
      <c r="TC59" t="s">
        <v>1900</v>
      </c>
      <c r="TD59" t="s">
        <v>1900</v>
      </c>
      <c r="TE59" t="s">
        <v>1900</v>
      </c>
      <c r="TF59" t="s">
        <v>1900</v>
      </c>
      <c r="TG59" t="s">
        <v>1900</v>
      </c>
      <c r="TH59" t="s">
        <v>1900</v>
      </c>
      <c r="TI59" t="s">
        <v>1900</v>
      </c>
      <c r="TJ59" t="s">
        <v>1900</v>
      </c>
      <c r="TK59" t="s">
        <v>1900</v>
      </c>
      <c r="TL59" t="s">
        <v>1900</v>
      </c>
      <c r="TM59" t="s">
        <v>1900</v>
      </c>
      <c r="TN59" t="s">
        <v>1900</v>
      </c>
      <c r="TO59" t="s">
        <v>1900</v>
      </c>
      <c r="TP59" t="s">
        <v>1900</v>
      </c>
      <c r="TQ59" t="s">
        <v>1900</v>
      </c>
      <c r="TR59" t="s">
        <v>1900</v>
      </c>
      <c r="TS59">
        <v>2134086.62776141</v>
      </c>
      <c r="TT59">
        <v>2208851.33825534</v>
      </c>
      <c r="TU59">
        <v>1952519.25239869</v>
      </c>
      <c r="TV59">
        <v>2114187.23304992</v>
      </c>
      <c r="TW59">
        <v>2336519.64106535</v>
      </c>
      <c r="TX59" t="s">
        <v>1900</v>
      </c>
      <c r="TY59" t="s">
        <v>1900</v>
      </c>
      <c r="TZ59" t="s">
        <v>1900</v>
      </c>
      <c r="UA59" t="s">
        <v>1900</v>
      </c>
      <c r="UB59" t="s">
        <v>1900</v>
      </c>
      <c r="UC59">
        <v>0</v>
      </c>
      <c r="UD59">
        <v>0</v>
      </c>
      <c r="UE59">
        <v>0</v>
      </c>
      <c r="UF59">
        <v>0</v>
      </c>
      <c r="UG59">
        <v>0</v>
      </c>
      <c r="UH59" t="s">
        <v>1900</v>
      </c>
      <c r="UI59" t="s">
        <v>1900</v>
      </c>
      <c r="UJ59" t="s">
        <v>1900</v>
      </c>
      <c r="UK59" t="s">
        <v>1900</v>
      </c>
      <c r="UL59" t="s">
        <v>1900</v>
      </c>
      <c r="UM59" t="s">
        <v>1900</v>
      </c>
      <c r="UN59" t="s">
        <v>1900</v>
      </c>
      <c r="UO59" t="s">
        <v>1900</v>
      </c>
      <c r="UP59" t="s">
        <v>1900</v>
      </c>
      <c r="UQ59" t="s">
        <v>1900</v>
      </c>
      <c r="UR59" t="s">
        <v>1900</v>
      </c>
      <c r="US59" t="s">
        <v>1900</v>
      </c>
      <c r="UT59" t="s">
        <v>1900</v>
      </c>
      <c r="UU59" t="s">
        <v>1900</v>
      </c>
      <c r="UV59" t="s">
        <v>1900</v>
      </c>
      <c r="UW59" t="s">
        <v>1900</v>
      </c>
      <c r="UX59" t="s">
        <v>1900</v>
      </c>
      <c r="UY59" t="s">
        <v>1900</v>
      </c>
      <c r="UZ59" t="s">
        <v>1900</v>
      </c>
      <c r="VA59" t="s">
        <v>1900</v>
      </c>
      <c r="VB59" t="s">
        <v>1900</v>
      </c>
      <c r="VC59" t="s">
        <v>1900</v>
      </c>
      <c r="VD59" t="s">
        <v>1900</v>
      </c>
      <c r="VE59" t="s">
        <v>1900</v>
      </c>
      <c r="VF59" t="s">
        <v>1900</v>
      </c>
      <c r="VG59" t="s">
        <v>1900</v>
      </c>
      <c r="VH59" t="s">
        <v>1900</v>
      </c>
      <c r="VI59" t="s">
        <v>1900</v>
      </c>
      <c r="VJ59" t="s">
        <v>1900</v>
      </c>
      <c r="VK59" t="s">
        <v>1900</v>
      </c>
      <c r="VL59" t="s">
        <v>1900</v>
      </c>
      <c r="VM59" t="s">
        <v>1900</v>
      </c>
      <c r="VN59" t="s">
        <v>1900</v>
      </c>
      <c r="VO59" t="s">
        <v>1900</v>
      </c>
      <c r="VP59" t="s">
        <v>1900</v>
      </c>
      <c r="VQ59" t="s">
        <v>1900</v>
      </c>
      <c r="VR59" t="s">
        <v>1900</v>
      </c>
      <c r="VS59" t="s">
        <v>1900</v>
      </c>
      <c r="VT59" t="s">
        <v>1900</v>
      </c>
      <c r="VU59" t="s">
        <v>1900</v>
      </c>
      <c r="VV59" t="s">
        <v>1900</v>
      </c>
      <c r="VW59" t="s">
        <v>1900</v>
      </c>
      <c r="VX59" t="s">
        <v>1900</v>
      </c>
      <c r="VY59" t="s">
        <v>1900</v>
      </c>
      <c r="VZ59" t="s">
        <v>1900</v>
      </c>
      <c r="WA59">
        <v>171754.257875388</v>
      </c>
      <c r="WB59">
        <v>133432.180132723</v>
      </c>
      <c r="WC59">
        <v>119854.776433116</v>
      </c>
      <c r="WD59">
        <v>139217.13448298</v>
      </c>
      <c r="WE59">
        <v>127179.945916086</v>
      </c>
      <c r="WF59" t="s">
        <v>1900</v>
      </c>
      <c r="WG59" t="s">
        <v>1900</v>
      </c>
      <c r="WH59" t="s">
        <v>1900</v>
      </c>
      <c r="WI59" t="s">
        <v>1900</v>
      </c>
      <c r="WJ59" t="s">
        <v>1900</v>
      </c>
      <c r="WK59" t="s">
        <v>1900</v>
      </c>
      <c r="WL59" t="s">
        <v>1900</v>
      </c>
      <c r="WM59" t="s">
        <v>1900</v>
      </c>
      <c r="WN59" t="s">
        <v>1900</v>
      </c>
      <c r="WO59" t="s">
        <v>1900</v>
      </c>
      <c r="WP59" t="s">
        <v>1900</v>
      </c>
      <c r="WQ59" t="s">
        <v>1900</v>
      </c>
      <c r="WR59" t="s">
        <v>1900</v>
      </c>
      <c r="WS59" t="s">
        <v>1900</v>
      </c>
      <c r="WT59" t="s">
        <v>1900</v>
      </c>
      <c r="WU59" t="s">
        <v>1900</v>
      </c>
      <c r="WV59" t="s">
        <v>1900</v>
      </c>
      <c r="WW59" t="s">
        <v>1900</v>
      </c>
      <c r="WX59" t="s">
        <v>1900</v>
      </c>
      <c r="WY59" t="s">
        <v>1900</v>
      </c>
      <c r="WZ59" t="s">
        <v>1900</v>
      </c>
      <c r="XA59" t="s">
        <v>1900</v>
      </c>
      <c r="XB59" t="s">
        <v>1900</v>
      </c>
      <c r="XC59" t="s">
        <v>1900</v>
      </c>
      <c r="XD59" t="s">
        <v>1900</v>
      </c>
      <c r="XE59" t="s">
        <v>1900</v>
      </c>
      <c r="XF59" t="s">
        <v>1900</v>
      </c>
      <c r="XG59" t="s">
        <v>1900</v>
      </c>
      <c r="XH59" t="s">
        <v>1900</v>
      </c>
      <c r="XI59" t="s">
        <v>1900</v>
      </c>
      <c r="XJ59">
        <v>47623.5912927175</v>
      </c>
      <c r="XK59">
        <v>44472.7671088314</v>
      </c>
      <c r="XL59">
        <v>27042.3181074202</v>
      </c>
      <c r="XM59">
        <v>20044.7262634993</v>
      </c>
      <c r="XN59">
        <v>20759.8696118832</v>
      </c>
      <c r="XO59" t="s">
        <v>1900</v>
      </c>
      <c r="XP59" t="s">
        <v>1900</v>
      </c>
      <c r="XQ59" t="s">
        <v>1900</v>
      </c>
      <c r="XR59" t="s">
        <v>1900</v>
      </c>
      <c r="XS59" t="s">
        <v>1900</v>
      </c>
      <c r="XT59" t="s">
        <v>1900</v>
      </c>
      <c r="XU59" t="s">
        <v>1900</v>
      </c>
      <c r="XV59" t="s">
        <v>1900</v>
      </c>
      <c r="XW59" t="s">
        <v>1900</v>
      </c>
      <c r="XX59" t="s">
        <v>1900</v>
      </c>
      <c r="XY59" t="s">
        <v>1900</v>
      </c>
      <c r="XZ59" t="s">
        <v>1900</v>
      </c>
      <c r="YA59" t="s">
        <v>1900</v>
      </c>
      <c r="YB59" t="s">
        <v>1900</v>
      </c>
      <c r="YC59" t="s">
        <v>1900</v>
      </c>
      <c r="YD59" t="s">
        <v>1900</v>
      </c>
      <c r="YE59" t="s">
        <v>1900</v>
      </c>
      <c r="YF59" t="s">
        <v>1900</v>
      </c>
      <c r="YG59" t="s">
        <v>1900</v>
      </c>
      <c r="YH59" t="s">
        <v>1900</v>
      </c>
      <c r="YI59" t="s">
        <v>1900</v>
      </c>
      <c r="YJ59" t="s">
        <v>1900</v>
      </c>
      <c r="YK59" t="s">
        <v>1900</v>
      </c>
      <c r="YL59" t="s">
        <v>1900</v>
      </c>
      <c r="YM59" t="s">
        <v>1900</v>
      </c>
      <c r="YN59" t="s">
        <v>1900</v>
      </c>
      <c r="YO59" t="s">
        <v>1900</v>
      </c>
      <c r="YP59" t="s">
        <v>1900</v>
      </c>
      <c r="YQ59" t="s">
        <v>1900</v>
      </c>
      <c r="YR59" t="s">
        <v>1900</v>
      </c>
      <c r="YS59" t="s">
        <v>1900</v>
      </c>
      <c r="YT59" t="s">
        <v>1900</v>
      </c>
      <c r="YU59" t="s">
        <v>1900</v>
      </c>
      <c r="YV59" t="s">
        <v>1900</v>
      </c>
      <c r="YW59" t="s">
        <v>1900</v>
      </c>
      <c r="YX59" t="s">
        <v>1900</v>
      </c>
      <c r="YY59" t="s">
        <v>1900</v>
      </c>
      <c r="YZ59" t="s">
        <v>1900</v>
      </c>
      <c r="ZA59" t="s">
        <v>1900</v>
      </c>
      <c r="ZB59" t="s">
        <v>1900</v>
      </c>
      <c r="ZC59" t="s">
        <v>1900</v>
      </c>
      <c r="ZD59" t="s">
        <v>1900</v>
      </c>
      <c r="ZE59" t="s">
        <v>1900</v>
      </c>
      <c r="ZF59" t="s">
        <v>1900</v>
      </c>
      <c r="ZG59" t="s">
        <v>1900</v>
      </c>
      <c r="ZH59" t="s">
        <v>1900</v>
      </c>
      <c r="ZI59" t="s">
        <v>1900</v>
      </c>
      <c r="ZJ59" t="s">
        <v>1900</v>
      </c>
      <c r="ZK59" t="s">
        <v>1900</v>
      </c>
      <c r="ZL59" t="s">
        <v>1900</v>
      </c>
      <c r="ZM59" t="s">
        <v>1900</v>
      </c>
      <c r="ZN59" t="s">
        <v>1900</v>
      </c>
      <c r="ZO59" t="s">
        <v>1900</v>
      </c>
      <c r="ZP59" t="s">
        <v>1900</v>
      </c>
      <c r="ZQ59" t="s">
        <v>1900</v>
      </c>
      <c r="ZR59" t="s">
        <v>1900</v>
      </c>
      <c r="ZS59" t="s">
        <v>1900</v>
      </c>
      <c r="ZT59" t="s">
        <v>1900</v>
      </c>
      <c r="ZU59" t="s">
        <v>1900</v>
      </c>
      <c r="ZV59" t="s">
        <v>1900</v>
      </c>
      <c r="ZW59" t="s">
        <v>1900</v>
      </c>
      <c r="ZX59" t="s">
        <v>1900</v>
      </c>
      <c r="ZY59" t="s">
        <v>1900</v>
      </c>
      <c r="ZZ59" t="s">
        <v>1900</v>
      </c>
      <c r="AAA59" t="s">
        <v>1900</v>
      </c>
      <c r="AAB59" t="s">
        <v>1900</v>
      </c>
      <c r="AAC59" t="s">
        <v>1900</v>
      </c>
      <c r="AAD59" t="s">
        <v>1900</v>
      </c>
      <c r="AAE59" t="s">
        <v>1900</v>
      </c>
      <c r="AAF59" t="s">
        <v>1900</v>
      </c>
      <c r="AAG59" t="s">
        <v>1900</v>
      </c>
      <c r="AAH59" t="s">
        <v>1900</v>
      </c>
      <c r="AAI59" t="s">
        <v>1900</v>
      </c>
      <c r="AAJ59" t="s">
        <v>1900</v>
      </c>
      <c r="AAK59" t="s">
        <v>1900</v>
      </c>
      <c r="AAL59" t="s">
        <v>1900</v>
      </c>
      <c r="AAM59" t="s">
        <v>1900</v>
      </c>
      <c r="AAN59" t="s">
        <v>1900</v>
      </c>
      <c r="AAO59" t="s">
        <v>1900</v>
      </c>
      <c r="AAP59" t="s">
        <v>1900</v>
      </c>
      <c r="AAQ59" t="s">
        <v>1900</v>
      </c>
      <c r="AAR59" t="s">
        <v>1900</v>
      </c>
      <c r="AAS59" t="s">
        <v>1900</v>
      </c>
      <c r="AAT59" t="s">
        <v>1900</v>
      </c>
      <c r="AAU59" t="s">
        <v>1900</v>
      </c>
      <c r="AAV59" t="s">
        <v>1900</v>
      </c>
      <c r="AAW59" t="s">
        <v>1900</v>
      </c>
      <c r="AAX59" t="s">
        <v>1900</v>
      </c>
      <c r="AAY59" t="s">
        <v>1900</v>
      </c>
      <c r="AAZ59" t="s">
        <v>1900</v>
      </c>
      <c r="ABA59" t="s">
        <v>1900</v>
      </c>
      <c r="ABB59" t="s">
        <v>1900</v>
      </c>
      <c r="ABC59" t="s">
        <v>1900</v>
      </c>
      <c r="ABD59" t="s">
        <v>1900</v>
      </c>
      <c r="ABE59" t="s">
        <v>1900</v>
      </c>
      <c r="ABF59" t="s">
        <v>1900</v>
      </c>
      <c r="ABG59" t="s">
        <v>1900</v>
      </c>
      <c r="ABH59" t="s">
        <v>1900</v>
      </c>
      <c r="ABI59" t="s">
        <v>1900</v>
      </c>
      <c r="ABJ59" t="s">
        <v>1900</v>
      </c>
      <c r="ABK59" t="s">
        <v>1900</v>
      </c>
      <c r="ABL59" t="s">
        <v>1900</v>
      </c>
      <c r="ABM59" t="s">
        <v>1900</v>
      </c>
      <c r="ABN59" t="s">
        <v>1900</v>
      </c>
      <c r="ABO59" t="s">
        <v>1900</v>
      </c>
      <c r="ABP59" t="s">
        <v>1900</v>
      </c>
      <c r="ABQ59" t="s">
        <v>1900</v>
      </c>
      <c r="ABR59" t="s">
        <v>1900</v>
      </c>
      <c r="ABS59" t="s">
        <v>1900</v>
      </c>
      <c r="ABT59" t="s">
        <v>1900</v>
      </c>
      <c r="ABU59" t="s">
        <v>1900</v>
      </c>
      <c r="ABV59" t="s">
        <v>1900</v>
      </c>
      <c r="ABW59" t="s">
        <v>1900</v>
      </c>
      <c r="ABX59" t="s">
        <v>1900</v>
      </c>
      <c r="ABY59" t="s">
        <v>1900</v>
      </c>
      <c r="ABZ59" t="s">
        <v>1900</v>
      </c>
      <c r="ACA59" t="s">
        <v>1900</v>
      </c>
      <c r="ACB59" t="s">
        <v>1900</v>
      </c>
      <c r="ACC59" t="s">
        <v>1900</v>
      </c>
      <c r="ACD59" t="s">
        <v>1900</v>
      </c>
      <c r="ACE59">
        <v>8.539999999999999</v>
      </c>
      <c r="ACF59">
        <v>4.7</v>
      </c>
      <c r="ACG59">
        <v>2.361</v>
      </c>
      <c r="ACH59">
        <v>4.68</v>
      </c>
      <c r="ACI59">
        <v>-1.652</v>
      </c>
      <c r="ACJ59">
        <v>8.343</v>
      </c>
      <c r="ACK59">
        <v>4.587</v>
      </c>
      <c r="ACL59">
        <v>2.337</v>
      </c>
      <c r="ACM59">
        <v>4.628</v>
      </c>
      <c r="ACN59">
        <v>-1.633</v>
      </c>
      <c r="ACO59">
        <v>6.756</v>
      </c>
      <c r="ACP59">
        <v>3.612</v>
      </c>
      <c r="ACQ59">
        <v>1.899</v>
      </c>
      <c r="ACR59">
        <v>3.65</v>
      </c>
      <c r="ACS59">
        <v>-1.313</v>
      </c>
      <c r="ACT59">
        <v>7.437</v>
      </c>
      <c r="ACU59">
        <v>4.419</v>
      </c>
      <c r="ACV59">
        <v>2.352</v>
      </c>
      <c r="ACW59">
        <v>3.618</v>
      </c>
      <c r="ACX59">
        <v>-1.45</v>
      </c>
      <c r="ACY59">
        <v>7.27</v>
      </c>
      <c r="ACZ59">
        <v>4.319</v>
      </c>
      <c r="ADA59">
        <v>2.328</v>
      </c>
      <c r="ADB59">
        <v>3.579</v>
      </c>
      <c r="ADC59">
        <v>-1.433</v>
      </c>
      <c r="ADD59">
        <v>5.884</v>
      </c>
      <c r="ADE59">
        <v>3.396</v>
      </c>
      <c r="ADF59">
        <v>1.892</v>
      </c>
      <c r="ADG59">
        <v>2.822</v>
      </c>
      <c r="ADH59">
        <v>-1.152</v>
      </c>
      <c r="ADI59">
        <v>6.564</v>
      </c>
      <c r="ADJ59">
        <v>4.128</v>
      </c>
      <c r="ADK59">
        <v>1.988</v>
      </c>
      <c r="ADL59">
        <v>3.618</v>
      </c>
      <c r="ADM59">
        <v>-1.464</v>
      </c>
      <c r="ADN59">
        <v>61.288</v>
      </c>
      <c r="ADO59">
        <v>61.027</v>
      </c>
      <c r="ADP59">
        <v>55.698</v>
      </c>
      <c r="ADQ59">
        <v>60.815</v>
      </c>
      <c r="ADR59">
        <v>59.436</v>
      </c>
      <c r="ADS59">
        <v>5.852890199</v>
      </c>
      <c r="ADT59">
        <v>3.992411851</v>
      </c>
      <c r="ADU59">
        <v>2.001473075</v>
      </c>
      <c r="ADV59">
        <v>3.621418058</v>
      </c>
      <c r="ADW59">
        <v>-1.462598295</v>
      </c>
      <c r="ADX59">
        <v>8.313000000000001</v>
      </c>
      <c r="ADY59">
        <v>6.312</v>
      </c>
      <c r="ADZ59">
        <v>4.351</v>
      </c>
      <c r="AEA59">
        <v>5.18</v>
      </c>
      <c r="AEB59">
        <v>0.301</v>
      </c>
      <c r="AEC59">
        <v>5.853</v>
      </c>
      <c r="AED59">
        <v>3.992</v>
      </c>
      <c r="AEE59">
        <v>2.001</v>
      </c>
      <c r="AEF59">
        <v>3.621</v>
      </c>
      <c r="AEG59">
        <v>-1.463</v>
      </c>
      <c r="AEH59">
        <v>8.176</v>
      </c>
      <c r="AEI59">
        <v>6.201</v>
      </c>
      <c r="AEJ59">
        <v>4.33</v>
      </c>
      <c r="AEK59">
        <v>4.356</v>
      </c>
      <c r="AEL59">
        <v>0.479</v>
      </c>
      <c r="AEM59">
        <v>6.216749735</v>
      </c>
      <c r="AEN59">
        <v>4.158433649</v>
      </c>
      <c r="AEO59">
        <v>2.042350164</v>
      </c>
      <c r="AEP59">
        <v>3.757492572</v>
      </c>
      <c r="AEQ59">
        <v>-1.441514725</v>
      </c>
      <c r="AER59">
        <v>1.105580787</v>
      </c>
      <c r="AES59">
        <v>1.070000286</v>
      </c>
      <c r="AET59">
        <v>1.037274087</v>
      </c>
      <c r="AEU59">
        <v>1.06331909</v>
      </c>
      <c r="AEV59">
        <v>0.975983076</v>
      </c>
      <c r="AEW59" t="s">
        <v>1900</v>
      </c>
      <c r="AEX59" t="s">
        <v>1900</v>
      </c>
      <c r="AEY59" t="s">
        <v>1900</v>
      </c>
      <c r="AEZ59" t="s">
        <v>1900</v>
      </c>
      <c r="AFA59" t="s">
        <v>1900</v>
      </c>
      <c r="AFB59" t="s">
        <v>1900</v>
      </c>
      <c r="AFC59" t="s">
        <v>1900</v>
      </c>
      <c r="AFD59" t="s">
        <v>1900</v>
      </c>
      <c r="AFE59" t="s">
        <v>1900</v>
      </c>
      <c r="AFF59" t="s">
        <v>1900</v>
      </c>
      <c r="AFG59">
        <v>1.265</v>
      </c>
      <c r="AFH59">
        <v>1.088</v>
      </c>
      <c r="AFI59">
        <v>1.168</v>
      </c>
      <c r="AFJ59">
        <v>1.278</v>
      </c>
      <c r="AFK59">
        <v>1.116</v>
      </c>
      <c r="AFL59">
        <v>199.144</v>
      </c>
      <c r="AFM59">
        <v>45.581</v>
      </c>
      <c r="AFN59">
        <v>145.859</v>
      </c>
      <c r="AFO59" t="s">
        <v>1901</v>
      </c>
      <c r="AFP59" t="s">
        <v>1901</v>
      </c>
      <c r="AFQ59">
        <v>47.378</v>
      </c>
      <c r="AFR59">
        <v>36.483</v>
      </c>
      <c r="AFS59">
        <v>32.235</v>
      </c>
      <c r="AFT59">
        <v>41.576</v>
      </c>
      <c r="AFU59">
        <v>36.841</v>
      </c>
      <c r="AFV59">
        <v>122.339</v>
      </c>
      <c r="AFW59">
        <v>146.579</v>
      </c>
      <c r="AFX59">
        <v>127.722</v>
      </c>
      <c r="AFY59">
        <v>134.142</v>
      </c>
      <c r="AFZ59">
        <v>151.13</v>
      </c>
      <c r="AGA59">
        <v>37.114</v>
      </c>
      <c r="AGB59">
        <v>55.734</v>
      </c>
      <c r="AGC59">
        <v>45.398</v>
      </c>
      <c r="AGD59">
        <v>51.695</v>
      </c>
      <c r="AGE59">
        <v>57.025</v>
      </c>
      <c r="AGF59" t="s">
        <v>1900</v>
      </c>
      <c r="AGG59" t="s">
        <v>1900</v>
      </c>
      <c r="AGH59" t="s">
        <v>1900</v>
      </c>
      <c r="AGI59" t="s">
        <v>1900</v>
      </c>
      <c r="AGJ59" t="s">
        <v>1900</v>
      </c>
      <c r="AGK59" t="s">
        <v>1900</v>
      </c>
      <c r="AGL59" t="s">
        <v>1900</v>
      </c>
      <c r="AGM59" t="s">
        <v>1900</v>
      </c>
      <c r="AGN59" t="s">
        <v>1900</v>
      </c>
      <c r="AGO59" t="s">
        <v>1900</v>
      </c>
      <c r="AGP59" t="s">
        <v>1900</v>
      </c>
      <c r="AGQ59" t="s">
        <v>1900</v>
      </c>
      <c r="AGR59" t="s">
        <v>1900</v>
      </c>
      <c r="AGS59" t="s">
        <v>1900</v>
      </c>
      <c r="AGT59" t="s">
        <v>1900</v>
      </c>
      <c r="AGU59">
        <v>0</v>
      </c>
      <c r="AGV59">
        <v>0</v>
      </c>
      <c r="AGW59">
        <v>0</v>
      </c>
      <c r="AGX59">
        <v>0</v>
      </c>
      <c r="AGY59">
        <v>0</v>
      </c>
      <c r="AGZ59">
        <v>4.318</v>
      </c>
      <c r="AHA59">
        <v>4.13</v>
      </c>
      <c r="AHB59">
        <v>4.609</v>
      </c>
      <c r="AHC59">
        <v>4.076</v>
      </c>
      <c r="AHD59">
        <v>4.353</v>
      </c>
      <c r="AHE59">
        <v>4.202</v>
      </c>
      <c r="AHF59">
        <v>4.008</v>
      </c>
      <c r="AHG59">
        <v>4.446</v>
      </c>
      <c r="AHH59">
        <v>3.961</v>
      </c>
      <c r="AHI59">
        <v>4.229</v>
      </c>
      <c r="AHJ59">
        <v>35.45</v>
      </c>
      <c r="AHK59">
        <v>21.562</v>
      </c>
      <c r="AHL59">
        <v>58.071</v>
      </c>
      <c r="AHM59">
        <v>82.251</v>
      </c>
      <c r="AHN59">
        <v>89.43300000000001</v>
      </c>
      <c r="AHO59">
        <v>79.11</v>
      </c>
      <c r="AHP59">
        <v>76.848</v>
      </c>
      <c r="AHQ59">
        <v>80.428</v>
      </c>
      <c r="AHR59">
        <v>77.983</v>
      </c>
      <c r="AHS59">
        <v>79.461</v>
      </c>
      <c r="AHT59" t="s">
        <v>1901</v>
      </c>
      <c r="AHU59" t="s">
        <v>1901</v>
      </c>
      <c r="AHV59" t="s">
        <v>1901</v>
      </c>
      <c r="AHW59" t="s">
        <v>1901</v>
      </c>
      <c r="AHX59" t="s">
        <v>1901</v>
      </c>
      <c r="AHY59">
        <v>2.821</v>
      </c>
      <c r="AHZ59">
        <v>4.638</v>
      </c>
      <c r="AIA59">
        <v>1.722</v>
      </c>
      <c r="AIB59">
        <v>1.216</v>
      </c>
      <c r="AIC59">
        <v>1.118</v>
      </c>
      <c r="AID59">
        <v>1.483644103</v>
      </c>
      <c r="AIE59">
        <v>1.290104619</v>
      </c>
      <c r="AIF59">
        <v>0.613333671</v>
      </c>
      <c r="AIG59">
        <v>0.161307322</v>
      </c>
      <c r="AIH59">
        <v>0.269629237</v>
      </c>
      <c r="AII59">
        <v>43.425642983</v>
      </c>
      <c r="AIJ59">
        <v>42.881254543</v>
      </c>
      <c r="AIK59">
        <v>46.968981118</v>
      </c>
      <c r="AIL59">
        <v>45.861741057</v>
      </c>
      <c r="AIM59">
        <v>45.455278609</v>
      </c>
      <c r="AIN59">
        <v>8.048138986</v>
      </c>
      <c r="AIO59">
        <v>6.040794952</v>
      </c>
      <c r="AIP59">
        <v>6.138468355</v>
      </c>
      <c r="AIQ59">
        <v>6.584900916</v>
      </c>
      <c r="AIR59">
        <v>5.443136179</v>
      </c>
      <c r="AIS59">
        <v>5.452238577</v>
      </c>
      <c r="AIT59">
        <v>7.033044484</v>
      </c>
      <c r="AIU59">
        <v>7.002462177</v>
      </c>
      <c r="AIV59">
        <v>6.13808077</v>
      </c>
      <c r="AIW59">
        <v>6.691510848</v>
      </c>
      <c r="AIX59">
        <v>18.0227450846909</v>
      </c>
      <c r="AIY59">
        <v>11.3980989003267</v>
      </c>
      <c r="AIZ59">
        <v>5.29737195178449</v>
      </c>
      <c r="AJA59">
        <v>12.8597171788001</v>
      </c>
      <c r="AJB59">
        <v>-3.40819713240981</v>
      </c>
      <c r="AJC59">
        <v>274.552015839257</v>
      </c>
      <c r="AJD59">
        <v>276.12487327645</v>
      </c>
      <c r="AJE59">
        <v>266.500743323941</v>
      </c>
      <c r="AJF59">
        <v>355.41446384481</v>
      </c>
      <c r="AJG59">
        <v>232.855679737546</v>
      </c>
      <c r="AJH59">
        <v>25.876</v>
      </c>
      <c r="AJI59">
        <v>26.654</v>
      </c>
      <c r="AJJ59">
        <v>23.748</v>
      </c>
      <c r="AJK59">
        <v>26.799</v>
      </c>
      <c r="AJL59">
        <v>31.208</v>
      </c>
      <c r="AJM59">
        <v>71.0433280692304</v>
      </c>
      <c r="AJN59">
        <v>73.5984033300591</v>
      </c>
      <c r="AJO59">
        <v>63.2897065785581</v>
      </c>
      <c r="AJP59">
        <v>95.24707957232241</v>
      </c>
      <c r="AJQ59">
        <v>72.66954204668281</v>
      </c>
      <c r="AJR59">
        <v>211.03401061732</v>
      </c>
      <c r="AJS59">
        <v>242.49300304288</v>
      </c>
      <c r="AJT59">
        <v>224.338708712579</v>
      </c>
      <c r="AJU59">
        <v>274.78459472419</v>
      </c>
      <c r="AJV59">
        <v>206.290422973644</v>
      </c>
      <c r="AJW59">
        <v>70.7914593423334</v>
      </c>
      <c r="AJX59">
        <v>77.24774481783869</v>
      </c>
      <c r="AJY59">
        <v>69.2102264821637</v>
      </c>
      <c r="AJZ59">
        <v>89.9456799373627</v>
      </c>
      <c r="AKA59">
        <v>67.1894098349714</v>
      </c>
      <c r="AKB59">
        <v>266.760828210451</v>
      </c>
      <c r="AKC59">
        <v>315.550191495048</v>
      </c>
      <c r="AKD59">
        <v>278.931321466498</v>
      </c>
      <c r="AKE59">
        <v>352.364538841653</v>
      </c>
      <c r="AKF59">
        <v>259.613292906328</v>
      </c>
      <c r="AKG59">
        <v>5.452238577</v>
      </c>
      <c r="AKH59">
        <v>7.033044484</v>
      </c>
      <c r="AKI59">
        <v>7.002462177</v>
      </c>
      <c r="AKJ59">
        <v>6.13808077</v>
      </c>
      <c r="AKK59">
        <v>6.691510848</v>
      </c>
      <c r="AKL59">
        <v>2.110666623</v>
      </c>
      <c r="AKM59">
        <v>2.741014189</v>
      </c>
      <c r="AKN59">
        <v>3.102260711</v>
      </c>
      <c r="AKO59">
        <v>2.405233603</v>
      </c>
      <c r="AKP59">
        <v>2.714340793</v>
      </c>
      <c r="AKQ59">
        <v>2.172312098</v>
      </c>
      <c r="AKR59">
        <v>2.398547737</v>
      </c>
      <c r="AKS59">
        <v>2.964008415</v>
      </c>
      <c r="AKT59">
        <v>2.42605233</v>
      </c>
      <c r="AKU59">
        <v>2.434581308</v>
      </c>
      <c r="AKV59">
        <v>0.828529546</v>
      </c>
      <c r="AKW59">
        <v>0.336286756</v>
      </c>
      <c r="AKX59">
        <v>0.33632238</v>
      </c>
      <c r="AKY59">
        <v>0.312421698</v>
      </c>
      <c r="AKZ59">
        <v>0.3444302</v>
      </c>
      <c r="ALA59">
        <v>0.852728108</v>
      </c>
      <c r="ALB59">
        <v>0.294270581</v>
      </c>
      <c r="ALC59">
        <v>0.321334168</v>
      </c>
      <c r="ALD59">
        <v>0.315125894</v>
      </c>
      <c r="ALE59">
        <v>0.308930746</v>
      </c>
      <c r="ALF59">
        <v>16.605105557</v>
      </c>
      <c r="ALG59">
        <v>20.006168968</v>
      </c>
      <c r="ALH59">
        <v>15.945733948</v>
      </c>
      <c r="ALI59">
        <v>13.534413792</v>
      </c>
      <c r="ALJ59">
        <v>15.472590251</v>
      </c>
      <c r="ALK59">
        <v>17.090084858</v>
      </c>
      <c r="ALL59">
        <v>17.506568004</v>
      </c>
      <c r="ALM59">
        <v>15.235112072</v>
      </c>
      <c r="ALN59">
        <v>13.651562192</v>
      </c>
      <c r="ALO59">
        <v>13.877873813</v>
      </c>
      <c r="ALP59">
        <v>33.983057018</v>
      </c>
      <c r="ALQ59">
        <v>40.716426309</v>
      </c>
      <c r="ALR59">
        <v>35.478322482</v>
      </c>
      <c r="ALS59">
        <v>37.261689128</v>
      </c>
      <c r="ALT59">
        <v>41.980520698</v>
      </c>
      <c r="ALU59">
        <v>30.336797996</v>
      </c>
      <c r="ALV59">
        <v>38.023436482</v>
      </c>
      <c r="ALW59">
        <v>35.544491383</v>
      </c>
      <c r="ALX59">
        <v>38.53732377</v>
      </c>
      <c r="ALY59">
        <v>37.732576821</v>
      </c>
      <c r="ALZ59">
        <v>61.2880729125412</v>
      </c>
      <c r="AMA59">
        <v>61.026633641255</v>
      </c>
      <c r="AMB59">
        <v>55.6975727590919</v>
      </c>
      <c r="AMC59">
        <v>60.814565773195</v>
      </c>
      <c r="AMD59">
        <v>59.4360548105856</v>
      </c>
      <c r="AME59">
        <v>63.3667324751335</v>
      </c>
      <c r="AMF59">
        <v>61.5173802659844</v>
      </c>
      <c r="AMG59">
        <v>55.6975727590919</v>
      </c>
      <c r="AMH59">
        <v>60.814565773195</v>
      </c>
      <c r="AMI59">
        <v>59.4360548105856</v>
      </c>
      <c r="AMJ59">
        <v>158.318320795754</v>
      </c>
      <c r="AMK59">
        <v>156.585482426718</v>
      </c>
      <c r="AML59">
        <v>125.721266819579</v>
      </c>
      <c r="AMM59">
        <v>155.196865807843</v>
      </c>
      <c r="AMN59">
        <v>146.524344545501</v>
      </c>
      <c r="AMO59">
        <v>1.10558078665619</v>
      </c>
      <c r="AMP59">
        <v>1.07000028517119</v>
      </c>
      <c r="AMQ59">
        <v>1.03727408670385</v>
      </c>
      <c r="AMR59">
        <v>1.06331908982581</v>
      </c>
      <c r="AMS59">
        <v>0.975983076473161</v>
      </c>
      <c r="AMT59">
        <v>1.10558078665619</v>
      </c>
      <c r="AMU59">
        <v>1.07000028617355</v>
      </c>
      <c r="AMV59">
        <v>1.03727408670385</v>
      </c>
      <c r="AMW59">
        <v>1.06331908982581</v>
      </c>
      <c r="AMX59">
        <v>0.975983076473161</v>
      </c>
      <c r="AMY59">
        <v>1.10558078665619</v>
      </c>
      <c r="AMZ59">
        <v>1.07000028617355</v>
      </c>
      <c r="ANA59">
        <v>1.03727408670385</v>
      </c>
      <c r="ANB59">
        <v>1.06331908982581</v>
      </c>
      <c r="ANC59">
        <v>0.975983076473161</v>
      </c>
      <c r="AND59">
        <v>5.85289019929404</v>
      </c>
      <c r="ANE59">
        <v>3.99241185100518</v>
      </c>
      <c r="ANF59">
        <v>2.00147307527328</v>
      </c>
      <c r="ANG59">
        <v>3.6214180576231</v>
      </c>
      <c r="ANH59">
        <v>-1.46259829451264</v>
      </c>
      <c r="ANI59">
        <v>6.05139809166857</v>
      </c>
      <c r="ANJ59">
        <v>4.02451689307464</v>
      </c>
      <c r="ANK59">
        <v>2.00147307527328</v>
      </c>
      <c r="ANL59">
        <v>3.6214180576231</v>
      </c>
      <c r="ANM59">
        <v>-1.46259829451264</v>
      </c>
      <c r="ANN59">
        <v>6.21674973526394</v>
      </c>
      <c r="ANO59">
        <v>4.15843364881672</v>
      </c>
      <c r="ANP59">
        <v>2.04235016390667</v>
      </c>
      <c r="ANQ59">
        <v>3.75749257214459</v>
      </c>
      <c r="ANR59">
        <v>-1.44151472473354</v>
      </c>
      <c r="ANS59">
        <v>7.40561923662999</v>
      </c>
      <c r="ANT59">
        <v>4.34463172674424</v>
      </c>
      <c r="ANU59">
        <v>2.33737786447338</v>
      </c>
      <c r="ANV59">
        <v>4.62778457929014</v>
      </c>
      <c r="ANW59">
        <v>-1.63268981898809</v>
      </c>
      <c r="ANX59">
        <v>61.2880729125412</v>
      </c>
      <c r="ANY59">
        <v>61.0266336984238</v>
      </c>
      <c r="ANZ59">
        <v>55.6975727590919</v>
      </c>
      <c r="AOA59">
        <v>60.814565773195</v>
      </c>
      <c r="AOB59">
        <v>59.4360548105856</v>
      </c>
      <c r="AOC59">
        <v>65.09819902308</v>
      </c>
      <c r="AOD59">
        <v>63.5643857093331</v>
      </c>
      <c r="AOE59">
        <v>56.8351122276292</v>
      </c>
      <c r="AOF59">
        <v>63.0996685649048</v>
      </c>
      <c r="AOG59">
        <v>58.5792753286903</v>
      </c>
      <c r="AOH59">
        <v>63.0780914488228</v>
      </c>
      <c r="AOI59">
        <v>53.4018738717975</v>
      </c>
      <c r="AOJ59">
        <v>53.2154095814454</v>
      </c>
      <c r="AOK59">
        <v>61.3409520047891</v>
      </c>
      <c r="AOL59">
        <v>53.310147504919</v>
      </c>
      <c r="AOM59">
        <v>15.1190876808356</v>
      </c>
      <c r="AON59">
        <v>10.2439492142194</v>
      </c>
      <c r="AOO59">
        <v>4.51775038055962</v>
      </c>
      <c r="AOP59">
        <v>9.241745380853409</v>
      </c>
      <c r="AOQ59">
        <v>-3.60566085888097</v>
      </c>
      <c r="AOR59">
        <v>10.5580786656186</v>
      </c>
      <c r="AOS59">
        <v>7.00002861735524</v>
      </c>
      <c r="AOT59">
        <v>3.72740867038509</v>
      </c>
      <c r="AOU59">
        <v>6.33190898258097</v>
      </c>
      <c r="AOV59">
        <v>-2.40169235268391</v>
      </c>
      <c r="AOW59">
        <v>6.02383344240281</v>
      </c>
      <c r="AOX59">
        <v>3.49359388500695</v>
      </c>
      <c r="AOY59">
        <v>1.91227739721416</v>
      </c>
      <c r="AOZ59">
        <v>3.65276358447416</v>
      </c>
      <c r="APA59">
        <v>-1.31185239446655</v>
      </c>
      <c r="APB59">
        <v>5.71655668384717</v>
      </c>
      <c r="APC59">
        <v>3.88087493794901</v>
      </c>
      <c r="APD59">
        <v>1.98007939617521</v>
      </c>
      <c r="APE59">
        <v>2.79756665702176</v>
      </c>
      <c r="APF59">
        <v>-1.28474768674896</v>
      </c>
      <c r="APG59">
        <v>5.91044065916708</v>
      </c>
      <c r="APH59">
        <v>3.91208305419528</v>
      </c>
      <c r="API59">
        <v>1.98007939617521</v>
      </c>
      <c r="APJ59">
        <v>2.79756665702176</v>
      </c>
      <c r="APK59">
        <v>-1.28474768674896</v>
      </c>
      <c r="APL59">
        <v>14.7669132330514</v>
      </c>
      <c r="APM59">
        <v>9.957761687606791</v>
      </c>
      <c r="APN59">
        <v>4.46946029708016</v>
      </c>
      <c r="APO59">
        <v>7.13930242760476</v>
      </c>
      <c r="APP59">
        <v>-3.16721581382136</v>
      </c>
      <c r="APQ59">
        <v>10.3121454716178</v>
      </c>
      <c r="APR59">
        <v>6.80446723430602</v>
      </c>
      <c r="APS59">
        <v>3.68756652314528</v>
      </c>
      <c r="APT59">
        <v>4.89143676954864</v>
      </c>
      <c r="APU59">
        <v>-2.10964877093711</v>
      </c>
      <c r="APV59">
        <v>6.07194070635645</v>
      </c>
      <c r="APW59">
        <v>4.04225854723718</v>
      </c>
      <c r="APX59">
        <v>2.02051955096848</v>
      </c>
      <c r="APY59">
        <v>2.90268501636014</v>
      </c>
      <c r="APZ59">
        <v>-1.2662278596688</v>
      </c>
      <c r="AQA59">
        <v>5.88351808337416</v>
      </c>
      <c r="AQB59">
        <v>3.39599256231088</v>
      </c>
      <c r="AQC59">
        <v>1.89183712775068</v>
      </c>
      <c r="AQD59">
        <v>2.82178126007779</v>
      </c>
      <c r="AQE59">
        <v>-1.15233234953866</v>
      </c>
      <c r="AQF59">
        <v>0.105580786656186</v>
      </c>
      <c r="AQG59">
        <v>0.0700002861735524</v>
      </c>
      <c r="AQH59">
        <v>0.0372740867038509</v>
      </c>
      <c r="AQI59">
        <v>0.06331908982580969</v>
      </c>
      <c r="AQJ59">
        <v>-0.0240169235268391</v>
      </c>
      <c r="AQK59">
        <v>2</v>
      </c>
      <c r="AQO59" t="s">
        <v>1903</v>
      </c>
      <c r="AQP59">
        <v>4</v>
      </c>
      <c r="AQQ59">
        <v>0</v>
      </c>
      <c r="AQS59" t="s">
        <v>1905</v>
      </c>
      <c r="AQU59" t="s">
        <v>1906</v>
      </c>
      <c r="AQV59">
        <v>2196416.12255846</v>
      </c>
      <c r="AQW59">
        <v>1932874.11625015</v>
      </c>
      <c r="AQX59">
        <v>1865505.20220099</v>
      </c>
      <c r="AQY59">
        <v>128553.823972938</v>
      </c>
      <c r="AQZ59">
        <v>77168.29528218271</v>
      </c>
      <c r="ARA59">
        <v>37337.584339875</v>
      </c>
      <c r="ARB59">
        <v>5994795.4410096</v>
      </c>
      <c r="ARC59">
        <v>243059.7035949957</v>
      </c>
      <c r="ARD59">
        <v>0.04225849633770738</v>
      </c>
      <c r="ARE59">
        <v>0.04225849633770738</v>
      </c>
      <c r="ARF59">
        <v>0.04225849633770738</v>
      </c>
      <c r="ARG59">
        <v>0.04225849633770738</v>
      </c>
      <c r="ARH59">
        <v>0.04225849633770738</v>
      </c>
      <c r="ARI59">
        <v>0.04225849633770738</v>
      </c>
      <c r="ARJ59" t="s">
        <v>1220</v>
      </c>
      <c r="ARK59" t="s">
        <v>1558</v>
      </c>
      <c r="ARL59" t="s">
        <v>1908</v>
      </c>
      <c r="ARM59" t="s">
        <v>1909</v>
      </c>
      <c r="ARN59" t="s">
        <v>1909</v>
      </c>
      <c r="ARO59" t="s">
        <v>1908</v>
      </c>
      <c r="ARP59" t="s">
        <v>1907</v>
      </c>
      <c r="ARQ59" t="s">
        <v>1958</v>
      </c>
      <c r="ARR59">
        <f>HYPERLINK("C:\Users\Usuario\Documents\Proyectos\llmthon\evidence\guregraf_com_234635.png", "Ver Evidencia")</f>
        <v>0</v>
      </c>
      <c r="ARS59">
        <v>100</v>
      </c>
    </row>
    <row r="60" spans="1:1163">
      <c r="A60">
        <v>450</v>
      </c>
      <c r="B60" t="s">
        <v>1221</v>
      </c>
      <c r="C60" t="s">
        <v>1344</v>
      </c>
      <c r="E60" s="2">
        <v>40909</v>
      </c>
      <c r="F60" t="s">
        <v>1431</v>
      </c>
      <c r="G60" t="s">
        <v>1433</v>
      </c>
      <c r="H60" t="s">
        <v>1434</v>
      </c>
      <c r="I60" t="s">
        <v>1446</v>
      </c>
      <c r="J60" t="s">
        <v>1481</v>
      </c>
      <c r="L60" t="s">
        <v>1559</v>
      </c>
      <c r="N60" t="s">
        <v>1640</v>
      </c>
      <c r="O60" t="s">
        <v>1664</v>
      </c>
      <c r="P60">
        <v>8299</v>
      </c>
      <c r="Q60">
        <v>8299</v>
      </c>
      <c r="R60" t="s">
        <v>1729</v>
      </c>
      <c r="Z60" t="s">
        <v>1899</v>
      </c>
      <c r="AA60" s="2">
        <v>45657</v>
      </c>
      <c r="AB60">
        <v>2024</v>
      </c>
      <c r="AC60">
        <v>1555213.52814451</v>
      </c>
      <c r="AD60">
        <v>1477082.94814668</v>
      </c>
      <c r="AE60">
        <v>1169130.1078314</v>
      </c>
      <c r="AF60">
        <v>970122.518753099</v>
      </c>
      <c r="AG60">
        <v>233562.338000804</v>
      </c>
      <c r="AH60">
        <v>1554870.69129601</v>
      </c>
      <c r="AI60">
        <v>1477082.94814668</v>
      </c>
      <c r="AJ60">
        <v>1169130.1078314</v>
      </c>
      <c r="AK60">
        <v>746041.761194372</v>
      </c>
      <c r="AL60">
        <v>233562.338000804</v>
      </c>
      <c r="AM60">
        <v>1226832.59275492</v>
      </c>
      <c r="AN60">
        <v>735261.164076176</v>
      </c>
      <c r="AO60">
        <v>712393.445474172</v>
      </c>
      <c r="AP60">
        <v>446125.111090636</v>
      </c>
      <c r="AQ60">
        <v>110626.437721729</v>
      </c>
      <c r="AR60">
        <v>328380.934350686</v>
      </c>
      <c r="AS60">
        <v>741821.784070501</v>
      </c>
      <c r="AT60">
        <v>456736.66129063</v>
      </c>
      <c r="AU60">
        <v>523997.407662463</v>
      </c>
      <c r="AV60">
        <v>122935.900279075</v>
      </c>
      <c r="AW60">
        <v>299460.787588652</v>
      </c>
      <c r="AX60">
        <v>789080.079524443</v>
      </c>
      <c r="AY60">
        <v>426938.336500108</v>
      </c>
      <c r="AZ60">
        <v>339614.324858379</v>
      </c>
      <c r="BA60">
        <v>196213.728946578</v>
      </c>
      <c r="BB60">
        <v>28920.1478009331</v>
      </c>
      <c r="BC60">
        <v>-47258.2965589428</v>
      </c>
      <c r="BD60">
        <v>29798.3258571208</v>
      </c>
      <c r="BE60">
        <v>184383.082804084</v>
      </c>
      <c r="BF60">
        <v>-73277.8298946023</v>
      </c>
      <c r="BG60">
        <v>-22.6480099916458</v>
      </c>
      <c r="BH60">
        <v>-144.898715028763</v>
      </c>
      <c r="BI60">
        <v>-130.306459480524</v>
      </c>
      <c r="BJ60">
        <v>-1153.50697654009</v>
      </c>
      <c r="BK60">
        <v>-1099.24782342315</v>
      </c>
      <c r="BL60" t="s">
        <v>1900</v>
      </c>
      <c r="BM60" t="s">
        <v>1900</v>
      </c>
      <c r="BN60" t="s">
        <v>1900</v>
      </c>
      <c r="BO60" t="s">
        <v>1900</v>
      </c>
      <c r="BP60" t="s">
        <v>1900</v>
      </c>
      <c r="BQ60">
        <v>22.6480099916458</v>
      </c>
      <c r="BR60">
        <v>144.898715028763</v>
      </c>
      <c r="BS60">
        <v>130.306459480524</v>
      </c>
      <c r="BT60">
        <v>1153.50697654009</v>
      </c>
      <c r="BU60">
        <v>1099.24782342315</v>
      </c>
      <c r="BV60">
        <v>28897.4997909415</v>
      </c>
      <c r="BW60">
        <v>-47403.1952739716</v>
      </c>
      <c r="BX60">
        <v>29668.0193976402</v>
      </c>
      <c r="BY60">
        <v>183229.574694943</v>
      </c>
      <c r="BZ60">
        <v>-74377.0777180255</v>
      </c>
      <c r="CA60">
        <v>7735.24081072927</v>
      </c>
      <c r="CB60">
        <v>-14577.4648921871</v>
      </c>
      <c r="CC60">
        <v>8150.68663939834</v>
      </c>
      <c r="CD60">
        <v>46616.4468828678</v>
      </c>
      <c r="CE60">
        <v>-9457.05796482563</v>
      </c>
      <c r="CF60">
        <v>21162.2589802122</v>
      </c>
      <c r="CG60">
        <v>-32825.7303817844</v>
      </c>
      <c r="CH60">
        <v>21517.3327582419</v>
      </c>
      <c r="CI60">
        <v>136613.127812076</v>
      </c>
      <c r="CJ60">
        <v>-64920.0197531998</v>
      </c>
      <c r="CK60" t="s">
        <v>1900</v>
      </c>
      <c r="CL60" t="s">
        <v>1900</v>
      </c>
      <c r="CM60" t="s">
        <v>1900</v>
      </c>
      <c r="CN60" t="s">
        <v>1900</v>
      </c>
      <c r="CO60" t="s">
        <v>1900</v>
      </c>
      <c r="CP60" t="s">
        <v>1900</v>
      </c>
      <c r="CQ60" t="s">
        <v>1900</v>
      </c>
      <c r="CR60" t="s">
        <v>1900</v>
      </c>
      <c r="CS60" t="s">
        <v>1900</v>
      </c>
      <c r="CT60" t="s">
        <v>1900</v>
      </c>
      <c r="CU60" t="s">
        <v>1900</v>
      </c>
      <c r="CV60" t="s">
        <v>1900</v>
      </c>
      <c r="CW60" t="s">
        <v>1900</v>
      </c>
      <c r="CX60" t="s">
        <v>1900</v>
      </c>
      <c r="CY60" t="s">
        <v>1900</v>
      </c>
      <c r="CZ60">
        <v>21162.2589802122</v>
      </c>
      <c r="DA60">
        <v>-32825.7303817844</v>
      </c>
      <c r="DB60">
        <v>21517.3327582419</v>
      </c>
      <c r="DC60">
        <v>136613.127812076</v>
      </c>
      <c r="DD60">
        <v>-64920.0197531998</v>
      </c>
      <c r="DE60" t="s">
        <v>1900</v>
      </c>
      <c r="DF60" t="s">
        <v>1900</v>
      </c>
      <c r="DG60" t="s">
        <v>1900</v>
      </c>
      <c r="DH60" t="s">
        <v>1900</v>
      </c>
      <c r="DI60" t="s">
        <v>1900</v>
      </c>
      <c r="DJ60">
        <v>1226832.59275492</v>
      </c>
      <c r="DK60">
        <v>735261.164076176</v>
      </c>
      <c r="DL60">
        <v>712393.445474172</v>
      </c>
      <c r="DM60">
        <v>446125.111090636</v>
      </c>
      <c r="DN60">
        <v>110626.437721729</v>
      </c>
      <c r="DO60">
        <v>237519.737329946</v>
      </c>
      <c r="DP60">
        <v>241576.368666506</v>
      </c>
      <c r="DQ60">
        <v>197802.52832672</v>
      </c>
      <c r="DR60">
        <v>130442.65338099</v>
      </c>
      <c r="DS60">
        <v>38103.4702321649</v>
      </c>
      <c r="DT60">
        <v>4630.35447580576</v>
      </c>
      <c r="DU60">
        <v>4526.07098124504</v>
      </c>
      <c r="DV60">
        <v>352.649788802862</v>
      </c>
      <c r="DW60">
        <v>374.471639657021</v>
      </c>
      <c r="DX60">
        <v>447.461759537458</v>
      </c>
      <c r="DY60">
        <v>57310.6957829011</v>
      </c>
      <c r="DZ60">
        <v>542977.6409816931</v>
      </c>
      <c r="EA60">
        <v>228783.158384585</v>
      </c>
      <c r="EB60">
        <v>208797.199837732</v>
      </c>
      <c r="EC60">
        <v>157662.798181975</v>
      </c>
      <c r="ED60" t="s">
        <v>1900</v>
      </c>
      <c r="EE60">
        <v>0.143650064468384</v>
      </c>
      <c r="EF60" t="s">
        <v>1900</v>
      </c>
      <c r="EG60">
        <v>1143.25807635784</v>
      </c>
      <c r="EH60">
        <v>1099.24782342315</v>
      </c>
      <c r="EI60" t="s">
        <v>1900</v>
      </c>
      <c r="EJ60" t="s">
        <v>1900</v>
      </c>
      <c r="EK60" t="s">
        <v>1900</v>
      </c>
      <c r="EL60" t="s">
        <v>1900</v>
      </c>
      <c r="EM60" t="s">
        <v>1900</v>
      </c>
      <c r="EN60">
        <v>25792.613456018</v>
      </c>
      <c r="EO60">
        <v>-28299.6594005394</v>
      </c>
      <c r="EP60">
        <v>21869.9825470448</v>
      </c>
      <c r="EQ60">
        <v>136987.599451733</v>
      </c>
      <c r="ER60">
        <v>-64472.5579936624</v>
      </c>
      <c r="ES60">
        <v>271047.591596693</v>
      </c>
      <c r="ET60">
        <v>198699.388023844</v>
      </c>
      <c r="EU60">
        <v>227823.196446564</v>
      </c>
      <c r="EV60">
        <v>315189.956659348</v>
      </c>
      <c r="EW60">
        <v>-34726.8966758007</v>
      </c>
      <c r="EX60">
        <v>33550.5022767389</v>
      </c>
      <c r="EY60">
        <v>-42732.2255776978</v>
      </c>
      <c r="EZ60">
        <v>30150.9756459236</v>
      </c>
      <c r="FA60">
        <v>184757.554443741</v>
      </c>
      <c r="FB60">
        <v>-72830.3681350648</v>
      </c>
      <c r="FC60">
        <v>16823.004155767</v>
      </c>
      <c r="FD60">
        <v>26354.1402774143</v>
      </c>
      <c r="FE60">
        <v>2590.27952121496</v>
      </c>
      <c r="FF60">
        <v>29706.9961164951</v>
      </c>
      <c r="FG60">
        <v>77104.7722087443</v>
      </c>
      <c r="FH60">
        <v>4679.02691929698</v>
      </c>
      <c r="FI60">
        <v>9374.41535712242</v>
      </c>
      <c r="FJ60">
        <v>0</v>
      </c>
      <c r="FK60">
        <v>25370.246887207</v>
      </c>
      <c r="FL60">
        <v>26014.505147934</v>
      </c>
      <c r="FM60">
        <v>439.818120640516</v>
      </c>
      <c r="FN60">
        <v>995.086096582413</v>
      </c>
      <c r="FO60">
        <v>697.598729300499</v>
      </c>
      <c r="FP60">
        <v>1115.23754475117</v>
      </c>
      <c r="FQ60">
        <v>1614.00370854139</v>
      </c>
      <c r="FR60">
        <v>11704.1591158295</v>
      </c>
      <c r="FS60">
        <v>15984.6388237095</v>
      </c>
      <c r="FT60">
        <v>1892.68079191446</v>
      </c>
      <c r="FU60">
        <v>3221.51168453693</v>
      </c>
      <c r="FV60">
        <v>49476.2633522689</v>
      </c>
      <c r="FW60">
        <v>4679.02691929698</v>
      </c>
      <c r="FX60">
        <v>9374.41535712242</v>
      </c>
      <c r="FY60">
        <v>0</v>
      </c>
      <c r="FZ60">
        <v>25370.246887207</v>
      </c>
      <c r="GA60">
        <v>26014.505147934</v>
      </c>
      <c r="GB60">
        <v>439.818120640516</v>
      </c>
      <c r="GC60">
        <v>995.086096582413</v>
      </c>
      <c r="GD60">
        <v>697.598729300499</v>
      </c>
      <c r="GE60">
        <v>1115.23754475117</v>
      </c>
      <c r="GF60">
        <v>1614.00370854139</v>
      </c>
      <c r="GG60">
        <v>11704.1591158295</v>
      </c>
      <c r="GH60">
        <v>15984.6388237095</v>
      </c>
      <c r="GI60">
        <v>1892.68079191446</v>
      </c>
      <c r="GJ60">
        <v>3221.51168453693</v>
      </c>
      <c r="GK60">
        <v>49476.2633522689</v>
      </c>
      <c r="GL60">
        <v>168325.42292452</v>
      </c>
      <c r="GM60">
        <v>50551.7836870193</v>
      </c>
      <c r="GN60">
        <v>118074.355237341</v>
      </c>
      <c r="GO60">
        <v>311863.929751038</v>
      </c>
      <c r="GP60">
        <v>300830.277282542</v>
      </c>
      <c r="GQ60">
        <v>0</v>
      </c>
      <c r="GR60">
        <v>0</v>
      </c>
      <c r="GS60">
        <v>0</v>
      </c>
      <c r="GT60">
        <v>0</v>
      </c>
      <c r="GU60">
        <v>0</v>
      </c>
      <c r="GV60">
        <v>151901.771752275</v>
      </c>
      <c r="GW60">
        <v>30905.6704700851</v>
      </c>
      <c r="GX60">
        <v>80363.322418642</v>
      </c>
      <c r="GY60">
        <v>203656.145826101</v>
      </c>
      <c r="GZ60">
        <v>211046.783795267</v>
      </c>
      <c r="HA60">
        <v>16423.6511722446</v>
      </c>
      <c r="HB60">
        <v>19646.1132169342</v>
      </c>
      <c r="HC60">
        <v>37711.0328186989</v>
      </c>
      <c r="HD60">
        <v>108207.783924937</v>
      </c>
      <c r="HE60">
        <v>89783.49348727459</v>
      </c>
      <c r="HF60">
        <v>16423.6511722446</v>
      </c>
      <c r="HG60">
        <v>19646.1132169342</v>
      </c>
      <c r="HH60">
        <v>37711.0328186989</v>
      </c>
      <c r="HI60">
        <v>108207.783924937</v>
      </c>
      <c r="HJ60">
        <v>89783.49348727459</v>
      </c>
      <c r="HK60">
        <v>185148.427080287</v>
      </c>
      <c r="HL60">
        <v>76905.92396443371</v>
      </c>
      <c r="HM60">
        <v>120664.634758556</v>
      </c>
      <c r="HN60">
        <v>341570.925867534</v>
      </c>
      <c r="HO60">
        <v>377935.049491286</v>
      </c>
      <c r="HP60">
        <v>26852.820826503</v>
      </c>
      <c r="HQ60">
        <v>7252.30610474587</v>
      </c>
      <c r="HR60">
        <v>38685.2434592843</v>
      </c>
      <c r="HS60">
        <v>177688.372994685</v>
      </c>
      <c r="HT60">
        <v>46416.0863063693</v>
      </c>
      <c r="HU60">
        <v>59737.762501359</v>
      </c>
      <c r="HV60">
        <v>63538.633515358</v>
      </c>
      <c r="HW60">
        <v>61330.5371743441</v>
      </c>
      <c r="HX60">
        <v>65125.6502795219</v>
      </c>
      <c r="HY60">
        <v>70559.4368165731</v>
      </c>
      <c r="HZ60">
        <v>-32884.9406359564</v>
      </c>
      <c r="IA60">
        <v>-56286.3274106121</v>
      </c>
      <c r="IB60">
        <v>-22645.2926484603</v>
      </c>
      <c r="IC60">
        <v>112562.722715163</v>
      </c>
      <c r="ID60">
        <v>-24143.3492831045</v>
      </c>
      <c r="IE60">
        <v>0</v>
      </c>
      <c r="IF60">
        <v>0</v>
      </c>
      <c r="IG60">
        <v>0</v>
      </c>
      <c r="IH60">
        <v>0</v>
      </c>
      <c r="II60">
        <v>60076.7447152972</v>
      </c>
      <c r="IJ60" t="s">
        <v>1900</v>
      </c>
      <c r="IK60" t="s">
        <v>1900</v>
      </c>
      <c r="IL60" t="s">
        <v>1900</v>
      </c>
      <c r="IM60" t="s">
        <v>1900</v>
      </c>
      <c r="IN60">
        <v>60076.7447152972</v>
      </c>
      <c r="IO60" t="s">
        <v>1900</v>
      </c>
      <c r="IP60" t="s">
        <v>1900</v>
      </c>
      <c r="IQ60" t="s">
        <v>1900</v>
      </c>
      <c r="IR60" t="s">
        <v>1900</v>
      </c>
      <c r="IS60">
        <v>0</v>
      </c>
      <c r="IT60" t="s">
        <v>1900</v>
      </c>
      <c r="IU60" t="s">
        <v>1900</v>
      </c>
      <c r="IV60" t="s">
        <v>1900</v>
      </c>
      <c r="IW60" t="s">
        <v>1900</v>
      </c>
      <c r="IX60">
        <v>0</v>
      </c>
      <c r="IY60">
        <v>158295.606253784</v>
      </c>
      <c r="IZ60">
        <v>69653.6178596878</v>
      </c>
      <c r="JA60">
        <v>81979.39129927161</v>
      </c>
      <c r="JB60">
        <v>163882.552872848</v>
      </c>
      <c r="JC60">
        <v>271442.21846962</v>
      </c>
      <c r="JD60">
        <v>296.927877784967</v>
      </c>
      <c r="JE60">
        <v>642.734588451385</v>
      </c>
      <c r="JF60">
        <v>1272.82649931312</v>
      </c>
      <c r="JG60">
        <v>1100.15130865574</v>
      </c>
      <c r="JH60">
        <v>1710.38008751869</v>
      </c>
      <c r="JI60">
        <v>100042.441585368</v>
      </c>
      <c r="JJ60">
        <v>24835.2728957653</v>
      </c>
      <c r="JK60">
        <v>19142.9329734504</v>
      </c>
      <c r="JL60">
        <v>44978.4576662064</v>
      </c>
      <c r="JM60">
        <v>135849.193859684</v>
      </c>
      <c r="JN60">
        <v>57956.2367906308</v>
      </c>
      <c r="JO60">
        <v>44175.6103754711</v>
      </c>
      <c r="JP60">
        <v>61563.631826508</v>
      </c>
      <c r="JQ60">
        <v>117803.943897986</v>
      </c>
      <c r="JR60">
        <v>133882.644522417</v>
      </c>
      <c r="JS60">
        <v>185148.427080287</v>
      </c>
      <c r="JT60">
        <v>76905.92396443371</v>
      </c>
      <c r="JU60">
        <v>120664.634758556</v>
      </c>
      <c r="JV60">
        <v>341570.925867534</v>
      </c>
      <c r="JW60">
        <v>377935.049491286</v>
      </c>
      <c r="JX60">
        <v>51859.3291280078</v>
      </c>
      <c r="JY60">
        <v>6070.39757431984</v>
      </c>
      <c r="JZ60">
        <v>61220.3883785921</v>
      </c>
      <c r="KA60">
        <v>158677.688159895</v>
      </c>
      <c r="KB60">
        <v>75197.5899355829</v>
      </c>
      <c r="KC60" t="s">
        <v>1900</v>
      </c>
      <c r="KD60" t="s">
        <v>1900</v>
      </c>
      <c r="KE60" t="s">
        <v>1900</v>
      </c>
      <c r="KF60" t="s">
        <v>1900</v>
      </c>
      <c r="KG60" t="s">
        <v>1900</v>
      </c>
      <c r="KH60" t="s">
        <v>1900</v>
      </c>
      <c r="KI60" t="s">
        <v>1900</v>
      </c>
      <c r="KJ60" t="s">
        <v>1900</v>
      </c>
      <c r="KK60" t="s">
        <v>1900</v>
      </c>
      <c r="KL60" t="s">
        <v>1900</v>
      </c>
      <c r="KM60">
        <v>3</v>
      </c>
      <c r="KN60">
        <v>3</v>
      </c>
      <c r="KO60">
        <v>3</v>
      </c>
      <c r="KP60">
        <v>3</v>
      </c>
      <c r="KQ60">
        <v>1</v>
      </c>
      <c r="KR60" t="s">
        <v>1900</v>
      </c>
      <c r="KS60" t="s">
        <v>1900</v>
      </c>
      <c r="KT60" t="s">
        <v>1900</v>
      </c>
      <c r="KU60" t="s">
        <v>1900</v>
      </c>
      <c r="KV60" t="s">
        <v>1900</v>
      </c>
      <c r="KW60" t="s">
        <v>1900</v>
      </c>
      <c r="KX60" t="s">
        <v>1900</v>
      </c>
      <c r="KY60" t="s">
        <v>1900</v>
      </c>
      <c r="KZ60" t="s">
        <v>1900</v>
      </c>
      <c r="LA60" t="s">
        <v>1900</v>
      </c>
      <c r="LB60" t="s">
        <v>1900</v>
      </c>
      <c r="LC60" t="s">
        <v>1900</v>
      </c>
      <c r="LD60" t="s">
        <v>1900</v>
      </c>
      <c r="LE60" t="s">
        <v>1900</v>
      </c>
      <c r="LF60" t="s">
        <v>1900</v>
      </c>
      <c r="LG60" t="s">
        <v>1900</v>
      </c>
      <c r="LH60" t="s">
        <v>1900</v>
      </c>
      <c r="LI60" t="s">
        <v>1900</v>
      </c>
      <c r="LJ60" t="s">
        <v>1900</v>
      </c>
      <c r="LK60" t="s">
        <v>1900</v>
      </c>
      <c r="LL60" t="s">
        <v>1900</v>
      </c>
      <c r="LM60" t="s">
        <v>1900</v>
      </c>
      <c r="LN60" t="s">
        <v>1900</v>
      </c>
      <c r="LO60" t="s">
        <v>1900</v>
      </c>
      <c r="LP60" t="s">
        <v>1900</v>
      </c>
      <c r="LQ60" t="s">
        <v>1900</v>
      </c>
      <c r="LR60" t="s">
        <v>1900</v>
      </c>
      <c r="LS60" t="s">
        <v>1900</v>
      </c>
      <c r="LT60" t="s">
        <v>1900</v>
      </c>
      <c r="LU60" t="s">
        <v>1900</v>
      </c>
      <c r="LV60" t="s">
        <v>1900</v>
      </c>
      <c r="LW60" t="s">
        <v>1900</v>
      </c>
      <c r="LX60" t="s">
        <v>1900</v>
      </c>
      <c r="LY60" t="s">
        <v>1900</v>
      </c>
      <c r="LZ60" t="s">
        <v>1900</v>
      </c>
      <c r="MA60" t="s">
        <v>1900</v>
      </c>
      <c r="MB60" t="s">
        <v>1900</v>
      </c>
      <c r="MC60" t="s">
        <v>1900</v>
      </c>
      <c r="MD60" t="s">
        <v>1900</v>
      </c>
      <c r="ME60" t="s">
        <v>1900</v>
      </c>
      <c r="MF60" t="s">
        <v>1900</v>
      </c>
      <c r="MG60" t="s">
        <v>1900</v>
      </c>
      <c r="MH60" t="s">
        <v>1900</v>
      </c>
      <c r="MI60" t="s">
        <v>1900</v>
      </c>
      <c r="MJ60" t="s">
        <v>1900</v>
      </c>
      <c r="MK60" t="s">
        <v>1900</v>
      </c>
      <c r="ML60" t="s">
        <v>1900</v>
      </c>
      <c r="MM60" t="s">
        <v>1900</v>
      </c>
      <c r="MN60" t="s">
        <v>1900</v>
      </c>
      <c r="MO60" t="s">
        <v>1900</v>
      </c>
      <c r="MP60">
        <v>16423.6511722446</v>
      </c>
      <c r="MQ60">
        <v>19646.1132169342</v>
      </c>
      <c r="MR60">
        <v>37711.0328186989</v>
      </c>
      <c r="MS60">
        <v>108207.783924937</v>
      </c>
      <c r="MT60">
        <v>89783.49348727459</v>
      </c>
      <c r="MU60" t="s">
        <v>1900</v>
      </c>
      <c r="MV60" t="s">
        <v>1900</v>
      </c>
      <c r="MW60" t="s">
        <v>1900</v>
      </c>
      <c r="MX60" t="s">
        <v>1900</v>
      </c>
      <c r="MY60" t="s">
        <v>1900</v>
      </c>
      <c r="MZ60" t="s">
        <v>1900</v>
      </c>
      <c r="NA60" t="s">
        <v>1900</v>
      </c>
      <c r="NB60" t="s">
        <v>1900</v>
      </c>
      <c r="NC60" t="s">
        <v>1900</v>
      </c>
      <c r="ND60" t="s">
        <v>1900</v>
      </c>
      <c r="NE60" t="s">
        <v>1900</v>
      </c>
      <c r="NF60" t="s">
        <v>1900</v>
      </c>
      <c r="NG60" t="s">
        <v>1900</v>
      </c>
      <c r="NH60" t="s">
        <v>1900</v>
      </c>
      <c r="NI60" t="s">
        <v>1900</v>
      </c>
      <c r="NJ60" t="s">
        <v>1900</v>
      </c>
      <c r="NK60" t="s">
        <v>1900</v>
      </c>
      <c r="NL60" t="s">
        <v>1900</v>
      </c>
      <c r="NM60" t="s">
        <v>1900</v>
      </c>
      <c r="NN60" t="s">
        <v>1900</v>
      </c>
      <c r="NO60" t="s">
        <v>1900</v>
      </c>
      <c r="NP60" t="s">
        <v>1900</v>
      </c>
      <c r="NQ60" t="s">
        <v>1900</v>
      </c>
      <c r="NR60" t="s">
        <v>1900</v>
      </c>
      <c r="NS60" t="s">
        <v>1900</v>
      </c>
      <c r="NT60">
        <v>16823.004155767</v>
      </c>
      <c r="NU60">
        <v>26354.1402774143</v>
      </c>
      <c r="NV60">
        <v>2590.27952121496</v>
      </c>
      <c r="NW60">
        <v>29706.9961164951</v>
      </c>
      <c r="NX60">
        <v>77104.7722087443</v>
      </c>
      <c r="NY60" t="s">
        <v>1900</v>
      </c>
      <c r="NZ60" t="s">
        <v>1900</v>
      </c>
      <c r="OA60" t="s">
        <v>1900</v>
      </c>
      <c r="OB60" t="s">
        <v>1900</v>
      </c>
      <c r="OC60" t="s">
        <v>1900</v>
      </c>
      <c r="OD60" t="s">
        <v>1900</v>
      </c>
      <c r="OE60" t="s">
        <v>1900</v>
      </c>
      <c r="OF60" t="s">
        <v>1900</v>
      </c>
      <c r="OG60" t="s">
        <v>1900</v>
      </c>
      <c r="OH60" t="s">
        <v>1900</v>
      </c>
      <c r="OI60" t="s">
        <v>1900</v>
      </c>
      <c r="OJ60" t="s">
        <v>1900</v>
      </c>
      <c r="OK60" t="s">
        <v>1900</v>
      </c>
      <c r="OL60" t="s">
        <v>1900</v>
      </c>
      <c r="OM60" t="s">
        <v>1900</v>
      </c>
      <c r="ON60" t="s">
        <v>1900</v>
      </c>
      <c r="OO60" t="s">
        <v>1900</v>
      </c>
      <c r="OP60" t="s">
        <v>1900</v>
      </c>
      <c r="OQ60" t="s">
        <v>1900</v>
      </c>
      <c r="OR60" t="s">
        <v>1900</v>
      </c>
      <c r="OS60" t="s">
        <v>1900</v>
      </c>
      <c r="OT60" t="s">
        <v>1900</v>
      </c>
      <c r="OU60" t="s">
        <v>1900</v>
      </c>
      <c r="OV60" t="s">
        <v>1900</v>
      </c>
      <c r="OW60" t="s">
        <v>1900</v>
      </c>
      <c r="OX60" t="s">
        <v>1900</v>
      </c>
      <c r="OY60" t="s">
        <v>1900</v>
      </c>
      <c r="OZ60" t="s">
        <v>1900</v>
      </c>
      <c r="PA60" t="s">
        <v>1900</v>
      </c>
      <c r="PB60" t="s">
        <v>1900</v>
      </c>
      <c r="PC60" t="s">
        <v>1900</v>
      </c>
      <c r="PD60" t="s">
        <v>1900</v>
      </c>
      <c r="PE60" t="s">
        <v>1900</v>
      </c>
      <c r="PF60" t="s">
        <v>1900</v>
      </c>
      <c r="PG60" t="s">
        <v>1900</v>
      </c>
      <c r="PH60" t="s">
        <v>1900</v>
      </c>
      <c r="PI60" t="s">
        <v>1900</v>
      </c>
      <c r="PJ60" t="s">
        <v>1900</v>
      </c>
      <c r="PK60" t="s">
        <v>1900</v>
      </c>
      <c r="PL60" t="s">
        <v>1900</v>
      </c>
      <c r="PM60" t="s">
        <v>1900</v>
      </c>
      <c r="PN60" t="s">
        <v>1900</v>
      </c>
      <c r="PO60" t="s">
        <v>1900</v>
      </c>
      <c r="PP60" t="s">
        <v>1900</v>
      </c>
      <c r="PQ60" t="s">
        <v>1900</v>
      </c>
      <c r="PR60" t="s">
        <v>1900</v>
      </c>
      <c r="PS60" t="s">
        <v>1900</v>
      </c>
      <c r="PT60" t="s">
        <v>1900</v>
      </c>
      <c r="PU60" t="s">
        <v>1900</v>
      </c>
      <c r="PV60" t="s">
        <v>1900</v>
      </c>
      <c r="PW60" t="s">
        <v>1900</v>
      </c>
      <c r="PX60" t="s">
        <v>1900</v>
      </c>
      <c r="PY60" t="s">
        <v>1900</v>
      </c>
      <c r="PZ60" t="s">
        <v>1900</v>
      </c>
      <c r="QA60" t="s">
        <v>1900</v>
      </c>
      <c r="QB60" t="s">
        <v>1900</v>
      </c>
      <c r="QC60" t="s">
        <v>1900</v>
      </c>
      <c r="QD60" t="s">
        <v>1900</v>
      </c>
      <c r="QE60" t="s">
        <v>1900</v>
      </c>
      <c r="QF60" t="s">
        <v>1900</v>
      </c>
      <c r="QG60" t="s">
        <v>1900</v>
      </c>
      <c r="QH60" t="s">
        <v>1900</v>
      </c>
      <c r="QI60" t="s">
        <v>1900</v>
      </c>
      <c r="QJ60" t="s">
        <v>1900</v>
      </c>
      <c r="QK60" t="s">
        <v>1900</v>
      </c>
      <c r="QL60" t="s">
        <v>1900</v>
      </c>
      <c r="QM60" t="s">
        <v>1900</v>
      </c>
      <c r="QN60" t="s">
        <v>1900</v>
      </c>
      <c r="QO60" t="s">
        <v>1900</v>
      </c>
      <c r="QP60" t="s">
        <v>1900</v>
      </c>
      <c r="QQ60" t="s">
        <v>1900</v>
      </c>
      <c r="QR60" t="s">
        <v>1900</v>
      </c>
      <c r="QS60" t="s">
        <v>1900</v>
      </c>
      <c r="QT60" t="s">
        <v>1900</v>
      </c>
      <c r="QU60" t="s">
        <v>1900</v>
      </c>
      <c r="QV60" t="s">
        <v>1900</v>
      </c>
      <c r="QW60" t="s">
        <v>1900</v>
      </c>
      <c r="QX60" t="s">
        <v>1900</v>
      </c>
      <c r="QY60" t="s">
        <v>1900</v>
      </c>
      <c r="QZ60" t="s">
        <v>1900</v>
      </c>
      <c r="RA60" t="s">
        <v>1900</v>
      </c>
      <c r="RB60" t="s">
        <v>1900</v>
      </c>
      <c r="RC60" t="s">
        <v>1900</v>
      </c>
      <c r="RD60" t="s">
        <v>1900</v>
      </c>
      <c r="RE60" t="s">
        <v>1900</v>
      </c>
      <c r="RF60" t="s">
        <v>1900</v>
      </c>
      <c r="RG60" t="s">
        <v>1900</v>
      </c>
      <c r="RH60" t="s">
        <v>1900</v>
      </c>
      <c r="RI60" t="s">
        <v>1900</v>
      </c>
      <c r="RJ60" t="s">
        <v>1900</v>
      </c>
      <c r="RK60" t="s">
        <v>1900</v>
      </c>
      <c r="RL60" t="s">
        <v>1900</v>
      </c>
      <c r="RM60" t="s">
        <v>1900</v>
      </c>
      <c r="RN60" t="s">
        <v>1900</v>
      </c>
      <c r="RO60" t="s">
        <v>1900</v>
      </c>
      <c r="RP60" t="s">
        <v>1900</v>
      </c>
      <c r="RQ60" t="s">
        <v>1900</v>
      </c>
      <c r="RR60" t="s">
        <v>1900</v>
      </c>
      <c r="RS60" t="s">
        <v>1900</v>
      </c>
      <c r="RT60" t="s">
        <v>1900</v>
      </c>
      <c r="RU60" t="s">
        <v>1900</v>
      </c>
      <c r="RV60" t="s">
        <v>1900</v>
      </c>
      <c r="RW60" t="s">
        <v>1900</v>
      </c>
      <c r="RX60" t="s">
        <v>1900</v>
      </c>
      <c r="RY60" t="s">
        <v>1900</v>
      </c>
      <c r="RZ60" t="s">
        <v>1900</v>
      </c>
      <c r="SA60" t="s">
        <v>1900</v>
      </c>
      <c r="SB60" t="s">
        <v>1900</v>
      </c>
      <c r="SC60" t="s">
        <v>1900</v>
      </c>
      <c r="SD60" t="s">
        <v>1900</v>
      </c>
      <c r="SE60" t="s">
        <v>1900</v>
      </c>
      <c r="SF60" t="s">
        <v>1900</v>
      </c>
      <c r="SG60" t="s">
        <v>1900</v>
      </c>
      <c r="SH60" t="s">
        <v>1900</v>
      </c>
      <c r="SI60" t="s">
        <v>1900</v>
      </c>
      <c r="SJ60">
        <v>11704.1591158295</v>
      </c>
      <c r="SK60">
        <v>15984.6388237095</v>
      </c>
      <c r="SL60">
        <v>1892.68079191446</v>
      </c>
      <c r="SM60">
        <v>3221.51168453693</v>
      </c>
      <c r="SN60">
        <v>49476.2633522689</v>
      </c>
      <c r="SO60" t="s">
        <v>1900</v>
      </c>
      <c r="SP60" t="s">
        <v>1900</v>
      </c>
      <c r="SQ60" t="s">
        <v>1900</v>
      </c>
      <c r="SR60" t="s">
        <v>1900</v>
      </c>
      <c r="SS60" t="s">
        <v>1900</v>
      </c>
      <c r="ST60" t="s">
        <v>1900</v>
      </c>
      <c r="SU60" t="s">
        <v>1900</v>
      </c>
      <c r="SV60" t="s">
        <v>1900</v>
      </c>
      <c r="SW60" t="s">
        <v>1900</v>
      </c>
      <c r="SX60" t="s">
        <v>1900</v>
      </c>
      <c r="SY60" t="s">
        <v>1900</v>
      </c>
      <c r="SZ60" t="s">
        <v>1900</v>
      </c>
      <c r="TA60" t="s">
        <v>1900</v>
      </c>
      <c r="TB60" t="s">
        <v>1900</v>
      </c>
      <c r="TC60" t="s">
        <v>1900</v>
      </c>
      <c r="TD60" t="s">
        <v>1900</v>
      </c>
      <c r="TE60" t="s">
        <v>1900</v>
      </c>
      <c r="TF60" t="s">
        <v>1900</v>
      </c>
      <c r="TG60" t="s">
        <v>1900</v>
      </c>
      <c r="TH60" t="s">
        <v>1900</v>
      </c>
      <c r="TI60" t="s">
        <v>1900</v>
      </c>
      <c r="TJ60" t="s">
        <v>1900</v>
      </c>
      <c r="TK60" t="s">
        <v>1900</v>
      </c>
      <c r="TL60" t="s">
        <v>1900</v>
      </c>
      <c r="TM60" t="s">
        <v>1900</v>
      </c>
      <c r="TN60" t="s">
        <v>1900</v>
      </c>
      <c r="TO60" t="s">
        <v>1900</v>
      </c>
      <c r="TP60" t="s">
        <v>1900</v>
      </c>
      <c r="TQ60" t="s">
        <v>1900</v>
      </c>
      <c r="TR60" t="s">
        <v>1900</v>
      </c>
      <c r="TS60">
        <v>185148.427080287</v>
      </c>
      <c r="TT60">
        <v>76905.92396443371</v>
      </c>
      <c r="TU60">
        <v>120664.634758556</v>
      </c>
      <c r="TV60">
        <v>341570.925867534</v>
      </c>
      <c r="TW60">
        <v>377935.049491286</v>
      </c>
      <c r="TX60" t="s">
        <v>1900</v>
      </c>
      <c r="TY60" t="s">
        <v>1900</v>
      </c>
      <c r="TZ60" t="s">
        <v>1900</v>
      </c>
      <c r="UA60" t="s">
        <v>1900</v>
      </c>
      <c r="UB60" t="s">
        <v>1900</v>
      </c>
      <c r="UC60">
        <v>296.927877784967</v>
      </c>
      <c r="UD60">
        <v>642.734588451385</v>
      </c>
      <c r="UE60">
        <v>1272.82649931312</v>
      </c>
      <c r="UF60">
        <v>1100.15130865574</v>
      </c>
      <c r="UG60">
        <v>1710.38008751869</v>
      </c>
      <c r="UH60" t="s">
        <v>1900</v>
      </c>
      <c r="UI60" t="s">
        <v>1900</v>
      </c>
      <c r="UJ60" t="s">
        <v>1900</v>
      </c>
      <c r="UK60" t="s">
        <v>1900</v>
      </c>
      <c r="UL60" t="s">
        <v>1900</v>
      </c>
      <c r="UM60" t="s">
        <v>1900</v>
      </c>
      <c r="UN60" t="s">
        <v>1900</v>
      </c>
      <c r="UO60" t="s">
        <v>1900</v>
      </c>
      <c r="UP60" t="s">
        <v>1900</v>
      </c>
      <c r="UQ60" t="s">
        <v>1900</v>
      </c>
      <c r="UR60" t="s">
        <v>1900</v>
      </c>
      <c r="US60" t="s">
        <v>1900</v>
      </c>
      <c r="UT60" t="s">
        <v>1900</v>
      </c>
      <c r="UU60" t="s">
        <v>1900</v>
      </c>
      <c r="UV60" t="s">
        <v>1900</v>
      </c>
      <c r="UW60" t="s">
        <v>1900</v>
      </c>
      <c r="UX60" t="s">
        <v>1900</v>
      </c>
      <c r="UY60" t="s">
        <v>1900</v>
      </c>
      <c r="UZ60" t="s">
        <v>1900</v>
      </c>
      <c r="VA60" t="s">
        <v>1900</v>
      </c>
      <c r="VB60" t="s">
        <v>1900</v>
      </c>
      <c r="VC60" t="s">
        <v>1900</v>
      </c>
      <c r="VD60" t="s">
        <v>1900</v>
      </c>
      <c r="VE60" t="s">
        <v>1900</v>
      </c>
      <c r="VF60" t="s">
        <v>1900</v>
      </c>
      <c r="VG60" t="s">
        <v>1900</v>
      </c>
      <c r="VH60" t="s">
        <v>1900</v>
      </c>
      <c r="VI60" t="s">
        <v>1900</v>
      </c>
      <c r="VJ60" t="s">
        <v>1900</v>
      </c>
      <c r="VK60" t="s">
        <v>1900</v>
      </c>
      <c r="VL60" t="s">
        <v>1900</v>
      </c>
      <c r="VM60" t="s">
        <v>1900</v>
      </c>
      <c r="VN60" t="s">
        <v>1900</v>
      </c>
      <c r="VO60" t="s">
        <v>1900</v>
      </c>
      <c r="VP60" t="s">
        <v>1900</v>
      </c>
      <c r="VQ60" t="s">
        <v>1900</v>
      </c>
      <c r="VR60" t="s">
        <v>1900</v>
      </c>
      <c r="VS60" t="s">
        <v>1900</v>
      </c>
      <c r="VT60" t="s">
        <v>1900</v>
      </c>
      <c r="VU60" t="s">
        <v>1900</v>
      </c>
      <c r="VV60" t="s">
        <v>1900</v>
      </c>
      <c r="VW60" t="s">
        <v>1900</v>
      </c>
      <c r="VX60" t="s">
        <v>1900</v>
      </c>
      <c r="VY60" t="s">
        <v>1900</v>
      </c>
      <c r="VZ60" t="s">
        <v>1900</v>
      </c>
      <c r="WA60">
        <v>57956.2367906308</v>
      </c>
      <c r="WB60">
        <v>44175.6103754711</v>
      </c>
      <c r="WC60">
        <v>61563.631826508</v>
      </c>
      <c r="WD60">
        <v>117803.943897986</v>
      </c>
      <c r="WE60">
        <v>133882.644522417</v>
      </c>
      <c r="WF60" t="s">
        <v>1900</v>
      </c>
      <c r="WG60" t="s">
        <v>1900</v>
      </c>
      <c r="WH60" t="s">
        <v>1900</v>
      </c>
      <c r="WI60" t="s">
        <v>1900</v>
      </c>
      <c r="WJ60" t="s">
        <v>1900</v>
      </c>
      <c r="WK60" t="s">
        <v>1900</v>
      </c>
      <c r="WL60" t="s">
        <v>1900</v>
      </c>
      <c r="WM60" t="s">
        <v>1900</v>
      </c>
      <c r="WN60" t="s">
        <v>1900</v>
      </c>
      <c r="WO60" t="s">
        <v>1900</v>
      </c>
      <c r="WP60" t="s">
        <v>1900</v>
      </c>
      <c r="WQ60" t="s">
        <v>1900</v>
      </c>
      <c r="WR60" t="s">
        <v>1900</v>
      </c>
      <c r="WS60" t="s">
        <v>1900</v>
      </c>
      <c r="WT60" t="s">
        <v>1900</v>
      </c>
      <c r="WU60" t="s">
        <v>1900</v>
      </c>
      <c r="WV60" t="s">
        <v>1900</v>
      </c>
      <c r="WW60" t="s">
        <v>1900</v>
      </c>
      <c r="WX60" t="s">
        <v>1900</v>
      </c>
      <c r="WY60" t="s">
        <v>1900</v>
      </c>
      <c r="WZ60" t="s">
        <v>1900</v>
      </c>
      <c r="XA60" t="s">
        <v>1900</v>
      </c>
      <c r="XB60" t="s">
        <v>1900</v>
      </c>
      <c r="XC60" t="s">
        <v>1900</v>
      </c>
      <c r="XD60" t="s">
        <v>1900</v>
      </c>
      <c r="XE60" t="s">
        <v>1900</v>
      </c>
      <c r="XF60" t="s">
        <v>1900</v>
      </c>
      <c r="XG60" t="s">
        <v>1900</v>
      </c>
      <c r="XH60" t="s">
        <v>1900</v>
      </c>
      <c r="XI60" t="s">
        <v>1900</v>
      </c>
      <c r="XJ60" t="s">
        <v>1900</v>
      </c>
      <c r="XK60" t="s">
        <v>1900</v>
      </c>
      <c r="XL60" t="s">
        <v>1900</v>
      </c>
      <c r="XM60" t="s">
        <v>1900</v>
      </c>
      <c r="XN60">
        <v>0</v>
      </c>
      <c r="XO60" t="s">
        <v>1900</v>
      </c>
      <c r="XP60" t="s">
        <v>1900</v>
      </c>
      <c r="XQ60" t="s">
        <v>1900</v>
      </c>
      <c r="XR60" t="s">
        <v>1900</v>
      </c>
      <c r="XS60" t="s">
        <v>1900</v>
      </c>
      <c r="XT60" t="s">
        <v>1900</v>
      </c>
      <c r="XU60" t="s">
        <v>1900</v>
      </c>
      <c r="XV60" t="s">
        <v>1900</v>
      </c>
      <c r="XW60" t="s">
        <v>1900</v>
      </c>
      <c r="XX60" t="s">
        <v>1900</v>
      </c>
      <c r="XY60" t="s">
        <v>1900</v>
      </c>
      <c r="XZ60" t="s">
        <v>1900</v>
      </c>
      <c r="YA60" t="s">
        <v>1900</v>
      </c>
      <c r="YB60" t="s">
        <v>1900</v>
      </c>
      <c r="YC60">
        <v>0</v>
      </c>
      <c r="YD60" t="s">
        <v>1900</v>
      </c>
      <c r="YE60" t="s">
        <v>1900</v>
      </c>
      <c r="YF60" t="s">
        <v>1900</v>
      </c>
      <c r="YG60" t="s">
        <v>1900</v>
      </c>
      <c r="YH60" t="s">
        <v>1900</v>
      </c>
      <c r="YI60" t="s">
        <v>1900</v>
      </c>
      <c r="YJ60" t="s">
        <v>1900</v>
      </c>
      <c r="YK60" t="s">
        <v>1900</v>
      </c>
      <c r="YL60" t="s">
        <v>1900</v>
      </c>
      <c r="YM60" t="s">
        <v>1900</v>
      </c>
      <c r="YN60" t="s">
        <v>1900</v>
      </c>
      <c r="YO60" t="s">
        <v>1900</v>
      </c>
      <c r="YP60" t="s">
        <v>1900</v>
      </c>
      <c r="YQ60" t="s">
        <v>1900</v>
      </c>
      <c r="YR60" t="s">
        <v>1900</v>
      </c>
      <c r="YS60" t="s">
        <v>1900</v>
      </c>
      <c r="YT60" t="s">
        <v>1900</v>
      </c>
      <c r="YU60" t="s">
        <v>1900</v>
      </c>
      <c r="YV60" t="s">
        <v>1900</v>
      </c>
      <c r="YW60" t="s">
        <v>1900</v>
      </c>
      <c r="YX60" t="s">
        <v>1900</v>
      </c>
      <c r="YY60" t="s">
        <v>1900</v>
      </c>
      <c r="YZ60" t="s">
        <v>1900</v>
      </c>
      <c r="ZA60" t="s">
        <v>1900</v>
      </c>
      <c r="ZB60" t="s">
        <v>1900</v>
      </c>
      <c r="ZC60" t="s">
        <v>1900</v>
      </c>
      <c r="ZD60" t="s">
        <v>1900</v>
      </c>
      <c r="ZE60" t="s">
        <v>1900</v>
      </c>
      <c r="ZF60" t="s">
        <v>1900</v>
      </c>
      <c r="ZG60" t="s">
        <v>1900</v>
      </c>
      <c r="ZH60" t="s">
        <v>1900</v>
      </c>
      <c r="ZI60" t="s">
        <v>1900</v>
      </c>
      <c r="ZJ60" t="s">
        <v>1900</v>
      </c>
      <c r="ZK60" t="s">
        <v>1900</v>
      </c>
      <c r="ZL60" t="s">
        <v>1900</v>
      </c>
      <c r="ZM60" t="s">
        <v>1900</v>
      </c>
      <c r="ZN60" t="s">
        <v>1900</v>
      </c>
      <c r="ZO60" t="s">
        <v>1900</v>
      </c>
      <c r="ZP60" t="s">
        <v>1900</v>
      </c>
      <c r="ZQ60" t="s">
        <v>1900</v>
      </c>
      <c r="ZR60" t="s">
        <v>1900</v>
      </c>
      <c r="ZS60" t="s">
        <v>1900</v>
      </c>
      <c r="ZT60" t="s">
        <v>1900</v>
      </c>
      <c r="ZU60" t="s">
        <v>1900</v>
      </c>
      <c r="ZV60" t="s">
        <v>1900</v>
      </c>
      <c r="ZW60" t="s">
        <v>1900</v>
      </c>
      <c r="ZX60" t="s">
        <v>1900</v>
      </c>
      <c r="ZY60" t="s">
        <v>1900</v>
      </c>
      <c r="ZZ60" t="s">
        <v>1900</v>
      </c>
      <c r="AAA60" t="s">
        <v>1900</v>
      </c>
      <c r="AAB60" t="s">
        <v>1900</v>
      </c>
      <c r="AAC60" t="s">
        <v>1900</v>
      </c>
      <c r="AAD60" t="s">
        <v>1900</v>
      </c>
      <c r="AAE60" t="s">
        <v>1900</v>
      </c>
      <c r="AAF60" t="s">
        <v>1900</v>
      </c>
      <c r="AAG60" t="s">
        <v>1900</v>
      </c>
      <c r="AAH60" t="s">
        <v>1900</v>
      </c>
      <c r="AAI60" t="s">
        <v>1900</v>
      </c>
      <c r="AAJ60" t="s">
        <v>1900</v>
      </c>
      <c r="AAK60" t="s">
        <v>1900</v>
      </c>
      <c r="AAL60" t="s">
        <v>1900</v>
      </c>
      <c r="AAM60" t="s">
        <v>1900</v>
      </c>
      <c r="AAN60" t="s">
        <v>1900</v>
      </c>
      <c r="AAO60" t="s">
        <v>1900</v>
      </c>
      <c r="AAP60" t="s">
        <v>1900</v>
      </c>
      <c r="AAQ60" t="s">
        <v>1900</v>
      </c>
      <c r="AAR60" t="s">
        <v>1900</v>
      </c>
      <c r="AAS60" t="s">
        <v>1900</v>
      </c>
      <c r="AAT60" t="s">
        <v>1900</v>
      </c>
      <c r="AAU60" t="s">
        <v>1900</v>
      </c>
      <c r="AAV60" t="s">
        <v>1900</v>
      </c>
      <c r="AAW60" t="s">
        <v>1900</v>
      </c>
      <c r="AAX60" t="s">
        <v>1900</v>
      </c>
      <c r="AAY60" t="s">
        <v>1900</v>
      </c>
      <c r="AAZ60" t="s">
        <v>1900</v>
      </c>
      <c r="ABA60" t="s">
        <v>1900</v>
      </c>
      <c r="ABB60" t="s">
        <v>1900</v>
      </c>
      <c r="ABC60" t="s">
        <v>1900</v>
      </c>
      <c r="ABD60" t="s">
        <v>1900</v>
      </c>
      <c r="ABE60" t="s">
        <v>1900</v>
      </c>
      <c r="ABF60" t="s">
        <v>1900</v>
      </c>
      <c r="ABG60" t="s">
        <v>1900</v>
      </c>
      <c r="ABH60" t="s">
        <v>1900</v>
      </c>
      <c r="ABI60" t="s">
        <v>1900</v>
      </c>
      <c r="ABJ60" t="s">
        <v>1900</v>
      </c>
      <c r="ABK60" t="s">
        <v>1900</v>
      </c>
      <c r="ABL60" t="s">
        <v>1900</v>
      </c>
      <c r="ABM60" t="s">
        <v>1900</v>
      </c>
      <c r="ABN60" t="s">
        <v>1900</v>
      </c>
      <c r="ABO60" t="s">
        <v>1900</v>
      </c>
      <c r="ABP60" t="s">
        <v>1900</v>
      </c>
      <c r="ABQ60" t="s">
        <v>1900</v>
      </c>
      <c r="ABR60" t="s">
        <v>1900</v>
      </c>
      <c r="ABS60" t="s">
        <v>1900</v>
      </c>
      <c r="ABT60" t="s">
        <v>1900</v>
      </c>
      <c r="ABU60" t="s">
        <v>1900</v>
      </c>
      <c r="ABV60" t="s">
        <v>1900</v>
      </c>
      <c r="ABW60" t="s">
        <v>1900</v>
      </c>
      <c r="ABX60" t="s">
        <v>1900</v>
      </c>
      <c r="ABY60" t="s">
        <v>1900</v>
      </c>
      <c r="ABZ60" t="s">
        <v>1900</v>
      </c>
      <c r="ACA60" t="s">
        <v>1900</v>
      </c>
      <c r="ACB60" t="s">
        <v>1900</v>
      </c>
      <c r="ACC60" t="s">
        <v>1900</v>
      </c>
      <c r="ACD60" t="s">
        <v>1900</v>
      </c>
      <c r="ACE60">
        <v>107.614</v>
      </c>
      <c r="ACF60">
        <v>-653.629</v>
      </c>
      <c r="ACG60">
        <v>76.691</v>
      </c>
      <c r="ACH60">
        <v>103.118</v>
      </c>
      <c r="ACI60">
        <v>-160.24</v>
      </c>
      <c r="ACJ60" t="s">
        <v>1900</v>
      </c>
      <c r="ACK60">
        <v>-653.627</v>
      </c>
      <c r="ACL60" t="s">
        <v>1900</v>
      </c>
      <c r="ACM60">
        <v>103.762</v>
      </c>
      <c r="ACN60">
        <v>-68.81</v>
      </c>
      <c r="ACO60">
        <v>15.608</v>
      </c>
      <c r="ACP60">
        <v>-61.638</v>
      </c>
      <c r="ACQ60">
        <v>24.587</v>
      </c>
      <c r="ACR60">
        <v>53.643</v>
      </c>
      <c r="ACS60">
        <v>-19.68</v>
      </c>
      <c r="ACT60">
        <v>78.80800000000001</v>
      </c>
      <c r="ACU60">
        <v>-452.625</v>
      </c>
      <c r="ACV60">
        <v>55.622</v>
      </c>
      <c r="ACW60">
        <v>76.884</v>
      </c>
      <c r="ACX60">
        <v>-139.865</v>
      </c>
      <c r="ACY60" t="s">
        <v>1900</v>
      </c>
      <c r="ACZ60">
        <v>-452.623</v>
      </c>
      <c r="ADA60" t="s">
        <v>1900</v>
      </c>
      <c r="ADB60">
        <v>77.527</v>
      </c>
      <c r="ADC60">
        <v>-59.93</v>
      </c>
      <c r="ADD60">
        <v>11.43</v>
      </c>
      <c r="ADE60">
        <v>-42.683</v>
      </c>
      <c r="ADF60">
        <v>17.832</v>
      </c>
      <c r="ADG60">
        <v>39.996</v>
      </c>
      <c r="ADH60">
        <v>-17.178</v>
      </c>
      <c r="ADI60">
        <v>1.858</v>
      </c>
      <c r="ADJ60">
        <v>-3.209</v>
      </c>
      <c r="ADK60">
        <v>2.538</v>
      </c>
      <c r="ADL60">
        <v>18.887</v>
      </c>
      <c r="ADM60">
        <v>-31.845</v>
      </c>
      <c r="ADN60">
        <v>21.115</v>
      </c>
      <c r="ADO60">
        <v>50.222</v>
      </c>
      <c r="ADP60">
        <v>39.066</v>
      </c>
      <c r="ADQ60">
        <v>54.014</v>
      </c>
      <c r="ADR60">
        <v>52.635</v>
      </c>
      <c r="ADS60">
        <v>1.859561229</v>
      </c>
      <c r="ADT60">
        <v>-3.19943417</v>
      </c>
      <c r="ADU60">
        <v>2.548760455</v>
      </c>
      <c r="ADV60">
        <v>19.006164607</v>
      </c>
      <c r="ADW60">
        <v>-31.373992281</v>
      </c>
      <c r="ADX60">
        <v>2.157</v>
      </c>
      <c r="ADY60">
        <v>-2.893</v>
      </c>
      <c r="ADZ60">
        <v>2.579</v>
      </c>
      <c r="AEA60">
        <v>19.045</v>
      </c>
      <c r="AEB60">
        <v>-31.182</v>
      </c>
      <c r="AEC60">
        <v>1.86</v>
      </c>
      <c r="AED60">
        <v>-3.199</v>
      </c>
      <c r="AEE60">
        <v>2.549</v>
      </c>
      <c r="AEF60">
        <v>19.006</v>
      </c>
      <c r="AEG60">
        <v>-31.374</v>
      </c>
      <c r="AEH60">
        <v>1.658</v>
      </c>
      <c r="AEI60">
        <v>-1.916</v>
      </c>
      <c r="AEJ60">
        <v>1.871</v>
      </c>
      <c r="AEK60">
        <v>14.121</v>
      </c>
      <c r="AEL60">
        <v>-27.604</v>
      </c>
      <c r="AEM60">
        <v>1.894796123</v>
      </c>
      <c r="AEN60">
        <v>-3.100243907</v>
      </c>
      <c r="AEO60">
        <v>2.615421278</v>
      </c>
      <c r="AEP60">
        <v>23.466186673</v>
      </c>
      <c r="AEQ60">
        <v>-23.881433255</v>
      </c>
      <c r="AER60">
        <v>1.096574072</v>
      </c>
      <c r="AES60">
        <v>0.940109632</v>
      </c>
      <c r="AET60">
        <v>1.069795386</v>
      </c>
      <c r="AEU60">
        <v>1.542919039</v>
      </c>
      <c r="AEV60">
        <v>0.6265407629999999</v>
      </c>
      <c r="AEW60" t="s">
        <v>1900</v>
      </c>
      <c r="AEX60" t="s">
        <v>1900</v>
      </c>
      <c r="AEY60" t="s">
        <v>1900</v>
      </c>
      <c r="AEZ60" t="s">
        <v>1900</v>
      </c>
      <c r="AFA60" t="s">
        <v>1900</v>
      </c>
      <c r="AFB60" t="s">
        <v>1900</v>
      </c>
      <c r="AFC60" t="s">
        <v>1900</v>
      </c>
      <c r="AFD60" t="s">
        <v>1900</v>
      </c>
      <c r="AFE60" t="s">
        <v>1900</v>
      </c>
      <c r="AFF60" t="s">
        <v>1900</v>
      </c>
      <c r="AFG60">
        <v>57.916</v>
      </c>
      <c r="AFH60">
        <v>203.671</v>
      </c>
      <c r="AFI60">
        <v>30.222</v>
      </c>
      <c r="AFJ60">
        <v>5.46</v>
      </c>
      <c r="AFK60">
        <v>2.193</v>
      </c>
      <c r="AFL60" t="s">
        <v>1900</v>
      </c>
      <c r="AFM60" t="s">
        <v>1901</v>
      </c>
      <c r="AFN60" t="s">
        <v>1900</v>
      </c>
      <c r="AFO60">
        <v>161.279</v>
      </c>
      <c r="AFP60">
        <v>-66.66200000000001</v>
      </c>
      <c r="AFQ60" t="s">
        <v>1901</v>
      </c>
      <c r="AFR60" t="s">
        <v>1901</v>
      </c>
      <c r="AFS60" t="s">
        <v>1901</v>
      </c>
      <c r="AFT60" t="s">
        <v>1901</v>
      </c>
      <c r="AFU60" t="s">
        <v>1901</v>
      </c>
      <c r="AFV60">
        <v>35.162</v>
      </c>
      <c r="AFW60">
        <v>7.532</v>
      </c>
      <c r="AFX60">
        <v>24.746</v>
      </c>
      <c r="AFY60">
        <v>75.574</v>
      </c>
      <c r="AFZ60">
        <v>325.296</v>
      </c>
      <c r="AGA60">
        <v>23.158</v>
      </c>
      <c r="AGB60">
        <v>6.053</v>
      </c>
      <c r="AGC60">
        <v>5.895</v>
      </c>
      <c r="AGD60">
        <v>16.691</v>
      </c>
      <c r="AGE60">
        <v>209.39</v>
      </c>
      <c r="AGF60" t="s">
        <v>1900</v>
      </c>
      <c r="AGG60" t="s">
        <v>1900</v>
      </c>
      <c r="AGH60" t="s">
        <v>1900</v>
      </c>
      <c r="AGI60" t="s">
        <v>1900</v>
      </c>
      <c r="AGJ60" t="s">
        <v>1900</v>
      </c>
      <c r="AGK60" t="s">
        <v>1900</v>
      </c>
      <c r="AGL60" t="s">
        <v>1900</v>
      </c>
      <c r="AGM60" t="s">
        <v>1900</v>
      </c>
      <c r="AGN60" t="s">
        <v>1900</v>
      </c>
      <c r="AGO60" t="s">
        <v>1900</v>
      </c>
      <c r="AGP60" t="s">
        <v>1900</v>
      </c>
      <c r="AGQ60" t="s">
        <v>1900</v>
      </c>
      <c r="AGR60" t="s">
        <v>1900</v>
      </c>
      <c r="AGS60" t="s">
        <v>1900</v>
      </c>
      <c r="AGT60" t="s">
        <v>1900</v>
      </c>
      <c r="AGU60">
        <v>0</v>
      </c>
      <c r="AGV60">
        <v>0</v>
      </c>
      <c r="AGW60">
        <v>0</v>
      </c>
      <c r="AGX60">
        <v>0</v>
      </c>
      <c r="AGY60">
        <v>0</v>
      </c>
      <c r="AGZ60">
        <v>1.063</v>
      </c>
      <c r="AHA60">
        <v>0.726</v>
      </c>
      <c r="AHB60">
        <v>1.44</v>
      </c>
      <c r="AHC60">
        <v>1.903</v>
      </c>
      <c r="AHD60">
        <v>1.108</v>
      </c>
      <c r="AHE60">
        <v>1.063</v>
      </c>
      <c r="AHF60">
        <v>0.726</v>
      </c>
      <c r="AHG60">
        <v>1.44</v>
      </c>
      <c r="AHH60">
        <v>1.903</v>
      </c>
      <c r="AHI60">
        <v>1.108</v>
      </c>
      <c r="AHJ60" t="s">
        <v>1901</v>
      </c>
      <c r="AHK60" t="s">
        <v>1901</v>
      </c>
      <c r="AHL60" t="s">
        <v>1901</v>
      </c>
      <c r="AHM60" t="s">
        <v>1901</v>
      </c>
      <c r="AHN60">
        <v>0.773</v>
      </c>
      <c r="AHO60">
        <v>14.503</v>
      </c>
      <c r="AHP60">
        <v>9.43</v>
      </c>
      <c r="AHQ60">
        <v>32.06</v>
      </c>
      <c r="AHR60">
        <v>52.021</v>
      </c>
      <c r="AHS60">
        <v>12.281</v>
      </c>
      <c r="AHT60">
        <v>16.964</v>
      </c>
      <c r="AHU60">
        <v>10.412</v>
      </c>
      <c r="AHV60">
        <v>47.189</v>
      </c>
      <c r="AHW60" t="s">
        <v>1901</v>
      </c>
      <c r="AHX60">
        <v>14.001</v>
      </c>
      <c r="AHY60">
        <v>1.106</v>
      </c>
      <c r="AHZ60">
        <v>8.862</v>
      </c>
      <c r="AIA60">
        <v>3.29</v>
      </c>
      <c r="AIB60">
        <v>0.619</v>
      </c>
      <c r="AIC60">
        <v>133.116</v>
      </c>
      <c r="AID60">
        <v>6.321500701</v>
      </c>
      <c r="AIE60">
        <v>20.784665211</v>
      </c>
      <c r="AIF60">
        <v>1.568546406</v>
      </c>
      <c r="AIG60">
        <v>0.943145754</v>
      </c>
      <c r="AIH60">
        <v>13.091207978</v>
      </c>
      <c r="AII60">
        <v>8.870532378</v>
      </c>
      <c r="AIJ60">
        <v>25.545643566</v>
      </c>
      <c r="AIK60">
        <v>31.252763408</v>
      </c>
      <c r="AIL60">
        <v>31.679448024</v>
      </c>
      <c r="AIM60">
        <v>23.756328927</v>
      </c>
      <c r="AIN60">
        <v>31.302581234</v>
      </c>
      <c r="AIO60">
        <v>57.441102191</v>
      </c>
      <c r="AIP60">
        <v>51.020443521</v>
      </c>
      <c r="AIQ60">
        <v>34.488867458</v>
      </c>
      <c r="AIR60">
        <v>35.424775951</v>
      </c>
      <c r="AIS60">
        <v>0</v>
      </c>
      <c r="AIT60">
        <v>0</v>
      </c>
      <c r="AIU60">
        <v>0</v>
      </c>
      <c r="AIV60">
        <v>0</v>
      </c>
      <c r="AIW60">
        <v>0</v>
      </c>
      <c r="AIX60">
        <v>9.632499930313831</v>
      </c>
      <c r="AIY60">
        <v>-15.8010650913239</v>
      </c>
      <c r="AIZ60">
        <v>9.88933979921341</v>
      </c>
      <c r="AJA60">
        <v>61.0765248983145</v>
      </c>
      <c r="AJB60">
        <v>-74.3770777180254</v>
      </c>
      <c r="AJC60">
        <v>518.404509727802</v>
      </c>
      <c r="AJD60">
        <v>492.360982715559</v>
      </c>
      <c r="AJE60">
        <v>389.7100359438</v>
      </c>
      <c r="AJF60">
        <v>323.3741729177</v>
      </c>
      <c r="AJG60">
        <v>233.562338000804</v>
      </c>
      <c r="AJH60">
        <v>15.272</v>
      </c>
      <c r="AJI60">
        <v>16.355</v>
      </c>
      <c r="AJJ60">
        <v>16.919</v>
      </c>
      <c r="AJK60">
        <v>13.446</v>
      </c>
      <c r="AJL60">
        <v>16.314</v>
      </c>
      <c r="AJM60">
        <v>79.1732457766485</v>
      </c>
      <c r="AJN60">
        <v>80.5254558538351</v>
      </c>
      <c r="AJO60">
        <v>65.93417575337349</v>
      </c>
      <c r="AJP60">
        <v>43.4808848378634</v>
      </c>
      <c r="AJQ60">
        <v>38.1034702321649</v>
      </c>
      <c r="AJR60">
        <v>8.95094027550102</v>
      </c>
      <c r="AJS60">
        <v>2.41743499991512</v>
      </c>
      <c r="AJT60">
        <v>12.8950811530948</v>
      </c>
      <c r="AJU60">
        <v>59.2294576648951</v>
      </c>
      <c r="AJV60">
        <v>46.4160863063693</v>
      </c>
      <c r="AJW60">
        <v>17.2864426963694</v>
      </c>
      <c r="AJX60">
        <v>2.02346585810661</v>
      </c>
      <c r="AJY60">
        <v>20.4067957706642</v>
      </c>
      <c r="AJZ60">
        <v>52.8925623424315</v>
      </c>
      <c r="AKA60">
        <v>75.1975899355829</v>
      </c>
      <c r="AKB60">
        <v>61.7161420137957</v>
      </c>
      <c r="AKC60">
        <v>25.6353076198111</v>
      </c>
      <c r="AKD60">
        <v>40.2215445639855</v>
      </c>
      <c r="AKE60">
        <v>113.856975666711</v>
      </c>
      <c r="AKF60">
        <v>377.935049491286</v>
      </c>
      <c r="AKG60">
        <v>0</v>
      </c>
      <c r="AKH60">
        <v>0</v>
      </c>
      <c r="AKI60">
        <v>0</v>
      </c>
      <c r="AKJ60">
        <v>0</v>
      </c>
      <c r="AKK60">
        <v>0</v>
      </c>
      <c r="AKL60">
        <v>0</v>
      </c>
      <c r="AKM60">
        <v>0</v>
      </c>
      <c r="AKN60">
        <v>0</v>
      </c>
      <c r="AKO60">
        <v>0</v>
      </c>
      <c r="AKP60">
        <v>0</v>
      </c>
      <c r="AKQ60">
        <v>0</v>
      </c>
      <c r="AKR60">
        <v>0</v>
      </c>
      <c r="AKS60">
        <v>0</v>
      </c>
      <c r="AKT60">
        <v>0</v>
      </c>
      <c r="AKU60">
        <v>0</v>
      </c>
      <c r="AKV60">
        <v>0.300860739</v>
      </c>
      <c r="AKW60">
        <v>0.634657341</v>
      </c>
      <c r="AKX60">
        <v>0</v>
      </c>
      <c r="AKY60">
        <v>2.615159054</v>
      </c>
      <c r="AKZ60">
        <v>11.138142121</v>
      </c>
      <c r="ALA60">
        <v>2.527176165</v>
      </c>
      <c r="ALB60">
        <v>12.189458073</v>
      </c>
      <c r="ALC60">
        <v>0</v>
      </c>
      <c r="ALD60">
        <v>7.42751943</v>
      </c>
      <c r="ALE60">
        <v>6.883326959</v>
      </c>
      <c r="ALF60">
        <v>0.02828024</v>
      </c>
      <c r="ALG60">
        <v>0.067368329</v>
      </c>
      <c r="ALH60">
        <v>0.059668186</v>
      </c>
      <c r="ALI60">
        <v>0.114958423</v>
      </c>
      <c r="ALJ60">
        <v>0.691037657</v>
      </c>
      <c r="ALK60">
        <v>0.237548937</v>
      </c>
      <c r="ALL60">
        <v>1.29390045</v>
      </c>
      <c r="ALM60">
        <v>0.578130229</v>
      </c>
      <c r="ALN60">
        <v>0.32650248</v>
      </c>
      <c r="ALO60">
        <v>0.427058488</v>
      </c>
      <c r="ALP60">
        <v>9.767261473</v>
      </c>
      <c r="ALQ60">
        <v>2.09234495</v>
      </c>
      <c r="ALR60">
        <v>6.873770668</v>
      </c>
      <c r="ALS60">
        <v>20.992827389</v>
      </c>
      <c r="ALT60">
        <v>90.35993799400001</v>
      </c>
      <c r="ALU60">
        <v>65.859957018</v>
      </c>
      <c r="ALV60">
        <v>80.35830486099999</v>
      </c>
      <c r="ALW60">
        <v>23.820484765</v>
      </c>
      <c r="ALX60">
        <v>22.085489973</v>
      </c>
      <c r="ALY60">
        <v>64.369231986</v>
      </c>
      <c r="ALZ60">
        <v>21.1148455442302</v>
      </c>
      <c r="AMA60">
        <v>50.2220802833909</v>
      </c>
      <c r="AMB60">
        <v>39.0663672273245</v>
      </c>
      <c r="AMC60">
        <v>54.0135289649763</v>
      </c>
      <c r="AMD60">
        <v>52.6351557067611</v>
      </c>
      <c r="AME60">
        <v>21.1195012028283</v>
      </c>
      <c r="AMF60">
        <v>50.2220802833909</v>
      </c>
      <c r="AMG60">
        <v>39.0663672273245</v>
      </c>
      <c r="AMH60">
        <v>70.23700748649409</v>
      </c>
      <c r="AMI60">
        <v>52.6351557067611</v>
      </c>
      <c r="AMJ60">
        <v>26.7665642639383</v>
      </c>
      <c r="AMK60">
        <v>100.892284308606</v>
      </c>
      <c r="AML60">
        <v>64.11297916794049</v>
      </c>
      <c r="AMM60">
        <v>117.455259665042</v>
      </c>
      <c r="AMN60">
        <v>111.127053180822</v>
      </c>
      <c r="AMO60">
        <v>1.0965740689955</v>
      </c>
      <c r="AMP60">
        <v>0.9401096331282081</v>
      </c>
      <c r="AMQ60">
        <v>1.06979538318062</v>
      </c>
      <c r="AMR60">
        <v>1.54291903876838</v>
      </c>
      <c r="AMS60">
        <v>0.626540767249503</v>
      </c>
      <c r="AMT60">
        <v>1.09657407246474</v>
      </c>
      <c r="AMU60">
        <v>0.940109631727842</v>
      </c>
      <c r="AMV60">
        <v>1.06979538567887</v>
      </c>
      <c r="AMW60">
        <v>1.54291903876838</v>
      </c>
      <c r="AMX60">
        <v>0.626540760995612</v>
      </c>
      <c r="AMY60">
        <v>1.09657407246473</v>
      </c>
      <c r="AMZ60">
        <v>0.94010963181171</v>
      </c>
      <c r="ANA60">
        <v>1.06979538567887</v>
      </c>
      <c r="ANB60">
        <v>1.54291903876838</v>
      </c>
      <c r="ANC60">
        <v>0.626540763331185</v>
      </c>
      <c r="AND60">
        <v>1.85956122921829</v>
      </c>
      <c r="ANE60">
        <v>-3.19943416977622</v>
      </c>
      <c r="ANF60">
        <v>2.54876045510394</v>
      </c>
      <c r="ANG60">
        <v>19.0061646070304</v>
      </c>
      <c r="ANH60">
        <v>-31.373992280532</v>
      </c>
      <c r="ANI60">
        <v>1.85997124795167</v>
      </c>
      <c r="ANJ60">
        <v>-3.19943416977622</v>
      </c>
      <c r="ANK60">
        <v>2.54876045510394</v>
      </c>
      <c r="ANL60">
        <v>24.7148473979388</v>
      </c>
      <c r="ANM60">
        <v>-31.373992280532</v>
      </c>
      <c r="ANN60">
        <v>1.89479612329991</v>
      </c>
      <c r="ANO60">
        <v>-3.10024390687331</v>
      </c>
      <c r="ANP60">
        <v>2.6154212783817</v>
      </c>
      <c r="ANQ60">
        <v>23.4661866731159</v>
      </c>
      <c r="ANR60">
        <v>-23.8814332547167</v>
      </c>
      <c r="ANS60">
        <v>107.698732985213</v>
      </c>
      <c r="ANT60">
        <v>-651.631300118693</v>
      </c>
      <c r="ANU60">
        <v>77.0276291229318</v>
      </c>
      <c r="ANV60">
        <v>103.767669035722</v>
      </c>
      <c r="ANW60">
        <v>-68.8101059870345</v>
      </c>
      <c r="ANX60">
        <v>21.1148456110313</v>
      </c>
      <c r="ANY60">
        <v>50.2220802833909</v>
      </c>
      <c r="ANZ60">
        <v>39.0663673185546</v>
      </c>
      <c r="AOA60">
        <v>54.0135289649763</v>
      </c>
      <c r="AOB60">
        <v>52.6351557067611</v>
      </c>
      <c r="AOC60">
        <v>21.5149288190431</v>
      </c>
      <c r="AOD60">
        <v>48.6650732995001</v>
      </c>
      <c r="AOE60">
        <v>40.0881173084787</v>
      </c>
      <c r="AOF60">
        <v>66.6884445006352</v>
      </c>
      <c r="AOG60">
        <v>40.0651261281347</v>
      </c>
      <c r="AOH60" t="s">
        <v>1901</v>
      </c>
      <c r="AOI60" t="s">
        <v>1901</v>
      </c>
      <c r="AOJ60" t="s">
        <v>1901</v>
      </c>
      <c r="AOK60" t="s">
        <v>1901</v>
      </c>
      <c r="AOL60">
        <v>32.5283141758223</v>
      </c>
      <c r="AOM60">
        <v>2.35730188223899</v>
      </c>
      <c r="AON60">
        <v>-6.42741638861354</v>
      </c>
      <c r="AOO60">
        <v>4.18284671854145</v>
      </c>
      <c r="AOP60">
        <v>41.3299045985833</v>
      </c>
      <c r="AOQ60">
        <v>-66.23898536706569</v>
      </c>
      <c r="AOR60">
        <v>9.6574072464735</v>
      </c>
      <c r="AOS60">
        <v>-5.98903682721582</v>
      </c>
      <c r="AOT60">
        <v>6.97953856788712</v>
      </c>
      <c r="AOU60">
        <v>54.2919038768381</v>
      </c>
      <c r="AOV60">
        <v>-37.3459239004388</v>
      </c>
      <c r="AOW60">
        <v>15.6199802812218</v>
      </c>
      <c r="AOX60">
        <v>-61.4494880534796</v>
      </c>
      <c r="AOY60">
        <v>24.6951610277077</v>
      </c>
      <c r="AOZ60">
        <v>53.9809066991815</v>
      </c>
      <c r="APA60">
        <v>-19.3890008331423</v>
      </c>
      <c r="APB60">
        <v>1.36073012465758</v>
      </c>
      <c r="APC60">
        <v>-2.22233493541927</v>
      </c>
      <c r="APD60">
        <v>1.84045664499685</v>
      </c>
      <c r="APE60">
        <v>14.0820489341557</v>
      </c>
      <c r="APF60">
        <v>-27.79558567057</v>
      </c>
      <c r="APG60">
        <v>1.36103015502679</v>
      </c>
      <c r="APH60">
        <v>-2.22233493541927</v>
      </c>
      <c r="API60">
        <v>1.84045664499685</v>
      </c>
      <c r="APJ60">
        <v>18.3117266241725</v>
      </c>
      <c r="APK60">
        <v>-27.79558567057</v>
      </c>
      <c r="APL60">
        <v>1.7249508290851</v>
      </c>
      <c r="APM60">
        <v>-4.46449941675195</v>
      </c>
      <c r="APN60">
        <v>3.02042823315421</v>
      </c>
      <c r="APO60">
        <v>30.6221560759266</v>
      </c>
      <c r="APP60">
        <v>-58.6840009406252</v>
      </c>
      <c r="APQ60">
        <v>7.06678799271752</v>
      </c>
      <c r="APR60">
        <v>-4.15999988259336</v>
      </c>
      <c r="APS60">
        <v>5.03991581890572</v>
      </c>
      <c r="APT60">
        <v>40.2259615724525</v>
      </c>
      <c r="APU60">
        <v>-33.0863798887769</v>
      </c>
      <c r="APV60">
        <v>1.38651318630816</v>
      </c>
      <c r="APW60">
        <v>-2.15343713199361</v>
      </c>
      <c r="APX60">
        <v>1.88859233970949</v>
      </c>
      <c r="APY60">
        <v>17.3865688244442</v>
      </c>
      <c r="APZ60">
        <v>-21.1576014308952</v>
      </c>
      <c r="AQA60">
        <v>11.4298886109551</v>
      </c>
      <c r="AQB60">
        <v>-42.6829673055683</v>
      </c>
      <c r="AQC60">
        <v>17.8323440014525</v>
      </c>
      <c r="AQD60">
        <v>39.9955375197994</v>
      </c>
      <c r="AQE60">
        <v>-17.1775599644924</v>
      </c>
      <c r="AQF60">
        <v>0.0965740724647349</v>
      </c>
      <c r="AQG60">
        <v>-0.0598903681882898</v>
      </c>
      <c r="AQH60">
        <v>0.0697953856788712</v>
      </c>
      <c r="AQI60">
        <v>0.54291903876838</v>
      </c>
      <c r="AQJ60">
        <v>-0.373459236668815</v>
      </c>
      <c r="AQK60">
        <v>6</v>
      </c>
      <c r="AQO60" t="s">
        <v>1902</v>
      </c>
      <c r="AQP60">
        <v>1</v>
      </c>
      <c r="AQQ60">
        <v>0</v>
      </c>
      <c r="AQS60" t="s">
        <v>1905</v>
      </c>
      <c r="AQU60" t="s">
        <v>1906</v>
      </c>
      <c r="AQV60">
        <v>1555213.52814451</v>
      </c>
      <c r="AQW60">
        <v>1477082.94814668</v>
      </c>
      <c r="AQX60">
        <v>1169130.1078314</v>
      </c>
      <c r="AQY60">
        <v>28920.1478009331</v>
      </c>
      <c r="AQZ60">
        <v>-47258.2965589428</v>
      </c>
      <c r="ARA60">
        <v>29798.3258571208</v>
      </c>
      <c r="ARB60">
        <v>4201426.58412259</v>
      </c>
      <c r="ARC60">
        <v>11460.1770991111</v>
      </c>
      <c r="ARD60">
        <v>0.002735147728129955</v>
      </c>
      <c r="ARE60">
        <v>0.002735147728129955</v>
      </c>
      <c r="ARF60">
        <v>0.002735147728129955</v>
      </c>
      <c r="ARG60">
        <v>0.002735147728129955</v>
      </c>
      <c r="ARH60">
        <v>0.002735147728129955</v>
      </c>
      <c r="ARI60">
        <v>0.002735147728129955</v>
      </c>
      <c r="ARJ60" t="s">
        <v>1221</v>
      </c>
      <c r="ARK60" t="s">
        <v>1559</v>
      </c>
      <c r="ARL60" t="s">
        <v>1909</v>
      </c>
      <c r="ARP60" t="s">
        <v>1907</v>
      </c>
      <c r="ARQ60" t="s">
        <v>1911</v>
      </c>
    </row>
    <row r="61" spans="1:1163">
      <c r="A61">
        <v>678</v>
      </c>
      <c r="B61" t="s">
        <v>1222</v>
      </c>
      <c r="C61" t="s">
        <v>1345</v>
      </c>
      <c r="E61" s="2">
        <v>40095</v>
      </c>
      <c r="F61" t="s">
        <v>1431</v>
      </c>
      <c r="G61" t="s">
        <v>1433</v>
      </c>
      <c r="H61" t="s">
        <v>1434</v>
      </c>
      <c r="I61" t="s">
        <v>1439</v>
      </c>
      <c r="J61" t="s">
        <v>1467</v>
      </c>
      <c r="L61" t="s">
        <v>1560</v>
      </c>
      <c r="N61" t="s">
        <v>1628</v>
      </c>
      <c r="O61" t="s">
        <v>1652</v>
      </c>
      <c r="P61">
        <v>7490</v>
      </c>
      <c r="Q61">
        <v>7490</v>
      </c>
      <c r="R61" t="s">
        <v>1730</v>
      </c>
      <c r="Z61" t="s">
        <v>1899</v>
      </c>
      <c r="AA61" s="2">
        <v>45657</v>
      </c>
      <c r="AB61">
        <v>2024</v>
      </c>
      <c r="AC61">
        <v>539209.650107528</v>
      </c>
      <c r="AD61">
        <v>1295268.79645072</v>
      </c>
      <c r="AE61">
        <v>1265136.58365265</v>
      </c>
      <c r="AF61">
        <v>1414483.98994896</v>
      </c>
      <c r="AG61">
        <v>1568467.14565789</v>
      </c>
      <c r="AH61">
        <v>521472.507856727</v>
      </c>
      <c r="AI61">
        <v>1247444.39708772</v>
      </c>
      <c r="AJ61">
        <v>1169052.10741082</v>
      </c>
      <c r="AK61">
        <v>1375921.67904654</v>
      </c>
      <c r="AL61">
        <v>1568467.14565789</v>
      </c>
      <c r="AM61" t="s">
        <v>1900</v>
      </c>
      <c r="AN61" t="s">
        <v>1900</v>
      </c>
      <c r="AO61" t="s">
        <v>1900</v>
      </c>
      <c r="AP61" t="s">
        <v>1900</v>
      </c>
      <c r="AQ61" t="s">
        <v>1900</v>
      </c>
      <c r="AR61">
        <v>539209.650107528</v>
      </c>
      <c r="AS61">
        <v>1295268.79645072</v>
      </c>
      <c r="AT61">
        <v>1265136.58365265</v>
      </c>
      <c r="AU61">
        <v>1414483.98994896</v>
      </c>
      <c r="AV61">
        <v>1568467.14565789</v>
      </c>
      <c r="AW61">
        <v>744616.005284659</v>
      </c>
      <c r="AX61">
        <v>543089.797427028</v>
      </c>
      <c r="AY61">
        <v>1483659.48159998</v>
      </c>
      <c r="AZ61">
        <v>1353221.43545015</v>
      </c>
      <c r="BA61">
        <v>1523252.95403134</v>
      </c>
      <c r="BB61">
        <v>-205406.355177131</v>
      </c>
      <c r="BC61">
        <v>752178.997918692</v>
      </c>
      <c r="BD61">
        <v>-218522.897947335</v>
      </c>
      <c r="BE61">
        <v>61262.5544988155</v>
      </c>
      <c r="BF61">
        <v>45214.1916265488</v>
      </c>
      <c r="BG61">
        <v>-1376.94706251502</v>
      </c>
      <c r="BH61">
        <v>-3814.89266207695</v>
      </c>
      <c r="BI61">
        <v>-1478.30689072609</v>
      </c>
      <c r="BJ61">
        <v>-2777.52103800774</v>
      </c>
      <c r="BK61">
        <v>-2843.92533636093</v>
      </c>
      <c r="BL61">
        <v>390.626227378845</v>
      </c>
      <c r="BM61">
        <v>1111.63049888611</v>
      </c>
      <c r="BN61">
        <v>1188.19182991982</v>
      </c>
      <c r="BO61" t="s">
        <v>1900</v>
      </c>
      <c r="BP61" t="s">
        <v>1900</v>
      </c>
      <c r="BQ61">
        <v>1767.57328989387</v>
      </c>
      <c r="BR61">
        <v>4926.52316096306</v>
      </c>
      <c r="BS61">
        <v>2666.4987206459</v>
      </c>
      <c r="BT61">
        <v>2777.52103800774</v>
      </c>
      <c r="BU61">
        <v>2843.92533636093</v>
      </c>
      <c r="BV61">
        <v>-206783.302239646</v>
      </c>
      <c r="BW61">
        <v>748364.105256615</v>
      </c>
      <c r="BX61">
        <v>-220001.204838061</v>
      </c>
      <c r="BY61">
        <v>58485.0334608078</v>
      </c>
      <c r="BZ61">
        <v>42370.2662901878</v>
      </c>
      <c r="CA61">
        <v>-51353.5834814012</v>
      </c>
      <c r="CB61">
        <v>162850.707785397</v>
      </c>
      <c r="CC61">
        <v>-54547.0817549646</v>
      </c>
      <c r="CD61">
        <v>15444.5228766918</v>
      </c>
      <c r="CE61">
        <v>10657.7255453467</v>
      </c>
      <c r="CF61">
        <v>-155429.718758245</v>
      </c>
      <c r="CG61">
        <v>585513.397471218</v>
      </c>
      <c r="CH61">
        <v>-165454.123083097</v>
      </c>
      <c r="CI61">
        <v>43040.510584116</v>
      </c>
      <c r="CJ61">
        <v>31712.5407448411</v>
      </c>
      <c r="CK61" t="s">
        <v>1900</v>
      </c>
      <c r="CL61" t="s">
        <v>1900</v>
      </c>
      <c r="CM61" t="s">
        <v>1900</v>
      </c>
      <c r="CN61" t="s">
        <v>1900</v>
      </c>
      <c r="CO61" t="s">
        <v>1900</v>
      </c>
      <c r="CP61" t="s">
        <v>1900</v>
      </c>
      <c r="CQ61" t="s">
        <v>1900</v>
      </c>
      <c r="CR61" t="s">
        <v>1900</v>
      </c>
      <c r="CS61" t="s">
        <v>1900</v>
      </c>
      <c r="CT61" t="s">
        <v>1900</v>
      </c>
      <c r="CU61" t="s">
        <v>1900</v>
      </c>
      <c r="CV61" t="s">
        <v>1900</v>
      </c>
      <c r="CW61" t="s">
        <v>1900</v>
      </c>
      <c r="CX61" t="s">
        <v>1900</v>
      </c>
      <c r="CY61" t="s">
        <v>1900</v>
      </c>
      <c r="CZ61">
        <v>-155429.718758245</v>
      </c>
      <c r="DA61">
        <v>585513.397471218</v>
      </c>
      <c r="DB61">
        <v>-165454.123083097</v>
      </c>
      <c r="DC61">
        <v>43040.510584116</v>
      </c>
      <c r="DD61">
        <v>31712.5407448411</v>
      </c>
      <c r="DE61" t="s">
        <v>1900</v>
      </c>
      <c r="DF61" t="s">
        <v>1900</v>
      </c>
      <c r="DG61" t="s">
        <v>1900</v>
      </c>
      <c r="DH61" t="s">
        <v>1900</v>
      </c>
      <c r="DI61" t="s">
        <v>1900</v>
      </c>
      <c r="DJ61" t="s">
        <v>1900</v>
      </c>
      <c r="DK61" t="s">
        <v>1900</v>
      </c>
      <c r="DL61" t="s">
        <v>1900</v>
      </c>
      <c r="DM61" t="s">
        <v>1900</v>
      </c>
      <c r="DN61" t="s">
        <v>1900</v>
      </c>
      <c r="DO61">
        <v>209606.075404238</v>
      </c>
      <c r="DP61">
        <v>836561.620438576</v>
      </c>
      <c r="DQ61">
        <v>897956.766005117</v>
      </c>
      <c r="DR61">
        <v>831431.2505928749</v>
      </c>
      <c r="DS61">
        <v>835070.523645878</v>
      </c>
      <c r="DT61">
        <v>10710.2231470585</v>
      </c>
      <c r="DU61">
        <v>53919.559998436</v>
      </c>
      <c r="DV61">
        <v>77466.17155866029</v>
      </c>
      <c r="DW61">
        <v>55700.7394729614</v>
      </c>
      <c r="DX61">
        <v>64968.6865114152</v>
      </c>
      <c r="DY61">
        <v>524299.706733363</v>
      </c>
      <c r="DZ61">
        <v>-347391.381904984</v>
      </c>
      <c r="EA61">
        <v>508236.544036204</v>
      </c>
      <c r="EB61">
        <v>466089.445384312</v>
      </c>
      <c r="EC61">
        <v>623213.743874049</v>
      </c>
      <c r="ED61">
        <v>1767.57328989387</v>
      </c>
      <c r="EE61">
        <v>4926.52316096306</v>
      </c>
      <c r="EF61">
        <v>2666.4987206459</v>
      </c>
      <c r="EG61">
        <v>2777.52103800774</v>
      </c>
      <c r="EH61">
        <v>2843.92533636093</v>
      </c>
      <c r="EI61" t="s">
        <v>1900</v>
      </c>
      <c r="EJ61" t="s">
        <v>1900</v>
      </c>
      <c r="EK61" t="s">
        <v>1900</v>
      </c>
      <c r="EL61" t="s">
        <v>1900</v>
      </c>
      <c r="EM61" t="s">
        <v>1900</v>
      </c>
      <c r="EN61">
        <v>-144719.494572286</v>
      </c>
      <c r="EO61">
        <v>639432.957469654</v>
      </c>
      <c r="EP61">
        <v>-87987.9515244365</v>
      </c>
      <c r="EQ61">
        <v>98741.2489244771</v>
      </c>
      <c r="ER61">
        <v>96681.2272562563</v>
      </c>
      <c r="ES61">
        <v>15300.5696015441</v>
      </c>
      <c r="ET61">
        <v>1643771.80885459</v>
      </c>
      <c r="EU61">
        <v>758088.231446362</v>
      </c>
      <c r="EV61">
        <v>948394.543432052</v>
      </c>
      <c r="EW61">
        <v>945253.401783842</v>
      </c>
      <c r="EX61">
        <v>-194696.132030072</v>
      </c>
      <c r="EY61">
        <v>806098.557917128</v>
      </c>
      <c r="EZ61">
        <v>-141056.726388675</v>
      </c>
      <c r="FA61">
        <v>116963.293971777</v>
      </c>
      <c r="FB61">
        <v>110182.878137964</v>
      </c>
      <c r="FC61">
        <v>40656.3154116178</v>
      </c>
      <c r="FD61">
        <v>262537.653473673</v>
      </c>
      <c r="FE61">
        <v>288687.406725246</v>
      </c>
      <c r="FF61">
        <v>309743.20363133</v>
      </c>
      <c r="FG61">
        <v>165439.405011195</v>
      </c>
      <c r="FH61">
        <v>0</v>
      </c>
      <c r="FI61">
        <v>187847.089753466</v>
      </c>
      <c r="FJ61">
        <v>214738.613628989</v>
      </c>
      <c r="FK61">
        <v>287806.525184226</v>
      </c>
      <c r="FL61">
        <v>123542.786779594</v>
      </c>
      <c r="FM61">
        <v>0</v>
      </c>
      <c r="FN61">
        <v>4633.04607925415</v>
      </c>
      <c r="FO61">
        <v>6325.91623690128</v>
      </c>
      <c r="FP61">
        <v>8094.90959150791</v>
      </c>
      <c r="FQ61">
        <v>10166.8121996164</v>
      </c>
      <c r="FR61">
        <v>40656.3154116178</v>
      </c>
      <c r="FS61">
        <v>70057.5165359526</v>
      </c>
      <c r="FT61">
        <v>67622.8757927555</v>
      </c>
      <c r="FU61">
        <v>13841.7688555956</v>
      </c>
      <c r="FV61">
        <v>31729.8060319841</v>
      </c>
      <c r="FW61">
        <v>0</v>
      </c>
      <c r="FX61">
        <v>187847.089753466</v>
      </c>
      <c r="FY61">
        <v>214738.613628989</v>
      </c>
      <c r="FZ61">
        <v>287806.525184226</v>
      </c>
      <c r="GA61">
        <v>123542.786779594</v>
      </c>
      <c r="GB61">
        <v>0</v>
      </c>
      <c r="GC61">
        <v>4633.04607925415</v>
      </c>
      <c r="GD61">
        <v>6325.91623690128</v>
      </c>
      <c r="GE61">
        <v>8094.90959150791</v>
      </c>
      <c r="GF61">
        <v>10166.8121996164</v>
      </c>
      <c r="GG61">
        <v>40656.3154116178</v>
      </c>
      <c r="GH61">
        <v>70057.5165359526</v>
      </c>
      <c r="GI61">
        <v>67622.8757927555</v>
      </c>
      <c r="GJ61">
        <v>13841.7688555956</v>
      </c>
      <c r="GK61">
        <v>31729.8060319841</v>
      </c>
      <c r="GL61">
        <v>481471.873112358</v>
      </c>
      <c r="GM61">
        <v>909034.790713644</v>
      </c>
      <c r="GN61">
        <v>118406.963621759</v>
      </c>
      <c r="GO61">
        <v>224104.678077221</v>
      </c>
      <c r="GP61">
        <v>557419.489495963</v>
      </c>
      <c r="GQ61">
        <v>0</v>
      </c>
      <c r="GR61">
        <v>0</v>
      </c>
      <c r="GS61">
        <v>0</v>
      </c>
      <c r="GT61">
        <v>0</v>
      </c>
      <c r="GU61">
        <v>0</v>
      </c>
      <c r="GV61">
        <v>403273.592998863</v>
      </c>
      <c r="GW61">
        <v>866100.460545244</v>
      </c>
      <c r="GX61">
        <v>79160.0915359378</v>
      </c>
      <c r="GY61">
        <v>48131.4810101509</v>
      </c>
      <c r="GZ61">
        <v>207282.448087382</v>
      </c>
      <c r="HA61">
        <v>78198.2801134944</v>
      </c>
      <c r="HB61">
        <v>42934.3301683998</v>
      </c>
      <c r="HC61">
        <v>39246.8720858216</v>
      </c>
      <c r="HD61">
        <v>175973.19706707</v>
      </c>
      <c r="HE61">
        <v>350137.04140858</v>
      </c>
      <c r="HF61">
        <v>78198.2801134944</v>
      </c>
      <c r="HG61">
        <v>36583.2624681187</v>
      </c>
      <c r="HH61">
        <v>31574.7366388202</v>
      </c>
      <c r="HI61">
        <v>157900.848935008</v>
      </c>
      <c r="HJ61">
        <v>334181.940458584</v>
      </c>
      <c r="HK61">
        <v>522128.188523976</v>
      </c>
      <c r="HL61">
        <v>1171572.44418732</v>
      </c>
      <c r="HM61">
        <v>407094.370347005</v>
      </c>
      <c r="HN61">
        <v>533847.88170855</v>
      </c>
      <c r="HO61">
        <v>722858.894507158</v>
      </c>
      <c r="HP61">
        <v>370200.517006146</v>
      </c>
      <c r="HQ61">
        <v>682834.006697512</v>
      </c>
      <c r="HR61">
        <v>93938.5207354247</v>
      </c>
      <c r="HS61">
        <v>261852.570076561</v>
      </c>
      <c r="HT61">
        <v>237068.737435949</v>
      </c>
      <c r="HU61">
        <v>227726.77936554</v>
      </c>
      <c r="HV61">
        <v>352716.158294678</v>
      </c>
      <c r="HW61">
        <v>340458.556652069</v>
      </c>
      <c r="HX61">
        <v>361526.0181427</v>
      </c>
      <c r="HY61">
        <v>391690.096378326</v>
      </c>
      <c r="HZ61">
        <v>142473.737640606</v>
      </c>
      <c r="IA61">
        <v>330117.848402834</v>
      </c>
      <c r="IB61">
        <v>-246520.035916644</v>
      </c>
      <c r="IC61">
        <v>-99673.4480661392</v>
      </c>
      <c r="ID61">
        <v>-154621.358942378</v>
      </c>
      <c r="IE61">
        <v>118070.060147805</v>
      </c>
      <c r="IF61">
        <v>267886.872474337</v>
      </c>
      <c r="IG61">
        <v>77984.8375578105</v>
      </c>
      <c r="IH61">
        <v>111948.45693841</v>
      </c>
      <c r="II61">
        <v>137357.213001734</v>
      </c>
      <c r="IJ61">
        <v>41515.5580549109</v>
      </c>
      <c r="IK61">
        <v>80795.84616018301</v>
      </c>
      <c r="IL61">
        <v>77984.8375578105</v>
      </c>
      <c r="IM61">
        <v>111948.45693841</v>
      </c>
      <c r="IN61">
        <v>137357.213001734</v>
      </c>
      <c r="IO61">
        <v>76554.5020928943</v>
      </c>
      <c r="IP61">
        <v>187091.026314154</v>
      </c>
      <c r="IQ61">
        <v>0</v>
      </c>
      <c r="IR61">
        <v>0</v>
      </c>
      <c r="IS61">
        <v>0</v>
      </c>
      <c r="IT61" t="s">
        <v>1900</v>
      </c>
      <c r="IU61" t="s">
        <v>1900</v>
      </c>
      <c r="IV61">
        <v>0</v>
      </c>
      <c r="IW61">
        <v>0</v>
      </c>
      <c r="IX61">
        <v>0</v>
      </c>
      <c r="IY61">
        <v>33857.6113700247</v>
      </c>
      <c r="IZ61">
        <v>220851.565015469</v>
      </c>
      <c r="JA61">
        <v>235171.01205377</v>
      </c>
      <c r="JB61">
        <v>160046.85469358</v>
      </c>
      <c r="JC61">
        <v>348432.944069475</v>
      </c>
      <c r="JD61">
        <v>17352.6455307138</v>
      </c>
      <c r="JE61">
        <v>103505.429601965</v>
      </c>
      <c r="JF61">
        <v>123354.300020087</v>
      </c>
      <c r="JG61">
        <v>33196.7641838551</v>
      </c>
      <c r="JH61">
        <v>42249.6915130258</v>
      </c>
      <c r="JI61">
        <v>7967.15435524464</v>
      </c>
      <c r="JJ61">
        <v>32573.5582186127</v>
      </c>
      <c r="JK61">
        <v>21836.9712928832</v>
      </c>
      <c r="JL61">
        <v>23646.134743166</v>
      </c>
      <c r="JM61">
        <v>64404.9816352427</v>
      </c>
      <c r="JN61">
        <v>8537.81044516671</v>
      </c>
      <c r="JO61">
        <v>84772.577194891</v>
      </c>
      <c r="JP61">
        <v>89979.7407407999</v>
      </c>
      <c r="JQ61">
        <v>103203.955766559</v>
      </c>
      <c r="JR61">
        <v>241778.270921206</v>
      </c>
      <c r="JS61">
        <v>522128.188523976</v>
      </c>
      <c r="JT61">
        <v>1171572.44418732</v>
      </c>
      <c r="JU61">
        <v>407094.370347005</v>
      </c>
      <c r="JV61">
        <v>533847.88170855</v>
      </c>
      <c r="JW61">
        <v>722858.894507158</v>
      </c>
      <c r="JX61">
        <v>395306.438643619</v>
      </c>
      <c r="JY61">
        <v>833526.9023266319</v>
      </c>
      <c r="JZ61">
        <v>57323.1202430546</v>
      </c>
      <c r="KA61">
        <v>24485.3462669849</v>
      </c>
      <c r="KB61">
        <v>142877.46522504</v>
      </c>
      <c r="KC61" t="s">
        <v>1900</v>
      </c>
      <c r="KD61" t="s">
        <v>1900</v>
      </c>
      <c r="KE61" t="s">
        <v>1900</v>
      </c>
      <c r="KF61" t="s">
        <v>1900</v>
      </c>
      <c r="KG61" t="s">
        <v>1900</v>
      </c>
      <c r="KH61" t="s">
        <v>1900</v>
      </c>
      <c r="KI61" t="s">
        <v>1900</v>
      </c>
      <c r="KJ61" t="s">
        <v>1900</v>
      </c>
      <c r="KK61" t="s">
        <v>1900</v>
      </c>
      <c r="KL61" t="s">
        <v>1900</v>
      </c>
      <c r="KM61">
        <v>16</v>
      </c>
      <c r="KN61">
        <v>32</v>
      </c>
      <c r="KO61">
        <v>39</v>
      </c>
      <c r="KP61">
        <v>36</v>
      </c>
      <c r="KQ61">
        <v>33</v>
      </c>
      <c r="KR61" t="s">
        <v>1900</v>
      </c>
      <c r="KS61" t="s">
        <v>1900</v>
      </c>
      <c r="KT61" t="s">
        <v>1900</v>
      </c>
      <c r="KU61" t="s">
        <v>1900</v>
      </c>
      <c r="KV61" t="s">
        <v>1900</v>
      </c>
      <c r="KW61" t="s">
        <v>1900</v>
      </c>
      <c r="KX61" t="s">
        <v>1900</v>
      </c>
      <c r="KY61" t="s">
        <v>1900</v>
      </c>
      <c r="KZ61" t="s">
        <v>1900</v>
      </c>
      <c r="LA61" t="s">
        <v>1900</v>
      </c>
      <c r="LB61" t="s">
        <v>1900</v>
      </c>
      <c r="LC61" t="s">
        <v>1900</v>
      </c>
      <c r="LD61" t="s">
        <v>1900</v>
      </c>
      <c r="LE61" t="s">
        <v>1900</v>
      </c>
      <c r="LF61" t="s">
        <v>1900</v>
      </c>
      <c r="LG61" t="s">
        <v>1900</v>
      </c>
      <c r="LH61" t="s">
        <v>1900</v>
      </c>
      <c r="LI61" t="s">
        <v>1900</v>
      </c>
      <c r="LJ61" t="s">
        <v>1900</v>
      </c>
      <c r="LK61" t="s">
        <v>1900</v>
      </c>
      <c r="LL61" t="s">
        <v>1900</v>
      </c>
      <c r="LM61" t="s">
        <v>1900</v>
      </c>
      <c r="LN61" t="s">
        <v>1900</v>
      </c>
      <c r="LO61" t="s">
        <v>1900</v>
      </c>
      <c r="LP61" t="s">
        <v>1900</v>
      </c>
      <c r="LQ61" t="s">
        <v>1900</v>
      </c>
      <c r="LR61" t="s">
        <v>1900</v>
      </c>
      <c r="LS61" t="s">
        <v>1900</v>
      </c>
      <c r="LT61" t="s">
        <v>1900</v>
      </c>
      <c r="LU61" t="s">
        <v>1900</v>
      </c>
      <c r="LV61" t="s">
        <v>1900</v>
      </c>
      <c r="LW61" t="s">
        <v>1900</v>
      </c>
      <c r="LX61" t="s">
        <v>1900</v>
      </c>
      <c r="LY61" t="s">
        <v>1900</v>
      </c>
      <c r="LZ61" t="s">
        <v>1900</v>
      </c>
      <c r="MA61" t="s">
        <v>1900</v>
      </c>
      <c r="MB61" t="s">
        <v>1900</v>
      </c>
      <c r="MC61" t="s">
        <v>1900</v>
      </c>
      <c r="MD61" t="s">
        <v>1900</v>
      </c>
      <c r="ME61" t="s">
        <v>1900</v>
      </c>
      <c r="MF61" t="s">
        <v>1900</v>
      </c>
      <c r="MG61" t="s">
        <v>1900</v>
      </c>
      <c r="MH61" t="s">
        <v>1900</v>
      </c>
      <c r="MI61" t="s">
        <v>1900</v>
      </c>
      <c r="MJ61" t="s">
        <v>1900</v>
      </c>
      <c r="MK61" t="s">
        <v>1900</v>
      </c>
      <c r="ML61" t="s">
        <v>1900</v>
      </c>
      <c r="MM61" t="s">
        <v>1900</v>
      </c>
      <c r="MN61" t="s">
        <v>1900</v>
      </c>
      <c r="MO61" t="s">
        <v>1900</v>
      </c>
      <c r="MP61">
        <v>78198.2801134944</v>
      </c>
      <c r="MQ61">
        <v>42934.3301683998</v>
      </c>
      <c r="MR61">
        <v>39246.8720858216</v>
      </c>
      <c r="MS61">
        <v>175973.19706707</v>
      </c>
      <c r="MT61">
        <v>350137.04140858</v>
      </c>
      <c r="MU61" t="s">
        <v>1900</v>
      </c>
      <c r="MV61" t="s">
        <v>1900</v>
      </c>
      <c r="MW61" t="s">
        <v>1900</v>
      </c>
      <c r="MX61" t="s">
        <v>1900</v>
      </c>
      <c r="MY61" t="s">
        <v>1900</v>
      </c>
      <c r="MZ61" t="s">
        <v>1900</v>
      </c>
      <c r="NA61" t="s">
        <v>1900</v>
      </c>
      <c r="NB61" t="s">
        <v>1900</v>
      </c>
      <c r="NC61" t="s">
        <v>1900</v>
      </c>
      <c r="ND61" t="s">
        <v>1900</v>
      </c>
      <c r="NE61" t="s">
        <v>1900</v>
      </c>
      <c r="NF61" t="s">
        <v>1900</v>
      </c>
      <c r="NG61" t="s">
        <v>1900</v>
      </c>
      <c r="NH61" t="s">
        <v>1900</v>
      </c>
      <c r="NI61" t="s">
        <v>1900</v>
      </c>
      <c r="NJ61" t="s">
        <v>1900</v>
      </c>
      <c r="NK61" t="s">
        <v>1900</v>
      </c>
      <c r="NL61" t="s">
        <v>1900</v>
      </c>
      <c r="NM61" t="s">
        <v>1900</v>
      </c>
      <c r="NN61" t="s">
        <v>1900</v>
      </c>
      <c r="NO61" t="s">
        <v>1900</v>
      </c>
      <c r="NP61" t="s">
        <v>1900</v>
      </c>
      <c r="NQ61" t="s">
        <v>1900</v>
      </c>
      <c r="NR61" t="s">
        <v>1900</v>
      </c>
      <c r="NS61" t="s">
        <v>1900</v>
      </c>
      <c r="NT61">
        <v>40656.3154116178</v>
      </c>
      <c r="NU61">
        <v>262537.653473673</v>
      </c>
      <c r="NV61">
        <v>288687.406725246</v>
      </c>
      <c r="NW61">
        <v>309743.20363133</v>
      </c>
      <c r="NX61">
        <v>165439.405011195</v>
      </c>
      <c r="NY61" t="s">
        <v>1900</v>
      </c>
      <c r="NZ61" t="s">
        <v>1900</v>
      </c>
      <c r="OA61" t="s">
        <v>1900</v>
      </c>
      <c r="OB61" t="s">
        <v>1900</v>
      </c>
      <c r="OC61" t="s">
        <v>1900</v>
      </c>
      <c r="OD61" t="s">
        <v>1900</v>
      </c>
      <c r="OE61" t="s">
        <v>1900</v>
      </c>
      <c r="OF61" t="s">
        <v>1900</v>
      </c>
      <c r="OG61" t="s">
        <v>1900</v>
      </c>
      <c r="OH61" t="s">
        <v>1900</v>
      </c>
      <c r="OI61" t="s">
        <v>1900</v>
      </c>
      <c r="OJ61" t="s">
        <v>1900</v>
      </c>
      <c r="OK61" t="s">
        <v>1900</v>
      </c>
      <c r="OL61" t="s">
        <v>1900</v>
      </c>
      <c r="OM61" t="s">
        <v>1900</v>
      </c>
      <c r="ON61" t="s">
        <v>1900</v>
      </c>
      <c r="OO61" t="s">
        <v>1900</v>
      </c>
      <c r="OP61" t="s">
        <v>1900</v>
      </c>
      <c r="OQ61" t="s">
        <v>1900</v>
      </c>
      <c r="OR61" t="s">
        <v>1900</v>
      </c>
      <c r="OS61" t="s">
        <v>1900</v>
      </c>
      <c r="OT61" t="s">
        <v>1900</v>
      </c>
      <c r="OU61" t="s">
        <v>1900</v>
      </c>
      <c r="OV61" t="s">
        <v>1900</v>
      </c>
      <c r="OW61" t="s">
        <v>1900</v>
      </c>
      <c r="OX61" t="s">
        <v>1900</v>
      </c>
      <c r="OY61" t="s">
        <v>1900</v>
      </c>
      <c r="OZ61" t="s">
        <v>1900</v>
      </c>
      <c r="PA61" t="s">
        <v>1900</v>
      </c>
      <c r="PB61" t="s">
        <v>1900</v>
      </c>
      <c r="PC61" t="s">
        <v>1900</v>
      </c>
      <c r="PD61" t="s">
        <v>1900</v>
      </c>
      <c r="PE61" t="s">
        <v>1900</v>
      </c>
      <c r="PF61" t="s">
        <v>1900</v>
      </c>
      <c r="PG61" t="s">
        <v>1900</v>
      </c>
      <c r="PH61" t="s">
        <v>1900</v>
      </c>
      <c r="PI61" t="s">
        <v>1900</v>
      </c>
      <c r="PJ61" t="s">
        <v>1900</v>
      </c>
      <c r="PK61" t="s">
        <v>1900</v>
      </c>
      <c r="PL61" t="s">
        <v>1900</v>
      </c>
      <c r="PM61" t="s">
        <v>1900</v>
      </c>
      <c r="PN61" t="s">
        <v>1900</v>
      </c>
      <c r="PO61" t="s">
        <v>1900</v>
      </c>
      <c r="PP61" t="s">
        <v>1900</v>
      </c>
      <c r="PQ61" t="s">
        <v>1900</v>
      </c>
      <c r="PR61" t="s">
        <v>1900</v>
      </c>
      <c r="PS61" t="s">
        <v>1900</v>
      </c>
      <c r="PT61" t="s">
        <v>1900</v>
      </c>
      <c r="PU61" t="s">
        <v>1900</v>
      </c>
      <c r="PV61" t="s">
        <v>1900</v>
      </c>
      <c r="PW61" t="s">
        <v>1900</v>
      </c>
      <c r="PX61" t="s">
        <v>1900</v>
      </c>
      <c r="PY61" t="s">
        <v>1900</v>
      </c>
      <c r="PZ61" t="s">
        <v>1900</v>
      </c>
      <c r="QA61" t="s">
        <v>1900</v>
      </c>
      <c r="QB61" t="s">
        <v>1900</v>
      </c>
      <c r="QC61" t="s">
        <v>1900</v>
      </c>
      <c r="QD61" t="s">
        <v>1900</v>
      </c>
      <c r="QE61" t="s">
        <v>1900</v>
      </c>
      <c r="QF61" t="s">
        <v>1900</v>
      </c>
      <c r="QG61" t="s">
        <v>1900</v>
      </c>
      <c r="QH61" t="s">
        <v>1900</v>
      </c>
      <c r="QI61" t="s">
        <v>1900</v>
      </c>
      <c r="QJ61" t="s">
        <v>1900</v>
      </c>
      <c r="QK61" t="s">
        <v>1900</v>
      </c>
      <c r="QL61" t="s">
        <v>1900</v>
      </c>
      <c r="QM61" t="s">
        <v>1900</v>
      </c>
      <c r="QN61" t="s">
        <v>1900</v>
      </c>
      <c r="QO61" t="s">
        <v>1900</v>
      </c>
      <c r="QP61" t="s">
        <v>1900</v>
      </c>
      <c r="QQ61" t="s">
        <v>1900</v>
      </c>
      <c r="QR61" t="s">
        <v>1900</v>
      </c>
      <c r="QS61" t="s">
        <v>1900</v>
      </c>
      <c r="QT61" t="s">
        <v>1900</v>
      </c>
      <c r="QU61" t="s">
        <v>1900</v>
      </c>
      <c r="QV61" t="s">
        <v>1900</v>
      </c>
      <c r="QW61" t="s">
        <v>1900</v>
      </c>
      <c r="QX61" t="s">
        <v>1900</v>
      </c>
      <c r="QY61" t="s">
        <v>1900</v>
      </c>
      <c r="QZ61" t="s">
        <v>1900</v>
      </c>
      <c r="RA61" t="s">
        <v>1900</v>
      </c>
      <c r="RB61" t="s">
        <v>1900</v>
      </c>
      <c r="RC61" t="s">
        <v>1900</v>
      </c>
      <c r="RD61" t="s">
        <v>1900</v>
      </c>
      <c r="RE61" t="s">
        <v>1900</v>
      </c>
      <c r="RF61" t="s">
        <v>1900</v>
      </c>
      <c r="RG61" t="s">
        <v>1900</v>
      </c>
      <c r="RH61" t="s">
        <v>1900</v>
      </c>
      <c r="RI61" t="s">
        <v>1900</v>
      </c>
      <c r="RJ61" t="s">
        <v>1900</v>
      </c>
      <c r="RK61" t="s">
        <v>1900</v>
      </c>
      <c r="RL61" t="s">
        <v>1900</v>
      </c>
      <c r="RM61" t="s">
        <v>1900</v>
      </c>
      <c r="RN61" t="s">
        <v>1900</v>
      </c>
      <c r="RO61" t="s">
        <v>1900</v>
      </c>
      <c r="RP61" t="s">
        <v>1900</v>
      </c>
      <c r="RQ61" t="s">
        <v>1900</v>
      </c>
      <c r="RR61" t="s">
        <v>1900</v>
      </c>
      <c r="RS61" t="s">
        <v>1900</v>
      </c>
      <c r="RT61" t="s">
        <v>1900</v>
      </c>
      <c r="RU61" t="s">
        <v>1900</v>
      </c>
      <c r="RV61" t="s">
        <v>1900</v>
      </c>
      <c r="RW61" t="s">
        <v>1900</v>
      </c>
      <c r="RX61" t="s">
        <v>1900</v>
      </c>
      <c r="RY61" t="s">
        <v>1900</v>
      </c>
      <c r="RZ61" t="s">
        <v>1900</v>
      </c>
      <c r="SA61" t="s">
        <v>1900</v>
      </c>
      <c r="SB61" t="s">
        <v>1900</v>
      </c>
      <c r="SC61" t="s">
        <v>1900</v>
      </c>
      <c r="SD61" t="s">
        <v>1900</v>
      </c>
      <c r="SE61" t="s">
        <v>1900</v>
      </c>
      <c r="SF61" t="s">
        <v>1900</v>
      </c>
      <c r="SG61" t="s">
        <v>1900</v>
      </c>
      <c r="SH61" t="s">
        <v>1900</v>
      </c>
      <c r="SI61" t="s">
        <v>1900</v>
      </c>
      <c r="SJ61">
        <v>40656.3154116178</v>
      </c>
      <c r="SK61">
        <v>70057.5165359526</v>
      </c>
      <c r="SL61">
        <v>67622.8757927555</v>
      </c>
      <c r="SM61">
        <v>13841.7688555956</v>
      </c>
      <c r="SN61">
        <v>31729.8060319841</v>
      </c>
      <c r="SO61" t="s">
        <v>1900</v>
      </c>
      <c r="SP61" t="s">
        <v>1900</v>
      </c>
      <c r="SQ61" t="s">
        <v>1900</v>
      </c>
      <c r="SR61" t="s">
        <v>1900</v>
      </c>
      <c r="SS61" t="s">
        <v>1900</v>
      </c>
      <c r="ST61" t="s">
        <v>1900</v>
      </c>
      <c r="SU61" t="s">
        <v>1900</v>
      </c>
      <c r="SV61" t="s">
        <v>1900</v>
      </c>
      <c r="SW61" t="s">
        <v>1900</v>
      </c>
      <c r="SX61" t="s">
        <v>1900</v>
      </c>
      <c r="SY61" t="s">
        <v>1900</v>
      </c>
      <c r="SZ61" t="s">
        <v>1900</v>
      </c>
      <c r="TA61" t="s">
        <v>1900</v>
      </c>
      <c r="TB61" t="s">
        <v>1900</v>
      </c>
      <c r="TC61" t="s">
        <v>1900</v>
      </c>
      <c r="TD61" t="s">
        <v>1900</v>
      </c>
      <c r="TE61" t="s">
        <v>1900</v>
      </c>
      <c r="TF61" t="s">
        <v>1900</v>
      </c>
      <c r="TG61" t="s">
        <v>1900</v>
      </c>
      <c r="TH61" t="s">
        <v>1900</v>
      </c>
      <c r="TI61" t="s">
        <v>1900</v>
      </c>
      <c r="TJ61" t="s">
        <v>1900</v>
      </c>
      <c r="TK61" t="s">
        <v>1900</v>
      </c>
      <c r="TL61" t="s">
        <v>1900</v>
      </c>
      <c r="TM61" t="s">
        <v>1900</v>
      </c>
      <c r="TN61" t="s">
        <v>1900</v>
      </c>
      <c r="TO61" t="s">
        <v>1900</v>
      </c>
      <c r="TP61" t="s">
        <v>1900</v>
      </c>
      <c r="TQ61" t="s">
        <v>1900</v>
      </c>
      <c r="TR61" t="s">
        <v>1900</v>
      </c>
      <c r="TS61">
        <v>522128.188523976</v>
      </c>
      <c r="TT61">
        <v>1171572.44418732</v>
      </c>
      <c r="TU61">
        <v>407094.370347005</v>
      </c>
      <c r="TV61">
        <v>533847.88170855</v>
      </c>
      <c r="TW61">
        <v>722858.894507158</v>
      </c>
      <c r="TX61" t="s">
        <v>1900</v>
      </c>
      <c r="TY61" t="s">
        <v>1900</v>
      </c>
      <c r="TZ61" t="s">
        <v>1900</v>
      </c>
      <c r="UA61" t="s">
        <v>1900</v>
      </c>
      <c r="UB61" t="s">
        <v>1900</v>
      </c>
      <c r="UC61">
        <v>17352.6455307138</v>
      </c>
      <c r="UD61">
        <v>103505.429601965</v>
      </c>
      <c r="UE61">
        <v>123354.300020087</v>
      </c>
      <c r="UF61">
        <v>33196.7641838551</v>
      </c>
      <c r="UG61">
        <v>42249.6915130258</v>
      </c>
      <c r="UH61" t="s">
        <v>1900</v>
      </c>
      <c r="UI61" t="s">
        <v>1900</v>
      </c>
      <c r="UJ61" t="s">
        <v>1900</v>
      </c>
      <c r="UK61" t="s">
        <v>1900</v>
      </c>
      <c r="UL61" t="s">
        <v>1900</v>
      </c>
      <c r="UM61" t="s">
        <v>1900</v>
      </c>
      <c r="UN61" t="s">
        <v>1900</v>
      </c>
      <c r="UO61" t="s">
        <v>1900</v>
      </c>
      <c r="UP61" t="s">
        <v>1900</v>
      </c>
      <c r="UQ61" t="s">
        <v>1900</v>
      </c>
      <c r="UR61" t="s">
        <v>1900</v>
      </c>
      <c r="US61" t="s">
        <v>1900</v>
      </c>
      <c r="UT61" t="s">
        <v>1900</v>
      </c>
      <c r="UU61" t="s">
        <v>1900</v>
      </c>
      <c r="UV61" t="s">
        <v>1900</v>
      </c>
      <c r="UW61" t="s">
        <v>1900</v>
      </c>
      <c r="UX61" t="s">
        <v>1900</v>
      </c>
      <c r="UY61" t="s">
        <v>1900</v>
      </c>
      <c r="UZ61" t="s">
        <v>1900</v>
      </c>
      <c r="VA61" t="s">
        <v>1900</v>
      </c>
      <c r="VB61" t="s">
        <v>1900</v>
      </c>
      <c r="VC61" t="s">
        <v>1900</v>
      </c>
      <c r="VD61" t="s">
        <v>1900</v>
      </c>
      <c r="VE61" t="s">
        <v>1900</v>
      </c>
      <c r="VF61" t="s">
        <v>1900</v>
      </c>
      <c r="VG61" t="s">
        <v>1900</v>
      </c>
      <c r="VH61" t="s">
        <v>1900</v>
      </c>
      <c r="VI61" t="s">
        <v>1900</v>
      </c>
      <c r="VJ61" t="s">
        <v>1900</v>
      </c>
      <c r="VK61" t="s">
        <v>1900</v>
      </c>
      <c r="VL61" t="s">
        <v>1900</v>
      </c>
      <c r="VM61" t="s">
        <v>1900</v>
      </c>
      <c r="VN61" t="s">
        <v>1900</v>
      </c>
      <c r="VO61" t="s">
        <v>1900</v>
      </c>
      <c r="VP61" t="s">
        <v>1900</v>
      </c>
      <c r="VQ61" t="s">
        <v>1900</v>
      </c>
      <c r="VR61" t="s">
        <v>1900</v>
      </c>
      <c r="VS61" t="s">
        <v>1900</v>
      </c>
      <c r="VT61" t="s">
        <v>1900</v>
      </c>
      <c r="VU61" t="s">
        <v>1900</v>
      </c>
      <c r="VV61" t="s">
        <v>1900</v>
      </c>
      <c r="VW61" t="s">
        <v>1900</v>
      </c>
      <c r="VX61" t="s">
        <v>1900</v>
      </c>
      <c r="VY61" t="s">
        <v>1900</v>
      </c>
      <c r="VZ61" t="s">
        <v>1900</v>
      </c>
      <c r="WA61">
        <v>8537.81044516671</v>
      </c>
      <c r="WB61">
        <v>84772.577194891</v>
      </c>
      <c r="WC61">
        <v>89979.7407407999</v>
      </c>
      <c r="WD61">
        <v>103203.955766559</v>
      </c>
      <c r="WE61">
        <v>241778.270921206</v>
      </c>
      <c r="WF61" t="s">
        <v>1900</v>
      </c>
      <c r="WG61" t="s">
        <v>1900</v>
      </c>
      <c r="WH61" t="s">
        <v>1900</v>
      </c>
      <c r="WI61" t="s">
        <v>1900</v>
      </c>
      <c r="WJ61" t="s">
        <v>1900</v>
      </c>
      <c r="WK61" t="s">
        <v>1900</v>
      </c>
      <c r="WL61" t="s">
        <v>1900</v>
      </c>
      <c r="WM61" t="s">
        <v>1900</v>
      </c>
      <c r="WN61" t="s">
        <v>1900</v>
      </c>
      <c r="WO61" t="s">
        <v>1900</v>
      </c>
      <c r="WP61" t="s">
        <v>1900</v>
      </c>
      <c r="WQ61" t="s">
        <v>1900</v>
      </c>
      <c r="WR61" t="s">
        <v>1900</v>
      </c>
      <c r="WS61" t="s">
        <v>1900</v>
      </c>
      <c r="WT61" t="s">
        <v>1900</v>
      </c>
      <c r="WU61" t="s">
        <v>1900</v>
      </c>
      <c r="WV61" t="s">
        <v>1900</v>
      </c>
      <c r="WW61" t="s">
        <v>1900</v>
      </c>
      <c r="WX61" t="s">
        <v>1900</v>
      </c>
      <c r="WY61" t="s">
        <v>1900</v>
      </c>
      <c r="WZ61" t="s">
        <v>1900</v>
      </c>
      <c r="XA61" t="s">
        <v>1900</v>
      </c>
      <c r="XB61" t="s">
        <v>1900</v>
      </c>
      <c r="XC61" t="s">
        <v>1900</v>
      </c>
      <c r="XD61" t="s">
        <v>1900</v>
      </c>
      <c r="XE61" t="s">
        <v>1900</v>
      </c>
      <c r="XF61" t="s">
        <v>1900</v>
      </c>
      <c r="XG61" t="s">
        <v>1900</v>
      </c>
      <c r="XH61" t="s">
        <v>1900</v>
      </c>
      <c r="XI61" t="s">
        <v>1900</v>
      </c>
      <c r="XJ61">
        <v>76554.5020928943</v>
      </c>
      <c r="XK61">
        <v>187091.026314154</v>
      </c>
      <c r="XL61">
        <v>0</v>
      </c>
      <c r="XM61">
        <v>0</v>
      </c>
      <c r="XN61">
        <v>0</v>
      </c>
      <c r="XO61" t="s">
        <v>1900</v>
      </c>
      <c r="XP61" t="s">
        <v>1900</v>
      </c>
      <c r="XQ61" t="s">
        <v>1900</v>
      </c>
      <c r="XR61" t="s">
        <v>1900</v>
      </c>
      <c r="XS61" t="s">
        <v>1900</v>
      </c>
      <c r="XT61" t="s">
        <v>1900</v>
      </c>
      <c r="XU61" t="s">
        <v>1900</v>
      </c>
      <c r="XV61" t="s">
        <v>1900</v>
      </c>
      <c r="XW61" t="s">
        <v>1900</v>
      </c>
      <c r="XX61" t="s">
        <v>1900</v>
      </c>
      <c r="XY61" t="s">
        <v>1900</v>
      </c>
      <c r="XZ61" t="s">
        <v>1900</v>
      </c>
      <c r="YA61">
        <v>0</v>
      </c>
      <c r="YB61">
        <v>0</v>
      </c>
      <c r="YC61">
        <v>0</v>
      </c>
      <c r="YD61" t="s">
        <v>1900</v>
      </c>
      <c r="YE61" t="s">
        <v>1900</v>
      </c>
      <c r="YF61" t="s">
        <v>1900</v>
      </c>
      <c r="YG61" t="s">
        <v>1900</v>
      </c>
      <c r="YH61" t="s">
        <v>1900</v>
      </c>
      <c r="YI61" t="s">
        <v>1900</v>
      </c>
      <c r="YJ61" t="s">
        <v>1900</v>
      </c>
      <c r="YK61" t="s">
        <v>1900</v>
      </c>
      <c r="YL61" t="s">
        <v>1900</v>
      </c>
      <c r="YM61" t="s">
        <v>1900</v>
      </c>
      <c r="YN61" t="s">
        <v>1900</v>
      </c>
      <c r="YO61" t="s">
        <v>1900</v>
      </c>
      <c r="YP61" t="s">
        <v>1900</v>
      </c>
      <c r="YQ61" t="s">
        <v>1900</v>
      </c>
      <c r="YR61" t="s">
        <v>1900</v>
      </c>
      <c r="YS61" t="s">
        <v>1900</v>
      </c>
      <c r="YT61" t="s">
        <v>1900</v>
      </c>
      <c r="YU61" t="s">
        <v>1900</v>
      </c>
      <c r="YV61" t="s">
        <v>1900</v>
      </c>
      <c r="YW61" t="s">
        <v>1900</v>
      </c>
      <c r="YX61" t="s">
        <v>1900</v>
      </c>
      <c r="YY61" t="s">
        <v>1900</v>
      </c>
      <c r="YZ61" t="s">
        <v>1900</v>
      </c>
      <c r="ZA61" t="s">
        <v>1900</v>
      </c>
      <c r="ZB61" t="s">
        <v>1900</v>
      </c>
      <c r="ZC61" t="s">
        <v>1900</v>
      </c>
      <c r="ZD61" t="s">
        <v>1900</v>
      </c>
      <c r="ZE61" t="s">
        <v>1900</v>
      </c>
      <c r="ZF61" t="s">
        <v>1900</v>
      </c>
      <c r="ZG61" t="s">
        <v>1900</v>
      </c>
      <c r="ZH61" t="s">
        <v>1900</v>
      </c>
      <c r="ZI61" t="s">
        <v>1900</v>
      </c>
      <c r="ZJ61" t="s">
        <v>1900</v>
      </c>
      <c r="ZK61" t="s">
        <v>1900</v>
      </c>
      <c r="ZL61" t="s">
        <v>1900</v>
      </c>
      <c r="ZM61" t="s">
        <v>1900</v>
      </c>
      <c r="ZN61" t="s">
        <v>1900</v>
      </c>
      <c r="ZO61" t="s">
        <v>1900</v>
      </c>
      <c r="ZP61" t="s">
        <v>1900</v>
      </c>
      <c r="ZQ61" t="s">
        <v>1900</v>
      </c>
      <c r="ZR61" t="s">
        <v>1900</v>
      </c>
      <c r="ZS61" t="s">
        <v>1900</v>
      </c>
      <c r="ZT61" t="s">
        <v>1900</v>
      </c>
      <c r="ZU61" t="s">
        <v>1900</v>
      </c>
      <c r="ZV61" t="s">
        <v>1900</v>
      </c>
      <c r="ZW61" t="s">
        <v>1900</v>
      </c>
      <c r="ZX61" t="s">
        <v>1900</v>
      </c>
      <c r="ZY61" t="s">
        <v>1900</v>
      </c>
      <c r="ZZ61" t="s">
        <v>1900</v>
      </c>
      <c r="AAA61" t="s">
        <v>1900</v>
      </c>
      <c r="AAB61" t="s">
        <v>1900</v>
      </c>
      <c r="AAC61" t="s">
        <v>1900</v>
      </c>
      <c r="AAD61" t="s">
        <v>1900</v>
      </c>
      <c r="AAE61" t="s">
        <v>1900</v>
      </c>
      <c r="AAF61" t="s">
        <v>1900</v>
      </c>
      <c r="AAG61" t="s">
        <v>1900</v>
      </c>
      <c r="AAH61" t="s">
        <v>1900</v>
      </c>
      <c r="AAI61" t="s">
        <v>1900</v>
      </c>
      <c r="AAJ61" t="s">
        <v>1900</v>
      </c>
      <c r="AAK61" t="s">
        <v>1900</v>
      </c>
      <c r="AAL61" t="s">
        <v>1900</v>
      </c>
      <c r="AAM61" t="s">
        <v>1900</v>
      </c>
      <c r="AAN61" t="s">
        <v>1900</v>
      </c>
      <c r="AAO61" t="s">
        <v>1900</v>
      </c>
      <c r="AAP61" t="s">
        <v>1900</v>
      </c>
      <c r="AAQ61" t="s">
        <v>1900</v>
      </c>
      <c r="AAR61" t="s">
        <v>1900</v>
      </c>
      <c r="AAS61" t="s">
        <v>1900</v>
      </c>
      <c r="AAT61" t="s">
        <v>1900</v>
      </c>
      <c r="AAU61" t="s">
        <v>1900</v>
      </c>
      <c r="AAV61" t="s">
        <v>1900</v>
      </c>
      <c r="AAW61" t="s">
        <v>1900</v>
      </c>
      <c r="AAX61" t="s">
        <v>1900</v>
      </c>
      <c r="AAY61" t="s">
        <v>1900</v>
      </c>
      <c r="AAZ61" t="s">
        <v>1900</v>
      </c>
      <c r="ABA61" t="s">
        <v>1900</v>
      </c>
      <c r="ABB61" t="s">
        <v>1900</v>
      </c>
      <c r="ABC61" t="s">
        <v>1900</v>
      </c>
      <c r="ABD61" t="s">
        <v>1900</v>
      </c>
      <c r="ABE61" t="s">
        <v>1900</v>
      </c>
      <c r="ABF61" t="s">
        <v>1900</v>
      </c>
      <c r="ABG61" t="s">
        <v>1900</v>
      </c>
      <c r="ABH61" t="s">
        <v>1900</v>
      </c>
      <c r="ABI61" t="s">
        <v>1900</v>
      </c>
      <c r="ABJ61" t="s">
        <v>1900</v>
      </c>
      <c r="ABK61" t="s">
        <v>1900</v>
      </c>
      <c r="ABL61" t="s">
        <v>1900</v>
      </c>
      <c r="ABM61" t="s">
        <v>1900</v>
      </c>
      <c r="ABN61" t="s">
        <v>1900</v>
      </c>
      <c r="ABO61" t="s">
        <v>1900</v>
      </c>
      <c r="ABP61" t="s">
        <v>1900</v>
      </c>
      <c r="ABQ61" t="s">
        <v>1900</v>
      </c>
      <c r="ABR61" t="s">
        <v>1900</v>
      </c>
      <c r="ABS61" t="s">
        <v>1900</v>
      </c>
      <c r="ABT61" t="s">
        <v>1900</v>
      </c>
      <c r="ABU61" t="s">
        <v>1900</v>
      </c>
      <c r="ABV61" t="s">
        <v>1900</v>
      </c>
      <c r="ABW61" t="s">
        <v>1900</v>
      </c>
      <c r="ABX61" t="s">
        <v>1900</v>
      </c>
      <c r="ABY61" t="s">
        <v>1900</v>
      </c>
      <c r="ABZ61" t="s">
        <v>1900</v>
      </c>
      <c r="ACA61" t="s">
        <v>1900</v>
      </c>
      <c r="ACB61" t="s">
        <v>1900</v>
      </c>
      <c r="ACC61" t="s">
        <v>1900</v>
      </c>
      <c r="ACD61" t="s">
        <v>1900</v>
      </c>
      <c r="ACE61">
        <v>-55.857</v>
      </c>
      <c r="ACF61">
        <v>109.597</v>
      </c>
      <c r="ACG61">
        <v>-234.197</v>
      </c>
      <c r="ACH61">
        <v>22.335</v>
      </c>
      <c r="ACI61">
        <v>17.873</v>
      </c>
      <c r="ACJ61">
        <v>-41.988</v>
      </c>
      <c r="ACK61">
        <v>79.23399999999999</v>
      </c>
      <c r="ACL61">
        <v>-126.414</v>
      </c>
      <c r="ACM61">
        <v>16.389</v>
      </c>
      <c r="ACN61">
        <v>12.076</v>
      </c>
      <c r="ACO61">
        <v>-39.604</v>
      </c>
      <c r="ACP61">
        <v>63.877</v>
      </c>
      <c r="ACQ61">
        <v>-54.042</v>
      </c>
      <c r="ACR61">
        <v>10.955</v>
      </c>
      <c r="ACS61">
        <v>5.861</v>
      </c>
      <c r="ACT61">
        <v>-41.985</v>
      </c>
      <c r="ACU61">
        <v>85.748</v>
      </c>
      <c r="ACV61">
        <v>-176.13</v>
      </c>
      <c r="ACW61">
        <v>16.437</v>
      </c>
      <c r="ACX61">
        <v>13.377</v>
      </c>
      <c r="ACY61">
        <v>-31.471</v>
      </c>
      <c r="ACZ61">
        <v>62.104</v>
      </c>
      <c r="ADA61">
        <v>-94.68600000000001</v>
      </c>
      <c r="ADB61">
        <v>12.257</v>
      </c>
      <c r="ADC61">
        <v>9.228999999999999</v>
      </c>
      <c r="ADD61">
        <v>-29.768</v>
      </c>
      <c r="ADE61">
        <v>49.977</v>
      </c>
      <c r="ADF61">
        <v>-40.643</v>
      </c>
      <c r="ADG61">
        <v>8.061999999999999</v>
      </c>
      <c r="ADH61">
        <v>4.387</v>
      </c>
      <c r="ADI61">
        <v>-38.349</v>
      </c>
      <c r="ADJ61">
        <v>57.777</v>
      </c>
      <c r="ADK61">
        <v>-17.39</v>
      </c>
      <c r="ADL61">
        <v>4.135</v>
      </c>
      <c r="ADM61">
        <v>2.701</v>
      </c>
      <c r="ADN61">
        <v>100</v>
      </c>
      <c r="ADO61">
        <v>100</v>
      </c>
      <c r="ADP61">
        <v>100</v>
      </c>
      <c r="ADQ61">
        <v>100</v>
      </c>
      <c r="ADR61">
        <v>100</v>
      </c>
      <c r="ADS61">
        <v>-38.09396867</v>
      </c>
      <c r="ADT61">
        <v>58.07126675</v>
      </c>
      <c r="ADU61">
        <v>-17.272672435</v>
      </c>
      <c r="ADV61">
        <v>4.331088576</v>
      </c>
      <c r="ADW61">
        <v>2.882699313</v>
      </c>
      <c r="ADX61">
        <v>-36.108</v>
      </c>
      <c r="ADY61">
        <v>62.234</v>
      </c>
      <c r="ADZ61">
        <v>-11.15</v>
      </c>
      <c r="AEA61">
        <v>8.269</v>
      </c>
      <c r="AEB61">
        <v>7.025</v>
      </c>
      <c r="AEC61">
        <v>-38.094</v>
      </c>
      <c r="AED61">
        <v>58.071</v>
      </c>
      <c r="AEE61">
        <v>-17.273</v>
      </c>
      <c r="AEF61">
        <v>4.331</v>
      </c>
      <c r="AEG61">
        <v>2.883</v>
      </c>
      <c r="AEH61">
        <v>-26.839</v>
      </c>
      <c r="AEI61">
        <v>49.367</v>
      </c>
      <c r="AEJ61">
        <v>-6.955</v>
      </c>
      <c r="AEK61">
        <v>6.981</v>
      </c>
      <c r="AEL61">
        <v>6.164</v>
      </c>
      <c r="AEM61">
        <v>-27.585541235</v>
      </c>
      <c r="AEN61">
        <v>138.49993131</v>
      </c>
      <c r="AEO61">
        <v>-14.728642297</v>
      </c>
      <c r="AEP61">
        <v>4.527164062</v>
      </c>
      <c r="AEQ61">
        <v>2.968265481</v>
      </c>
      <c r="AER61" t="s">
        <v>1900</v>
      </c>
      <c r="AES61" t="s">
        <v>1900</v>
      </c>
      <c r="AET61" t="s">
        <v>1900</v>
      </c>
      <c r="AEU61" t="s">
        <v>1900</v>
      </c>
      <c r="AEV61" t="s">
        <v>1900</v>
      </c>
      <c r="AEW61" t="s">
        <v>1900</v>
      </c>
      <c r="AEX61" t="s">
        <v>1900</v>
      </c>
      <c r="AEY61" t="s">
        <v>1900</v>
      </c>
      <c r="AEZ61" t="s">
        <v>1900</v>
      </c>
      <c r="AFA61" t="s">
        <v>1900</v>
      </c>
      <c r="AFB61" t="s">
        <v>1900</v>
      </c>
      <c r="AFC61" t="s">
        <v>1900</v>
      </c>
      <c r="AFD61" t="s">
        <v>1900</v>
      </c>
      <c r="AFE61" t="s">
        <v>1900</v>
      </c>
      <c r="AFF61" t="s">
        <v>1900</v>
      </c>
      <c r="AFG61">
        <v>1.104</v>
      </c>
      <c r="AFH61">
        <v>1.362</v>
      </c>
      <c r="AFI61">
        <v>7.359</v>
      </c>
      <c r="AFJ61">
        <v>3.784</v>
      </c>
      <c r="AFK61">
        <v>4.189</v>
      </c>
      <c r="AFL61" t="s">
        <v>1901</v>
      </c>
      <c r="AFM61">
        <v>152.679</v>
      </c>
      <c r="AFN61">
        <v>-81.95099999999999</v>
      </c>
      <c r="AFO61">
        <v>22.057</v>
      </c>
      <c r="AFP61">
        <v>15.899</v>
      </c>
      <c r="AFQ61" t="s">
        <v>1901</v>
      </c>
      <c r="AFR61" t="s">
        <v>1901</v>
      </c>
      <c r="AFS61" t="s">
        <v>1901</v>
      </c>
      <c r="AFT61" t="s">
        <v>1901</v>
      </c>
      <c r="AFU61" t="s">
        <v>1901</v>
      </c>
      <c r="AFV61">
        <v>269.243</v>
      </c>
      <c r="AFW61">
        <v>240.719</v>
      </c>
      <c r="AFX61">
        <v>22.525</v>
      </c>
      <c r="AFY61">
        <v>12.25</v>
      </c>
      <c r="AFZ61">
        <v>47.576</v>
      </c>
      <c r="AGA61">
        <v>5.319</v>
      </c>
      <c r="AGB61">
        <v>9.053000000000001</v>
      </c>
      <c r="AGC61">
        <v>6.214</v>
      </c>
      <c r="AGD61">
        <v>6.018</v>
      </c>
      <c r="AGE61">
        <v>14.782</v>
      </c>
      <c r="AGF61" t="s">
        <v>1900</v>
      </c>
      <c r="AGG61" t="s">
        <v>1900</v>
      </c>
      <c r="AGH61" t="s">
        <v>1900</v>
      </c>
      <c r="AGI61" t="s">
        <v>1900</v>
      </c>
      <c r="AGJ61" t="s">
        <v>1900</v>
      </c>
      <c r="AGK61" t="s">
        <v>1900</v>
      </c>
      <c r="AGL61" t="s">
        <v>1900</v>
      </c>
      <c r="AGM61" t="s">
        <v>1900</v>
      </c>
      <c r="AGN61" t="s">
        <v>1900</v>
      </c>
      <c r="AGO61" t="s">
        <v>1900</v>
      </c>
      <c r="AGP61" t="s">
        <v>1900</v>
      </c>
      <c r="AGQ61" t="s">
        <v>1900</v>
      </c>
      <c r="AGR61" t="s">
        <v>1900</v>
      </c>
      <c r="AGS61" t="s">
        <v>1900</v>
      </c>
      <c r="AGT61" t="s">
        <v>1900</v>
      </c>
      <c r="AGU61">
        <v>0</v>
      </c>
      <c r="AGV61">
        <v>0</v>
      </c>
      <c r="AGW61">
        <v>0</v>
      </c>
      <c r="AGX61">
        <v>0</v>
      </c>
      <c r="AGY61">
        <v>0</v>
      </c>
      <c r="AGZ61">
        <v>14.22</v>
      </c>
      <c r="AHA61">
        <v>4.116</v>
      </c>
      <c r="AHB61">
        <v>0.503</v>
      </c>
      <c r="AHC61">
        <v>1.4</v>
      </c>
      <c r="AHD61">
        <v>1.6</v>
      </c>
      <c r="AHE61">
        <v>14.22</v>
      </c>
      <c r="AHF61">
        <v>4.116</v>
      </c>
      <c r="AHG61">
        <v>0.503</v>
      </c>
      <c r="AHH61">
        <v>1.4</v>
      </c>
      <c r="AHI61">
        <v>1.6</v>
      </c>
      <c r="AHJ61">
        <v>3.135</v>
      </c>
      <c r="AHK61">
        <v>2.549</v>
      </c>
      <c r="AHL61">
        <v>1.205</v>
      </c>
      <c r="AHM61">
        <v>2.339</v>
      </c>
      <c r="AHN61">
        <v>1.726</v>
      </c>
      <c r="AHO61">
        <v>70.902</v>
      </c>
      <c r="AHP61">
        <v>58.284</v>
      </c>
      <c r="AHQ61">
        <v>23.075</v>
      </c>
      <c r="AHR61">
        <v>49.05</v>
      </c>
      <c r="AHS61">
        <v>32.796</v>
      </c>
      <c r="AHT61" t="s">
        <v>1901</v>
      </c>
      <c r="AHU61" t="s">
        <v>1901</v>
      </c>
      <c r="AHV61">
        <v>29.997</v>
      </c>
      <c r="AHW61">
        <v>96.271</v>
      </c>
      <c r="AHX61">
        <v>48.801</v>
      </c>
      <c r="AHY61">
        <v>36.581</v>
      </c>
      <c r="AHZ61">
        <v>54.39</v>
      </c>
      <c r="AIA61">
        <v>214.331</v>
      </c>
      <c r="AIB61">
        <v>55.43</v>
      </c>
      <c r="AIC61">
        <v>75.762</v>
      </c>
      <c r="AID61">
        <v>7.786653988</v>
      </c>
      <c r="AIE61">
        <v>5.979785278</v>
      </c>
      <c r="AIF61">
        <v>16.611105611</v>
      </c>
      <c r="AIG61">
        <v>2.592830154</v>
      </c>
      <c r="AIH61">
        <v>4.389488221</v>
      </c>
      <c r="AII61">
        <v>14.976835542</v>
      </c>
      <c r="AIJ61">
        <v>3.664675657</v>
      </c>
      <c r="AIK61">
        <v>9.640730736</v>
      </c>
      <c r="AIL61">
        <v>32.9631723</v>
      </c>
      <c r="AIM61">
        <v>48.437813254</v>
      </c>
      <c r="AIN61">
        <v>1.635194313</v>
      </c>
      <c r="AIO61">
        <v>7.235794732</v>
      </c>
      <c r="AIP61">
        <v>22.102919444</v>
      </c>
      <c r="AIQ61">
        <v>19.332090527</v>
      </c>
      <c r="AIR61">
        <v>33.447505835</v>
      </c>
      <c r="AIS61" t="s">
        <v>1900</v>
      </c>
      <c r="AIT61" t="s">
        <v>1900</v>
      </c>
      <c r="AIU61" t="s">
        <v>1900</v>
      </c>
      <c r="AIV61" t="s">
        <v>1900</v>
      </c>
      <c r="AIW61" t="s">
        <v>1900</v>
      </c>
      <c r="AIX61">
        <v>-12.9239560003905</v>
      </c>
      <c r="AIY61">
        <v>23.3863785655193</v>
      </c>
      <c r="AIZ61">
        <v>-5.64105697188854</v>
      </c>
      <c r="AJA61">
        <v>1.6245837594223</v>
      </c>
      <c r="AJB61">
        <v>1.28394712867558</v>
      </c>
      <c r="AJC61">
        <v>33.7006035213078</v>
      </c>
      <c r="AJD61">
        <v>40.4771494056473</v>
      </c>
      <c r="AJE61">
        <v>32.439400045765</v>
      </c>
      <c r="AJF61">
        <v>39.2912218801045</v>
      </c>
      <c r="AJG61">
        <v>47.5293071095151</v>
      </c>
      <c r="AJH61">
        <v>38.873</v>
      </c>
      <c r="AJI61">
        <v>64.586</v>
      </c>
      <c r="AJJ61">
        <v>70.977</v>
      </c>
      <c r="AJK61">
        <v>58.78</v>
      </c>
      <c r="AJL61">
        <v>53.241</v>
      </c>
      <c r="AJM61">
        <v>13.1003798426273</v>
      </c>
      <c r="AJN61">
        <v>26.1425503624554</v>
      </c>
      <c r="AJO61">
        <v>23.0245327625054</v>
      </c>
      <c r="AJP61">
        <v>23.0953127052355</v>
      </c>
      <c r="AJQ61">
        <v>25.3051668998057</v>
      </c>
      <c r="AJR61">
        <v>23.1375321830217</v>
      </c>
      <c r="AJS61">
        <v>21.3385629164848</v>
      </c>
      <c r="AJT61">
        <v>2.40868029234409</v>
      </c>
      <c r="AJU61">
        <v>7.27368262797117</v>
      </c>
      <c r="AJV61">
        <v>7.18390068820477</v>
      </c>
      <c r="AJW61">
        <v>24.7066528048135</v>
      </c>
      <c r="AJX61">
        <v>26.0477159048948</v>
      </c>
      <c r="AJY61">
        <v>1.46982315839648</v>
      </c>
      <c r="AJZ61">
        <v>0.680148004038334</v>
      </c>
      <c r="AKA61">
        <v>4.32961986085594</v>
      </c>
      <c r="AKB61">
        <v>32.633011652886</v>
      </c>
      <c r="AKC61">
        <v>36.6116388808536</v>
      </c>
      <c r="AKD61">
        <v>10.4383174892205</v>
      </c>
      <c r="AKE61">
        <v>14.8291075106263</v>
      </c>
      <c r="AKF61">
        <v>21.9048146132171</v>
      </c>
      <c r="AKG61" t="s">
        <v>1900</v>
      </c>
      <c r="AKH61" t="s">
        <v>1900</v>
      </c>
      <c r="AKI61" t="s">
        <v>1900</v>
      </c>
      <c r="AKJ61" t="s">
        <v>1900</v>
      </c>
      <c r="AKK61" t="s">
        <v>1900</v>
      </c>
      <c r="AKL61">
        <v>0</v>
      </c>
      <c r="AKM61">
        <v>0</v>
      </c>
      <c r="AKN61">
        <v>0</v>
      </c>
      <c r="AKO61">
        <v>0</v>
      </c>
      <c r="AKP61">
        <v>0</v>
      </c>
      <c r="AKQ61">
        <v>0</v>
      </c>
      <c r="AKR61">
        <v>0</v>
      </c>
      <c r="AKS61">
        <v>0</v>
      </c>
      <c r="AKT61">
        <v>0</v>
      </c>
      <c r="AKU61">
        <v>0</v>
      </c>
      <c r="AKV61">
        <v>0</v>
      </c>
      <c r="AKW61">
        <v>14.502556556</v>
      </c>
      <c r="AKX61">
        <v>16.973551821</v>
      </c>
      <c r="AKY61">
        <v>20.347103766</v>
      </c>
      <c r="AKZ61">
        <v>7.876657609</v>
      </c>
      <c r="ALA61">
        <v>0</v>
      </c>
      <c r="ALB61">
        <v>16.033757937</v>
      </c>
      <c r="ALC61">
        <v>52.749099293</v>
      </c>
      <c r="ALD61">
        <v>53.911710629</v>
      </c>
      <c r="ALE61">
        <v>17.090857942</v>
      </c>
      <c r="ALF61">
        <v>0</v>
      </c>
      <c r="ALG61">
        <v>0.357689932</v>
      </c>
      <c r="ALH61">
        <v>0.500018442</v>
      </c>
      <c r="ALI61">
        <v>0.572287113</v>
      </c>
      <c r="ALJ61">
        <v>0.6482005199999999</v>
      </c>
      <c r="ALK61">
        <v>0</v>
      </c>
      <c r="ALL61">
        <v>0.395455364</v>
      </c>
      <c r="ALM61">
        <v>1.553918869</v>
      </c>
      <c r="ALN61">
        <v>1.516332624</v>
      </c>
      <c r="ALO61">
        <v>1.406472588</v>
      </c>
      <c r="ALP61">
        <v>74.78975810599999</v>
      </c>
      <c r="ALQ61">
        <v>66.86646531700001</v>
      </c>
      <c r="ALR61">
        <v>6.257039165</v>
      </c>
      <c r="ALS61">
        <v>3.402758982</v>
      </c>
      <c r="ALT61">
        <v>13.21560663</v>
      </c>
      <c r="ALU61">
        <v>1.975620148</v>
      </c>
      <c r="ALV61">
        <v>3.760944567</v>
      </c>
      <c r="ALW61">
        <v>27.585833807</v>
      </c>
      <c r="ALX61">
        <v>49.128209328</v>
      </c>
      <c r="ALY61">
        <v>31.071121665</v>
      </c>
      <c r="ALZ61">
        <v>100</v>
      </c>
      <c r="AMA61">
        <v>100</v>
      </c>
      <c r="AMB61">
        <v>100</v>
      </c>
      <c r="AMC61">
        <v>100</v>
      </c>
      <c r="AMD61">
        <v>100</v>
      </c>
      <c r="AME61" t="s">
        <v>1901</v>
      </c>
      <c r="AMF61" t="s">
        <v>1901</v>
      </c>
      <c r="AMG61" t="s">
        <v>1901</v>
      </c>
      <c r="AMH61" t="s">
        <v>1901</v>
      </c>
      <c r="AMI61">
        <v>100</v>
      </c>
      <c r="AMJ61" t="s">
        <v>1900</v>
      </c>
      <c r="AMK61" t="s">
        <v>1900</v>
      </c>
      <c r="AML61" t="s">
        <v>1900</v>
      </c>
      <c r="AMM61" t="s">
        <v>1900</v>
      </c>
      <c r="AMN61" t="s">
        <v>1900</v>
      </c>
      <c r="AMO61">
        <v>0.724144587654134</v>
      </c>
      <c r="AMP61">
        <v>2.38499931795305</v>
      </c>
      <c r="AMQ61">
        <v>0.852713577032056</v>
      </c>
      <c r="AMR61">
        <v>1.04527164061544</v>
      </c>
      <c r="AMS61">
        <v>1.02968265481244</v>
      </c>
      <c r="AMT61">
        <v>0.724144587654135</v>
      </c>
      <c r="AMU61">
        <v>2.38499931591839</v>
      </c>
      <c r="AMV61">
        <v>0.852713577032056</v>
      </c>
      <c r="AMW61">
        <v>1.04527164061544</v>
      </c>
      <c r="AMX61">
        <v>1.02968265481244</v>
      </c>
      <c r="AMY61" t="s">
        <v>1900</v>
      </c>
      <c r="AMZ61" t="s">
        <v>1900</v>
      </c>
      <c r="ANA61" t="s">
        <v>1900</v>
      </c>
      <c r="ANB61" t="s">
        <v>1900</v>
      </c>
      <c r="ANC61" t="s">
        <v>1900</v>
      </c>
      <c r="AND61">
        <v>-38.093968669917</v>
      </c>
      <c r="ANE61">
        <v>58.071266750176</v>
      </c>
      <c r="ANF61">
        <v>-17.2726724348154</v>
      </c>
      <c r="ANG61">
        <v>4.33108857605564</v>
      </c>
      <c r="ANH61">
        <v>2.88269931261989</v>
      </c>
      <c r="ANI61">
        <v>-39.3896805838067</v>
      </c>
      <c r="ANJ61">
        <v>60.297597205513</v>
      </c>
      <c r="ANK61">
        <v>-18.6923146164384</v>
      </c>
      <c r="ANL61">
        <v>4.45247396212758</v>
      </c>
      <c r="ANM61">
        <v>2.88269931261989</v>
      </c>
      <c r="ANN61">
        <v>-27.5855412345866</v>
      </c>
      <c r="ANO61">
        <v>138.49993131004</v>
      </c>
      <c r="ANP61">
        <v>-14.7286422967944</v>
      </c>
      <c r="ANQ61">
        <v>4.52716406154449</v>
      </c>
      <c r="ANR61">
        <v>2.96826548124445</v>
      </c>
      <c r="ANS61">
        <v>-42.0681410652288</v>
      </c>
      <c r="ANT61">
        <v>79.1167012734482</v>
      </c>
      <c r="ANU61">
        <v>-127.10483329125</v>
      </c>
      <c r="ANV61">
        <v>16.3890813751996</v>
      </c>
      <c r="ANW61">
        <v>12.0756030861899</v>
      </c>
      <c r="ANX61" t="s">
        <v>1900</v>
      </c>
      <c r="ANY61" t="s">
        <v>1900</v>
      </c>
      <c r="ANZ61" t="s">
        <v>1900</v>
      </c>
      <c r="AOA61" t="s">
        <v>1900</v>
      </c>
      <c r="AOB61" t="s">
        <v>1900</v>
      </c>
      <c r="AOC61">
        <v>72.4144587654135</v>
      </c>
      <c r="AOD61">
        <v>238.49993131004</v>
      </c>
      <c r="AOE61">
        <v>85.2713577032056</v>
      </c>
      <c r="AOF61">
        <v>104.527164061544</v>
      </c>
      <c r="AOG61">
        <v>102.968265481244</v>
      </c>
      <c r="AOH61" t="s">
        <v>1901</v>
      </c>
      <c r="AOI61" t="s">
        <v>1901</v>
      </c>
      <c r="AOJ61" t="s">
        <v>1901</v>
      </c>
      <c r="AOK61" t="s">
        <v>1901</v>
      </c>
      <c r="AOL61" t="s">
        <v>1901</v>
      </c>
      <c r="AOM61" t="s">
        <v>1900</v>
      </c>
      <c r="AON61" t="s">
        <v>1900</v>
      </c>
      <c r="AOO61" t="s">
        <v>1900</v>
      </c>
      <c r="AOP61" t="s">
        <v>1900</v>
      </c>
      <c r="AOQ61" t="s">
        <v>1900</v>
      </c>
      <c r="AOR61">
        <v>-27.5855412345865</v>
      </c>
      <c r="AOS61">
        <v>138.499931591839</v>
      </c>
      <c r="AOT61">
        <v>-14.7286422967944</v>
      </c>
      <c r="AOU61">
        <v>4.52716406154449</v>
      </c>
      <c r="AOV61">
        <v>2.96826548124445</v>
      </c>
      <c r="AOW61">
        <v>-39.3402156198082</v>
      </c>
      <c r="AOX61">
        <v>64.20251702321779</v>
      </c>
      <c r="AOY61">
        <v>-53.6786833384769</v>
      </c>
      <c r="AOZ61">
        <v>11.4756575042966</v>
      </c>
      <c r="APA61">
        <v>6.25491253827286</v>
      </c>
      <c r="APB61">
        <v>-28.8254705247299</v>
      </c>
      <c r="APC61">
        <v>45.2040070042323</v>
      </c>
      <c r="APD61">
        <v>-13.0779652743426</v>
      </c>
      <c r="APE61">
        <v>3.04284183419205</v>
      </c>
      <c r="APF61">
        <v>2.0218810979008</v>
      </c>
      <c r="APG61">
        <v>-29.8059277174682</v>
      </c>
      <c r="APH61">
        <v>46.9370337337806</v>
      </c>
      <c r="API61">
        <v>-14.1528441747168</v>
      </c>
      <c r="APJ61">
        <v>3.12812213366254</v>
      </c>
      <c r="APK61">
        <v>2.0218810979008</v>
      </c>
      <c r="APL61" t="s">
        <v>1900</v>
      </c>
      <c r="APM61" t="s">
        <v>1900</v>
      </c>
      <c r="APN61" t="s">
        <v>1900</v>
      </c>
      <c r="APO61" t="s">
        <v>1900</v>
      </c>
      <c r="APP61" t="s">
        <v>1900</v>
      </c>
      <c r="APQ61">
        <v>-20.8738084670669</v>
      </c>
      <c r="APR61">
        <v>107.811525873839</v>
      </c>
      <c r="APS61">
        <v>-11.1517585493857</v>
      </c>
      <c r="APT61">
        <v>3.18059627615924</v>
      </c>
      <c r="APU61">
        <v>2.0818958966016</v>
      </c>
      <c r="APV61">
        <v>-20.8738084670669</v>
      </c>
      <c r="APW61">
        <v>107.811525654479</v>
      </c>
      <c r="APX61">
        <v>-11.1517585493857</v>
      </c>
      <c r="APY61">
        <v>3.18059627615924</v>
      </c>
      <c r="APZ61">
        <v>2.0818958966016</v>
      </c>
      <c r="AQA61">
        <v>-29.768497885095</v>
      </c>
      <c r="AQB61">
        <v>49.9767129532797</v>
      </c>
      <c r="AQC61">
        <v>-40.6426949461533</v>
      </c>
      <c r="AQD61">
        <v>8.06231738643735</v>
      </c>
      <c r="AQE61">
        <v>4.38709974876391</v>
      </c>
      <c r="AQF61" t="s">
        <v>1900</v>
      </c>
      <c r="AQG61" t="s">
        <v>1900</v>
      </c>
      <c r="AQH61" t="s">
        <v>1900</v>
      </c>
      <c r="AQI61" t="s">
        <v>1900</v>
      </c>
      <c r="AQJ61" t="s">
        <v>1900</v>
      </c>
      <c r="AQK61">
        <v>5</v>
      </c>
      <c r="AQO61" t="s">
        <v>1902</v>
      </c>
      <c r="AQP61">
        <v>1</v>
      </c>
      <c r="AQQ61">
        <v>0</v>
      </c>
      <c r="AQS61" t="s">
        <v>1905</v>
      </c>
      <c r="AQU61" t="s">
        <v>1906</v>
      </c>
      <c r="AQV61">
        <v>539209.650107528</v>
      </c>
      <c r="AQW61">
        <v>1295268.79645072</v>
      </c>
      <c r="AQX61">
        <v>1265136.58365265</v>
      </c>
      <c r="AQY61">
        <v>-205406.355177131</v>
      </c>
      <c r="AQZ61">
        <v>752178.997918692</v>
      </c>
      <c r="ARA61">
        <v>-218522.897947335</v>
      </c>
      <c r="ARB61">
        <v>3099615.030210898</v>
      </c>
      <c r="ARC61">
        <v>328249.7447942259</v>
      </c>
      <c r="ARD61">
        <v>0.1184433342372887</v>
      </c>
      <c r="ARE61">
        <v>0.1184433342372887</v>
      </c>
      <c r="ARF61">
        <v>0.1184433342372887</v>
      </c>
      <c r="ARG61" t="s">
        <v>1907</v>
      </c>
      <c r="ARH61" t="s">
        <v>1907</v>
      </c>
      <c r="ARI61" t="s">
        <v>1907</v>
      </c>
      <c r="ARJ61" t="s">
        <v>1222</v>
      </c>
      <c r="ARK61" t="s">
        <v>1560</v>
      </c>
      <c r="ARL61" t="s">
        <v>1908</v>
      </c>
      <c r="ARM61" t="s">
        <v>1908</v>
      </c>
      <c r="ARN61" t="s">
        <v>1908</v>
      </c>
      <c r="ARO61" t="s">
        <v>1908</v>
      </c>
      <c r="ARP61" t="s">
        <v>1904</v>
      </c>
      <c r="ARQ61" t="s">
        <v>1959</v>
      </c>
      <c r="ARR61">
        <f>HYPERLINK("C:\Users\Usuario\Documents\Proyectos\llmthon\evidence\infoautonomos_com_234658.png", "Ver Evidencia")</f>
        <v>0</v>
      </c>
      <c r="ARS61">
        <v>90</v>
      </c>
    </row>
    <row r="62" spans="1:1163">
      <c r="A62">
        <v>207</v>
      </c>
      <c r="B62" t="s">
        <v>1223</v>
      </c>
      <c r="C62" t="s">
        <v>1346</v>
      </c>
      <c r="E62" s="2">
        <v>40113</v>
      </c>
      <c r="F62" t="s">
        <v>1431</v>
      </c>
      <c r="G62" t="s">
        <v>1433</v>
      </c>
      <c r="H62" t="s">
        <v>1434</v>
      </c>
      <c r="I62" t="s">
        <v>1437</v>
      </c>
      <c r="J62" t="s">
        <v>1453</v>
      </c>
      <c r="L62" t="s">
        <v>1561</v>
      </c>
      <c r="N62" t="s">
        <v>1635</v>
      </c>
      <c r="O62" t="s">
        <v>1659</v>
      </c>
      <c r="P62">
        <v>6203</v>
      </c>
      <c r="Q62">
        <v>6203</v>
      </c>
      <c r="R62" t="s">
        <v>1731</v>
      </c>
      <c r="Z62" t="s">
        <v>1899</v>
      </c>
      <c r="AA62" s="2">
        <v>45291</v>
      </c>
      <c r="AB62">
        <v>2023</v>
      </c>
      <c r="AC62" t="s">
        <v>1900</v>
      </c>
      <c r="AD62">
        <v>4051421.43267816</v>
      </c>
      <c r="AE62">
        <v>2597947.16627812</v>
      </c>
      <c r="AF62">
        <v>2486877.63220339</v>
      </c>
      <c r="AG62">
        <v>2428943.07917244</v>
      </c>
      <c r="AH62" t="s">
        <v>1900</v>
      </c>
      <c r="AI62">
        <v>4018763.98282189</v>
      </c>
      <c r="AJ62">
        <v>2587824.78515671</v>
      </c>
      <c r="AK62">
        <v>2484394.29276924</v>
      </c>
      <c r="AL62">
        <v>2424004.92481671</v>
      </c>
      <c r="AM62" t="s">
        <v>1900</v>
      </c>
      <c r="AN62">
        <v>2137775.61790743</v>
      </c>
      <c r="AO62">
        <v>1318743.79927055</v>
      </c>
      <c r="AP62">
        <v>1208658.83411945</v>
      </c>
      <c r="AQ62">
        <v>1206851.04432988</v>
      </c>
      <c r="AR62" t="s">
        <v>1900</v>
      </c>
      <c r="AS62">
        <v>1913645.81477073</v>
      </c>
      <c r="AT62">
        <v>1279203.36700757</v>
      </c>
      <c r="AU62">
        <v>1278218.79808394</v>
      </c>
      <c r="AV62">
        <v>1222092.03484257</v>
      </c>
      <c r="AW62" t="s">
        <v>1900</v>
      </c>
      <c r="AX62">
        <v>1781613.89016142</v>
      </c>
      <c r="AY62">
        <v>1175315.16787328</v>
      </c>
      <c r="AZ62">
        <v>1150123.21872891</v>
      </c>
      <c r="BA62">
        <v>1186009.21675578</v>
      </c>
      <c r="BB62" t="s">
        <v>1900</v>
      </c>
      <c r="BC62">
        <v>132031.923504305</v>
      </c>
      <c r="BD62">
        <v>103888.198067689</v>
      </c>
      <c r="BE62">
        <v>128095.577089834</v>
      </c>
      <c r="BF62">
        <v>36082.8180867851</v>
      </c>
      <c r="BG62" t="s">
        <v>1900</v>
      </c>
      <c r="BH62">
        <v>-4510.22527413368</v>
      </c>
      <c r="BI62">
        <v>-944.622104181647</v>
      </c>
      <c r="BJ62">
        <v>-507.9146078825</v>
      </c>
      <c r="BK62">
        <v>-3686.50079932213</v>
      </c>
      <c r="BL62" t="s">
        <v>1900</v>
      </c>
      <c r="BM62">
        <v>14.1661063575745</v>
      </c>
      <c r="BN62">
        <v>14.9003948509693</v>
      </c>
      <c r="BO62" t="s">
        <v>1900</v>
      </c>
      <c r="BP62">
        <v>0.969408446550369</v>
      </c>
      <c r="BQ62" t="s">
        <v>1900</v>
      </c>
      <c r="BR62">
        <v>4524.39138049126</v>
      </c>
      <c r="BS62">
        <v>959.522499032617</v>
      </c>
      <c r="BT62">
        <v>507.9146078825</v>
      </c>
      <c r="BU62">
        <v>3687.47020776868</v>
      </c>
      <c r="BV62" t="s">
        <v>1900</v>
      </c>
      <c r="BW62">
        <v>127521.698230171</v>
      </c>
      <c r="BX62">
        <v>102943.574896908</v>
      </c>
      <c r="BY62">
        <v>127587.662481952</v>
      </c>
      <c r="BZ62">
        <v>32396.3172874629</v>
      </c>
      <c r="CA62" t="s">
        <v>1900</v>
      </c>
      <c r="CB62">
        <v>18600.9595478821</v>
      </c>
      <c r="CC62">
        <v>12518.6461957037</v>
      </c>
      <c r="CD62">
        <v>32012.9703424931</v>
      </c>
      <c r="CE62">
        <v>8099.11306709647</v>
      </c>
      <c r="CF62" t="s">
        <v>1900</v>
      </c>
      <c r="CG62">
        <v>108920.738682289</v>
      </c>
      <c r="CH62">
        <v>90424.9276346046</v>
      </c>
      <c r="CI62">
        <v>95574.6921394587</v>
      </c>
      <c r="CJ62">
        <v>24297.2042203665</v>
      </c>
      <c r="CK62" t="s">
        <v>1900</v>
      </c>
      <c r="CL62" t="s">
        <v>1900</v>
      </c>
      <c r="CM62" t="s">
        <v>1900</v>
      </c>
      <c r="CN62" t="s">
        <v>1900</v>
      </c>
      <c r="CO62" t="s">
        <v>1900</v>
      </c>
      <c r="CP62" t="s">
        <v>1900</v>
      </c>
      <c r="CQ62" t="s">
        <v>1900</v>
      </c>
      <c r="CR62" t="s">
        <v>1900</v>
      </c>
      <c r="CS62" t="s">
        <v>1900</v>
      </c>
      <c r="CT62" t="s">
        <v>1900</v>
      </c>
      <c r="CU62" t="s">
        <v>1900</v>
      </c>
      <c r="CV62" t="s">
        <v>1900</v>
      </c>
      <c r="CW62" t="s">
        <v>1900</v>
      </c>
      <c r="CX62" t="s">
        <v>1900</v>
      </c>
      <c r="CY62" t="s">
        <v>1900</v>
      </c>
      <c r="CZ62" t="s">
        <v>1900</v>
      </c>
      <c r="DA62">
        <v>108920.738682289</v>
      </c>
      <c r="DB62">
        <v>90424.9276346046</v>
      </c>
      <c r="DC62">
        <v>95574.6921394587</v>
      </c>
      <c r="DD62">
        <v>24297.2042203665</v>
      </c>
      <c r="DE62" t="s">
        <v>1900</v>
      </c>
      <c r="DF62" t="s">
        <v>1900</v>
      </c>
      <c r="DG62" t="s">
        <v>1900</v>
      </c>
      <c r="DH62" t="s">
        <v>1900</v>
      </c>
      <c r="DI62" t="s">
        <v>1900</v>
      </c>
      <c r="DJ62" t="s">
        <v>1900</v>
      </c>
      <c r="DK62">
        <v>2139041.92637573</v>
      </c>
      <c r="DL62">
        <v>1318743.79927055</v>
      </c>
      <c r="DM62">
        <v>1208658.83411945</v>
      </c>
      <c r="DN62">
        <v>1206851.04432988</v>
      </c>
      <c r="DO62" t="s">
        <v>1900</v>
      </c>
      <c r="DP62">
        <v>1462355.40208714</v>
      </c>
      <c r="DQ62">
        <v>970359.309823245</v>
      </c>
      <c r="DR62">
        <v>950149.939129186</v>
      </c>
      <c r="DS62">
        <v>851633.087833065</v>
      </c>
      <c r="DT62" t="s">
        <v>1900</v>
      </c>
      <c r="DU62">
        <v>38555.6220532894</v>
      </c>
      <c r="DV62">
        <v>25020.8347613037</v>
      </c>
      <c r="DW62">
        <v>13084.4443340063</v>
      </c>
      <c r="DX62">
        <v>4854.55208046436</v>
      </c>
      <c r="DY62" t="s">
        <v>1900</v>
      </c>
      <c r="DZ62">
        <v>280702.866020997</v>
      </c>
      <c r="EA62">
        <v>179935.024355334</v>
      </c>
      <c r="EB62">
        <v>186888.836398315</v>
      </c>
      <c r="EC62">
        <v>329521.576842254</v>
      </c>
      <c r="ED62" t="s">
        <v>1900</v>
      </c>
      <c r="EE62">
        <v>2146.65131339073</v>
      </c>
      <c r="EF62">
        <v>61.2654746055603</v>
      </c>
      <c r="EG62">
        <v>507.9146078825</v>
      </c>
      <c r="EH62">
        <v>3687.47020776868</v>
      </c>
      <c r="EI62" t="s">
        <v>1900</v>
      </c>
      <c r="EJ62" t="s">
        <v>1900</v>
      </c>
      <c r="EK62" t="s">
        <v>1900</v>
      </c>
      <c r="EL62" t="s">
        <v>1900</v>
      </c>
      <c r="EM62" t="s">
        <v>1900</v>
      </c>
      <c r="EN62" t="s">
        <v>1900</v>
      </c>
      <c r="EO62">
        <v>147476.359630578</v>
      </c>
      <c r="EP62">
        <v>115445.762395908</v>
      </c>
      <c r="EQ62">
        <v>108659.136473465</v>
      </c>
      <c r="ER62">
        <v>29151.7563008308</v>
      </c>
      <c r="ES62" t="s">
        <v>1900</v>
      </c>
      <c r="ET62">
        <v>1630579.37257899</v>
      </c>
      <c r="EU62">
        <v>1098384.98495606</v>
      </c>
      <c r="EV62">
        <v>1091329.95942043</v>
      </c>
      <c r="EW62">
        <v>892571.427408761</v>
      </c>
      <c r="EX62" t="s">
        <v>1900</v>
      </c>
      <c r="EY62">
        <v>170587.545557594</v>
      </c>
      <c r="EZ62">
        <v>128909.032828993</v>
      </c>
      <c r="FA62">
        <v>141180.021423841</v>
      </c>
      <c r="FB62">
        <v>40937.3701672494</v>
      </c>
      <c r="FC62" t="s">
        <v>1900</v>
      </c>
      <c r="FD62">
        <v>136592.271600933</v>
      </c>
      <c r="FE62">
        <v>72920.2285457492</v>
      </c>
      <c r="FF62">
        <v>52617.4163519382</v>
      </c>
      <c r="FG62">
        <v>10263.4585404396</v>
      </c>
      <c r="FH62" t="s">
        <v>1900</v>
      </c>
      <c r="FI62">
        <v>10622.380817194</v>
      </c>
      <c r="FJ62">
        <v>16640.4879200935</v>
      </c>
      <c r="FK62">
        <v>25479.3049708128</v>
      </c>
      <c r="FL62">
        <v>7713.58300920129</v>
      </c>
      <c r="FM62" t="s">
        <v>1900</v>
      </c>
      <c r="FN62">
        <v>76237.00086422919</v>
      </c>
      <c r="FO62">
        <v>33460.4205380917</v>
      </c>
      <c r="FP62">
        <v>23966.8305202246</v>
      </c>
      <c r="FQ62">
        <v>2549.87430413902</v>
      </c>
      <c r="FR62" t="s">
        <v>1900</v>
      </c>
      <c r="FS62">
        <v>49732.8899195099</v>
      </c>
      <c r="FT62">
        <v>22819.320087564</v>
      </c>
      <c r="FU62">
        <v>3171.28086090088</v>
      </c>
      <c r="FV62">
        <v>0</v>
      </c>
      <c r="FW62" t="s">
        <v>1900</v>
      </c>
      <c r="FX62">
        <v>10622.380817194</v>
      </c>
      <c r="FY62">
        <v>16640.4879200935</v>
      </c>
      <c r="FZ62">
        <v>25479.3049708128</v>
      </c>
      <c r="GA62">
        <v>7713.58300920129</v>
      </c>
      <c r="GB62" t="s">
        <v>1900</v>
      </c>
      <c r="GC62">
        <v>76237.00086422919</v>
      </c>
      <c r="GD62">
        <v>33460.4205380917</v>
      </c>
      <c r="GE62">
        <v>23966.8305202246</v>
      </c>
      <c r="GF62">
        <v>2549.87430413902</v>
      </c>
      <c r="GG62" t="s">
        <v>1900</v>
      </c>
      <c r="GH62">
        <v>49732.8899195099</v>
      </c>
      <c r="GI62">
        <v>22819.320087564</v>
      </c>
      <c r="GJ62">
        <v>3171.28086090088</v>
      </c>
      <c r="GK62">
        <v>0</v>
      </c>
      <c r="GL62" t="s">
        <v>1900</v>
      </c>
      <c r="GM62">
        <v>2134173.91299103</v>
      </c>
      <c r="GN62">
        <v>921654.292113328</v>
      </c>
      <c r="GO62">
        <v>642778.7629737851</v>
      </c>
      <c r="GP62">
        <v>433247.887951368</v>
      </c>
      <c r="GQ62" t="s">
        <v>1900</v>
      </c>
      <c r="GR62">
        <v>117537.654099455</v>
      </c>
      <c r="GS62">
        <v>4569.89883741736</v>
      </c>
      <c r="GT62">
        <v>0</v>
      </c>
      <c r="GU62">
        <v>0</v>
      </c>
      <c r="GV62" t="s">
        <v>1900</v>
      </c>
      <c r="GW62">
        <v>1266973.13715198</v>
      </c>
      <c r="GX62">
        <v>566405.5843333961</v>
      </c>
      <c r="GY62">
        <v>565011.5150804759</v>
      </c>
      <c r="GZ62">
        <v>420976.89495706</v>
      </c>
      <c r="HA62" t="s">
        <v>1900</v>
      </c>
      <c r="HB62">
        <v>749663.1217395969</v>
      </c>
      <c r="HC62">
        <v>350678.808942515</v>
      </c>
      <c r="HD62">
        <v>77767.2478933096</v>
      </c>
      <c r="HE62">
        <v>12270.9929943085</v>
      </c>
      <c r="HF62" t="s">
        <v>1900</v>
      </c>
      <c r="HG62">
        <v>743248.085560608</v>
      </c>
      <c r="HH62">
        <v>334756.53711983</v>
      </c>
      <c r="HI62">
        <v>66101.46472642419</v>
      </c>
      <c r="HJ62" t="s">
        <v>1900</v>
      </c>
      <c r="HK62" t="s">
        <v>1900</v>
      </c>
      <c r="HL62">
        <v>2270766.18459196</v>
      </c>
      <c r="HM62">
        <v>994574.520659077</v>
      </c>
      <c r="HN62">
        <v>695396.179325724</v>
      </c>
      <c r="HO62">
        <v>443511.346491808</v>
      </c>
      <c r="HP62" t="s">
        <v>1900</v>
      </c>
      <c r="HQ62">
        <v>447857.949643145</v>
      </c>
      <c r="HR62">
        <v>327158.455675298</v>
      </c>
      <c r="HS62">
        <v>214840.211430216</v>
      </c>
      <c r="HT62">
        <v>128479.161841345</v>
      </c>
      <c r="HU62" t="s">
        <v>1900</v>
      </c>
      <c r="HV62">
        <v>66300.0297546387</v>
      </c>
      <c r="HW62">
        <v>63995.9692955017</v>
      </c>
      <c r="HX62">
        <v>67956.01844787601</v>
      </c>
      <c r="HY62">
        <v>73625.9579658508</v>
      </c>
      <c r="HZ62" t="s">
        <v>1900</v>
      </c>
      <c r="IA62">
        <v>381557.919888506</v>
      </c>
      <c r="IB62">
        <v>263162.486379796</v>
      </c>
      <c r="IC62">
        <v>146884.19298234</v>
      </c>
      <c r="ID62">
        <v>54853.203875494</v>
      </c>
      <c r="IE62" t="s">
        <v>1900</v>
      </c>
      <c r="IF62">
        <v>0</v>
      </c>
      <c r="IG62">
        <v>0</v>
      </c>
      <c r="IH62">
        <v>0</v>
      </c>
      <c r="II62">
        <v>0</v>
      </c>
      <c r="IJ62" t="s">
        <v>1900</v>
      </c>
      <c r="IK62" t="s">
        <v>1900</v>
      </c>
      <c r="IL62" t="s">
        <v>1900</v>
      </c>
      <c r="IM62" t="s">
        <v>1900</v>
      </c>
      <c r="IN62" t="s">
        <v>1900</v>
      </c>
      <c r="IO62" t="s">
        <v>1900</v>
      </c>
      <c r="IP62" t="s">
        <v>1900</v>
      </c>
      <c r="IQ62" t="s">
        <v>1900</v>
      </c>
      <c r="IR62" t="s">
        <v>1900</v>
      </c>
      <c r="IS62" t="s">
        <v>1900</v>
      </c>
      <c r="IT62" t="s">
        <v>1900</v>
      </c>
      <c r="IU62" t="s">
        <v>1900</v>
      </c>
      <c r="IV62" t="s">
        <v>1900</v>
      </c>
      <c r="IW62" t="s">
        <v>1900</v>
      </c>
      <c r="IX62" t="s">
        <v>1900</v>
      </c>
      <c r="IY62" t="s">
        <v>1900</v>
      </c>
      <c r="IZ62">
        <v>1822908.23494882</v>
      </c>
      <c r="JA62">
        <v>667416.064983779</v>
      </c>
      <c r="JB62">
        <v>480555.967895508</v>
      </c>
      <c r="JC62">
        <v>315032.184650463</v>
      </c>
      <c r="JD62" t="s">
        <v>1900</v>
      </c>
      <c r="JE62">
        <v>2469.18990814209</v>
      </c>
      <c r="JF62">
        <v>1094.67132018983</v>
      </c>
      <c r="JG62">
        <v>0</v>
      </c>
      <c r="JH62">
        <v>0</v>
      </c>
      <c r="JI62" t="s">
        <v>1900</v>
      </c>
      <c r="JJ62">
        <v>913476.362306967</v>
      </c>
      <c r="JK62">
        <v>321076.684061259</v>
      </c>
      <c r="JL62">
        <v>177422.664962554</v>
      </c>
      <c r="JM62">
        <v>89253.2025250256</v>
      </c>
      <c r="JN62" t="s">
        <v>1900</v>
      </c>
      <c r="JO62">
        <v>906962.682733707</v>
      </c>
      <c r="JP62">
        <v>345244.708535731</v>
      </c>
      <c r="JQ62">
        <v>303133.301800354</v>
      </c>
      <c r="JR62">
        <v>225778.982125437</v>
      </c>
      <c r="JS62" t="s">
        <v>1900</v>
      </c>
      <c r="JT62">
        <v>2270766.18459196</v>
      </c>
      <c r="JU62">
        <v>994574.520659077</v>
      </c>
      <c r="JV62">
        <v>695396.179325724</v>
      </c>
      <c r="JW62">
        <v>443511.346491808</v>
      </c>
      <c r="JX62" t="s">
        <v>1900</v>
      </c>
      <c r="JY62">
        <v>471034.427839463</v>
      </c>
      <c r="JZ62">
        <v>249898.799109554</v>
      </c>
      <c r="KA62">
        <v>387588.850117922</v>
      </c>
      <c r="KB62">
        <v>331723.692432034</v>
      </c>
      <c r="KC62" t="s">
        <v>1900</v>
      </c>
      <c r="KD62" t="s">
        <v>1900</v>
      </c>
      <c r="KE62" t="s">
        <v>1900</v>
      </c>
      <c r="KF62" t="s">
        <v>1900</v>
      </c>
      <c r="KG62" t="s">
        <v>1900</v>
      </c>
      <c r="KH62" t="s">
        <v>1900</v>
      </c>
      <c r="KI62" t="s">
        <v>1900</v>
      </c>
      <c r="KJ62" t="s">
        <v>1900</v>
      </c>
      <c r="KK62" t="s">
        <v>1900</v>
      </c>
      <c r="KL62" t="s">
        <v>1900</v>
      </c>
      <c r="KM62" t="s">
        <v>1900</v>
      </c>
      <c r="KN62">
        <v>22</v>
      </c>
      <c r="KO62">
        <v>20</v>
      </c>
      <c r="KP62">
        <v>19</v>
      </c>
      <c r="KQ62">
        <v>14</v>
      </c>
      <c r="KR62" t="s">
        <v>1900</v>
      </c>
      <c r="KS62" t="s">
        <v>1900</v>
      </c>
      <c r="KT62" t="s">
        <v>1900</v>
      </c>
      <c r="KU62" t="s">
        <v>1900</v>
      </c>
      <c r="KV62" t="s">
        <v>1900</v>
      </c>
      <c r="KW62" t="s">
        <v>1900</v>
      </c>
      <c r="KX62" t="s">
        <v>1900</v>
      </c>
      <c r="KY62" t="s">
        <v>1900</v>
      </c>
      <c r="KZ62" t="s">
        <v>1900</v>
      </c>
      <c r="LA62" t="s">
        <v>1900</v>
      </c>
      <c r="LB62" t="s">
        <v>1900</v>
      </c>
      <c r="LC62" t="s">
        <v>1900</v>
      </c>
      <c r="LD62" t="s">
        <v>1900</v>
      </c>
      <c r="LE62" t="s">
        <v>1900</v>
      </c>
      <c r="LF62" t="s">
        <v>1900</v>
      </c>
      <c r="LG62" t="s">
        <v>1900</v>
      </c>
      <c r="LH62" t="s">
        <v>1900</v>
      </c>
      <c r="LI62" t="s">
        <v>1900</v>
      </c>
      <c r="LJ62" t="s">
        <v>1900</v>
      </c>
      <c r="LK62" t="s">
        <v>1900</v>
      </c>
      <c r="LL62" t="s">
        <v>1900</v>
      </c>
      <c r="LM62" t="s">
        <v>1900</v>
      </c>
      <c r="LN62" t="s">
        <v>1900</v>
      </c>
      <c r="LO62" t="s">
        <v>1900</v>
      </c>
      <c r="LP62" t="s">
        <v>1900</v>
      </c>
      <c r="LQ62" t="s">
        <v>1900</v>
      </c>
      <c r="LR62" t="s">
        <v>1900</v>
      </c>
      <c r="LS62" t="s">
        <v>1900</v>
      </c>
      <c r="LT62" t="s">
        <v>1900</v>
      </c>
      <c r="LU62" t="s">
        <v>1900</v>
      </c>
      <c r="LV62" t="s">
        <v>1900</v>
      </c>
      <c r="LW62" t="s">
        <v>1900</v>
      </c>
      <c r="LX62" t="s">
        <v>1900</v>
      </c>
      <c r="LY62" t="s">
        <v>1900</v>
      </c>
      <c r="LZ62" t="s">
        <v>1900</v>
      </c>
      <c r="MA62" t="s">
        <v>1900</v>
      </c>
      <c r="MB62" t="s">
        <v>1900</v>
      </c>
      <c r="MC62" t="s">
        <v>1900</v>
      </c>
      <c r="MD62" t="s">
        <v>1900</v>
      </c>
      <c r="ME62" t="s">
        <v>1900</v>
      </c>
      <c r="MF62" t="s">
        <v>1900</v>
      </c>
      <c r="MG62" t="s">
        <v>1900</v>
      </c>
      <c r="MH62" t="s">
        <v>1900</v>
      </c>
      <c r="MI62" t="s">
        <v>1900</v>
      </c>
      <c r="MJ62" t="s">
        <v>1900</v>
      </c>
      <c r="MK62" t="s">
        <v>1900</v>
      </c>
      <c r="ML62" t="s">
        <v>1900</v>
      </c>
      <c r="MM62" t="s">
        <v>1900</v>
      </c>
      <c r="MN62" t="s">
        <v>1900</v>
      </c>
      <c r="MO62" t="s">
        <v>1900</v>
      </c>
      <c r="MP62" t="s">
        <v>1900</v>
      </c>
      <c r="MQ62">
        <v>749663.1217395969</v>
      </c>
      <c r="MR62">
        <v>350678.808942515</v>
      </c>
      <c r="MS62">
        <v>77767.2478933096</v>
      </c>
      <c r="MT62">
        <v>12270.9929943085</v>
      </c>
      <c r="MU62" t="s">
        <v>1900</v>
      </c>
      <c r="MV62" t="s">
        <v>1900</v>
      </c>
      <c r="MW62" t="s">
        <v>1900</v>
      </c>
      <c r="MX62" t="s">
        <v>1900</v>
      </c>
      <c r="MY62" t="s">
        <v>1900</v>
      </c>
      <c r="MZ62" t="s">
        <v>1900</v>
      </c>
      <c r="NA62" t="s">
        <v>1900</v>
      </c>
      <c r="NB62" t="s">
        <v>1900</v>
      </c>
      <c r="NC62" t="s">
        <v>1900</v>
      </c>
      <c r="ND62" t="s">
        <v>1900</v>
      </c>
      <c r="NE62" t="s">
        <v>1900</v>
      </c>
      <c r="NF62" t="s">
        <v>1900</v>
      </c>
      <c r="NG62" t="s">
        <v>1900</v>
      </c>
      <c r="NH62" t="s">
        <v>1900</v>
      </c>
      <c r="NI62" t="s">
        <v>1900</v>
      </c>
      <c r="NJ62" t="s">
        <v>1900</v>
      </c>
      <c r="NK62" t="s">
        <v>1900</v>
      </c>
      <c r="NL62" t="s">
        <v>1900</v>
      </c>
      <c r="NM62" t="s">
        <v>1900</v>
      </c>
      <c r="NN62" t="s">
        <v>1900</v>
      </c>
      <c r="NO62" t="s">
        <v>1900</v>
      </c>
      <c r="NP62" t="s">
        <v>1900</v>
      </c>
      <c r="NQ62" t="s">
        <v>1900</v>
      </c>
      <c r="NR62" t="s">
        <v>1900</v>
      </c>
      <c r="NS62" t="s">
        <v>1900</v>
      </c>
      <c r="NT62" t="s">
        <v>1900</v>
      </c>
      <c r="NU62">
        <v>136592.271600933</v>
      </c>
      <c r="NV62">
        <v>72920.2285457492</v>
      </c>
      <c r="NW62">
        <v>52617.4163519382</v>
      </c>
      <c r="NX62">
        <v>10263.4585404396</v>
      </c>
      <c r="NY62" t="s">
        <v>1900</v>
      </c>
      <c r="NZ62" t="s">
        <v>1900</v>
      </c>
      <c r="OA62" t="s">
        <v>1900</v>
      </c>
      <c r="OB62" t="s">
        <v>1900</v>
      </c>
      <c r="OC62" t="s">
        <v>1900</v>
      </c>
      <c r="OD62" t="s">
        <v>1900</v>
      </c>
      <c r="OE62" t="s">
        <v>1900</v>
      </c>
      <c r="OF62" t="s">
        <v>1900</v>
      </c>
      <c r="OG62" t="s">
        <v>1900</v>
      </c>
      <c r="OH62" t="s">
        <v>1900</v>
      </c>
      <c r="OI62" t="s">
        <v>1900</v>
      </c>
      <c r="OJ62" t="s">
        <v>1900</v>
      </c>
      <c r="OK62" t="s">
        <v>1900</v>
      </c>
      <c r="OL62" t="s">
        <v>1900</v>
      </c>
      <c r="OM62" t="s">
        <v>1900</v>
      </c>
      <c r="ON62" t="s">
        <v>1900</v>
      </c>
      <c r="OO62" t="s">
        <v>1900</v>
      </c>
      <c r="OP62" t="s">
        <v>1900</v>
      </c>
      <c r="OQ62" t="s">
        <v>1900</v>
      </c>
      <c r="OR62" t="s">
        <v>1900</v>
      </c>
      <c r="OS62" t="s">
        <v>1900</v>
      </c>
      <c r="OT62" t="s">
        <v>1900</v>
      </c>
      <c r="OU62" t="s">
        <v>1900</v>
      </c>
      <c r="OV62" t="s">
        <v>1900</v>
      </c>
      <c r="OW62" t="s">
        <v>1900</v>
      </c>
      <c r="OX62" t="s">
        <v>1900</v>
      </c>
      <c r="OY62" t="s">
        <v>1900</v>
      </c>
      <c r="OZ62" t="s">
        <v>1900</v>
      </c>
      <c r="PA62" t="s">
        <v>1900</v>
      </c>
      <c r="PB62" t="s">
        <v>1900</v>
      </c>
      <c r="PC62" t="s">
        <v>1900</v>
      </c>
      <c r="PD62" t="s">
        <v>1900</v>
      </c>
      <c r="PE62" t="s">
        <v>1900</v>
      </c>
      <c r="PF62" t="s">
        <v>1900</v>
      </c>
      <c r="PG62" t="s">
        <v>1900</v>
      </c>
      <c r="PH62" t="s">
        <v>1900</v>
      </c>
      <c r="PI62" t="s">
        <v>1900</v>
      </c>
      <c r="PJ62" t="s">
        <v>1900</v>
      </c>
      <c r="PK62" t="s">
        <v>1900</v>
      </c>
      <c r="PL62" t="s">
        <v>1900</v>
      </c>
      <c r="PM62" t="s">
        <v>1900</v>
      </c>
      <c r="PN62" t="s">
        <v>1900</v>
      </c>
      <c r="PO62" t="s">
        <v>1900</v>
      </c>
      <c r="PP62" t="s">
        <v>1900</v>
      </c>
      <c r="PQ62" t="s">
        <v>1900</v>
      </c>
      <c r="PR62" t="s">
        <v>1900</v>
      </c>
      <c r="PS62" t="s">
        <v>1900</v>
      </c>
      <c r="PT62" t="s">
        <v>1900</v>
      </c>
      <c r="PU62" t="s">
        <v>1900</v>
      </c>
      <c r="PV62" t="s">
        <v>1900</v>
      </c>
      <c r="PW62" t="s">
        <v>1900</v>
      </c>
      <c r="PX62" t="s">
        <v>1900</v>
      </c>
      <c r="PY62" t="s">
        <v>1900</v>
      </c>
      <c r="PZ62" t="s">
        <v>1900</v>
      </c>
      <c r="QA62" t="s">
        <v>1900</v>
      </c>
      <c r="QB62" t="s">
        <v>1900</v>
      </c>
      <c r="QC62" t="s">
        <v>1900</v>
      </c>
      <c r="QD62" t="s">
        <v>1900</v>
      </c>
      <c r="QE62" t="s">
        <v>1900</v>
      </c>
      <c r="QF62" t="s">
        <v>1900</v>
      </c>
      <c r="QG62" t="s">
        <v>1900</v>
      </c>
      <c r="QH62" t="s">
        <v>1900</v>
      </c>
      <c r="QI62" t="s">
        <v>1900</v>
      </c>
      <c r="QJ62" t="s">
        <v>1900</v>
      </c>
      <c r="QK62" t="s">
        <v>1900</v>
      </c>
      <c r="QL62" t="s">
        <v>1900</v>
      </c>
      <c r="QM62" t="s">
        <v>1900</v>
      </c>
      <c r="QN62" t="s">
        <v>1900</v>
      </c>
      <c r="QO62" t="s">
        <v>1900</v>
      </c>
      <c r="QP62" t="s">
        <v>1900</v>
      </c>
      <c r="QQ62" t="s">
        <v>1900</v>
      </c>
      <c r="QR62" t="s">
        <v>1900</v>
      </c>
      <c r="QS62" t="s">
        <v>1900</v>
      </c>
      <c r="QT62" t="s">
        <v>1900</v>
      </c>
      <c r="QU62" t="s">
        <v>1900</v>
      </c>
      <c r="QV62" t="s">
        <v>1900</v>
      </c>
      <c r="QW62" t="s">
        <v>1900</v>
      </c>
      <c r="QX62" t="s">
        <v>1900</v>
      </c>
      <c r="QY62" t="s">
        <v>1900</v>
      </c>
      <c r="QZ62" t="s">
        <v>1900</v>
      </c>
      <c r="RA62" t="s">
        <v>1900</v>
      </c>
      <c r="RB62" t="s">
        <v>1900</v>
      </c>
      <c r="RC62" t="s">
        <v>1900</v>
      </c>
      <c r="RD62" t="s">
        <v>1900</v>
      </c>
      <c r="RE62" t="s">
        <v>1900</v>
      </c>
      <c r="RF62" t="s">
        <v>1900</v>
      </c>
      <c r="RG62" t="s">
        <v>1900</v>
      </c>
      <c r="RH62" t="s">
        <v>1900</v>
      </c>
      <c r="RI62" t="s">
        <v>1900</v>
      </c>
      <c r="RJ62" t="s">
        <v>1900</v>
      </c>
      <c r="RK62" t="s">
        <v>1900</v>
      </c>
      <c r="RL62" t="s">
        <v>1900</v>
      </c>
      <c r="RM62" t="s">
        <v>1900</v>
      </c>
      <c r="RN62" t="s">
        <v>1900</v>
      </c>
      <c r="RO62" t="s">
        <v>1900</v>
      </c>
      <c r="RP62" t="s">
        <v>1900</v>
      </c>
      <c r="RQ62" t="s">
        <v>1900</v>
      </c>
      <c r="RR62" t="s">
        <v>1900</v>
      </c>
      <c r="RS62" t="s">
        <v>1900</v>
      </c>
      <c r="RT62" t="s">
        <v>1900</v>
      </c>
      <c r="RU62" t="s">
        <v>1900</v>
      </c>
      <c r="RV62" t="s">
        <v>1900</v>
      </c>
      <c r="RW62" t="s">
        <v>1900</v>
      </c>
      <c r="RX62" t="s">
        <v>1900</v>
      </c>
      <c r="RY62" t="s">
        <v>1900</v>
      </c>
      <c r="RZ62" t="s">
        <v>1900</v>
      </c>
      <c r="SA62" t="s">
        <v>1900</v>
      </c>
      <c r="SB62" t="s">
        <v>1900</v>
      </c>
      <c r="SC62" t="s">
        <v>1900</v>
      </c>
      <c r="SD62" t="s">
        <v>1900</v>
      </c>
      <c r="SE62" t="s">
        <v>1900</v>
      </c>
      <c r="SF62" t="s">
        <v>1900</v>
      </c>
      <c r="SG62" t="s">
        <v>1900</v>
      </c>
      <c r="SH62" t="s">
        <v>1900</v>
      </c>
      <c r="SI62" t="s">
        <v>1900</v>
      </c>
      <c r="SJ62" t="s">
        <v>1900</v>
      </c>
      <c r="SK62">
        <v>49732.8899195099</v>
      </c>
      <c r="SL62">
        <v>22819.320087564</v>
      </c>
      <c r="SM62">
        <v>3171.28086090088</v>
      </c>
      <c r="SN62">
        <v>0</v>
      </c>
      <c r="SO62" t="s">
        <v>1900</v>
      </c>
      <c r="SP62" t="s">
        <v>1900</v>
      </c>
      <c r="SQ62" t="s">
        <v>1900</v>
      </c>
      <c r="SR62" t="s">
        <v>1900</v>
      </c>
      <c r="SS62" t="s">
        <v>1900</v>
      </c>
      <c r="ST62" t="s">
        <v>1900</v>
      </c>
      <c r="SU62" t="s">
        <v>1900</v>
      </c>
      <c r="SV62" t="s">
        <v>1900</v>
      </c>
      <c r="SW62" t="s">
        <v>1900</v>
      </c>
      <c r="SX62" t="s">
        <v>1900</v>
      </c>
      <c r="SY62" t="s">
        <v>1900</v>
      </c>
      <c r="SZ62" t="s">
        <v>1900</v>
      </c>
      <c r="TA62" t="s">
        <v>1900</v>
      </c>
      <c r="TB62" t="s">
        <v>1900</v>
      </c>
      <c r="TC62" t="s">
        <v>1900</v>
      </c>
      <c r="TD62" t="s">
        <v>1900</v>
      </c>
      <c r="TE62" t="s">
        <v>1900</v>
      </c>
      <c r="TF62" t="s">
        <v>1900</v>
      </c>
      <c r="TG62" t="s">
        <v>1900</v>
      </c>
      <c r="TH62" t="s">
        <v>1900</v>
      </c>
      <c r="TI62" t="s">
        <v>1900</v>
      </c>
      <c r="TJ62" t="s">
        <v>1900</v>
      </c>
      <c r="TK62" t="s">
        <v>1900</v>
      </c>
      <c r="TL62" t="s">
        <v>1900</v>
      </c>
      <c r="TM62" t="s">
        <v>1900</v>
      </c>
      <c r="TN62" t="s">
        <v>1900</v>
      </c>
      <c r="TO62" t="s">
        <v>1900</v>
      </c>
      <c r="TP62" t="s">
        <v>1900</v>
      </c>
      <c r="TQ62" t="s">
        <v>1900</v>
      </c>
      <c r="TR62" t="s">
        <v>1900</v>
      </c>
      <c r="TS62" t="s">
        <v>1900</v>
      </c>
      <c r="TT62">
        <v>2270766.18459196</v>
      </c>
      <c r="TU62">
        <v>994574.520659077</v>
      </c>
      <c r="TV62">
        <v>695396.179325724</v>
      </c>
      <c r="TW62">
        <v>443511.346491808</v>
      </c>
      <c r="TX62" t="s">
        <v>1900</v>
      </c>
      <c r="TY62" t="s">
        <v>1900</v>
      </c>
      <c r="TZ62" t="s">
        <v>1900</v>
      </c>
      <c r="UA62" t="s">
        <v>1900</v>
      </c>
      <c r="UB62" t="s">
        <v>1900</v>
      </c>
      <c r="UC62" t="s">
        <v>1900</v>
      </c>
      <c r="UD62">
        <v>2469.18990814209</v>
      </c>
      <c r="UE62">
        <v>1094.67132018983</v>
      </c>
      <c r="UF62">
        <v>0</v>
      </c>
      <c r="UG62">
        <v>0</v>
      </c>
      <c r="UH62" t="s">
        <v>1900</v>
      </c>
      <c r="UI62" t="s">
        <v>1900</v>
      </c>
      <c r="UJ62" t="s">
        <v>1900</v>
      </c>
      <c r="UK62" t="s">
        <v>1900</v>
      </c>
      <c r="UL62" t="s">
        <v>1900</v>
      </c>
      <c r="UM62" t="s">
        <v>1900</v>
      </c>
      <c r="UN62" t="s">
        <v>1900</v>
      </c>
      <c r="UO62" t="s">
        <v>1900</v>
      </c>
      <c r="UP62" t="s">
        <v>1900</v>
      </c>
      <c r="UQ62" t="s">
        <v>1900</v>
      </c>
      <c r="UR62" t="s">
        <v>1900</v>
      </c>
      <c r="US62" t="s">
        <v>1900</v>
      </c>
      <c r="UT62" t="s">
        <v>1900</v>
      </c>
      <c r="UU62" t="s">
        <v>1900</v>
      </c>
      <c r="UV62" t="s">
        <v>1900</v>
      </c>
      <c r="UW62" t="s">
        <v>1900</v>
      </c>
      <c r="UX62" t="s">
        <v>1900</v>
      </c>
      <c r="UY62" t="s">
        <v>1900</v>
      </c>
      <c r="UZ62" t="s">
        <v>1900</v>
      </c>
      <c r="VA62" t="s">
        <v>1900</v>
      </c>
      <c r="VB62" t="s">
        <v>1900</v>
      </c>
      <c r="VC62" t="s">
        <v>1900</v>
      </c>
      <c r="VD62" t="s">
        <v>1900</v>
      </c>
      <c r="VE62" t="s">
        <v>1900</v>
      </c>
      <c r="VF62" t="s">
        <v>1900</v>
      </c>
      <c r="VG62" t="s">
        <v>1900</v>
      </c>
      <c r="VH62" t="s">
        <v>1900</v>
      </c>
      <c r="VI62" t="s">
        <v>1900</v>
      </c>
      <c r="VJ62" t="s">
        <v>1900</v>
      </c>
      <c r="VK62" t="s">
        <v>1900</v>
      </c>
      <c r="VL62" t="s">
        <v>1900</v>
      </c>
      <c r="VM62" t="s">
        <v>1900</v>
      </c>
      <c r="VN62" t="s">
        <v>1900</v>
      </c>
      <c r="VO62" t="s">
        <v>1900</v>
      </c>
      <c r="VP62" t="s">
        <v>1900</v>
      </c>
      <c r="VQ62" t="s">
        <v>1900</v>
      </c>
      <c r="VR62" t="s">
        <v>1900</v>
      </c>
      <c r="VS62" t="s">
        <v>1900</v>
      </c>
      <c r="VT62" t="s">
        <v>1900</v>
      </c>
      <c r="VU62" t="s">
        <v>1900</v>
      </c>
      <c r="VV62" t="s">
        <v>1900</v>
      </c>
      <c r="VW62" t="s">
        <v>1900</v>
      </c>
      <c r="VX62" t="s">
        <v>1900</v>
      </c>
      <c r="VY62" t="s">
        <v>1900</v>
      </c>
      <c r="VZ62" t="s">
        <v>1900</v>
      </c>
      <c r="WA62" t="s">
        <v>1900</v>
      </c>
      <c r="WB62">
        <v>906962.682733707</v>
      </c>
      <c r="WC62">
        <v>345244.708535731</v>
      </c>
      <c r="WD62">
        <v>303133.301800354</v>
      </c>
      <c r="WE62">
        <v>225778.982125437</v>
      </c>
      <c r="WF62" t="s">
        <v>1900</v>
      </c>
      <c r="WG62" t="s">
        <v>1900</v>
      </c>
      <c r="WH62" t="s">
        <v>1900</v>
      </c>
      <c r="WI62" t="s">
        <v>1900</v>
      </c>
      <c r="WJ62" t="s">
        <v>1900</v>
      </c>
      <c r="WK62" t="s">
        <v>1900</v>
      </c>
      <c r="WL62" t="s">
        <v>1900</v>
      </c>
      <c r="WM62" t="s">
        <v>1900</v>
      </c>
      <c r="WN62" t="s">
        <v>1900</v>
      </c>
      <c r="WO62" t="s">
        <v>1900</v>
      </c>
      <c r="WP62" t="s">
        <v>1900</v>
      </c>
      <c r="WQ62" t="s">
        <v>1900</v>
      </c>
      <c r="WR62" t="s">
        <v>1900</v>
      </c>
      <c r="WS62" t="s">
        <v>1900</v>
      </c>
      <c r="WT62" t="s">
        <v>1900</v>
      </c>
      <c r="WU62" t="s">
        <v>1900</v>
      </c>
      <c r="WV62" t="s">
        <v>1900</v>
      </c>
      <c r="WW62" t="s">
        <v>1900</v>
      </c>
      <c r="WX62" t="s">
        <v>1900</v>
      </c>
      <c r="WY62" t="s">
        <v>1900</v>
      </c>
      <c r="WZ62" t="s">
        <v>1900</v>
      </c>
      <c r="XA62" t="s">
        <v>1900</v>
      </c>
      <c r="XB62" t="s">
        <v>1900</v>
      </c>
      <c r="XC62" t="s">
        <v>1900</v>
      </c>
      <c r="XD62" t="s">
        <v>1900</v>
      </c>
      <c r="XE62" t="s">
        <v>1900</v>
      </c>
      <c r="XF62" t="s">
        <v>1900</v>
      </c>
      <c r="XG62" t="s">
        <v>1900</v>
      </c>
      <c r="XH62" t="s">
        <v>1900</v>
      </c>
      <c r="XI62" t="s">
        <v>1900</v>
      </c>
      <c r="XJ62" t="s">
        <v>1900</v>
      </c>
      <c r="XK62" t="s">
        <v>1900</v>
      </c>
      <c r="XL62" t="s">
        <v>1900</v>
      </c>
      <c r="XM62" t="s">
        <v>1900</v>
      </c>
      <c r="XN62" t="s">
        <v>1900</v>
      </c>
      <c r="XO62" t="s">
        <v>1900</v>
      </c>
      <c r="XP62" t="s">
        <v>1900</v>
      </c>
      <c r="XQ62" t="s">
        <v>1900</v>
      </c>
      <c r="XR62" t="s">
        <v>1900</v>
      </c>
      <c r="XS62" t="s">
        <v>1900</v>
      </c>
      <c r="XT62" t="s">
        <v>1900</v>
      </c>
      <c r="XU62" t="s">
        <v>1900</v>
      </c>
      <c r="XV62" t="s">
        <v>1900</v>
      </c>
      <c r="XW62" t="s">
        <v>1900</v>
      </c>
      <c r="XX62" t="s">
        <v>1900</v>
      </c>
      <c r="XY62" t="s">
        <v>1900</v>
      </c>
      <c r="XZ62" t="s">
        <v>1900</v>
      </c>
      <c r="YA62" t="s">
        <v>1900</v>
      </c>
      <c r="YB62" t="s">
        <v>1900</v>
      </c>
      <c r="YC62" t="s">
        <v>1900</v>
      </c>
      <c r="YD62" t="s">
        <v>1900</v>
      </c>
      <c r="YE62" t="s">
        <v>1900</v>
      </c>
      <c r="YF62" t="s">
        <v>1900</v>
      </c>
      <c r="YG62" t="s">
        <v>1900</v>
      </c>
      <c r="YH62" t="s">
        <v>1900</v>
      </c>
      <c r="YI62" t="s">
        <v>1900</v>
      </c>
      <c r="YJ62" t="s">
        <v>1900</v>
      </c>
      <c r="YK62" t="s">
        <v>1900</v>
      </c>
      <c r="YL62" t="s">
        <v>1900</v>
      </c>
      <c r="YM62" t="s">
        <v>1900</v>
      </c>
      <c r="YN62" t="s">
        <v>1900</v>
      </c>
      <c r="YO62" t="s">
        <v>1900</v>
      </c>
      <c r="YP62" t="s">
        <v>1900</v>
      </c>
      <c r="YQ62" t="s">
        <v>1900</v>
      </c>
      <c r="YR62" t="s">
        <v>1900</v>
      </c>
      <c r="YS62" t="s">
        <v>1900</v>
      </c>
      <c r="YT62" t="s">
        <v>1900</v>
      </c>
      <c r="YU62" t="s">
        <v>1900</v>
      </c>
      <c r="YV62" t="s">
        <v>1900</v>
      </c>
      <c r="YW62" t="s">
        <v>1900</v>
      </c>
      <c r="YX62" t="s">
        <v>1900</v>
      </c>
      <c r="YY62" t="s">
        <v>1900</v>
      </c>
      <c r="YZ62" t="s">
        <v>1900</v>
      </c>
      <c r="ZA62" t="s">
        <v>1900</v>
      </c>
      <c r="ZB62" t="s">
        <v>1900</v>
      </c>
      <c r="ZC62" t="s">
        <v>1900</v>
      </c>
      <c r="ZD62" t="s">
        <v>1900</v>
      </c>
      <c r="ZE62" t="s">
        <v>1900</v>
      </c>
      <c r="ZF62" t="s">
        <v>1900</v>
      </c>
      <c r="ZG62" t="s">
        <v>1900</v>
      </c>
      <c r="ZH62" t="s">
        <v>1900</v>
      </c>
      <c r="ZI62" t="s">
        <v>1900</v>
      </c>
      <c r="ZJ62" t="s">
        <v>1900</v>
      </c>
      <c r="ZK62" t="s">
        <v>1900</v>
      </c>
      <c r="ZL62" t="s">
        <v>1900</v>
      </c>
      <c r="ZM62" t="s">
        <v>1900</v>
      </c>
      <c r="ZN62" t="s">
        <v>1900</v>
      </c>
      <c r="ZO62" t="s">
        <v>1900</v>
      </c>
      <c r="ZP62" t="s">
        <v>1900</v>
      </c>
      <c r="ZQ62" t="s">
        <v>1900</v>
      </c>
      <c r="ZR62" t="s">
        <v>1900</v>
      </c>
      <c r="ZS62" t="s">
        <v>1900</v>
      </c>
      <c r="ZT62" t="s">
        <v>1900</v>
      </c>
      <c r="ZU62" t="s">
        <v>1900</v>
      </c>
      <c r="ZV62" t="s">
        <v>1900</v>
      </c>
      <c r="ZW62" t="s">
        <v>1900</v>
      </c>
      <c r="ZX62" t="s">
        <v>1900</v>
      </c>
      <c r="ZY62" t="s">
        <v>1900</v>
      </c>
      <c r="ZZ62" t="s">
        <v>1900</v>
      </c>
      <c r="AAA62" t="s">
        <v>1900</v>
      </c>
      <c r="AAB62" t="s">
        <v>1900</v>
      </c>
      <c r="AAC62" t="s">
        <v>1900</v>
      </c>
      <c r="AAD62" t="s">
        <v>1900</v>
      </c>
      <c r="AAE62" t="s">
        <v>1900</v>
      </c>
      <c r="AAF62" t="s">
        <v>1900</v>
      </c>
      <c r="AAG62" t="s">
        <v>1900</v>
      </c>
      <c r="AAH62" t="s">
        <v>1900</v>
      </c>
      <c r="AAI62" t="s">
        <v>1900</v>
      </c>
      <c r="AAJ62" t="s">
        <v>1900</v>
      </c>
      <c r="AAK62" t="s">
        <v>1900</v>
      </c>
      <c r="AAL62" t="s">
        <v>1900</v>
      </c>
      <c r="AAM62" t="s">
        <v>1900</v>
      </c>
      <c r="AAN62" t="s">
        <v>1900</v>
      </c>
      <c r="AAO62" t="s">
        <v>1900</v>
      </c>
      <c r="AAP62" t="s">
        <v>1900</v>
      </c>
      <c r="AAQ62" t="s">
        <v>1900</v>
      </c>
      <c r="AAR62" t="s">
        <v>1900</v>
      </c>
      <c r="AAS62" t="s">
        <v>1900</v>
      </c>
      <c r="AAT62" t="s">
        <v>1900</v>
      </c>
      <c r="AAU62" t="s">
        <v>1900</v>
      </c>
      <c r="AAV62" t="s">
        <v>1900</v>
      </c>
      <c r="AAW62" t="s">
        <v>1900</v>
      </c>
      <c r="AAX62" t="s">
        <v>1900</v>
      </c>
      <c r="AAY62" t="s">
        <v>1900</v>
      </c>
      <c r="AAZ62" t="s">
        <v>1900</v>
      </c>
      <c r="ABA62" t="s">
        <v>1900</v>
      </c>
      <c r="ABB62" t="s">
        <v>1900</v>
      </c>
      <c r="ABC62" t="s">
        <v>1900</v>
      </c>
      <c r="ABD62" t="s">
        <v>1900</v>
      </c>
      <c r="ABE62" t="s">
        <v>1900</v>
      </c>
      <c r="ABF62" t="s">
        <v>1900</v>
      </c>
      <c r="ABG62" t="s">
        <v>1900</v>
      </c>
      <c r="ABH62" t="s">
        <v>1900</v>
      </c>
      <c r="ABI62" t="s">
        <v>1900</v>
      </c>
      <c r="ABJ62" t="s">
        <v>1900</v>
      </c>
      <c r="ABK62" t="s">
        <v>1900</v>
      </c>
      <c r="ABL62" t="s">
        <v>1900</v>
      </c>
      <c r="ABM62" t="s">
        <v>1900</v>
      </c>
      <c r="ABN62" t="s">
        <v>1900</v>
      </c>
      <c r="ABO62" t="s">
        <v>1900</v>
      </c>
      <c r="ABP62" t="s">
        <v>1900</v>
      </c>
      <c r="ABQ62" t="s">
        <v>1900</v>
      </c>
      <c r="ABR62" t="s">
        <v>1900</v>
      </c>
      <c r="ABS62" t="s">
        <v>1900</v>
      </c>
      <c r="ABT62" t="s">
        <v>1900</v>
      </c>
      <c r="ABU62" t="s">
        <v>1900</v>
      </c>
      <c r="ABV62" t="s">
        <v>1900</v>
      </c>
      <c r="ABW62" t="s">
        <v>1900</v>
      </c>
      <c r="ABX62" t="s">
        <v>1900</v>
      </c>
      <c r="ABY62" t="s">
        <v>1900</v>
      </c>
      <c r="ABZ62" t="s">
        <v>1900</v>
      </c>
      <c r="ACA62" t="s">
        <v>1900</v>
      </c>
      <c r="ACB62" t="s">
        <v>1900</v>
      </c>
      <c r="ACC62" t="s">
        <v>1900</v>
      </c>
      <c r="ACD62" t="s">
        <v>1900</v>
      </c>
      <c r="ACE62" t="s">
        <v>1900</v>
      </c>
      <c r="ACF62">
        <v>28.474</v>
      </c>
      <c r="ACG62">
        <v>31.466</v>
      </c>
      <c r="ACH62">
        <v>59.387</v>
      </c>
      <c r="ACI62">
        <v>25.215</v>
      </c>
      <c r="ACJ62" t="s">
        <v>1900</v>
      </c>
      <c r="ACK62">
        <v>28.953</v>
      </c>
      <c r="ACL62">
        <v>31.485</v>
      </c>
      <c r="ACM62">
        <v>59.624</v>
      </c>
      <c r="ACN62">
        <v>28.085</v>
      </c>
      <c r="ACO62" t="s">
        <v>1900</v>
      </c>
      <c r="ACP62">
        <v>5.616</v>
      </c>
      <c r="ACQ62">
        <v>10.351</v>
      </c>
      <c r="ACR62">
        <v>18.347</v>
      </c>
      <c r="ACS62">
        <v>7.305</v>
      </c>
      <c r="ACT62" t="s">
        <v>1900</v>
      </c>
      <c r="ACU62">
        <v>24.32</v>
      </c>
      <c r="ACV62">
        <v>27.639</v>
      </c>
      <c r="ACW62">
        <v>44.486</v>
      </c>
      <c r="ACX62">
        <v>18.911</v>
      </c>
      <c r="ACY62" t="s">
        <v>1900</v>
      </c>
      <c r="ACZ62">
        <v>24.8</v>
      </c>
      <c r="ADA62">
        <v>27.658</v>
      </c>
      <c r="ADB62">
        <v>44.723</v>
      </c>
      <c r="ADC62">
        <v>21.781</v>
      </c>
      <c r="ADD62" t="s">
        <v>1900</v>
      </c>
      <c r="ADE62">
        <v>4.797</v>
      </c>
      <c r="ADF62">
        <v>9.092000000000001</v>
      </c>
      <c r="ADG62">
        <v>13.744</v>
      </c>
      <c r="ADH62">
        <v>5.478</v>
      </c>
      <c r="ADI62" t="s">
        <v>1900</v>
      </c>
      <c r="ADJ62">
        <v>3.148</v>
      </c>
      <c r="ADK62">
        <v>3.962</v>
      </c>
      <c r="ADL62">
        <v>5.13</v>
      </c>
      <c r="ADM62">
        <v>1.334</v>
      </c>
      <c r="ADN62" t="s">
        <v>1900</v>
      </c>
      <c r="ADO62">
        <v>47.234</v>
      </c>
      <c r="ADP62">
        <v>49.239</v>
      </c>
      <c r="ADQ62">
        <v>51.399</v>
      </c>
      <c r="ADR62">
        <v>50.314</v>
      </c>
      <c r="ADS62" t="s">
        <v>1900</v>
      </c>
      <c r="ADT62">
        <v>3.258903713</v>
      </c>
      <c r="ADU62">
        <v>3.998857229</v>
      </c>
      <c r="ADV62">
        <v>5.150859674</v>
      </c>
      <c r="ADW62">
        <v>1.485535762</v>
      </c>
      <c r="ADX62" t="s">
        <v>1900</v>
      </c>
      <c r="ADY62">
        <v>4.211</v>
      </c>
      <c r="ADZ62">
        <v>4.962</v>
      </c>
      <c r="AEA62">
        <v>5.677</v>
      </c>
      <c r="AEB62">
        <v>1.685</v>
      </c>
      <c r="AEC62" t="s">
        <v>1900</v>
      </c>
      <c r="AED62">
        <v>3.259</v>
      </c>
      <c r="AEE62">
        <v>3.999</v>
      </c>
      <c r="AEF62">
        <v>5.151</v>
      </c>
      <c r="AEG62">
        <v>1.486</v>
      </c>
      <c r="AEH62" t="s">
        <v>1900</v>
      </c>
      <c r="AEI62">
        <v>3.64</v>
      </c>
      <c r="AEJ62">
        <v>4.444</v>
      </c>
      <c r="AEK62">
        <v>4.369</v>
      </c>
      <c r="AEL62">
        <v>1.2</v>
      </c>
      <c r="AEM62" t="s">
        <v>1900</v>
      </c>
      <c r="AEN62">
        <v>3.368685944</v>
      </c>
      <c r="AEO62">
        <v>4.165426696</v>
      </c>
      <c r="AEP62">
        <v>5.430581296</v>
      </c>
      <c r="AEQ62">
        <v>1.507936701</v>
      </c>
      <c r="AER62" t="s">
        <v>1900</v>
      </c>
      <c r="AES62">
        <v>1.074108046</v>
      </c>
      <c r="AET62">
        <v>1.088391778</v>
      </c>
      <c r="AEU62">
        <v>1.111375525</v>
      </c>
      <c r="AEV62">
        <v>1.030423725</v>
      </c>
      <c r="AEW62" t="s">
        <v>1900</v>
      </c>
      <c r="AEX62" t="s">
        <v>1900</v>
      </c>
      <c r="AEY62" t="s">
        <v>1900</v>
      </c>
      <c r="AEZ62" t="s">
        <v>1900</v>
      </c>
      <c r="AFA62" t="s">
        <v>1900</v>
      </c>
      <c r="AFB62" t="s">
        <v>1900</v>
      </c>
      <c r="AFC62" t="s">
        <v>1900</v>
      </c>
      <c r="AFD62" t="s">
        <v>1900</v>
      </c>
      <c r="AFE62" t="s">
        <v>1900</v>
      </c>
      <c r="AFF62" t="s">
        <v>1900</v>
      </c>
      <c r="AFG62" t="s">
        <v>1900</v>
      </c>
      <c r="AFH62">
        <v>9.045999999999999</v>
      </c>
      <c r="AFI62">
        <v>7.941</v>
      </c>
      <c r="AFJ62">
        <v>11.575</v>
      </c>
      <c r="AFK62">
        <v>18.905</v>
      </c>
      <c r="AFL62" t="s">
        <v>1900</v>
      </c>
      <c r="AFM62">
        <v>61.506</v>
      </c>
      <c r="AFN62" t="s">
        <v>1901</v>
      </c>
      <c r="AFO62">
        <v>252.199</v>
      </c>
      <c r="AFP62">
        <v>9.785</v>
      </c>
      <c r="AFQ62" t="s">
        <v>1900</v>
      </c>
      <c r="AFR62">
        <v>34.469</v>
      </c>
      <c r="AFS62">
        <v>568.491</v>
      </c>
      <c r="AFT62" t="s">
        <v>1901</v>
      </c>
      <c r="AFU62" t="s">
        <v>1901</v>
      </c>
      <c r="AFV62" t="s">
        <v>1900</v>
      </c>
      <c r="AFW62">
        <v>112.58</v>
      </c>
      <c r="AFX62">
        <v>78.48699999999999</v>
      </c>
      <c r="AFY62">
        <v>81.791</v>
      </c>
      <c r="AFZ62">
        <v>62.394</v>
      </c>
      <c r="AGA62" t="s">
        <v>1900</v>
      </c>
      <c r="AGB62">
        <v>81.169</v>
      </c>
      <c r="AGC62">
        <v>44.492</v>
      </c>
      <c r="AGD62">
        <v>25.684</v>
      </c>
      <c r="AGE62">
        <v>13.228</v>
      </c>
      <c r="AGF62" t="s">
        <v>1900</v>
      </c>
      <c r="AGG62" t="s">
        <v>1900</v>
      </c>
      <c r="AGH62" t="s">
        <v>1900</v>
      </c>
      <c r="AGI62" t="s">
        <v>1900</v>
      </c>
      <c r="AGJ62" t="s">
        <v>1900</v>
      </c>
      <c r="AGK62" t="s">
        <v>1900</v>
      </c>
      <c r="AGL62" t="s">
        <v>1900</v>
      </c>
      <c r="AGM62" t="s">
        <v>1900</v>
      </c>
      <c r="AGN62" t="s">
        <v>1900</v>
      </c>
      <c r="AGO62" t="s">
        <v>1900</v>
      </c>
      <c r="AGP62" t="s">
        <v>1900</v>
      </c>
      <c r="AGQ62" t="s">
        <v>1900</v>
      </c>
      <c r="AGR62" t="s">
        <v>1900</v>
      </c>
      <c r="AGS62" t="s">
        <v>1900</v>
      </c>
      <c r="AGT62" t="s">
        <v>1900</v>
      </c>
      <c r="AGU62">
        <v>0</v>
      </c>
      <c r="AGV62">
        <v>0</v>
      </c>
      <c r="AGW62">
        <v>0</v>
      </c>
      <c r="AGX62">
        <v>0</v>
      </c>
      <c r="AGY62">
        <v>0</v>
      </c>
      <c r="AGZ62" t="s">
        <v>1900</v>
      </c>
      <c r="AHA62">
        <v>1.171</v>
      </c>
      <c r="AHB62">
        <v>1.381</v>
      </c>
      <c r="AHC62">
        <v>1.338</v>
      </c>
      <c r="AHD62">
        <v>1.375</v>
      </c>
      <c r="AHE62" t="s">
        <v>1900</v>
      </c>
      <c r="AHF62">
        <v>1.106</v>
      </c>
      <c r="AHG62">
        <v>1.374</v>
      </c>
      <c r="AHH62">
        <v>1.338</v>
      </c>
      <c r="AHI62">
        <v>1.375</v>
      </c>
      <c r="AHJ62" t="s">
        <v>1900</v>
      </c>
      <c r="AHK62" t="s">
        <v>1901</v>
      </c>
      <c r="AHL62" t="s">
        <v>1901</v>
      </c>
      <c r="AHM62" t="s">
        <v>1901</v>
      </c>
      <c r="AHN62" t="s">
        <v>1901</v>
      </c>
      <c r="AHO62" t="s">
        <v>1900</v>
      </c>
      <c r="AHP62">
        <v>19.723</v>
      </c>
      <c r="AHQ62">
        <v>32.894</v>
      </c>
      <c r="AHR62">
        <v>30.895</v>
      </c>
      <c r="AHS62">
        <v>28.969</v>
      </c>
      <c r="AHT62" t="s">
        <v>1900</v>
      </c>
      <c r="AHU62">
        <v>24.568</v>
      </c>
      <c r="AHV62">
        <v>49.019</v>
      </c>
      <c r="AHW62">
        <v>44.707</v>
      </c>
      <c r="AHX62">
        <v>40.783</v>
      </c>
      <c r="AHY62" t="s">
        <v>1900</v>
      </c>
      <c r="AHZ62">
        <v>0.551</v>
      </c>
      <c r="AIA62">
        <v>0.335</v>
      </c>
      <c r="AIB62">
        <v>0</v>
      </c>
      <c r="AIC62">
        <v>0</v>
      </c>
      <c r="AID62" t="s">
        <v>1900</v>
      </c>
      <c r="AIE62">
        <v>2.190136979</v>
      </c>
      <c r="AIF62">
        <v>2.294380121</v>
      </c>
      <c r="AIG62">
        <v>0.456039443</v>
      </c>
      <c r="AIH62">
        <v>0</v>
      </c>
      <c r="AII62" t="s">
        <v>1900</v>
      </c>
      <c r="AIJ62">
        <v>33.013664147</v>
      </c>
      <c r="AIK62">
        <v>35.259178841</v>
      </c>
      <c r="AIL62">
        <v>11.183157199</v>
      </c>
      <c r="AIM62">
        <v>2.766782201</v>
      </c>
      <c r="AIN62" t="s">
        <v>1900</v>
      </c>
      <c r="AIO62">
        <v>39.940822128</v>
      </c>
      <c r="AIP62">
        <v>34.712804457</v>
      </c>
      <c r="AIQ62">
        <v>43.591453449</v>
      </c>
      <c r="AIR62">
        <v>50.90714903</v>
      </c>
      <c r="AIS62" t="s">
        <v>1900</v>
      </c>
      <c r="AIT62">
        <v>5.498128668</v>
      </c>
      <c r="AIU62">
        <v>0.346534243</v>
      </c>
      <c r="AIV62">
        <v>0</v>
      </c>
      <c r="AIW62">
        <v>0</v>
      </c>
      <c r="AIX62" t="s">
        <v>1900</v>
      </c>
      <c r="AIY62">
        <v>5.79644032637119</v>
      </c>
      <c r="AIZ62">
        <v>5.14717874484539</v>
      </c>
      <c r="AJA62">
        <v>6.7151396537447</v>
      </c>
      <c r="AJB62">
        <v>2.31402213749051</v>
      </c>
      <c r="AJC62" t="s">
        <v>1900</v>
      </c>
      <c r="AJD62">
        <v>184.155519566734</v>
      </c>
      <c r="AJE62">
        <v>129.897358847206</v>
      </c>
      <c r="AJF62">
        <v>130.888296491368</v>
      </c>
      <c r="AJG62">
        <v>173.495934051303</v>
      </c>
      <c r="AJH62" t="s">
        <v>1900</v>
      </c>
      <c r="AJI62">
        <v>36.095</v>
      </c>
      <c r="AJJ62">
        <v>37.351</v>
      </c>
      <c r="AJK62">
        <v>38.207</v>
      </c>
      <c r="AJL62">
        <v>35.062</v>
      </c>
      <c r="AJM62" t="s">
        <v>1900</v>
      </c>
      <c r="AJN62">
        <v>66.4707003962336</v>
      </c>
      <c r="AJO62">
        <v>48.517966024462</v>
      </c>
      <c r="AJP62">
        <v>50.0078916523361</v>
      </c>
      <c r="AJQ62">
        <v>60.830934669919</v>
      </c>
      <c r="AJR62" t="s">
        <v>1900</v>
      </c>
      <c r="AJS62">
        <v>20.3571799310522</v>
      </c>
      <c r="AJT62">
        <v>16.3579233170646</v>
      </c>
      <c r="AJU62">
        <v>11.3073797277904</v>
      </c>
      <c r="AJV62">
        <v>9.17708298866749</v>
      </c>
      <c r="AJW62" t="s">
        <v>1900</v>
      </c>
      <c r="AJX62">
        <v>21.410655358839</v>
      </c>
      <c r="AJY62">
        <v>12.4949399554777</v>
      </c>
      <c r="AJZ62">
        <v>20.3994136409855</v>
      </c>
      <c r="AKA62">
        <v>23.6945499853307</v>
      </c>
      <c r="AKB62" t="s">
        <v>1900</v>
      </c>
      <c r="AKC62">
        <v>103.216644352362</v>
      </c>
      <c r="AKD62">
        <v>49.7287260329539</v>
      </c>
      <c r="AKE62">
        <v>36.5997988522697</v>
      </c>
      <c r="AKF62">
        <v>31.6793820675719</v>
      </c>
      <c r="AKG62" t="s">
        <v>1900</v>
      </c>
      <c r="AKH62">
        <v>5.498128668</v>
      </c>
      <c r="AKI62">
        <v>0.346534243</v>
      </c>
      <c r="AKJ62">
        <v>0</v>
      </c>
      <c r="AKK62">
        <v>0</v>
      </c>
      <c r="AKL62" t="s">
        <v>1900</v>
      </c>
      <c r="AKM62">
        <v>2.901146081</v>
      </c>
      <c r="AKN62">
        <v>0.175904225</v>
      </c>
      <c r="AKO62">
        <v>0</v>
      </c>
      <c r="AKP62">
        <v>0</v>
      </c>
      <c r="AKQ62" t="s">
        <v>1900</v>
      </c>
      <c r="AKR62">
        <v>5.176123147</v>
      </c>
      <c r="AKS62">
        <v>0.459482798</v>
      </c>
      <c r="AKT62">
        <v>0</v>
      </c>
      <c r="AKU62">
        <v>0</v>
      </c>
      <c r="AKV62" t="s">
        <v>1900</v>
      </c>
      <c r="AKW62">
        <v>0.262188987</v>
      </c>
      <c r="AKX62">
        <v>0.640524493</v>
      </c>
      <c r="AKY62">
        <v>1.024550008</v>
      </c>
      <c r="AKZ62">
        <v>0.317569525</v>
      </c>
      <c r="ALA62" t="s">
        <v>1900</v>
      </c>
      <c r="ALB62">
        <v>0.467788401</v>
      </c>
      <c r="ALC62">
        <v>1.673126304</v>
      </c>
      <c r="ALD62">
        <v>3.663998412</v>
      </c>
      <c r="ALE62">
        <v>1.739207592</v>
      </c>
      <c r="ALF62" t="s">
        <v>1900</v>
      </c>
      <c r="ALG62">
        <v>1.881734649</v>
      </c>
      <c r="ALH62">
        <v>1.287956159</v>
      </c>
      <c r="ALI62">
        <v>0.963731798</v>
      </c>
      <c r="ALJ62">
        <v>0.104978759</v>
      </c>
      <c r="ALK62" t="s">
        <v>1900</v>
      </c>
      <c r="ALL62">
        <v>3.357325003</v>
      </c>
      <c r="ALM62">
        <v>3.364294967</v>
      </c>
      <c r="ALN62">
        <v>3.446500173</v>
      </c>
      <c r="ALO62">
        <v>0.574928764</v>
      </c>
      <c r="ALP62" t="s">
        <v>1900</v>
      </c>
      <c r="ALQ62">
        <v>31.272311662</v>
      </c>
      <c r="ALR62">
        <v>21.802044002</v>
      </c>
      <c r="ALS62">
        <v>22.719715187</v>
      </c>
      <c r="ALT62">
        <v>17.33169042</v>
      </c>
      <c r="ALU62" t="s">
        <v>1900</v>
      </c>
      <c r="ALV62">
        <v>72.099110512</v>
      </c>
      <c r="ALW62">
        <v>56.686708772</v>
      </c>
      <c r="ALX62">
        <v>31.401601601</v>
      </c>
      <c r="ALY62">
        <v>21.201449199</v>
      </c>
      <c r="ALZ62" t="s">
        <v>1900</v>
      </c>
      <c r="AMA62">
        <v>47.233936201639</v>
      </c>
      <c r="AMB62">
        <v>49.239006228144</v>
      </c>
      <c r="AMC62">
        <v>51.3985401425414</v>
      </c>
      <c r="AMD62">
        <v>50.3137370867885</v>
      </c>
      <c r="AME62" t="s">
        <v>1900</v>
      </c>
      <c r="AMF62">
        <v>47.6177706118239</v>
      </c>
      <c r="AMG62">
        <v>49.4316065888559</v>
      </c>
      <c r="AMH62">
        <v>51.4499168591782</v>
      </c>
      <c r="AMI62">
        <v>50.4162356408982</v>
      </c>
      <c r="AMJ62" t="s">
        <v>1900</v>
      </c>
      <c r="AMK62">
        <v>89.5157470569296</v>
      </c>
      <c r="AML62">
        <v>97.00165928477951</v>
      </c>
      <c r="AMM62">
        <v>105.755136354517</v>
      </c>
      <c r="AMN62">
        <v>101.262872546227</v>
      </c>
      <c r="AMO62" t="s">
        <v>1900</v>
      </c>
      <c r="AMP62">
        <v>1.07410804627109</v>
      </c>
      <c r="AMQ62">
        <v>1.08839177947671</v>
      </c>
      <c r="AMR62">
        <v>1.11137552678625</v>
      </c>
      <c r="AMS62">
        <v>1.0304237248556</v>
      </c>
      <c r="AMT62" t="s">
        <v>1900</v>
      </c>
      <c r="AMU62">
        <v>1.07410804565087</v>
      </c>
      <c r="AMV62">
        <v>1.08839177856921</v>
      </c>
      <c r="AMW62">
        <v>1.11137552481673</v>
      </c>
      <c r="AMX62">
        <v>1.0304237248556</v>
      </c>
      <c r="AMY62" t="s">
        <v>1900</v>
      </c>
      <c r="AMZ62">
        <v>1.07416075646127</v>
      </c>
      <c r="ANA62">
        <v>1.08839177848899</v>
      </c>
      <c r="ANB62">
        <v>1.11137552459737</v>
      </c>
      <c r="ANC62">
        <v>1.0304237248556</v>
      </c>
      <c r="AND62" t="s">
        <v>1900</v>
      </c>
      <c r="ANE62">
        <v>3.25890371313523</v>
      </c>
      <c r="ANF62">
        <v>3.99885722912994</v>
      </c>
      <c r="ANG62">
        <v>5.15085967363584</v>
      </c>
      <c r="ANH62">
        <v>1.48553576229043</v>
      </c>
      <c r="ANI62" t="s">
        <v>1900</v>
      </c>
      <c r="ANJ62">
        <v>3.28538635432865</v>
      </c>
      <c r="ANK62">
        <v>4.01449892062138</v>
      </c>
      <c r="ANL62">
        <v>5.15600834628596</v>
      </c>
      <c r="ANM62">
        <v>1.48856207829336</v>
      </c>
      <c r="ANN62" t="s">
        <v>1900</v>
      </c>
      <c r="ANO62">
        <v>3.3686859444632</v>
      </c>
      <c r="ANP62">
        <v>4.16542669567401</v>
      </c>
      <c r="ANQ62">
        <v>5.43058129563681</v>
      </c>
      <c r="ANR62">
        <v>1.50793670126036</v>
      </c>
      <c r="ANS62" t="s">
        <v>1900</v>
      </c>
      <c r="ANT62">
        <v>29.4807591580117</v>
      </c>
      <c r="ANU62">
        <v>31.7547036506362</v>
      </c>
      <c r="ANV62">
        <v>59.6236506364834</v>
      </c>
      <c r="ANW62">
        <v>28.0845683997711</v>
      </c>
      <c r="ANX62" t="s">
        <v>1900</v>
      </c>
      <c r="ANY62">
        <v>47.2026802957959</v>
      </c>
      <c r="ANZ62">
        <v>49.2390062281439</v>
      </c>
      <c r="AOA62">
        <v>51.3985401425414</v>
      </c>
      <c r="AOB62">
        <v>50.3137370867885</v>
      </c>
      <c r="AOC62" t="s">
        <v>1900</v>
      </c>
      <c r="AOD62">
        <v>48.8250991714803</v>
      </c>
      <c r="AOE62">
        <v>51.2900209382556</v>
      </c>
      <c r="AOF62">
        <v>54.1897796497526</v>
      </c>
      <c r="AOG62">
        <v>51.0724363940958</v>
      </c>
      <c r="AOH62" t="s">
        <v>1900</v>
      </c>
      <c r="AOI62">
        <v>84.2731333483634</v>
      </c>
      <c r="AOJ62" t="s">
        <v>1901</v>
      </c>
      <c r="AOK62" t="s">
        <v>1901</v>
      </c>
      <c r="AOL62" t="s">
        <v>1901</v>
      </c>
      <c r="AOM62" t="s">
        <v>1900</v>
      </c>
      <c r="AON62">
        <v>6.17613571781425</v>
      </c>
      <c r="AOO62">
        <v>7.87781509381534</v>
      </c>
      <c r="AOP62">
        <v>10.5981583449193</v>
      </c>
      <c r="AOQ62">
        <v>2.98983194788721</v>
      </c>
      <c r="AOR62" t="s">
        <v>1900</v>
      </c>
      <c r="AOS62">
        <v>7.4108045650869</v>
      </c>
      <c r="AOT62">
        <v>8.83917785692099</v>
      </c>
      <c r="AOU62">
        <v>11.1375524816726</v>
      </c>
      <c r="AOV62">
        <v>3.04237248556012</v>
      </c>
      <c r="AOW62" t="s">
        <v>1900</v>
      </c>
      <c r="AOX62">
        <v>5.81442177535465</v>
      </c>
      <c r="AOY62">
        <v>10.4454916056813</v>
      </c>
      <c r="AOZ62">
        <v>18.4205178138942</v>
      </c>
      <c r="APA62">
        <v>8.13571476179845</v>
      </c>
      <c r="APB62" t="s">
        <v>1900</v>
      </c>
      <c r="APC62">
        <v>2.6884573844565</v>
      </c>
      <c r="APD62">
        <v>3.48062996847428</v>
      </c>
      <c r="APE62">
        <v>3.84316023039617</v>
      </c>
      <c r="APF62">
        <v>1.00032003338031</v>
      </c>
      <c r="APG62" t="s">
        <v>1900</v>
      </c>
      <c r="APH62">
        <v>2.71030444056601</v>
      </c>
      <c r="API62">
        <v>3.49424459311408</v>
      </c>
      <c r="APJ62">
        <v>3.84700175884424</v>
      </c>
      <c r="APK62">
        <v>1.0023578736006</v>
      </c>
      <c r="APL62" t="s">
        <v>1900</v>
      </c>
      <c r="APM62">
        <v>5.09505009645992</v>
      </c>
      <c r="APN62">
        <v>6.85689879145763</v>
      </c>
      <c r="APO62">
        <v>7.90749957237424</v>
      </c>
      <c r="APP62">
        <v>2.01327283383658</v>
      </c>
      <c r="APQ62" t="s">
        <v>1900</v>
      </c>
      <c r="APR62">
        <v>6.11359954498449</v>
      </c>
      <c r="APS62">
        <v>7.69367486324772</v>
      </c>
      <c r="APT62">
        <v>8.309952410584829</v>
      </c>
      <c r="APU62">
        <v>2.04865222606188</v>
      </c>
      <c r="APV62" t="s">
        <v>1900</v>
      </c>
      <c r="APW62">
        <v>2.77902307048957</v>
      </c>
      <c r="APX62">
        <v>3.62561305835874</v>
      </c>
      <c r="APY62">
        <v>4.05186617102942</v>
      </c>
      <c r="APZ62">
        <v>1.01540422629371</v>
      </c>
      <c r="AQA62" t="s">
        <v>1900</v>
      </c>
      <c r="AQB62">
        <v>4.79665143075315</v>
      </c>
      <c r="AQC62">
        <v>9.091820246378569</v>
      </c>
      <c r="AQD62">
        <v>13.7439196505409</v>
      </c>
      <c r="AQE62">
        <v>5.47837263072486</v>
      </c>
      <c r="AQF62" t="s">
        <v>1900</v>
      </c>
      <c r="AQG62">
        <v>0.0741607564612716</v>
      </c>
      <c r="AQH62">
        <v>0.08839177848899429</v>
      </c>
      <c r="AQI62">
        <v>0.111375524597369</v>
      </c>
      <c r="AQJ62">
        <v>0.0304237248556012</v>
      </c>
      <c r="AQK62">
        <v>6</v>
      </c>
      <c r="AQO62" t="s">
        <v>1903</v>
      </c>
      <c r="AQP62">
        <v>5</v>
      </c>
      <c r="AQQ62">
        <v>0</v>
      </c>
      <c r="AQS62" t="s">
        <v>1905</v>
      </c>
      <c r="AQU62" t="s">
        <v>1906</v>
      </c>
      <c r="AQV62" t="s">
        <v>1900</v>
      </c>
      <c r="AQW62">
        <v>4051421.43267816</v>
      </c>
      <c r="AQX62">
        <v>2597947.16627812</v>
      </c>
      <c r="AQY62" t="s">
        <v>1900</v>
      </c>
      <c r="AQZ62">
        <v>132031.923504305</v>
      </c>
      <c r="ARA62">
        <v>103888.198067689</v>
      </c>
      <c r="ARB62">
        <v>6649368.598956279</v>
      </c>
      <c r="ARC62">
        <v>235920.121571994</v>
      </c>
      <c r="ARD62">
        <v>0.03678522130549861</v>
      </c>
      <c r="ARE62">
        <v>0.03678522130549861</v>
      </c>
      <c r="ARF62">
        <v>0.03678522130549861</v>
      </c>
      <c r="ARG62">
        <v>0.03678522130549861</v>
      </c>
      <c r="ARH62">
        <v>0.03678522130549861</v>
      </c>
      <c r="ARI62">
        <v>0.03678522130549861</v>
      </c>
      <c r="ARJ62" t="s">
        <v>1223</v>
      </c>
      <c r="ARK62" t="s">
        <v>1561</v>
      </c>
      <c r="ARL62" t="s">
        <v>1908</v>
      </c>
      <c r="ARM62" t="s">
        <v>1908</v>
      </c>
      <c r="ARN62" t="s">
        <v>1909</v>
      </c>
      <c r="ARO62" t="s">
        <v>1908</v>
      </c>
      <c r="ARP62" t="s">
        <v>1907</v>
      </c>
      <c r="ARQ62" t="s">
        <v>1960</v>
      </c>
      <c r="ARR62">
        <f>HYPERLINK("C:\Users\Usuario\Documents\Proyectos\llmthon\evidence\ics_com_es_234716.png", "Ver Evidencia")</f>
        <v>0</v>
      </c>
      <c r="ARS62">
        <v>100</v>
      </c>
    </row>
    <row r="63" spans="1:1163">
      <c r="A63">
        <v>666</v>
      </c>
      <c r="B63" t="s">
        <v>1224</v>
      </c>
      <c r="C63" t="s">
        <v>1347</v>
      </c>
      <c r="E63" s="2">
        <v>41424</v>
      </c>
      <c r="F63" t="s">
        <v>1431</v>
      </c>
      <c r="G63" t="s">
        <v>1433</v>
      </c>
      <c r="H63" t="s">
        <v>1434</v>
      </c>
      <c r="I63" t="s">
        <v>1443</v>
      </c>
      <c r="J63" t="s">
        <v>1462</v>
      </c>
      <c r="L63" t="s">
        <v>1562</v>
      </c>
      <c r="N63" t="s">
        <v>1624</v>
      </c>
      <c r="O63" t="s">
        <v>1648</v>
      </c>
      <c r="P63">
        <v>6209</v>
      </c>
      <c r="Q63">
        <v>6209</v>
      </c>
      <c r="R63" t="s">
        <v>1732</v>
      </c>
      <c r="S63" t="s">
        <v>1815</v>
      </c>
      <c r="Z63" t="s">
        <v>1899</v>
      </c>
      <c r="AA63" s="2">
        <v>45657</v>
      </c>
      <c r="AB63">
        <v>2024</v>
      </c>
      <c r="AC63">
        <v>600429.828752794</v>
      </c>
      <c r="AD63">
        <v>1179794.7749774</v>
      </c>
      <c r="AE63">
        <v>1011919.56153713</v>
      </c>
      <c r="AF63">
        <v>988672.246588755</v>
      </c>
      <c r="AG63">
        <v>671752.2456707</v>
      </c>
      <c r="AH63">
        <v>463403.218018055</v>
      </c>
      <c r="AI63">
        <v>424397.264214277</v>
      </c>
      <c r="AJ63">
        <v>792547.7463911</v>
      </c>
      <c r="AK63">
        <v>798114.113648343</v>
      </c>
      <c r="AL63">
        <v>564802.725102764</v>
      </c>
      <c r="AM63">
        <v>220576.532497296</v>
      </c>
      <c r="AN63">
        <v>154012.140318756</v>
      </c>
      <c r="AO63">
        <v>426509.531507844</v>
      </c>
      <c r="AP63">
        <v>407747.776470423</v>
      </c>
      <c r="AQ63">
        <v>287412.829954761</v>
      </c>
      <c r="AR63">
        <v>379853.296255498</v>
      </c>
      <c r="AS63">
        <v>1025782.63465864</v>
      </c>
      <c r="AT63">
        <v>585410.0300292911</v>
      </c>
      <c r="AU63">
        <v>580924.470118332</v>
      </c>
      <c r="AV63">
        <v>384339.415715939</v>
      </c>
      <c r="AW63">
        <v>1019317.70784757</v>
      </c>
      <c r="AX63">
        <v>857754.2481495671</v>
      </c>
      <c r="AY63">
        <v>487316.741643274</v>
      </c>
      <c r="AZ63">
        <v>482959.039945865</v>
      </c>
      <c r="BA63">
        <v>324743.803137856</v>
      </c>
      <c r="BB63">
        <v>-639464.41159207</v>
      </c>
      <c r="BC63">
        <v>168028.386509075</v>
      </c>
      <c r="BD63">
        <v>98093.2883860171</v>
      </c>
      <c r="BE63">
        <v>97965.4301724672</v>
      </c>
      <c r="BF63">
        <v>59595.6113509834</v>
      </c>
      <c r="BG63">
        <v>-66991.42039100399</v>
      </c>
      <c r="BH63">
        <v>-56063.0830554228</v>
      </c>
      <c r="BI63">
        <v>-20384.2734558702</v>
      </c>
      <c r="BJ63">
        <v>-25499.3406702519</v>
      </c>
      <c r="BK63">
        <v>-31803.407447964</v>
      </c>
      <c r="BL63">
        <v>1122.88417978764</v>
      </c>
      <c r="BM63">
        <v>1488.80031815529</v>
      </c>
      <c r="BN63">
        <v>414.075253331661</v>
      </c>
      <c r="BO63">
        <v>550.069991326332</v>
      </c>
      <c r="BP63">
        <v>352.287937873602</v>
      </c>
      <c r="BQ63">
        <v>68114.3045707916</v>
      </c>
      <c r="BR63">
        <v>57551.8844785786</v>
      </c>
      <c r="BS63">
        <v>20798.3487092018</v>
      </c>
      <c r="BT63">
        <v>26049.4106615782</v>
      </c>
      <c r="BU63">
        <v>32155.6953858376</v>
      </c>
      <c r="BV63">
        <v>-706455.833021973</v>
      </c>
      <c r="BW63">
        <v>111965.302348652</v>
      </c>
      <c r="BX63">
        <v>77709.01493014691</v>
      </c>
      <c r="BY63">
        <v>72466.0895022154</v>
      </c>
      <c r="BZ63">
        <v>27792.2039030194</v>
      </c>
      <c r="CA63" t="s">
        <v>1900</v>
      </c>
      <c r="CB63">
        <v>27991.3311121654</v>
      </c>
      <c r="CC63">
        <v>19427.2563990355</v>
      </c>
      <c r="CD63">
        <v>18116.5195440531</v>
      </c>
      <c r="CE63">
        <v>6948.05711125135</v>
      </c>
      <c r="CF63">
        <v>-706455.833021973</v>
      </c>
      <c r="CG63">
        <v>83973.9712364864</v>
      </c>
      <c r="CH63">
        <v>58281.7585311115</v>
      </c>
      <c r="CI63">
        <v>54349.5699581623</v>
      </c>
      <c r="CJ63">
        <v>20844.1467917681</v>
      </c>
      <c r="CK63" t="s">
        <v>1900</v>
      </c>
      <c r="CL63" t="s">
        <v>1900</v>
      </c>
      <c r="CM63" t="s">
        <v>1900</v>
      </c>
      <c r="CN63" t="s">
        <v>1900</v>
      </c>
      <c r="CO63" t="s">
        <v>1900</v>
      </c>
      <c r="CP63" t="s">
        <v>1900</v>
      </c>
      <c r="CQ63" t="s">
        <v>1900</v>
      </c>
      <c r="CR63" t="s">
        <v>1900</v>
      </c>
      <c r="CS63" t="s">
        <v>1900</v>
      </c>
      <c r="CT63" t="s">
        <v>1900</v>
      </c>
      <c r="CU63" t="s">
        <v>1900</v>
      </c>
      <c r="CV63" t="s">
        <v>1900</v>
      </c>
      <c r="CW63" t="s">
        <v>1900</v>
      </c>
      <c r="CX63" t="s">
        <v>1900</v>
      </c>
      <c r="CY63" t="s">
        <v>1900</v>
      </c>
      <c r="CZ63">
        <v>-706455.833021973</v>
      </c>
      <c r="DA63">
        <v>83973.9712364864</v>
      </c>
      <c r="DB63">
        <v>58281.7585311115</v>
      </c>
      <c r="DC63">
        <v>54349.5699581623</v>
      </c>
      <c r="DD63">
        <v>20844.1467917681</v>
      </c>
      <c r="DE63" t="s">
        <v>1900</v>
      </c>
      <c r="DF63" t="s">
        <v>1900</v>
      </c>
      <c r="DG63" t="s">
        <v>1900</v>
      </c>
      <c r="DH63" t="s">
        <v>1900</v>
      </c>
      <c r="DI63" t="s">
        <v>1900</v>
      </c>
      <c r="DJ63">
        <v>220576.532497296</v>
      </c>
      <c r="DK63">
        <v>154012.140318756</v>
      </c>
      <c r="DL63">
        <v>426509.531507844</v>
      </c>
      <c r="DM63">
        <v>407747.776470423</v>
      </c>
      <c r="DN63">
        <v>287412.829954761</v>
      </c>
      <c r="DO63">
        <v>537320.2970134499</v>
      </c>
      <c r="DP63">
        <v>421517.478221865</v>
      </c>
      <c r="DQ63">
        <v>313005.235097843</v>
      </c>
      <c r="DR63">
        <v>262932.028777599</v>
      </c>
      <c r="DS63">
        <v>391872.848276991</v>
      </c>
      <c r="DT63" t="s">
        <v>1900</v>
      </c>
      <c r="DU63" t="s">
        <v>1900</v>
      </c>
      <c r="DV63">
        <v>310276.958934838</v>
      </c>
      <c r="DW63">
        <v>288396.440054369</v>
      </c>
      <c r="DX63">
        <v>218631.803610867</v>
      </c>
      <c r="DY63">
        <v>481997.410834118</v>
      </c>
      <c r="DZ63">
        <v>436236.769927702</v>
      </c>
      <c r="EA63">
        <v>-135965.452389407</v>
      </c>
      <c r="EB63">
        <v>-68369.4277535033</v>
      </c>
      <c r="EC63">
        <v>-285760.847522902</v>
      </c>
      <c r="ED63">
        <v>68114.3045707916</v>
      </c>
      <c r="EE63">
        <v>57236.2852869415</v>
      </c>
      <c r="EF63">
        <v>20791.7571243644</v>
      </c>
      <c r="EG63">
        <v>24490.7034664392</v>
      </c>
      <c r="EH63">
        <v>32090.4996000588</v>
      </c>
      <c r="EI63" t="s">
        <v>1900</v>
      </c>
      <c r="EJ63" t="s">
        <v>1900</v>
      </c>
      <c r="EK63" t="s">
        <v>1900</v>
      </c>
      <c r="EL63" t="s">
        <v>1900</v>
      </c>
      <c r="EM63" t="s">
        <v>1900</v>
      </c>
      <c r="EN63" t="s">
        <v>1900</v>
      </c>
      <c r="EO63" t="s">
        <v>1900</v>
      </c>
      <c r="EP63">
        <v>368558.71639935</v>
      </c>
      <c r="EQ63">
        <v>342746.010012531</v>
      </c>
      <c r="ER63">
        <v>239475.949175536</v>
      </c>
      <c r="ES63">
        <v>-101021.230398833</v>
      </c>
      <c r="ET63">
        <v>590719.065857458</v>
      </c>
      <c r="EU63">
        <v>721782.965020593</v>
      </c>
      <c r="EV63">
        <v>648285.261800623</v>
      </c>
      <c r="EW63">
        <v>670387.355390936</v>
      </c>
      <c r="EX63">
        <v>-639464.41159207</v>
      </c>
      <c r="EY63">
        <v>168028.386509075</v>
      </c>
      <c r="EZ63">
        <v>408370.247320855</v>
      </c>
      <c r="FA63">
        <v>386361.870226836</v>
      </c>
      <c r="FB63">
        <v>278227.414961851</v>
      </c>
      <c r="FC63">
        <v>2186766.12755988</v>
      </c>
      <c r="FD63">
        <v>2131231.61712056</v>
      </c>
      <c r="FE63">
        <v>1900451.38516023</v>
      </c>
      <c r="FF63">
        <v>1879618.01901791</v>
      </c>
      <c r="FG63">
        <v>1879698.10799553</v>
      </c>
      <c r="FH63">
        <v>1808846.52463086</v>
      </c>
      <c r="FI63">
        <v>1396073.72639073</v>
      </c>
      <c r="FJ63">
        <v>1347557.33382016</v>
      </c>
      <c r="FK63">
        <v>1331357.42463877</v>
      </c>
      <c r="FL63">
        <v>1330231.98898287</v>
      </c>
      <c r="FM63">
        <v>6595.59918134689</v>
      </c>
      <c r="FN63">
        <v>6624.24592288017</v>
      </c>
      <c r="FO63">
        <v>2913.70448403955</v>
      </c>
      <c r="FP63">
        <v>3941.26785392761</v>
      </c>
      <c r="FQ63">
        <v>6631.77226682305</v>
      </c>
      <c r="FR63">
        <v>371324.003747667</v>
      </c>
      <c r="FS63">
        <v>728533.6437019469</v>
      </c>
      <c r="FT63">
        <v>549980.346856028</v>
      </c>
      <c r="FU63">
        <v>544319.326525211</v>
      </c>
      <c r="FV63">
        <v>542834.346745837</v>
      </c>
      <c r="FW63">
        <v>1808846.52463086</v>
      </c>
      <c r="FX63">
        <v>1396073.72639073</v>
      </c>
      <c r="FY63">
        <v>1347557.33382016</v>
      </c>
      <c r="FZ63">
        <v>1331357.42463877</v>
      </c>
      <c r="GA63">
        <v>1330231.98898287</v>
      </c>
      <c r="GB63">
        <v>6595.59918134689</v>
      </c>
      <c r="GC63">
        <v>6624.24592288017</v>
      </c>
      <c r="GD63">
        <v>2913.70448403955</v>
      </c>
      <c r="GE63">
        <v>3941.26785392761</v>
      </c>
      <c r="GF63">
        <v>6631.77226682305</v>
      </c>
      <c r="GG63">
        <v>371324.003747667</v>
      </c>
      <c r="GH63">
        <v>728533.6437019469</v>
      </c>
      <c r="GI63">
        <v>549980.346856028</v>
      </c>
      <c r="GJ63">
        <v>544319.326525211</v>
      </c>
      <c r="GK63">
        <v>542834.346745837</v>
      </c>
      <c r="GL63">
        <v>347681.621449443</v>
      </c>
      <c r="GM63">
        <v>1026898.55255945</v>
      </c>
      <c r="GN63">
        <v>868226.926501137</v>
      </c>
      <c r="GO63">
        <v>889093.631146359</v>
      </c>
      <c r="GP63">
        <v>763141.864889014</v>
      </c>
      <c r="GQ63">
        <v>0</v>
      </c>
      <c r="GR63">
        <v>0</v>
      </c>
      <c r="GS63">
        <v>18390.553694433</v>
      </c>
      <c r="GT63">
        <v>19528.5549993753</v>
      </c>
      <c r="GU63">
        <v>49083.9719772339</v>
      </c>
      <c r="GV63">
        <v>316612.551504138</v>
      </c>
      <c r="GW63">
        <v>895598.979183817</v>
      </c>
      <c r="GX63">
        <v>782444.809378368</v>
      </c>
      <c r="GY63">
        <v>694401.586365724</v>
      </c>
      <c r="GZ63">
        <v>592250.641755342</v>
      </c>
      <c r="HA63">
        <v>31069.0699453056</v>
      </c>
      <c r="HB63">
        <v>131299.573375635</v>
      </c>
      <c r="HC63">
        <v>67391.5623617369</v>
      </c>
      <c r="HD63">
        <v>175163.48978126</v>
      </c>
      <c r="HE63">
        <v>121807.251156437</v>
      </c>
      <c r="HF63">
        <v>31069.0699453056</v>
      </c>
      <c r="HG63">
        <v>92319.05653165821</v>
      </c>
      <c r="HH63">
        <v>11552.7017011523</v>
      </c>
      <c r="HI63">
        <v>115869.337986803</v>
      </c>
      <c r="HJ63">
        <v>35275.1413278997</v>
      </c>
      <c r="HK63">
        <v>2534447.74900932</v>
      </c>
      <c r="HL63">
        <v>3158130.16968001</v>
      </c>
      <c r="HM63">
        <v>2768678.31166136</v>
      </c>
      <c r="HN63">
        <v>2768711.65016427</v>
      </c>
      <c r="HO63">
        <v>2642839.97288454</v>
      </c>
      <c r="HP63">
        <v>138154.221907438</v>
      </c>
      <c r="HQ63">
        <v>1023225.59721107</v>
      </c>
      <c r="HR63">
        <v>690586.6269488221</v>
      </c>
      <c r="HS63">
        <v>633388.747582698</v>
      </c>
      <c r="HT63">
        <v>653639.867339325</v>
      </c>
      <c r="HU63">
        <v>130778.752007723</v>
      </c>
      <c r="HV63">
        <v>139099.672426224</v>
      </c>
      <c r="HW63">
        <v>134265.676780939</v>
      </c>
      <c r="HX63">
        <v>142573.991904259</v>
      </c>
      <c r="HY63">
        <v>154469.714010954</v>
      </c>
      <c r="HZ63">
        <v>7375.46989971519</v>
      </c>
      <c r="IA63">
        <v>884125.924784851</v>
      </c>
      <c r="IB63">
        <v>556320.950167882</v>
      </c>
      <c r="IC63">
        <v>490814.754545839</v>
      </c>
      <c r="ID63">
        <v>499170.153328371</v>
      </c>
      <c r="IE63">
        <v>888062.319119475</v>
      </c>
      <c r="IF63">
        <v>1089239.12243713</v>
      </c>
      <c r="IG63">
        <v>952376.431785214</v>
      </c>
      <c r="IH63">
        <v>619078.693803978</v>
      </c>
      <c r="II63">
        <v>957265.709974837</v>
      </c>
      <c r="IJ63">
        <v>888062.319119475</v>
      </c>
      <c r="IK63">
        <v>1089239.12243713</v>
      </c>
      <c r="IL63">
        <v>952376.431785214</v>
      </c>
      <c r="IM63">
        <v>619078.693803978</v>
      </c>
      <c r="IN63">
        <v>957265.709974837</v>
      </c>
      <c r="IO63">
        <v>0</v>
      </c>
      <c r="IP63">
        <v>0</v>
      </c>
      <c r="IQ63">
        <v>0</v>
      </c>
      <c r="IR63">
        <v>0</v>
      </c>
      <c r="IS63">
        <v>0</v>
      </c>
      <c r="IT63">
        <v>0</v>
      </c>
      <c r="IU63">
        <v>0</v>
      </c>
      <c r="IV63">
        <v>0</v>
      </c>
      <c r="IW63">
        <v>0</v>
      </c>
      <c r="IX63">
        <v>0</v>
      </c>
      <c r="IY63">
        <v>1508231.20798241</v>
      </c>
      <c r="IZ63">
        <v>1045665.45003181</v>
      </c>
      <c r="JA63">
        <v>1125715.25292733</v>
      </c>
      <c r="JB63">
        <v>1516244.20877759</v>
      </c>
      <c r="JC63">
        <v>1031934.39557038</v>
      </c>
      <c r="JD63">
        <v>997958.7228502909</v>
      </c>
      <c r="JE63">
        <v>649933.567232199</v>
      </c>
      <c r="JF63">
        <v>477032.589377487</v>
      </c>
      <c r="JG63">
        <v>796220.609802318</v>
      </c>
      <c r="JH63">
        <v>562876.400080532</v>
      </c>
      <c r="JI63">
        <v>0</v>
      </c>
      <c r="JJ63">
        <v>0</v>
      </c>
      <c r="JK63" t="s">
        <v>1900</v>
      </c>
      <c r="JL63" t="s">
        <v>1900</v>
      </c>
      <c r="JM63">
        <v>0</v>
      </c>
      <c r="JN63">
        <v>510272.485132115</v>
      </c>
      <c r="JO63">
        <v>395731.882799606</v>
      </c>
      <c r="JP63">
        <v>648682.6624832409</v>
      </c>
      <c r="JQ63">
        <v>720023.598975277</v>
      </c>
      <c r="JR63">
        <v>469057.995489848</v>
      </c>
      <c r="JS63">
        <v>2534447.74900932</v>
      </c>
      <c r="JT63">
        <v>3158130.16968001</v>
      </c>
      <c r="JU63">
        <v>2768678.31166136</v>
      </c>
      <c r="JV63">
        <v>2768711.65016427</v>
      </c>
      <c r="JW63">
        <v>2642839.97288454</v>
      </c>
      <c r="JX63">
        <v>316612.551504138</v>
      </c>
      <c r="JY63">
        <v>895598.979183817</v>
      </c>
      <c r="JZ63">
        <v>800835.363072801</v>
      </c>
      <c r="KA63">
        <v>713930.140232499</v>
      </c>
      <c r="KB63">
        <v>641334.613732576</v>
      </c>
      <c r="KC63" t="s">
        <v>1900</v>
      </c>
      <c r="KD63" t="s">
        <v>1900</v>
      </c>
      <c r="KE63" t="s">
        <v>1900</v>
      </c>
      <c r="KF63" t="s">
        <v>1900</v>
      </c>
      <c r="KG63" t="s">
        <v>1900</v>
      </c>
      <c r="KH63" t="s">
        <v>1900</v>
      </c>
      <c r="KI63" t="s">
        <v>1900</v>
      </c>
      <c r="KJ63" t="s">
        <v>1900</v>
      </c>
      <c r="KK63" t="s">
        <v>1900</v>
      </c>
      <c r="KL63" t="s">
        <v>1900</v>
      </c>
      <c r="KM63">
        <v>15</v>
      </c>
      <c r="KN63">
        <v>10</v>
      </c>
      <c r="KO63">
        <v>8</v>
      </c>
      <c r="KP63">
        <v>8</v>
      </c>
      <c r="KQ63">
        <v>14</v>
      </c>
      <c r="KR63" t="s">
        <v>1900</v>
      </c>
      <c r="KS63" t="s">
        <v>1900</v>
      </c>
      <c r="KT63" t="s">
        <v>1900</v>
      </c>
      <c r="KU63" t="s">
        <v>1900</v>
      </c>
      <c r="KV63" t="s">
        <v>1900</v>
      </c>
      <c r="KW63" t="s">
        <v>1900</v>
      </c>
      <c r="KX63" t="s">
        <v>1900</v>
      </c>
      <c r="KY63" t="s">
        <v>1900</v>
      </c>
      <c r="KZ63" t="s">
        <v>1900</v>
      </c>
      <c r="LA63" t="s">
        <v>1900</v>
      </c>
      <c r="LB63" t="s">
        <v>1900</v>
      </c>
      <c r="LC63" t="s">
        <v>1900</v>
      </c>
      <c r="LD63" t="s">
        <v>1900</v>
      </c>
      <c r="LE63" t="s">
        <v>1900</v>
      </c>
      <c r="LF63" t="s">
        <v>1900</v>
      </c>
      <c r="LG63" t="s">
        <v>1900</v>
      </c>
      <c r="LH63" t="s">
        <v>1900</v>
      </c>
      <c r="LI63" t="s">
        <v>1900</v>
      </c>
      <c r="LJ63" t="s">
        <v>1900</v>
      </c>
      <c r="LK63" t="s">
        <v>1900</v>
      </c>
      <c r="LL63" t="s">
        <v>1900</v>
      </c>
      <c r="LM63" t="s">
        <v>1900</v>
      </c>
      <c r="LN63" t="s">
        <v>1900</v>
      </c>
      <c r="LO63" t="s">
        <v>1900</v>
      </c>
      <c r="LP63" t="s">
        <v>1900</v>
      </c>
      <c r="LQ63" t="s">
        <v>1900</v>
      </c>
      <c r="LR63" t="s">
        <v>1900</v>
      </c>
      <c r="LS63" t="s">
        <v>1900</v>
      </c>
      <c r="LT63" t="s">
        <v>1900</v>
      </c>
      <c r="LU63" t="s">
        <v>1900</v>
      </c>
      <c r="LV63" t="s">
        <v>1900</v>
      </c>
      <c r="LW63" t="s">
        <v>1900</v>
      </c>
      <c r="LX63" t="s">
        <v>1900</v>
      </c>
      <c r="LY63" t="s">
        <v>1900</v>
      </c>
      <c r="LZ63" t="s">
        <v>1900</v>
      </c>
      <c r="MA63" t="s">
        <v>1900</v>
      </c>
      <c r="MB63" t="s">
        <v>1900</v>
      </c>
      <c r="MC63" t="s">
        <v>1900</v>
      </c>
      <c r="MD63" t="s">
        <v>1900</v>
      </c>
      <c r="ME63" t="s">
        <v>1900</v>
      </c>
      <c r="MF63" t="s">
        <v>1900</v>
      </c>
      <c r="MG63" t="s">
        <v>1900</v>
      </c>
      <c r="MH63" t="s">
        <v>1900</v>
      </c>
      <c r="MI63" t="s">
        <v>1900</v>
      </c>
      <c r="MJ63" t="s">
        <v>1900</v>
      </c>
      <c r="MK63" t="s">
        <v>1900</v>
      </c>
      <c r="ML63" t="s">
        <v>1900</v>
      </c>
      <c r="MM63" t="s">
        <v>1900</v>
      </c>
      <c r="MN63" t="s">
        <v>1900</v>
      </c>
      <c r="MO63" t="s">
        <v>1900</v>
      </c>
      <c r="MP63">
        <v>31069.0699453056</v>
      </c>
      <c r="MQ63">
        <v>131299.573375635</v>
      </c>
      <c r="MR63">
        <v>67391.5623617369</v>
      </c>
      <c r="MS63">
        <v>175163.48978126</v>
      </c>
      <c r="MT63">
        <v>121807.251156437</v>
      </c>
      <c r="MU63" t="s">
        <v>1900</v>
      </c>
      <c r="MV63" t="s">
        <v>1900</v>
      </c>
      <c r="MW63" t="s">
        <v>1900</v>
      </c>
      <c r="MX63" t="s">
        <v>1900</v>
      </c>
      <c r="MY63" t="s">
        <v>1900</v>
      </c>
      <c r="MZ63" t="s">
        <v>1900</v>
      </c>
      <c r="NA63" t="s">
        <v>1900</v>
      </c>
      <c r="NB63" t="s">
        <v>1900</v>
      </c>
      <c r="NC63" t="s">
        <v>1900</v>
      </c>
      <c r="ND63" t="s">
        <v>1900</v>
      </c>
      <c r="NE63" t="s">
        <v>1900</v>
      </c>
      <c r="NF63" t="s">
        <v>1900</v>
      </c>
      <c r="NG63" t="s">
        <v>1900</v>
      </c>
      <c r="NH63" t="s">
        <v>1900</v>
      </c>
      <c r="NI63" t="s">
        <v>1900</v>
      </c>
      <c r="NJ63" t="s">
        <v>1900</v>
      </c>
      <c r="NK63" t="s">
        <v>1900</v>
      </c>
      <c r="NL63" t="s">
        <v>1900</v>
      </c>
      <c r="NM63" t="s">
        <v>1900</v>
      </c>
      <c r="NN63" t="s">
        <v>1900</v>
      </c>
      <c r="NO63" t="s">
        <v>1900</v>
      </c>
      <c r="NP63" t="s">
        <v>1900</v>
      </c>
      <c r="NQ63" t="s">
        <v>1900</v>
      </c>
      <c r="NR63" t="s">
        <v>1900</v>
      </c>
      <c r="NS63" t="s">
        <v>1900</v>
      </c>
      <c r="NT63">
        <v>2186766.12755988</v>
      </c>
      <c r="NU63">
        <v>2131231.61712056</v>
      </c>
      <c r="NV63">
        <v>1900451.38516023</v>
      </c>
      <c r="NW63">
        <v>1879618.01901791</v>
      </c>
      <c r="NX63">
        <v>1879698.10799553</v>
      </c>
      <c r="NY63" t="s">
        <v>1900</v>
      </c>
      <c r="NZ63" t="s">
        <v>1900</v>
      </c>
      <c r="OA63" t="s">
        <v>1900</v>
      </c>
      <c r="OB63" t="s">
        <v>1900</v>
      </c>
      <c r="OC63" t="s">
        <v>1900</v>
      </c>
      <c r="OD63" t="s">
        <v>1900</v>
      </c>
      <c r="OE63" t="s">
        <v>1900</v>
      </c>
      <c r="OF63" t="s">
        <v>1900</v>
      </c>
      <c r="OG63" t="s">
        <v>1900</v>
      </c>
      <c r="OH63" t="s">
        <v>1900</v>
      </c>
      <c r="OI63" t="s">
        <v>1900</v>
      </c>
      <c r="OJ63" t="s">
        <v>1900</v>
      </c>
      <c r="OK63" t="s">
        <v>1900</v>
      </c>
      <c r="OL63" t="s">
        <v>1900</v>
      </c>
      <c r="OM63" t="s">
        <v>1900</v>
      </c>
      <c r="ON63" t="s">
        <v>1900</v>
      </c>
      <c r="OO63" t="s">
        <v>1900</v>
      </c>
      <c r="OP63" t="s">
        <v>1900</v>
      </c>
      <c r="OQ63" t="s">
        <v>1900</v>
      </c>
      <c r="OR63" t="s">
        <v>1900</v>
      </c>
      <c r="OS63" t="s">
        <v>1900</v>
      </c>
      <c r="OT63" t="s">
        <v>1900</v>
      </c>
      <c r="OU63" t="s">
        <v>1900</v>
      </c>
      <c r="OV63" t="s">
        <v>1900</v>
      </c>
      <c r="OW63" t="s">
        <v>1900</v>
      </c>
      <c r="OX63" t="s">
        <v>1900</v>
      </c>
      <c r="OY63" t="s">
        <v>1900</v>
      </c>
      <c r="OZ63" t="s">
        <v>1900</v>
      </c>
      <c r="PA63" t="s">
        <v>1900</v>
      </c>
      <c r="PB63" t="s">
        <v>1900</v>
      </c>
      <c r="PC63" t="s">
        <v>1900</v>
      </c>
      <c r="PD63" t="s">
        <v>1900</v>
      </c>
      <c r="PE63" t="s">
        <v>1900</v>
      </c>
      <c r="PF63" t="s">
        <v>1900</v>
      </c>
      <c r="PG63" t="s">
        <v>1900</v>
      </c>
      <c r="PH63" t="s">
        <v>1900</v>
      </c>
      <c r="PI63" t="s">
        <v>1900</v>
      </c>
      <c r="PJ63" t="s">
        <v>1900</v>
      </c>
      <c r="PK63" t="s">
        <v>1900</v>
      </c>
      <c r="PL63" t="s">
        <v>1900</v>
      </c>
      <c r="PM63" t="s">
        <v>1900</v>
      </c>
      <c r="PN63" t="s">
        <v>1900</v>
      </c>
      <c r="PO63" t="s">
        <v>1900</v>
      </c>
      <c r="PP63" t="s">
        <v>1900</v>
      </c>
      <c r="PQ63" t="s">
        <v>1900</v>
      </c>
      <c r="PR63" t="s">
        <v>1900</v>
      </c>
      <c r="PS63" t="s">
        <v>1900</v>
      </c>
      <c r="PT63" t="s">
        <v>1900</v>
      </c>
      <c r="PU63" t="s">
        <v>1900</v>
      </c>
      <c r="PV63" t="s">
        <v>1900</v>
      </c>
      <c r="PW63" t="s">
        <v>1900</v>
      </c>
      <c r="PX63" t="s">
        <v>1900</v>
      </c>
      <c r="PY63" t="s">
        <v>1900</v>
      </c>
      <c r="PZ63" t="s">
        <v>1900</v>
      </c>
      <c r="QA63" t="s">
        <v>1900</v>
      </c>
      <c r="QB63" t="s">
        <v>1900</v>
      </c>
      <c r="QC63" t="s">
        <v>1900</v>
      </c>
      <c r="QD63" t="s">
        <v>1900</v>
      </c>
      <c r="QE63" t="s">
        <v>1900</v>
      </c>
      <c r="QF63" t="s">
        <v>1900</v>
      </c>
      <c r="QG63" t="s">
        <v>1900</v>
      </c>
      <c r="QH63" t="s">
        <v>1900</v>
      </c>
      <c r="QI63" t="s">
        <v>1900</v>
      </c>
      <c r="QJ63" t="s">
        <v>1900</v>
      </c>
      <c r="QK63" t="s">
        <v>1900</v>
      </c>
      <c r="QL63" t="s">
        <v>1900</v>
      </c>
      <c r="QM63" t="s">
        <v>1900</v>
      </c>
      <c r="QN63" t="s">
        <v>1900</v>
      </c>
      <c r="QO63" t="s">
        <v>1900</v>
      </c>
      <c r="QP63" t="s">
        <v>1900</v>
      </c>
      <c r="QQ63" t="s">
        <v>1900</v>
      </c>
      <c r="QR63" t="s">
        <v>1900</v>
      </c>
      <c r="QS63" t="s">
        <v>1900</v>
      </c>
      <c r="QT63" t="s">
        <v>1900</v>
      </c>
      <c r="QU63" t="s">
        <v>1900</v>
      </c>
      <c r="QV63" t="s">
        <v>1900</v>
      </c>
      <c r="QW63" t="s">
        <v>1900</v>
      </c>
      <c r="QX63" t="s">
        <v>1900</v>
      </c>
      <c r="QY63" t="s">
        <v>1900</v>
      </c>
      <c r="QZ63" t="s">
        <v>1900</v>
      </c>
      <c r="RA63" t="s">
        <v>1900</v>
      </c>
      <c r="RB63" t="s">
        <v>1900</v>
      </c>
      <c r="RC63" t="s">
        <v>1900</v>
      </c>
      <c r="RD63" t="s">
        <v>1900</v>
      </c>
      <c r="RE63" t="s">
        <v>1900</v>
      </c>
      <c r="RF63" t="s">
        <v>1900</v>
      </c>
      <c r="RG63" t="s">
        <v>1900</v>
      </c>
      <c r="RH63" t="s">
        <v>1900</v>
      </c>
      <c r="RI63" t="s">
        <v>1900</v>
      </c>
      <c r="RJ63" t="s">
        <v>1900</v>
      </c>
      <c r="RK63" t="s">
        <v>1900</v>
      </c>
      <c r="RL63" t="s">
        <v>1900</v>
      </c>
      <c r="RM63" t="s">
        <v>1900</v>
      </c>
      <c r="RN63" t="s">
        <v>1900</v>
      </c>
      <c r="RO63" t="s">
        <v>1900</v>
      </c>
      <c r="RP63" t="s">
        <v>1900</v>
      </c>
      <c r="RQ63" t="s">
        <v>1900</v>
      </c>
      <c r="RR63" t="s">
        <v>1900</v>
      </c>
      <c r="RS63" t="s">
        <v>1900</v>
      </c>
      <c r="RT63" t="s">
        <v>1900</v>
      </c>
      <c r="RU63" t="s">
        <v>1900</v>
      </c>
      <c r="RV63" t="s">
        <v>1900</v>
      </c>
      <c r="RW63" t="s">
        <v>1900</v>
      </c>
      <c r="RX63" t="s">
        <v>1900</v>
      </c>
      <c r="RY63" t="s">
        <v>1900</v>
      </c>
      <c r="RZ63" t="s">
        <v>1900</v>
      </c>
      <c r="SA63" t="s">
        <v>1900</v>
      </c>
      <c r="SB63" t="s">
        <v>1900</v>
      </c>
      <c r="SC63" t="s">
        <v>1900</v>
      </c>
      <c r="SD63" t="s">
        <v>1900</v>
      </c>
      <c r="SE63" t="s">
        <v>1900</v>
      </c>
      <c r="SF63" t="s">
        <v>1900</v>
      </c>
      <c r="SG63" t="s">
        <v>1900</v>
      </c>
      <c r="SH63" t="s">
        <v>1900</v>
      </c>
      <c r="SI63" t="s">
        <v>1900</v>
      </c>
      <c r="SJ63">
        <v>371324.003747667</v>
      </c>
      <c r="SK63">
        <v>728533.6437019469</v>
      </c>
      <c r="SL63">
        <v>549980.346856028</v>
      </c>
      <c r="SM63">
        <v>544319.326525211</v>
      </c>
      <c r="SN63">
        <v>542834.346745837</v>
      </c>
      <c r="SO63" t="s">
        <v>1900</v>
      </c>
      <c r="SP63" t="s">
        <v>1900</v>
      </c>
      <c r="SQ63" t="s">
        <v>1900</v>
      </c>
      <c r="SR63" t="s">
        <v>1900</v>
      </c>
      <c r="SS63" t="s">
        <v>1900</v>
      </c>
      <c r="ST63" t="s">
        <v>1900</v>
      </c>
      <c r="SU63" t="s">
        <v>1900</v>
      </c>
      <c r="SV63" t="s">
        <v>1900</v>
      </c>
      <c r="SW63" t="s">
        <v>1900</v>
      </c>
      <c r="SX63" t="s">
        <v>1900</v>
      </c>
      <c r="SY63" t="s">
        <v>1900</v>
      </c>
      <c r="SZ63" t="s">
        <v>1900</v>
      </c>
      <c r="TA63" t="s">
        <v>1900</v>
      </c>
      <c r="TB63" t="s">
        <v>1900</v>
      </c>
      <c r="TC63" t="s">
        <v>1900</v>
      </c>
      <c r="TD63" t="s">
        <v>1900</v>
      </c>
      <c r="TE63" t="s">
        <v>1900</v>
      </c>
      <c r="TF63" t="s">
        <v>1900</v>
      </c>
      <c r="TG63" t="s">
        <v>1900</v>
      </c>
      <c r="TH63" t="s">
        <v>1900</v>
      </c>
      <c r="TI63" t="s">
        <v>1900</v>
      </c>
      <c r="TJ63" t="s">
        <v>1900</v>
      </c>
      <c r="TK63" t="s">
        <v>1900</v>
      </c>
      <c r="TL63" t="s">
        <v>1900</v>
      </c>
      <c r="TM63" t="s">
        <v>1900</v>
      </c>
      <c r="TN63" t="s">
        <v>1900</v>
      </c>
      <c r="TO63" t="s">
        <v>1900</v>
      </c>
      <c r="TP63" t="s">
        <v>1900</v>
      </c>
      <c r="TQ63" t="s">
        <v>1900</v>
      </c>
      <c r="TR63" t="s">
        <v>1900</v>
      </c>
      <c r="TS63">
        <v>2534447.74900932</v>
      </c>
      <c r="TT63">
        <v>3158130.16968001</v>
      </c>
      <c r="TU63">
        <v>2768678.31166136</v>
      </c>
      <c r="TV63">
        <v>2768711.65016427</v>
      </c>
      <c r="TW63">
        <v>2642839.97288454</v>
      </c>
      <c r="TX63" t="s">
        <v>1900</v>
      </c>
      <c r="TY63" t="s">
        <v>1900</v>
      </c>
      <c r="TZ63" t="s">
        <v>1900</v>
      </c>
      <c r="UA63" t="s">
        <v>1900</v>
      </c>
      <c r="UB63" t="s">
        <v>1900</v>
      </c>
      <c r="UC63">
        <v>997958.7228502909</v>
      </c>
      <c r="UD63">
        <v>649933.567232199</v>
      </c>
      <c r="UE63">
        <v>477032.589377487</v>
      </c>
      <c r="UF63">
        <v>796220.609802318</v>
      </c>
      <c r="UG63">
        <v>562876.400080532</v>
      </c>
      <c r="UH63" t="s">
        <v>1900</v>
      </c>
      <c r="UI63" t="s">
        <v>1900</v>
      </c>
      <c r="UJ63" t="s">
        <v>1900</v>
      </c>
      <c r="UK63" t="s">
        <v>1900</v>
      </c>
      <c r="UL63" t="s">
        <v>1900</v>
      </c>
      <c r="UM63" t="s">
        <v>1900</v>
      </c>
      <c r="UN63" t="s">
        <v>1900</v>
      </c>
      <c r="UO63" t="s">
        <v>1900</v>
      </c>
      <c r="UP63" t="s">
        <v>1900</v>
      </c>
      <c r="UQ63" t="s">
        <v>1900</v>
      </c>
      <c r="UR63" t="s">
        <v>1900</v>
      </c>
      <c r="US63" t="s">
        <v>1900</v>
      </c>
      <c r="UT63" t="s">
        <v>1900</v>
      </c>
      <c r="UU63" t="s">
        <v>1900</v>
      </c>
      <c r="UV63" t="s">
        <v>1900</v>
      </c>
      <c r="UW63" t="s">
        <v>1900</v>
      </c>
      <c r="UX63" t="s">
        <v>1900</v>
      </c>
      <c r="UY63" t="s">
        <v>1900</v>
      </c>
      <c r="UZ63" t="s">
        <v>1900</v>
      </c>
      <c r="VA63" t="s">
        <v>1900</v>
      </c>
      <c r="VB63" t="s">
        <v>1900</v>
      </c>
      <c r="VC63" t="s">
        <v>1900</v>
      </c>
      <c r="VD63" t="s">
        <v>1900</v>
      </c>
      <c r="VE63" t="s">
        <v>1900</v>
      </c>
      <c r="VF63" t="s">
        <v>1900</v>
      </c>
      <c r="VG63" t="s">
        <v>1900</v>
      </c>
      <c r="VH63" t="s">
        <v>1900</v>
      </c>
      <c r="VI63" t="s">
        <v>1900</v>
      </c>
      <c r="VJ63" t="s">
        <v>1900</v>
      </c>
      <c r="VK63" t="s">
        <v>1900</v>
      </c>
      <c r="VL63" t="s">
        <v>1900</v>
      </c>
      <c r="VM63" t="s">
        <v>1900</v>
      </c>
      <c r="VN63" t="s">
        <v>1900</v>
      </c>
      <c r="VO63" t="s">
        <v>1900</v>
      </c>
      <c r="VP63" t="s">
        <v>1900</v>
      </c>
      <c r="VQ63" t="s">
        <v>1900</v>
      </c>
      <c r="VR63" t="s">
        <v>1900</v>
      </c>
      <c r="VS63" t="s">
        <v>1900</v>
      </c>
      <c r="VT63" t="s">
        <v>1900</v>
      </c>
      <c r="VU63" t="s">
        <v>1900</v>
      </c>
      <c r="VV63" t="s">
        <v>1900</v>
      </c>
      <c r="VW63" t="s">
        <v>1900</v>
      </c>
      <c r="VX63" t="s">
        <v>1900</v>
      </c>
      <c r="VY63" t="s">
        <v>1900</v>
      </c>
      <c r="VZ63" t="s">
        <v>1900</v>
      </c>
      <c r="WA63">
        <v>510272.485132115</v>
      </c>
      <c r="WB63">
        <v>395731.882799606</v>
      </c>
      <c r="WC63">
        <v>648682.6624832409</v>
      </c>
      <c r="WD63">
        <v>720023.598975277</v>
      </c>
      <c r="WE63">
        <v>469057.995489848</v>
      </c>
      <c r="WF63" t="s">
        <v>1900</v>
      </c>
      <c r="WG63" t="s">
        <v>1900</v>
      </c>
      <c r="WH63" t="s">
        <v>1900</v>
      </c>
      <c r="WI63" t="s">
        <v>1900</v>
      </c>
      <c r="WJ63" t="s">
        <v>1900</v>
      </c>
      <c r="WK63" t="s">
        <v>1900</v>
      </c>
      <c r="WL63" t="s">
        <v>1900</v>
      </c>
      <c r="WM63" t="s">
        <v>1900</v>
      </c>
      <c r="WN63" t="s">
        <v>1900</v>
      </c>
      <c r="WO63" t="s">
        <v>1900</v>
      </c>
      <c r="WP63" t="s">
        <v>1900</v>
      </c>
      <c r="WQ63" t="s">
        <v>1900</v>
      </c>
      <c r="WR63" t="s">
        <v>1900</v>
      </c>
      <c r="WS63" t="s">
        <v>1900</v>
      </c>
      <c r="WT63" t="s">
        <v>1900</v>
      </c>
      <c r="WU63" t="s">
        <v>1900</v>
      </c>
      <c r="WV63" t="s">
        <v>1900</v>
      </c>
      <c r="WW63" t="s">
        <v>1900</v>
      </c>
      <c r="WX63" t="s">
        <v>1900</v>
      </c>
      <c r="WY63" t="s">
        <v>1900</v>
      </c>
      <c r="WZ63" t="s">
        <v>1900</v>
      </c>
      <c r="XA63" t="s">
        <v>1900</v>
      </c>
      <c r="XB63" t="s">
        <v>1900</v>
      </c>
      <c r="XC63" t="s">
        <v>1900</v>
      </c>
      <c r="XD63" t="s">
        <v>1900</v>
      </c>
      <c r="XE63" t="s">
        <v>1900</v>
      </c>
      <c r="XF63" t="s">
        <v>1900</v>
      </c>
      <c r="XG63" t="s">
        <v>1900</v>
      </c>
      <c r="XH63" t="s">
        <v>1900</v>
      </c>
      <c r="XI63" t="s">
        <v>1900</v>
      </c>
      <c r="XJ63">
        <v>0</v>
      </c>
      <c r="XK63">
        <v>0</v>
      </c>
      <c r="XL63">
        <v>0</v>
      </c>
      <c r="XM63">
        <v>0</v>
      </c>
      <c r="XN63">
        <v>0</v>
      </c>
      <c r="XO63" t="s">
        <v>1900</v>
      </c>
      <c r="XP63" t="s">
        <v>1900</v>
      </c>
      <c r="XQ63" t="s">
        <v>1900</v>
      </c>
      <c r="XR63" t="s">
        <v>1900</v>
      </c>
      <c r="XS63" t="s">
        <v>1900</v>
      </c>
      <c r="XT63" t="s">
        <v>1900</v>
      </c>
      <c r="XU63" t="s">
        <v>1900</v>
      </c>
      <c r="XV63" t="s">
        <v>1900</v>
      </c>
      <c r="XW63" t="s">
        <v>1900</v>
      </c>
      <c r="XX63" t="s">
        <v>1900</v>
      </c>
      <c r="XY63">
        <v>0</v>
      </c>
      <c r="XZ63">
        <v>0</v>
      </c>
      <c r="YA63">
        <v>0</v>
      </c>
      <c r="YB63">
        <v>0</v>
      </c>
      <c r="YC63">
        <v>0</v>
      </c>
      <c r="YD63" t="s">
        <v>1900</v>
      </c>
      <c r="YE63" t="s">
        <v>1900</v>
      </c>
      <c r="YF63" t="s">
        <v>1900</v>
      </c>
      <c r="YG63" t="s">
        <v>1900</v>
      </c>
      <c r="YH63" t="s">
        <v>1900</v>
      </c>
      <c r="YI63" t="s">
        <v>1900</v>
      </c>
      <c r="YJ63" t="s">
        <v>1900</v>
      </c>
      <c r="YK63" t="s">
        <v>1900</v>
      </c>
      <c r="YL63" t="s">
        <v>1900</v>
      </c>
      <c r="YM63" t="s">
        <v>1900</v>
      </c>
      <c r="YN63" t="s">
        <v>1900</v>
      </c>
      <c r="YO63" t="s">
        <v>1900</v>
      </c>
      <c r="YP63" t="s">
        <v>1900</v>
      </c>
      <c r="YQ63" t="s">
        <v>1900</v>
      </c>
      <c r="YR63" t="s">
        <v>1900</v>
      </c>
      <c r="YS63" t="s">
        <v>1900</v>
      </c>
      <c r="YT63" t="s">
        <v>1900</v>
      </c>
      <c r="YU63" t="s">
        <v>1900</v>
      </c>
      <c r="YV63" t="s">
        <v>1900</v>
      </c>
      <c r="YW63" t="s">
        <v>1900</v>
      </c>
      <c r="YX63" t="s">
        <v>1900</v>
      </c>
      <c r="YY63" t="s">
        <v>1900</v>
      </c>
      <c r="YZ63" t="s">
        <v>1900</v>
      </c>
      <c r="ZA63" t="s">
        <v>1900</v>
      </c>
      <c r="ZB63" t="s">
        <v>1900</v>
      </c>
      <c r="ZC63" t="s">
        <v>1900</v>
      </c>
      <c r="ZD63" t="s">
        <v>1900</v>
      </c>
      <c r="ZE63" t="s">
        <v>1900</v>
      </c>
      <c r="ZF63" t="s">
        <v>1900</v>
      </c>
      <c r="ZG63" t="s">
        <v>1900</v>
      </c>
      <c r="ZH63" t="s">
        <v>1900</v>
      </c>
      <c r="ZI63" t="s">
        <v>1900</v>
      </c>
      <c r="ZJ63" t="s">
        <v>1900</v>
      </c>
      <c r="ZK63" t="s">
        <v>1900</v>
      </c>
      <c r="ZL63" t="s">
        <v>1900</v>
      </c>
      <c r="ZM63" t="s">
        <v>1900</v>
      </c>
      <c r="ZN63" t="s">
        <v>1900</v>
      </c>
      <c r="ZO63" t="s">
        <v>1900</v>
      </c>
      <c r="ZP63" t="s">
        <v>1900</v>
      </c>
      <c r="ZQ63" t="s">
        <v>1900</v>
      </c>
      <c r="ZR63" t="s">
        <v>1900</v>
      </c>
      <c r="ZS63" t="s">
        <v>1900</v>
      </c>
      <c r="ZT63" t="s">
        <v>1900</v>
      </c>
      <c r="ZU63" t="s">
        <v>1900</v>
      </c>
      <c r="ZV63" t="s">
        <v>1900</v>
      </c>
      <c r="ZW63" t="s">
        <v>1900</v>
      </c>
      <c r="ZX63" t="s">
        <v>1900</v>
      </c>
      <c r="ZY63" t="s">
        <v>1900</v>
      </c>
      <c r="ZZ63" t="s">
        <v>1900</v>
      </c>
      <c r="AAA63" t="s">
        <v>1900</v>
      </c>
      <c r="AAB63" t="s">
        <v>1900</v>
      </c>
      <c r="AAC63" t="s">
        <v>1900</v>
      </c>
      <c r="AAD63" t="s">
        <v>1900</v>
      </c>
      <c r="AAE63" t="s">
        <v>1900</v>
      </c>
      <c r="AAF63" t="s">
        <v>1900</v>
      </c>
      <c r="AAG63" t="s">
        <v>1900</v>
      </c>
      <c r="AAH63" t="s">
        <v>1900</v>
      </c>
      <c r="AAI63" t="s">
        <v>1900</v>
      </c>
      <c r="AAJ63" t="s">
        <v>1900</v>
      </c>
      <c r="AAK63" t="s">
        <v>1900</v>
      </c>
      <c r="AAL63" t="s">
        <v>1900</v>
      </c>
      <c r="AAM63" t="s">
        <v>1900</v>
      </c>
      <c r="AAN63" t="s">
        <v>1900</v>
      </c>
      <c r="AAO63" t="s">
        <v>1900</v>
      </c>
      <c r="AAP63" t="s">
        <v>1900</v>
      </c>
      <c r="AAQ63" t="s">
        <v>1900</v>
      </c>
      <c r="AAR63" t="s">
        <v>1900</v>
      </c>
      <c r="AAS63" t="s">
        <v>1900</v>
      </c>
      <c r="AAT63" t="s">
        <v>1900</v>
      </c>
      <c r="AAU63" t="s">
        <v>1900</v>
      </c>
      <c r="AAV63" t="s">
        <v>1900</v>
      </c>
      <c r="AAW63" t="s">
        <v>1900</v>
      </c>
      <c r="AAX63" t="s">
        <v>1900</v>
      </c>
      <c r="AAY63" t="s">
        <v>1900</v>
      </c>
      <c r="AAZ63" t="s">
        <v>1900</v>
      </c>
      <c r="ABA63" t="s">
        <v>1900</v>
      </c>
      <c r="ABB63" t="s">
        <v>1900</v>
      </c>
      <c r="ABC63" t="s">
        <v>1900</v>
      </c>
      <c r="ABD63" t="s">
        <v>1900</v>
      </c>
      <c r="ABE63" t="s">
        <v>1900</v>
      </c>
      <c r="ABF63" t="s">
        <v>1900</v>
      </c>
      <c r="ABG63" t="s">
        <v>1900</v>
      </c>
      <c r="ABH63" t="s">
        <v>1900</v>
      </c>
      <c r="ABI63" t="s">
        <v>1900</v>
      </c>
      <c r="ABJ63" t="s">
        <v>1900</v>
      </c>
      <c r="ABK63" t="s">
        <v>1900</v>
      </c>
      <c r="ABL63" t="s">
        <v>1900</v>
      </c>
      <c r="ABM63" t="s">
        <v>1900</v>
      </c>
      <c r="ABN63" t="s">
        <v>1900</v>
      </c>
      <c r="ABO63" t="s">
        <v>1900</v>
      </c>
      <c r="ABP63" t="s">
        <v>1900</v>
      </c>
      <c r="ABQ63" t="s">
        <v>1900</v>
      </c>
      <c r="ABR63" t="s">
        <v>1900</v>
      </c>
      <c r="ABS63" t="s">
        <v>1900</v>
      </c>
      <c r="ABT63" t="s">
        <v>1900</v>
      </c>
      <c r="ABU63" t="s">
        <v>1900</v>
      </c>
      <c r="ABV63" t="s">
        <v>1900</v>
      </c>
      <c r="ABW63" t="s">
        <v>1900</v>
      </c>
      <c r="ABX63" t="s">
        <v>1900</v>
      </c>
      <c r="ABY63" t="s">
        <v>1900</v>
      </c>
      <c r="ABZ63" t="s">
        <v>1900</v>
      </c>
      <c r="ACA63" t="s">
        <v>1900</v>
      </c>
      <c r="ACB63" t="s">
        <v>1900</v>
      </c>
      <c r="ACC63" t="s">
        <v>1900</v>
      </c>
      <c r="ACD63" t="s">
        <v>1900</v>
      </c>
      <c r="ACE63">
        <v>-511.353</v>
      </c>
      <c r="ACF63">
        <v>10.942</v>
      </c>
      <c r="ACG63">
        <v>11.253</v>
      </c>
      <c r="ACH63">
        <v>11.441</v>
      </c>
      <c r="ACI63">
        <v>4.252</v>
      </c>
      <c r="ACJ63">
        <v>-62.203</v>
      </c>
      <c r="ACK63">
        <v>8.01</v>
      </c>
      <c r="ACL63">
        <v>5.995</v>
      </c>
      <c r="ACM63">
        <v>7.741</v>
      </c>
      <c r="ACN63">
        <v>3.717</v>
      </c>
      <c r="ACO63">
        <v>-27.874</v>
      </c>
      <c r="ACP63">
        <v>3.545</v>
      </c>
      <c r="ACQ63">
        <v>2.807</v>
      </c>
      <c r="ACR63">
        <v>2.617</v>
      </c>
      <c r="ACS63">
        <v>1.052</v>
      </c>
      <c r="ACT63">
        <v>-511.353</v>
      </c>
      <c r="ACU63">
        <v>8.207000000000001</v>
      </c>
      <c r="ACV63">
        <v>8.439</v>
      </c>
      <c r="ACW63">
        <v>8.581</v>
      </c>
      <c r="ACX63">
        <v>3.189</v>
      </c>
      <c r="ACY63">
        <v>-62.203</v>
      </c>
      <c r="ACZ63">
        <v>6.685</v>
      </c>
      <c r="ADA63">
        <v>4.813</v>
      </c>
      <c r="ADB63">
        <v>6.295</v>
      </c>
      <c r="ADC63">
        <v>3.286</v>
      </c>
      <c r="ADD63">
        <v>-27.874</v>
      </c>
      <c r="ADE63">
        <v>2.659</v>
      </c>
      <c r="ADF63">
        <v>2.105</v>
      </c>
      <c r="ADG63">
        <v>1.963</v>
      </c>
      <c r="ADH63">
        <v>0.789</v>
      </c>
      <c r="ADI63" t="s">
        <v>1901</v>
      </c>
      <c r="ADJ63">
        <v>9.49</v>
      </c>
      <c r="ADK63">
        <v>7.679</v>
      </c>
      <c r="ADL63">
        <v>7.33</v>
      </c>
      <c r="ADM63">
        <v>4.137</v>
      </c>
      <c r="ADN63">
        <v>63.264</v>
      </c>
      <c r="ADO63">
        <v>86.946</v>
      </c>
      <c r="ADP63">
        <v>57.851</v>
      </c>
      <c r="ADQ63">
        <v>58.758</v>
      </c>
      <c r="ADR63">
        <v>57.214</v>
      </c>
      <c r="ADS63">
        <v>-106.501106536</v>
      </c>
      <c r="ADT63">
        <v>14.242170763</v>
      </c>
      <c r="ADU63">
        <v>9.693783193</v>
      </c>
      <c r="ADV63">
        <v>9.908787317</v>
      </c>
      <c r="ADW63">
        <v>8.871665370000001</v>
      </c>
      <c r="ADX63" t="s">
        <v>1901</v>
      </c>
      <c r="ADY63">
        <v>14.242</v>
      </c>
      <c r="ADZ63">
        <v>40.356</v>
      </c>
      <c r="AEA63">
        <v>39.079</v>
      </c>
      <c r="AEB63">
        <v>41.418</v>
      </c>
      <c r="AEC63" t="s">
        <v>1901</v>
      </c>
      <c r="AED63">
        <v>14.242</v>
      </c>
      <c r="AEE63">
        <v>9.694000000000001</v>
      </c>
      <c r="AEF63">
        <v>9.909000000000001</v>
      </c>
      <c r="AEG63">
        <v>8.872</v>
      </c>
      <c r="AEH63" t="s">
        <v>1900</v>
      </c>
      <c r="AEI63" t="s">
        <v>1900</v>
      </c>
      <c r="AEJ63">
        <v>36.422</v>
      </c>
      <c r="AEK63">
        <v>34.667</v>
      </c>
      <c r="AEL63">
        <v>35.649</v>
      </c>
      <c r="AEM63">
        <v>-51.57410937</v>
      </c>
      <c r="AEN63">
        <v>16.607429188</v>
      </c>
      <c r="AEO63">
        <v>10.734347574</v>
      </c>
      <c r="AEP63">
        <v>10.99861687</v>
      </c>
      <c r="AEQ63">
        <v>9.735353341</v>
      </c>
      <c r="AER63">
        <v>0.372654466</v>
      </c>
      <c r="AES63">
        <v>1.195893389</v>
      </c>
      <c r="AET63">
        <v>1.201292671</v>
      </c>
      <c r="AEU63">
        <v>1.202844179</v>
      </c>
      <c r="AEV63">
        <v>1.183515776</v>
      </c>
      <c r="AEW63" t="s">
        <v>1900</v>
      </c>
      <c r="AEX63" t="s">
        <v>1900</v>
      </c>
      <c r="AEY63" t="s">
        <v>1900</v>
      </c>
      <c r="AEZ63" t="s">
        <v>1900</v>
      </c>
      <c r="AFA63" t="s">
        <v>1900</v>
      </c>
      <c r="AFB63" t="s">
        <v>1900</v>
      </c>
      <c r="AFC63" t="s">
        <v>1900</v>
      </c>
      <c r="AFD63" t="s">
        <v>1900</v>
      </c>
      <c r="AFE63" t="s">
        <v>1900</v>
      </c>
      <c r="AFF63" t="s">
        <v>1900</v>
      </c>
      <c r="AFG63">
        <v>0.585</v>
      </c>
      <c r="AFH63">
        <v>0.5580000000000001</v>
      </c>
      <c r="AFI63">
        <v>0.616</v>
      </c>
      <c r="AFJ63">
        <v>0.789</v>
      </c>
      <c r="AFK63">
        <v>0.417</v>
      </c>
      <c r="AFL63">
        <v>-9.388</v>
      </c>
      <c r="AFM63">
        <v>2.936</v>
      </c>
      <c r="AFN63">
        <v>4.718</v>
      </c>
      <c r="AFO63">
        <v>4</v>
      </c>
      <c r="AFP63">
        <v>1.857</v>
      </c>
      <c r="AFQ63" t="s">
        <v>1901</v>
      </c>
      <c r="AFR63" t="s">
        <v>1901</v>
      </c>
      <c r="AFS63">
        <v>55.024</v>
      </c>
      <c r="AFT63">
        <v>50.627</v>
      </c>
      <c r="AFU63">
        <v>13.686</v>
      </c>
      <c r="AFV63">
        <v>189.832</v>
      </c>
      <c r="AFW63">
        <v>273.281</v>
      </c>
      <c r="AFX63">
        <v>278.362</v>
      </c>
      <c r="AFY63">
        <v>252.849</v>
      </c>
      <c r="AFZ63">
        <v>317.394</v>
      </c>
      <c r="AGA63">
        <v>0</v>
      </c>
      <c r="AGB63">
        <v>0</v>
      </c>
      <c r="AGC63" t="s">
        <v>1900</v>
      </c>
      <c r="AGD63" t="s">
        <v>1900</v>
      </c>
      <c r="AGE63">
        <v>0</v>
      </c>
      <c r="AGF63" t="s">
        <v>1900</v>
      </c>
      <c r="AGG63" t="s">
        <v>1900</v>
      </c>
      <c r="AGH63" t="s">
        <v>1900</v>
      </c>
      <c r="AGI63" t="s">
        <v>1900</v>
      </c>
      <c r="AGJ63" t="s">
        <v>1900</v>
      </c>
      <c r="AGK63" t="s">
        <v>1900</v>
      </c>
      <c r="AGL63" t="s">
        <v>1900</v>
      </c>
      <c r="AGM63" t="s">
        <v>1900</v>
      </c>
      <c r="AGN63" t="s">
        <v>1900</v>
      </c>
      <c r="AGO63" t="s">
        <v>1900</v>
      </c>
      <c r="AGP63" t="s">
        <v>1900</v>
      </c>
      <c r="AGQ63" t="s">
        <v>1900</v>
      </c>
      <c r="AGR63" t="s">
        <v>1900</v>
      </c>
      <c r="AGS63" t="s">
        <v>1900</v>
      </c>
      <c r="AGT63" t="s">
        <v>1900</v>
      </c>
      <c r="AGU63">
        <v>0</v>
      </c>
      <c r="AGV63">
        <v>0</v>
      </c>
      <c r="AGW63">
        <v>0</v>
      </c>
      <c r="AGX63">
        <v>0</v>
      </c>
      <c r="AGY63">
        <v>0</v>
      </c>
      <c r="AGZ63">
        <v>0.231</v>
      </c>
      <c r="AHA63">
        <v>0.982</v>
      </c>
      <c r="AHB63">
        <v>0.771</v>
      </c>
      <c r="AHC63">
        <v>0.586</v>
      </c>
      <c r="AHD63">
        <v>0.74</v>
      </c>
      <c r="AHE63">
        <v>0.231</v>
      </c>
      <c r="AHF63">
        <v>0.982</v>
      </c>
      <c r="AHG63">
        <v>0.755</v>
      </c>
      <c r="AHH63">
        <v>0.573</v>
      </c>
      <c r="AHI63">
        <v>0.6919999999999999</v>
      </c>
      <c r="AHJ63">
        <v>0.156</v>
      </c>
      <c r="AHK63">
        <v>0.9389999999999999</v>
      </c>
      <c r="AHL63">
        <v>0.725</v>
      </c>
      <c r="AHM63">
        <v>1.023</v>
      </c>
      <c r="AHN63">
        <v>0.6830000000000001</v>
      </c>
      <c r="AHO63">
        <v>5.451</v>
      </c>
      <c r="AHP63">
        <v>32.4</v>
      </c>
      <c r="AHQ63">
        <v>24.943</v>
      </c>
      <c r="AHR63">
        <v>22.877</v>
      </c>
      <c r="AHS63">
        <v>24.732</v>
      </c>
      <c r="AHT63">
        <v>5.765</v>
      </c>
      <c r="AHU63">
        <v>47.928</v>
      </c>
      <c r="AHV63">
        <v>33.232</v>
      </c>
      <c r="AHW63">
        <v>29.662</v>
      </c>
      <c r="AHX63">
        <v>32.859</v>
      </c>
      <c r="AHY63" t="s">
        <v>1901</v>
      </c>
      <c r="AHZ63">
        <v>169.97</v>
      </c>
      <c r="AIA63">
        <v>206.985</v>
      </c>
      <c r="AIB63">
        <v>223.449</v>
      </c>
      <c r="AIC63">
        <v>232.566</v>
      </c>
      <c r="AID63">
        <v>14.651081439</v>
      </c>
      <c r="AIE63">
        <v>23.068512207</v>
      </c>
      <c r="AIF63">
        <v>19.864364326</v>
      </c>
      <c r="AIG63">
        <v>19.659661074</v>
      </c>
      <c r="AIH63">
        <v>20.539811427</v>
      </c>
      <c r="AII63">
        <v>1.225871394</v>
      </c>
      <c r="AIJ63">
        <v>4.157509866</v>
      </c>
      <c r="AIK63">
        <v>2.43406979</v>
      </c>
      <c r="AIL63">
        <v>6.326534212</v>
      </c>
      <c r="AIM63">
        <v>4.60895296</v>
      </c>
      <c r="AIN63">
        <v>20.133478204</v>
      </c>
      <c r="AIO63">
        <v>12.530575421</v>
      </c>
      <c r="AIP63">
        <v>23.429325818</v>
      </c>
      <c r="AIQ63">
        <v>26.00572721</v>
      </c>
      <c r="AIR63">
        <v>17.748255676</v>
      </c>
      <c r="AIS63">
        <v>0</v>
      </c>
      <c r="AIT63">
        <v>0</v>
      </c>
      <c r="AIU63">
        <v>4.311874023</v>
      </c>
      <c r="AIV63">
        <v>4.789371304</v>
      </c>
      <c r="AIW63">
        <v>17.077863916</v>
      </c>
      <c r="AIX63">
        <v>-47.0970551884984</v>
      </c>
      <c r="AIY63">
        <v>11.1965302348652</v>
      </c>
      <c r="AIZ63">
        <v>9.713627132918241</v>
      </c>
      <c r="AJA63">
        <v>9.058260904626851</v>
      </c>
      <c r="AJB63">
        <v>1.98515707104444</v>
      </c>
      <c r="AJC63">
        <v>40.0286549038864</v>
      </c>
      <c r="AJD63">
        <v>117.97947749774</v>
      </c>
      <c r="AJE63">
        <v>126.489944658842</v>
      </c>
      <c r="AJF63">
        <v>123.584031389894</v>
      </c>
      <c r="AJG63">
        <v>47.982303086893</v>
      </c>
      <c r="AJH63">
        <v>89.489</v>
      </c>
      <c r="AJI63">
        <v>35.728</v>
      </c>
      <c r="AJJ63">
        <v>30.932</v>
      </c>
      <c r="AJK63">
        <v>26.594</v>
      </c>
      <c r="AJL63">
        <v>58.336</v>
      </c>
      <c r="AJM63">
        <v>35.8213527879301</v>
      </c>
      <c r="AJN63">
        <v>42.1517478221865</v>
      </c>
      <c r="AJO63">
        <v>39.1256541205805</v>
      </c>
      <c r="AJP63">
        <v>32.8665035971999</v>
      </c>
      <c r="AJQ63">
        <v>27.9909179093707</v>
      </c>
      <c r="AJR63">
        <v>9.21028180679572</v>
      </c>
      <c r="AJS63">
        <v>102.322559721107</v>
      </c>
      <c r="AJT63">
        <v>86.3233289019024</v>
      </c>
      <c r="AJU63">
        <v>79.17359316468711</v>
      </c>
      <c r="AJV63">
        <v>46.6885624787086</v>
      </c>
      <c r="AJW63">
        <v>21.107503779909</v>
      </c>
      <c r="AJX63">
        <v>89.55989791838169</v>
      </c>
      <c r="AJY63">
        <v>100.1044203841</v>
      </c>
      <c r="AJZ63">
        <v>89.2412671043372</v>
      </c>
      <c r="AKA63">
        <v>45.8096157925123</v>
      </c>
      <c r="AKB63">
        <v>168.963183613588</v>
      </c>
      <c r="AKC63">
        <v>315.813016968001</v>
      </c>
      <c r="AKD63">
        <v>346.08478895767</v>
      </c>
      <c r="AKE63">
        <v>346.088956836834</v>
      </c>
      <c r="AKF63">
        <v>188.774283602167</v>
      </c>
      <c r="AKG63">
        <v>0</v>
      </c>
      <c r="AKH63">
        <v>0</v>
      </c>
      <c r="AKI63">
        <v>4.311874023</v>
      </c>
      <c r="AKJ63">
        <v>4.789371304</v>
      </c>
      <c r="AKK63">
        <v>17.077863916</v>
      </c>
      <c r="AKL63">
        <v>0</v>
      </c>
      <c r="AKM63">
        <v>0</v>
      </c>
      <c r="AKN63">
        <v>1.817392844</v>
      </c>
      <c r="AKO63">
        <v>1.975230423</v>
      </c>
      <c r="AKP63">
        <v>7.306856403</v>
      </c>
      <c r="AKQ63">
        <v>0</v>
      </c>
      <c r="AKR63">
        <v>0</v>
      </c>
      <c r="AKS63">
        <v>0.664235842</v>
      </c>
      <c r="AKT63">
        <v>0.70533004</v>
      </c>
      <c r="AKU63">
        <v>1.857243438</v>
      </c>
      <c r="AKV63">
        <v>301.258604755</v>
      </c>
      <c r="AKW63">
        <v>118.331912973</v>
      </c>
      <c r="AKX63">
        <v>133.168424155</v>
      </c>
      <c r="AKY63">
        <v>134.661150774</v>
      </c>
      <c r="AKZ63">
        <v>198.024196801</v>
      </c>
      <c r="ALA63">
        <v>71.37044057599999</v>
      </c>
      <c r="ALB63">
        <v>44.205705635</v>
      </c>
      <c r="ALC63">
        <v>48.671502505</v>
      </c>
      <c r="ALD63">
        <v>48.085810039</v>
      </c>
      <c r="ALE63">
        <v>50.333429289</v>
      </c>
      <c r="ALF63">
        <v>1.0984796</v>
      </c>
      <c r="ALG63">
        <v>0.561474424</v>
      </c>
      <c r="ALH63">
        <v>0.28793835</v>
      </c>
      <c r="ALI63">
        <v>0.398642509</v>
      </c>
      <c r="ALJ63">
        <v>0.987234849</v>
      </c>
      <c r="ALK63">
        <v>0.26023812</v>
      </c>
      <c r="ALL63">
        <v>0.20975215</v>
      </c>
      <c r="ALM63">
        <v>0.105238101</v>
      </c>
      <c r="ALN63">
        <v>0.142350246</v>
      </c>
      <c r="ALO63">
        <v>0.250933554</v>
      </c>
      <c r="ALP63">
        <v>52.730983096</v>
      </c>
      <c r="ALQ63">
        <v>75.91142105199999</v>
      </c>
      <c r="ALR63">
        <v>77.322826746</v>
      </c>
      <c r="ALS63">
        <v>70.23577214399999</v>
      </c>
      <c r="ALT63">
        <v>88.165040842</v>
      </c>
      <c r="ALU63">
        <v>0</v>
      </c>
      <c r="ALV63">
        <v>0</v>
      </c>
      <c r="ALW63" t="s">
        <v>1900</v>
      </c>
      <c r="ALX63" t="s">
        <v>1900</v>
      </c>
      <c r="ALY63">
        <v>0</v>
      </c>
      <c r="ALZ63">
        <v>63.2635618794164</v>
      </c>
      <c r="AMA63">
        <v>86.9458533309993</v>
      </c>
      <c r="AMB63">
        <v>57.8514392132154</v>
      </c>
      <c r="AMC63">
        <v>58.7580436411271</v>
      </c>
      <c r="AMD63">
        <v>57.2144593773857</v>
      </c>
      <c r="AME63">
        <v>81.9703621999229</v>
      </c>
      <c r="AMF63" t="s">
        <v>1901</v>
      </c>
      <c r="AMG63">
        <v>73.8643233413988</v>
      </c>
      <c r="AMH63">
        <v>72.7871441168741</v>
      </c>
      <c r="AMI63">
        <v>68.04843507899319</v>
      </c>
      <c r="AMJ63">
        <v>172.209297133708</v>
      </c>
      <c r="AMK63">
        <v>666.0401138089489</v>
      </c>
      <c r="AML63">
        <v>137.256025195893</v>
      </c>
      <c r="AMM63">
        <v>142.471523731404</v>
      </c>
      <c r="AMN63">
        <v>133.723820114931</v>
      </c>
      <c r="AMO63">
        <v>0.372654466150315</v>
      </c>
      <c r="AMP63">
        <v>1.19589338889497</v>
      </c>
      <c r="AMQ63">
        <v>1.2012926706668</v>
      </c>
      <c r="AMR63">
        <v>1.20284417946385</v>
      </c>
      <c r="AMS63">
        <v>1.18351578075466</v>
      </c>
      <c r="AMT63">
        <v>0.372654466150315</v>
      </c>
      <c r="AMU63">
        <v>1.19589338889497</v>
      </c>
      <c r="AMV63">
        <v>1.2012926706668</v>
      </c>
      <c r="AMW63">
        <v>1.20284417946385</v>
      </c>
      <c r="AMX63">
        <v>1.183515776976</v>
      </c>
      <c r="AMY63">
        <v>0.372654466150315</v>
      </c>
      <c r="AMZ63">
        <v>1.19589338889497</v>
      </c>
      <c r="ANA63">
        <v>1.2012926706668</v>
      </c>
      <c r="ANB63">
        <v>1.20284417946385</v>
      </c>
      <c r="ANC63">
        <v>1.18351577628255</v>
      </c>
      <c r="AND63" t="s">
        <v>1901</v>
      </c>
      <c r="ANE63">
        <v>14.2421707633257</v>
      </c>
      <c r="ANF63">
        <v>9.69378319330151</v>
      </c>
      <c r="ANG63">
        <v>9.90878731657334</v>
      </c>
      <c r="ANH63">
        <v>8.871665369943219</v>
      </c>
      <c r="ANI63" t="s">
        <v>1901</v>
      </c>
      <c r="ANJ63">
        <v>39.5922407323149</v>
      </c>
      <c r="ANK63">
        <v>12.3769563200058</v>
      </c>
      <c r="ANL63">
        <v>12.2746144313433</v>
      </c>
      <c r="ANM63">
        <v>10.551579994615</v>
      </c>
      <c r="ANN63">
        <v>-51.5741093703451</v>
      </c>
      <c r="ANO63">
        <v>16.6074291876257</v>
      </c>
      <c r="ANP63">
        <v>10.734347574377</v>
      </c>
      <c r="ANQ63">
        <v>10.9986168699849</v>
      </c>
      <c r="ANR63">
        <v>9.735353340932321</v>
      </c>
      <c r="ANS63">
        <v>-62.3128146962211</v>
      </c>
      <c r="ANT63">
        <v>7.95413930212558</v>
      </c>
      <c r="ANU63">
        <v>5.97051089277696</v>
      </c>
      <c r="ANV63">
        <v>7.82179455810878</v>
      </c>
      <c r="ANW63">
        <v>3.69950990239578</v>
      </c>
      <c r="ANX63">
        <v>63.2635618794164</v>
      </c>
      <c r="ANY63">
        <v>86.9458533309993</v>
      </c>
      <c r="ANZ63">
        <v>57.8514392132154</v>
      </c>
      <c r="AOA63">
        <v>58.7580436411271</v>
      </c>
      <c r="AOB63">
        <v>57.2144593773857</v>
      </c>
      <c r="AOC63">
        <v>30.6359432841502</v>
      </c>
      <c r="AOD63">
        <v>101.385324354522</v>
      </c>
      <c r="AOE63">
        <v>64.0614137751413</v>
      </c>
      <c r="AOF63">
        <v>65.2206157415132</v>
      </c>
      <c r="AOG63">
        <v>62.7844891598784</v>
      </c>
      <c r="AOH63">
        <v>14.9876159965806</v>
      </c>
      <c r="AOI63">
        <v>32.4806952071445</v>
      </c>
      <c r="AOJ63">
        <v>21.1440248425976</v>
      </c>
      <c r="AOK63">
        <v>20.9817613215109</v>
      </c>
      <c r="AOL63">
        <v>14.5426669665681</v>
      </c>
      <c r="AOM63">
        <v>-289.905913540421</v>
      </c>
      <c r="AON63">
        <v>109.100741124245</v>
      </c>
      <c r="AOO63">
        <v>22.9990846955347</v>
      </c>
      <c r="AOP63">
        <v>24.0259875897995</v>
      </c>
      <c r="AOQ63">
        <v>20.7351952104448</v>
      </c>
      <c r="AOR63">
        <v>-62.7345533849685</v>
      </c>
      <c r="AOS63">
        <v>19.5893388894969</v>
      </c>
      <c r="AOT63">
        <v>20.1292670666799</v>
      </c>
      <c r="AOU63">
        <v>20.2844179463849</v>
      </c>
      <c r="AOV63">
        <v>18.3515776975995</v>
      </c>
      <c r="AOW63">
        <v>-25.2309171432723</v>
      </c>
      <c r="AOX63">
        <v>5.32050224282237</v>
      </c>
      <c r="AOY63">
        <v>3.54296445249198</v>
      </c>
      <c r="AOZ63">
        <v>3.53830382324771</v>
      </c>
      <c r="APA63">
        <v>2.25498372820271</v>
      </c>
      <c r="APB63">
        <v>-117.658350600172</v>
      </c>
      <c r="APC63">
        <v>7.1176761431322</v>
      </c>
      <c r="APD63">
        <v>5.75952484232836</v>
      </c>
      <c r="APE63">
        <v>5.4972282417845</v>
      </c>
      <c r="APF63">
        <v>3.10295156080298</v>
      </c>
      <c r="APG63">
        <v>-152.449487952077</v>
      </c>
      <c r="APH63">
        <v>19.7866429209798</v>
      </c>
      <c r="API63">
        <v>7.35372206867031</v>
      </c>
      <c r="APJ63">
        <v>6.8097492612578</v>
      </c>
      <c r="APK63">
        <v>3.69051809868225</v>
      </c>
      <c r="APL63">
        <v>-320.276969187841</v>
      </c>
      <c r="APM63">
        <v>54.5242544274023</v>
      </c>
      <c r="APN63">
        <v>13.6648197110783</v>
      </c>
      <c r="APO63">
        <v>13.329213080848</v>
      </c>
      <c r="APP63">
        <v>7.25233692422462</v>
      </c>
      <c r="APQ63">
        <v>-69.3067360238207</v>
      </c>
      <c r="APR63">
        <v>9.78998022075011</v>
      </c>
      <c r="APS63">
        <v>11.9597283554389</v>
      </c>
      <c r="APT63">
        <v>11.2534532875199</v>
      </c>
      <c r="APU63">
        <v>6.41864343225653</v>
      </c>
      <c r="APV63">
        <v>-56.9771041782951</v>
      </c>
      <c r="APW63">
        <v>8.29973916840741</v>
      </c>
      <c r="APX63">
        <v>6.37777225753648</v>
      </c>
      <c r="APY63">
        <v>6.10184731456698</v>
      </c>
      <c r="APZ63">
        <v>3.40503485924513</v>
      </c>
      <c r="AQA63">
        <v>-27.8741525958907</v>
      </c>
      <c r="AQB63">
        <v>2.6589775191247</v>
      </c>
      <c r="AQC63">
        <v>2.10503901033339</v>
      </c>
      <c r="AQD63">
        <v>1.96299134129542</v>
      </c>
      <c r="AQE63">
        <v>0.788702570175584</v>
      </c>
      <c r="AQF63">
        <v>-0.6273455338496851</v>
      </c>
      <c r="AQG63">
        <v>0.195893388894969</v>
      </c>
      <c r="AQH63">
        <v>0.201292670666799</v>
      </c>
      <c r="AQI63">
        <v>0.202844179463849</v>
      </c>
      <c r="AQJ63">
        <v>0.18351577628255</v>
      </c>
      <c r="AQK63">
        <v>1</v>
      </c>
      <c r="AQO63" t="s">
        <v>1902</v>
      </c>
      <c r="AQP63">
        <v>2</v>
      </c>
      <c r="AQQ63">
        <v>0</v>
      </c>
      <c r="AQS63" t="s">
        <v>1905</v>
      </c>
      <c r="AQU63" t="s">
        <v>1906</v>
      </c>
      <c r="AQV63">
        <v>600429.828752794</v>
      </c>
      <c r="AQW63">
        <v>1179794.7749774</v>
      </c>
      <c r="AQX63">
        <v>1011919.56153713</v>
      </c>
      <c r="AQY63">
        <v>-639464.41159207</v>
      </c>
      <c r="AQZ63">
        <v>168028.386509075</v>
      </c>
      <c r="ARA63">
        <v>98093.2883860171</v>
      </c>
      <c r="ARB63">
        <v>2792144.165267324</v>
      </c>
      <c r="ARC63">
        <v>-373342.7366969779</v>
      </c>
      <c r="ARD63">
        <v>-0.1179416463436651</v>
      </c>
      <c r="ARE63">
        <v>-0.1179416463436651</v>
      </c>
      <c r="ARF63">
        <v>-0.1179416463436651</v>
      </c>
      <c r="ARG63">
        <v>-0.1179416463436651</v>
      </c>
      <c r="ARH63" t="s">
        <v>1907</v>
      </c>
      <c r="ARI63" t="s">
        <v>1907</v>
      </c>
      <c r="ARJ63" t="s">
        <v>1224</v>
      </c>
      <c r="ARK63" t="s">
        <v>1562</v>
      </c>
      <c r="ARL63" t="s">
        <v>1909</v>
      </c>
      <c r="ARP63" t="s">
        <v>1907</v>
      </c>
      <c r="ARQ63" t="s">
        <v>1911</v>
      </c>
    </row>
    <row r="64" spans="1:1163">
      <c r="A64">
        <v>100</v>
      </c>
      <c r="B64" t="s">
        <v>1225</v>
      </c>
      <c r="C64" t="s">
        <v>1348</v>
      </c>
      <c r="D64" t="s">
        <v>1418</v>
      </c>
      <c r="E64" s="2">
        <v>31959</v>
      </c>
      <c r="F64" t="s">
        <v>1431</v>
      </c>
      <c r="G64" t="s">
        <v>1433</v>
      </c>
      <c r="H64" t="s">
        <v>1434</v>
      </c>
      <c r="I64" t="s">
        <v>1447</v>
      </c>
      <c r="J64" t="s">
        <v>1482</v>
      </c>
      <c r="L64" t="s">
        <v>1563</v>
      </c>
      <c r="N64" t="s">
        <v>1636</v>
      </c>
      <c r="O64" t="s">
        <v>1660</v>
      </c>
      <c r="P64">
        <v>7490</v>
      </c>
      <c r="Q64">
        <v>7490</v>
      </c>
      <c r="R64" t="s">
        <v>1733</v>
      </c>
      <c r="S64" t="s">
        <v>1816</v>
      </c>
      <c r="T64" t="s">
        <v>1859</v>
      </c>
      <c r="U64" t="s">
        <v>1873</v>
      </c>
      <c r="X64" t="s">
        <v>1886</v>
      </c>
      <c r="Z64" t="s">
        <v>1899</v>
      </c>
      <c r="AA64" s="2">
        <v>45291</v>
      </c>
      <c r="AB64">
        <v>2023</v>
      </c>
      <c r="AC64" t="s">
        <v>1900</v>
      </c>
      <c r="AD64">
        <v>9195582.076864241</v>
      </c>
      <c r="AE64">
        <v>7361960.84961951</v>
      </c>
      <c r="AF64">
        <v>6881919.57942009</v>
      </c>
      <c r="AG64">
        <v>7363227.75272429</v>
      </c>
      <c r="AH64" t="s">
        <v>1900</v>
      </c>
      <c r="AI64">
        <v>8444024.829574579</v>
      </c>
      <c r="AJ64">
        <v>7327791.26841366</v>
      </c>
      <c r="AK64">
        <v>6806686.60399675</v>
      </c>
      <c r="AL64">
        <v>7339982.81069517</v>
      </c>
      <c r="AM64" t="s">
        <v>1900</v>
      </c>
      <c r="AN64">
        <v>2208926.93133926</v>
      </c>
      <c r="AO64">
        <v>1843484.95711803</v>
      </c>
      <c r="AP64">
        <v>1591488.04583788</v>
      </c>
      <c r="AQ64">
        <v>1550006.79877818</v>
      </c>
      <c r="AR64" t="s">
        <v>1900</v>
      </c>
      <c r="AS64">
        <v>6986655.14552498</v>
      </c>
      <c r="AT64">
        <v>5518475.89250147</v>
      </c>
      <c r="AU64">
        <v>5290431.53358221</v>
      </c>
      <c r="AV64">
        <v>5813220.95394611</v>
      </c>
      <c r="AW64" t="s">
        <v>1900</v>
      </c>
      <c r="AX64">
        <v>4707731.95777225</v>
      </c>
      <c r="AY64">
        <v>4498833.44671369</v>
      </c>
      <c r="AZ64">
        <v>4116025.81616879</v>
      </c>
      <c r="BA64">
        <v>5031326.77844107</v>
      </c>
      <c r="BB64" t="s">
        <v>1900</v>
      </c>
      <c r="BC64">
        <v>2278923.18775272</v>
      </c>
      <c r="BD64">
        <v>1019642.44578779</v>
      </c>
      <c r="BE64">
        <v>1174405.71741343</v>
      </c>
      <c r="BF64">
        <v>781894.175505042</v>
      </c>
      <c r="BG64" t="s">
        <v>1900</v>
      </c>
      <c r="BH64">
        <v>-5612.29751873016</v>
      </c>
      <c r="BI64">
        <v>-2284.65610384941</v>
      </c>
      <c r="BJ64">
        <v>-4897.36372947693</v>
      </c>
      <c r="BK64">
        <v>-5764.91250872612</v>
      </c>
      <c r="BL64" t="s">
        <v>1900</v>
      </c>
      <c r="BM64" t="s">
        <v>1900</v>
      </c>
      <c r="BN64" t="s">
        <v>1900</v>
      </c>
      <c r="BO64" t="s">
        <v>1900</v>
      </c>
      <c r="BP64" t="s">
        <v>1900</v>
      </c>
      <c r="BQ64" t="s">
        <v>1900</v>
      </c>
      <c r="BR64">
        <v>5612.29751873016</v>
      </c>
      <c r="BS64">
        <v>2284.65610384941</v>
      </c>
      <c r="BT64">
        <v>4897.36372947693</v>
      </c>
      <c r="BU64">
        <v>5764.91250872612</v>
      </c>
      <c r="BV64" t="s">
        <v>1900</v>
      </c>
      <c r="BW64">
        <v>2273310.89023399</v>
      </c>
      <c r="BX64">
        <v>1017357.78968394</v>
      </c>
      <c r="BY64">
        <v>1169508.35368395</v>
      </c>
      <c r="BZ64">
        <v>776129.262996316</v>
      </c>
      <c r="CA64" t="s">
        <v>1900</v>
      </c>
      <c r="CB64">
        <v>552829.538103104</v>
      </c>
      <c r="CC64">
        <v>224181.080240607</v>
      </c>
      <c r="CD64">
        <v>283305.243108273</v>
      </c>
      <c r="CE64">
        <v>194186.009936333</v>
      </c>
      <c r="CF64" t="s">
        <v>1900</v>
      </c>
      <c r="CG64">
        <v>1720481.35213089</v>
      </c>
      <c r="CH64">
        <v>793176.709443331</v>
      </c>
      <c r="CI64">
        <v>886203.110575676</v>
      </c>
      <c r="CJ64">
        <v>581943.253059983</v>
      </c>
      <c r="CK64" t="s">
        <v>1900</v>
      </c>
      <c r="CL64" t="s">
        <v>1900</v>
      </c>
      <c r="CM64" t="s">
        <v>1900</v>
      </c>
      <c r="CN64" t="s">
        <v>1900</v>
      </c>
      <c r="CO64" t="s">
        <v>1900</v>
      </c>
      <c r="CP64" t="s">
        <v>1900</v>
      </c>
      <c r="CQ64" t="s">
        <v>1900</v>
      </c>
      <c r="CR64" t="s">
        <v>1900</v>
      </c>
      <c r="CS64" t="s">
        <v>1900</v>
      </c>
      <c r="CT64" t="s">
        <v>1900</v>
      </c>
      <c r="CU64" t="s">
        <v>1900</v>
      </c>
      <c r="CV64" t="s">
        <v>1900</v>
      </c>
      <c r="CW64" t="s">
        <v>1900</v>
      </c>
      <c r="CX64" t="s">
        <v>1900</v>
      </c>
      <c r="CY64" t="s">
        <v>1900</v>
      </c>
      <c r="CZ64" t="s">
        <v>1900</v>
      </c>
      <c r="DA64">
        <v>1720481.35213089</v>
      </c>
      <c r="DB64">
        <v>793176.709443331</v>
      </c>
      <c r="DC64">
        <v>886203.110575676</v>
      </c>
      <c r="DD64">
        <v>581943.253059983</v>
      </c>
      <c r="DE64" t="s">
        <v>1900</v>
      </c>
      <c r="DF64" t="s">
        <v>1900</v>
      </c>
      <c r="DG64" t="s">
        <v>1900</v>
      </c>
      <c r="DH64" t="s">
        <v>1900</v>
      </c>
      <c r="DI64" t="s">
        <v>1900</v>
      </c>
      <c r="DJ64" t="s">
        <v>1900</v>
      </c>
      <c r="DK64">
        <v>2208926.93133926</v>
      </c>
      <c r="DL64">
        <v>1843484.95711803</v>
      </c>
      <c r="DM64">
        <v>1591488.04583788</v>
      </c>
      <c r="DN64">
        <v>1550006.79877818</v>
      </c>
      <c r="DO64" t="s">
        <v>1900</v>
      </c>
      <c r="DP64">
        <v>2903491.56805134</v>
      </c>
      <c r="DQ64">
        <v>2654253.09192121</v>
      </c>
      <c r="DR64">
        <v>3100002.92575121</v>
      </c>
      <c r="DS64">
        <v>3276939.22874689</v>
      </c>
      <c r="DT64" t="s">
        <v>1900</v>
      </c>
      <c r="DU64">
        <v>302001.055534363</v>
      </c>
      <c r="DV64">
        <v>197440.364470482</v>
      </c>
      <c r="DW64">
        <v>170688.529336452</v>
      </c>
      <c r="DX64">
        <v>191243.425816298</v>
      </c>
      <c r="DY64" t="s">
        <v>1900</v>
      </c>
      <c r="DZ64">
        <v>1502239.33418655</v>
      </c>
      <c r="EA64">
        <v>1647139.99032199</v>
      </c>
      <c r="EB64">
        <v>845334.361081123</v>
      </c>
      <c r="EC64">
        <v>1563144.12387788</v>
      </c>
      <c r="ED64" t="s">
        <v>1900</v>
      </c>
      <c r="EE64">
        <v>5612.29751873016</v>
      </c>
      <c r="EF64">
        <v>2284.65610384941</v>
      </c>
      <c r="EG64">
        <v>4897.36372947693</v>
      </c>
      <c r="EH64">
        <v>5764.91250872612</v>
      </c>
      <c r="EI64" t="s">
        <v>1900</v>
      </c>
      <c r="EJ64" t="s">
        <v>1900</v>
      </c>
      <c r="EK64" t="s">
        <v>1900</v>
      </c>
      <c r="EL64" t="s">
        <v>1900</v>
      </c>
      <c r="EM64" t="s">
        <v>1900</v>
      </c>
      <c r="EN64" t="s">
        <v>1900</v>
      </c>
      <c r="EO64">
        <v>2022482.40766525</v>
      </c>
      <c r="EP64">
        <v>990617.073913813</v>
      </c>
      <c r="EQ64">
        <v>1056891.63991213</v>
      </c>
      <c r="ER64">
        <v>773186.678876281</v>
      </c>
      <c r="ES64" t="s">
        <v>1900</v>
      </c>
      <c r="ET64">
        <v>5484415.81133842</v>
      </c>
      <c r="EU64">
        <v>3871335.90217948</v>
      </c>
      <c r="EV64">
        <v>4445097.17250109</v>
      </c>
      <c r="EW64">
        <v>4250076.83006823</v>
      </c>
      <c r="EX64" t="s">
        <v>1900</v>
      </c>
      <c r="EY64">
        <v>2580924.24328709</v>
      </c>
      <c r="EZ64">
        <v>1217082.81025827</v>
      </c>
      <c r="FA64">
        <v>1345094.24674988</v>
      </c>
      <c r="FB64">
        <v>973137.60132134</v>
      </c>
      <c r="FC64" t="s">
        <v>1900</v>
      </c>
      <c r="FD64">
        <v>3571947.25304604</v>
      </c>
      <c r="FE64">
        <v>2365027.57508814</v>
      </c>
      <c r="FF64">
        <v>1883433.8966918</v>
      </c>
      <c r="FG64">
        <v>2066241.33855224</v>
      </c>
      <c r="FH64" t="s">
        <v>1900</v>
      </c>
      <c r="FI64">
        <v>19662.378824234</v>
      </c>
      <c r="FJ64">
        <v>260016.689847112</v>
      </c>
      <c r="FK64">
        <v>46623.4916567802</v>
      </c>
      <c r="FL64">
        <v>10205.7848733664</v>
      </c>
      <c r="FM64" t="s">
        <v>1900</v>
      </c>
      <c r="FN64">
        <v>3527924.03328896</v>
      </c>
      <c r="FO64">
        <v>2088265.27327538</v>
      </c>
      <c r="FP64">
        <v>1826978.30176592</v>
      </c>
      <c r="FQ64">
        <v>2021730.76566398</v>
      </c>
      <c r="FR64" t="s">
        <v>1900</v>
      </c>
      <c r="FS64">
        <v>24360.8409328461</v>
      </c>
      <c r="FT64">
        <v>16745.6119656563</v>
      </c>
      <c r="FU64">
        <v>9832.103269100189</v>
      </c>
      <c r="FV64">
        <v>34304.7880148888</v>
      </c>
      <c r="FW64" t="s">
        <v>1900</v>
      </c>
      <c r="FX64">
        <v>19662.378824234</v>
      </c>
      <c r="FY64">
        <v>260016.689847112</v>
      </c>
      <c r="FZ64">
        <v>46623.4916567802</v>
      </c>
      <c r="GA64">
        <v>10205.7848733664</v>
      </c>
      <c r="GB64" t="s">
        <v>1900</v>
      </c>
      <c r="GC64">
        <v>3527924.03328896</v>
      </c>
      <c r="GD64">
        <v>2088265.27327538</v>
      </c>
      <c r="GE64">
        <v>1826978.30176592</v>
      </c>
      <c r="GF64">
        <v>2021730.76566398</v>
      </c>
      <c r="GG64" t="s">
        <v>1900</v>
      </c>
      <c r="GH64">
        <v>24360.8409328461</v>
      </c>
      <c r="GI64">
        <v>16745.6119656563</v>
      </c>
      <c r="GJ64">
        <v>9832.103269100189</v>
      </c>
      <c r="GK64">
        <v>34304.7880148888</v>
      </c>
      <c r="GL64" t="s">
        <v>1900</v>
      </c>
      <c r="GM64">
        <v>6609933.95645714</v>
      </c>
      <c r="GN64">
        <v>4923719.75245833</v>
      </c>
      <c r="GO64">
        <v>5207773.23054314</v>
      </c>
      <c r="GP64">
        <v>4198527.61559844</v>
      </c>
      <c r="GQ64" t="s">
        <v>1900</v>
      </c>
      <c r="GR64">
        <v>118762.138298988</v>
      </c>
      <c r="GS64">
        <v>69602.0162057877</v>
      </c>
      <c r="GT64">
        <v>103329.39125061</v>
      </c>
      <c r="GU64">
        <v>105644.6599859</v>
      </c>
      <c r="GV64" t="s">
        <v>1900</v>
      </c>
      <c r="GW64">
        <v>1085849.73231602</v>
      </c>
      <c r="GX64">
        <v>948580.254882574</v>
      </c>
      <c r="GY64">
        <v>838705.2514815331</v>
      </c>
      <c r="GZ64">
        <v>484461.257613897</v>
      </c>
      <c r="HA64" t="s">
        <v>1900</v>
      </c>
      <c r="HB64">
        <v>5405322.08584213</v>
      </c>
      <c r="HC64">
        <v>3905537.48136997</v>
      </c>
      <c r="HD64">
        <v>4265738.58781099</v>
      </c>
      <c r="HE64">
        <v>3608421.69799864</v>
      </c>
      <c r="HF64" t="s">
        <v>1900</v>
      </c>
      <c r="HG64">
        <v>3073258.31924057</v>
      </c>
      <c r="HH64">
        <v>3885449.14660811</v>
      </c>
      <c r="HI64">
        <v>4258337.04480171</v>
      </c>
      <c r="HJ64">
        <v>3600552.31019139</v>
      </c>
      <c r="HK64" t="s">
        <v>1900</v>
      </c>
      <c r="HL64">
        <v>10181881.2095032</v>
      </c>
      <c r="HM64">
        <v>7288747.32754648</v>
      </c>
      <c r="HN64">
        <v>7091207.12723494</v>
      </c>
      <c r="HO64">
        <v>6264768.95415068</v>
      </c>
      <c r="HP64" t="s">
        <v>1900</v>
      </c>
      <c r="HQ64">
        <v>7744327.46555901</v>
      </c>
      <c r="HR64">
        <v>6026044.99057591</v>
      </c>
      <c r="HS64">
        <v>5558083.10784101</v>
      </c>
      <c r="HT64">
        <v>4822800.88609159</v>
      </c>
      <c r="HU64" t="s">
        <v>1900</v>
      </c>
      <c r="HV64">
        <v>2088046.50708961</v>
      </c>
      <c r="HW64">
        <v>2015482.6573956</v>
      </c>
      <c r="HX64">
        <v>2140200.04939556</v>
      </c>
      <c r="HY64">
        <v>2318768.55758071</v>
      </c>
      <c r="HZ64" t="s">
        <v>1900</v>
      </c>
      <c r="IA64">
        <v>5656280.95846939</v>
      </c>
      <c r="IB64">
        <v>4010562.33318031</v>
      </c>
      <c r="IC64">
        <v>3417883.05844545</v>
      </c>
      <c r="ID64">
        <v>2504032.32851088</v>
      </c>
      <c r="IE64" t="s">
        <v>1900</v>
      </c>
      <c r="IF64">
        <v>101861.155714035</v>
      </c>
      <c r="IG64">
        <v>145146.058160663</v>
      </c>
      <c r="IH64">
        <v>153854.690966606</v>
      </c>
      <c r="II64">
        <v>216878.757280707</v>
      </c>
      <c r="IJ64" t="s">
        <v>1900</v>
      </c>
      <c r="IK64">
        <v>99325.1795759201</v>
      </c>
      <c r="IL64">
        <v>72216.2515515089</v>
      </c>
      <c r="IM64">
        <v>75944.2484164238</v>
      </c>
      <c r="IN64">
        <v>212095.524211526</v>
      </c>
      <c r="IO64" t="s">
        <v>1900</v>
      </c>
      <c r="IP64">
        <v>2535.97613811493</v>
      </c>
      <c r="IQ64">
        <v>72929.8066091537</v>
      </c>
      <c r="IR64">
        <v>77910.4425501823</v>
      </c>
      <c r="IS64">
        <v>4783.23306918144</v>
      </c>
      <c r="IT64" t="s">
        <v>1900</v>
      </c>
      <c r="IU64" t="s">
        <v>1900</v>
      </c>
      <c r="IV64" t="s">
        <v>1900</v>
      </c>
      <c r="IW64" t="s">
        <v>1900</v>
      </c>
      <c r="IX64" t="s">
        <v>1900</v>
      </c>
      <c r="IY64" t="s">
        <v>1900</v>
      </c>
      <c r="IZ64">
        <v>2335692.58823013</v>
      </c>
      <c r="JA64">
        <v>1117556.27880991</v>
      </c>
      <c r="JB64">
        <v>1379269.32842731</v>
      </c>
      <c r="JC64">
        <v>1225089.31077838</v>
      </c>
      <c r="JD64" t="s">
        <v>1900</v>
      </c>
      <c r="JE64">
        <v>0</v>
      </c>
      <c r="JF64">
        <v>0</v>
      </c>
      <c r="JG64">
        <v>0</v>
      </c>
      <c r="JH64">
        <v>0</v>
      </c>
      <c r="JI64" t="s">
        <v>1900</v>
      </c>
      <c r="JJ64">
        <v>0</v>
      </c>
      <c r="JK64">
        <v>0</v>
      </c>
      <c r="JL64">
        <v>0</v>
      </c>
      <c r="JM64">
        <v>0</v>
      </c>
      <c r="JN64" t="s">
        <v>1900</v>
      </c>
      <c r="JO64">
        <v>2335692.58823013</v>
      </c>
      <c r="JP64">
        <v>1117556.27880991</v>
      </c>
      <c r="JQ64">
        <v>1379269.32842731</v>
      </c>
      <c r="JR64">
        <v>1225089.31077838</v>
      </c>
      <c r="JS64" t="s">
        <v>1900</v>
      </c>
      <c r="JT64">
        <v>10181881.2095032</v>
      </c>
      <c r="JU64">
        <v>7288747.32754648</v>
      </c>
      <c r="JV64">
        <v>7091207.12723494</v>
      </c>
      <c r="JW64">
        <v>6264768.95415068</v>
      </c>
      <c r="JX64" t="s">
        <v>1900</v>
      </c>
      <c r="JY64">
        <v>1204611.87061501</v>
      </c>
      <c r="JZ64">
        <v>1018182.27108836</v>
      </c>
      <c r="KA64">
        <v>942034.6427321431</v>
      </c>
      <c r="KB64">
        <v>590105.917599797</v>
      </c>
      <c r="KC64" t="s">
        <v>1900</v>
      </c>
      <c r="KD64" t="s">
        <v>1900</v>
      </c>
      <c r="KE64" t="s">
        <v>1900</v>
      </c>
      <c r="KF64" t="s">
        <v>1900</v>
      </c>
      <c r="KG64" t="s">
        <v>1900</v>
      </c>
      <c r="KH64" t="s">
        <v>1900</v>
      </c>
      <c r="KI64" t="s">
        <v>1900</v>
      </c>
      <c r="KJ64" t="s">
        <v>1900</v>
      </c>
      <c r="KK64" t="s">
        <v>1900</v>
      </c>
      <c r="KL64" t="s">
        <v>1900</v>
      </c>
      <c r="KM64" t="s">
        <v>1900</v>
      </c>
      <c r="KN64">
        <v>57</v>
      </c>
      <c r="KO64">
        <v>57</v>
      </c>
      <c r="KP64">
        <v>54</v>
      </c>
      <c r="KQ64">
        <v>69</v>
      </c>
      <c r="KR64" t="s">
        <v>1900</v>
      </c>
      <c r="KS64" t="s">
        <v>1900</v>
      </c>
      <c r="KT64" t="s">
        <v>1900</v>
      </c>
      <c r="KU64" t="s">
        <v>1900</v>
      </c>
      <c r="KV64" t="s">
        <v>1900</v>
      </c>
      <c r="KW64" t="s">
        <v>1900</v>
      </c>
      <c r="KX64" t="s">
        <v>1900</v>
      </c>
      <c r="KY64" t="s">
        <v>1900</v>
      </c>
      <c r="KZ64" t="s">
        <v>1900</v>
      </c>
      <c r="LA64" t="s">
        <v>1900</v>
      </c>
      <c r="LB64" t="s">
        <v>1900</v>
      </c>
      <c r="LC64" t="s">
        <v>1900</v>
      </c>
      <c r="LD64" t="s">
        <v>1900</v>
      </c>
      <c r="LE64" t="s">
        <v>1900</v>
      </c>
      <c r="LF64" t="s">
        <v>1900</v>
      </c>
      <c r="LG64" t="s">
        <v>1900</v>
      </c>
      <c r="LH64" t="s">
        <v>1900</v>
      </c>
      <c r="LI64" t="s">
        <v>1900</v>
      </c>
      <c r="LJ64" t="s">
        <v>1900</v>
      </c>
      <c r="LK64" t="s">
        <v>1900</v>
      </c>
      <c r="LL64" t="s">
        <v>1900</v>
      </c>
      <c r="LM64" t="s">
        <v>1900</v>
      </c>
      <c r="LN64" t="s">
        <v>1900</v>
      </c>
      <c r="LO64" t="s">
        <v>1900</v>
      </c>
      <c r="LP64" t="s">
        <v>1900</v>
      </c>
      <c r="LQ64" t="s">
        <v>1900</v>
      </c>
      <c r="LR64" t="s">
        <v>1900</v>
      </c>
      <c r="LS64" t="s">
        <v>1900</v>
      </c>
      <c r="LT64" t="s">
        <v>1900</v>
      </c>
      <c r="LU64" t="s">
        <v>1900</v>
      </c>
      <c r="LV64" t="s">
        <v>1900</v>
      </c>
      <c r="LW64" t="s">
        <v>1900</v>
      </c>
      <c r="LX64" t="s">
        <v>1900</v>
      </c>
      <c r="LY64" t="s">
        <v>1900</v>
      </c>
      <c r="LZ64" t="s">
        <v>1900</v>
      </c>
      <c r="MA64" t="s">
        <v>1900</v>
      </c>
      <c r="MB64" t="s">
        <v>1900</v>
      </c>
      <c r="MC64" t="s">
        <v>1900</v>
      </c>
      <c r="MD64" t="s">
        <v>1900</v>
      </c>
      <c r="ME64" t="s">
        <v>1900</v>
      </c>
      <c r="MF64" t="s">
        <v>1900</v>
      </c>
      <c r="MG64" t="s">
        <v>1900</v>
      </c>
      <c r="MH64" t="s">
        <v>1900</v>
      </c>
      <c r="MI64" t="s">
        <v>1900</v>
      </c>
      <c r="MJ64" t="s">
        <v>1900</v>
      </c>
      <c r="MK64" t="s">
        <v>1900</v>
      </c>
      <c r="ML64" t="s">
        <v>1900</v>
      </c>
      <c r="MM64" t="s">
        <v>1900</v>
      </c>
      <c r="MN64" t="s">
        <v>1900</v>
      </c>
      <c r="MO64" t="s">
        <v>1900</v>
      </c>
      <c r="MP64" t="s">
        <v>1900</v>
      </c>
      <c r="MQ64">
        <v>5405322.08584213</v>
      </c>
      <c r="MR64">
        <v>3905537.48136997</v>
      </c>
      <c r="MS64">
        <v>4265738.58781099</v>
      </c>
      <c r="MT64">
        <v>3608421.69799864</v>
      </c>
      <c r="MU64" t="s">
        <v>1900</v>
      </c>
      <c r="MV64" t="s">
        <v>1900</v>
      </c>
      <c r="MW64" t="s">
        <v>1900</v>
      </c>
      <c r="MX64" t="s">
        <v>1900</v>
      </c>
      <c r="MY64" t="s">
        <v>1900</v>
      </c>
      <c r="MZ64" t="s">
        <v>1900</v>
      </c>
      <c r="NA64" t="s">
        <v>1900</v>
      </c>
      <c r="NB64" t="s">
        <v>1900</v>
      </c>
      <c r="NC64" t="s">
        <v>1900</v>
      </c>
      <c r="ND64" t="s">
        <v>1900</v>
      </c>
      <c r="NE64" t="s">
        <v>1900</v>
      </c>
      <c r="NF64" t="s">
        <v>1900</v>
      </c>
      <c r="NG64" t="s">
        <v>1900</v>
      </c>
      <c r="NH64" t="s">
        <v>1900</v>
      </c>
      <c r="NI64" t="s">
        <v>1900</v>
      </c>
      <c r="NJ64" t="s">
        <v>1900</v>
      </c>
      <c r="NK64" t="s">
        <v>1900</v>
      </c>
      <c r="NL64" t="s">
        <v>1900</v>
      </c>
      <c r="NM64" t="s">
        <v>1900</v>
      </c>
      <c r="NN64" t="s">
        <v>1900</v>
      </c>
      <c r="NO64" t="s">
        <v>1900</v>
      </c>
      <c r="NP64" t="s">
        <v>1900</v>
      </c>
      <c r="NQ64" t="s">
        <v>1900</v>
      </c>
      <c r="NR64" t="s">
        <v>1900</v>
      </c>
      <c r="NS64" t="s">
        <v>1900</v>
      </c>
      <c r="NT64" t="s">
        <v>1900</v>
      </c>
      <c r="NU64">
        <v>3571947.25304604</v>
      </c>
      <c r="NV64">
        <v>2365027.57508814</v>
      </c>
      <c r="NW64">
        <v>1883433.8966918</v>
      </c>
      <c r="NX64">
        <v>2066241.33855224</v>
      </c>
      <c r="NY64" t="s">
        <v>1900</v>
      </c>
      <c r="NZ64" t="s">
        <v>1900</v>
      </c>
      <c r="OA64" t="s">
        <v>1900</v>
      </c>
      <c r="OB64" t="s">
        <v>1900</v>
      </c>
      <c r="OC64" t="s">
        <v>1900</v>
      </c>
      <c r="OD64" t="s">
        <v>1900</v>
      </c>
      <c r="OE64" t="s">
        <v>1900</v>
      </c>
      <c r="OF64" t="s">
        <v>1900</v>
      </c>
      <c r="OG64" t="s">
        <v>1900</v>
      </c>
      <c r="OH64" t="s">
        <v>1900</v>
      </c>
      <c r="OI64" t="s">
        <v>1900</v>
      </c>
      <c r="OJ64" t="s">
        <v>1900</v>
      </c>
      <c r="OK64" t="s">
        <v>1900</v>
      </c>
      <c r="OL64" t="s">
        <v>1900</v>
      </c>
      <c r="OM64" t="s">
        <v>1900</v>
      </c>
      <c r="ON64" t="s">
        <v>1900</v>
      </c>
      <c r="OO64" t="s">
        <v>1900</v>
      </c>
      <c r="OP64" t="s">
        <v>1900</v>
      </c>
      <c r="OQ64" t="s">
        <v>1900</v>
      </c>
      <c r="OR64" t="s">
        <v>1900</v>
      </c>
      <c r="OS64" t="s">
        <v>1900</v>
      </c>
      <c r="OT64" t="s">
        <v>1900</v>
      </c>
      <c r="OU64" t="s">
        <v>1900</v>
      </c>
      <c r="OV64" t="s">
        <v>1900</v>
      </c>
      <c r="OW64" t="s">
        <v>1900</v>
      </c>
      <c r="OX64" t="s">
        <v>1900</v>
      </c>
      <c r="OY64" t="s">
        <v>1900</v>
      </c>
      <c r="OZ64" t="s">
        <v>1900</v>
      </c>
      <c r="PA64" t="s">
        <v>1900</v>
      </c>
      <c r="PB64" t="s">
        <v>1900</v>
      </c>
      <c r="PC64" t="s">
        <v>1900</v>
      </c>
      <c r="PD64" t="s">
        <v>1900</v>
      </c>
      <c r="PE64" t="s">
        <v>1900</v>
      </c>
      <c r="PF64" t="s">
        <v>1900</v>
      </c>
      <c r="PG64" t="s">
        <v>1900</v>
      </c>
      <c r="PH64" t="s">
        <v>1900</v>
      </c>
      <c r="PI64" t="s">
        <v>1900</v>
      </c>
      <c r="PJ64" t="s">
        <v>1900</v>
      </c>
      <c r="PK64" t="s">
        <v>1900</v>
      </c>
      <c r="PL64" t="s">
        <v>1900</v>
      </c>
      <c r="PM64" t="s">
        <v>1900</v>
      </c>
      <c r="PN64" t="s">
        <v>1900</v>
      </c>
      <c r="PO64" t="s">
        <v>1900</v>
      </c>
      <c r="PP64" t="s">
        <v>1900</v>
      </c>
      <c r="PQ64" t="s">
        <v>1900</v>
      </c>
      <c r="PR64" t="s">
        <v>1900</v>
      </c>
      <c r="PS64" t="s">
        <v>1900</v>
      </c>
      <c r="PT64" t="s">
        <v>1900</v>
      </c>
      <c r="PU64" t="s">
        <v>1900</v>
      </c>
      <c r="PV64" t="s">
        <v>1900</v>
      </c>
      <c r="PW64" t="s">
        <v>1900</v>
      </c>
      <c r="PX64" t="s">
        <v>1900</v>
      </c>
      <c r="PY64" t="s">
        <v>1900</v>
      </c>
      <c r="PZ64" t="s">
        <v>1900</v>
      </c>
      <c r="QA64" t="s">
        <v>1900</v>
      </c>
      <c r="QB64" t="s">
        <v>1900</v>
      </c>
      <c r="QC64" t="s">
        <v>1900</v>
      </c>
      <c r="QD64" t="s">
        <v>1900</v>
      </c>
      <c r="QE64" t="s">
        <v>1900</v>
      </c>
      <c r="QF64" t="s">
        <v>1900</v>
      </c>
      <c r="QG64" t="s">
        <v>1900</v>
      </c>
      <c r="QH64" t="s">
        <v>1900</v>
      </c>
      <c r="QI64" t="s">
        <v>1900</v>
      </c>
      <c r="QJ64" t="s">
        <v>1900</v>
      </c>
      <c r="QK64" t="s">
        <v>1900</v>
      </c>
      <c r="QL64" t="s">
        <v>1900</v>
      </c>
      <c r="QM64" t="s">
        <v>1900</v>
      </c>
      <c r="QN64" t="s">
        <v>1900</v>
      </c>
      <c r="QO64" t="s">
        <v>1900</v>
      </c>
      <c r="QP64" t="s">
        <v>1900</v>
      </c>
      <c r="QQ64" t="s">
        <v>1900</v>
      </c>
      <c r="QR64" t="s">
        <v>1900</v>
      </c>
      <c r="QS64" t="s">
        <v>1900</v>
      </c>
      <c r="QT64" t="s">
        <v>1900</v>
      </c>
      <c r="QU64" t="s">
        <v>1900</v>
      </c>
      <c r="QV64" t="s">
        <v>1900</v>
      </c>
      <c r="QW64" t="s">
        <v>1900</v>
      </c>
      <c r="QX64" t="s">
        <v>1900</v>
      </c>
      <c r="QY64" t="s">
        <v>1900</v>
      </c>
      <c r="QZ64" t="s">
        <v>1900</v>
      </c>
      <c r="RA64" t="s">
        <v>1900</v>
      </c>
      <c r="RB64" t="s">
        <v>1900</v>
      </c>
      <c r="RC64" t="s">
        <v>1900</v>
      </c>
      <c r="RD64" t="s">
        <v>1900</v>
      </c>
      <c r="RE64" t="s">
        <v>1900</v>
      </c>
      <c r="RF64" t="s">
        <v>1900</v>
      </c>
      <c r="RG64" t="s">
        <v>1900</v>
      </c>
      <c r="RH64" t="s">
        <v>1900</v>
      </c>
      <c r="RI64" t="s">
        <v>1900</v>
      </c>
      <c r="RJ64" t="s">
        <v>1900</v>
      </c>
      <c r="RK64" t="s">
        <v>1900</v>
      </c>
      <c r="RL64" t="s">
        <v>1900</v>
      </c>
      <c r="RM64" t="s">
        <v>1900</v>
      </c>
      <c r="RN64" t="s">
        <v>1900</v>
      </c>
      <c r="RO64" t="s">
        <v>1900</v>
      </c>
      <c r="RP64" t="s">
        <v>1900</v>
      </c>
      <c r="RQ64" t="s">
        <v>1900</v>
      </c>
      <c r="RR64" t="s">
        <v>1900</v>
      </c>
      <c r="RS64" t="s">
        <v>1900</v>
      </c>
      <c r="RT64" t="s">
        <v>1900</v>
      </c>
      <c r="RU64" t="s">
        <v>1900</v>
      </c>
      <c r="RV64" t="s">
        <v>1900</v>
      </c>
      <c r="RW64" t="s">
        <v>1900</v>
      </c>
      <c r="RX64" t="s">
        <v>1900</v>
      </c>
      <c r="RY64" t="s">
        <v>1900</v>
      </c>
      <c r="RZ64" t="s">
        <v>1900</v>
      </c>
      <c r="SA64" t="s">
        <v>1900</v>
      </c>
      <c r="SB64" t="s">
        <v>1900</v>
      </c>
      <c r="SC64" t="s">
        <v>1900</v>
      </c>
      <c r="SD64" t="s">
        <v>1900</v>
      </c>
      <c r="SE64" t="s">
        <v>1900</v>
      </c>
      <c r="SF64" t="s">
        <v>1900</v>
      </c>
      <c r="SG64" t="s">
        <v>1900</v>
      </c>
      <c r="SH64" t="s">
        <v>1900</v>
      </c>
      <c r="SI64" t="s">
        <v>1900</v>
      </c>
      <c r="SJ64" t="s">
        <v>1900</v>
      </c>
      <c r="SK64">
        <v>24360.8409328461</v>
      </c>
      <c r="SL64">
        <v>16745.6119656563</v>
      </c>
      <c r="SM64">
        <v>9832.103269100189</v>
      </c>
      <c r="SN64">
        <v>34304.7880148888</v>
      </c>
      <c r="SO64" t="s">
        <v>1900</v>
      </c>
      <c r="SP64" t="s">
        <v>1900</v>
      </c>
      <c r="SQ64" t="s">
        <v>1900</v>
      </c>
      <c r="SR64" t="s">
        <v>1900</v>
      </c>
      <c r="SS64" t="s">
        <v>1900</v>
      </c>
      <c r="ST64" t="s">
        <v>1900</v>
      </c>
      <c r="SU64" t="s">
        <v>1900</v>
      </c>
      <c r="SV64" t="s">
        <v>1900</v>
      </c>
      <c r="SW64" t="s">
        <v>1900</v>
      </c>
      <c r="SX64" t="s">
        <v>1900</v>
      </c>
      <c r="SY64" t="s">
        <v>1900</v>
      </c>
      <c r="SZ64" t="s">
        <v>1900</v>
      </c>
      <c r="TA64" t="s">
        <v>1900</v>
      </c>
      <c r="TB64" t="s">
        <v>1900</v>
      </c>
      <c r="TC64" t="s">
        <v>1900</v>
      </c>
      <c r="TD64" t="s">
        <v>1900</v>
      </c>
      <c r="TE64" t="s">
        <v>1900</v>
      </c>
      <c r="TF64" t="s">
        <v>1900</v>
      </c>
      <c r="TG64" t="s">
        <v>1900</v>
      </c>
      <c r="TH64" t="s">
        <v>1900</v>
      </c>
      <c r="TI64" t="s">
        <v>1900</v>
      </c>
      <c r="TJ64" t="s">
        <v>1900</v>
      </c>
      <c r="TK64" t="s">
        <v>1900</v>
      </c>
      <c r="TL64" t="s">
        <v>1900</v>
      </c>
      <c r="TM64" t="s">
        <v>1900</v>
      </c>
      <c r="TN64" t="s">
        <v>1900</v>
      </c>
      <c r="TO64" t="s">
        <v>1900</v>
      </c>
      <c r="TP64" t="s">
        <v>1900</v>
      </c>
      <c r="TQ64" t="s">
        <v>1900</v>
      </c>
      <c r="TR64" t="s">
        <v>1900</v>
      </c>
      <c r="TS64" t="s">
        <v>1900</v>
      </c>
      <c r="TT64">
        <v>10181881.2095032</v>
      </c>
      <c r="TU64">
        <v>7288747.32754648</v>
      </c>
      <c r="TV64">
        <v>7091207.12723494</v>
      </c>
      <c r="TW64">
        <v>6264768.95415068</v>
      </c>
      <c r="TX64" t="s">
        <v>1900</v>
      </c>
      <c r="TY64" t="s">
        <v>1900</v>
      </c>
      <c r="TZ64" t="s">
        <v>1900</v>
      </c>
      <c r="UA64" t="s">
        <v>1900</v>
      </c>
      <c r="UB64" t="s">
        <v>1900</v>
      </c>
      <c r="UC64" t="s">
        <v>1900</v>
      </c>
      <c r="UD64">
        <v>0</v>
      </c>
      <c r="UE64">
        <v>0</v>
      </c>
      <c r="UF64">
        <v>0</v>
      </c>
      <c r="UG64">
        <v>0</v>
      </c>
      <c r="UH64" t="s">
        <v>1900</v>
      </c>
      <c r="UI64" t="s">
        <v>1900</v>
      </c>
      <c r="UJ64" t="s">
        <v>1900</v>
      </c>
      <c r="UK64" t="s">
        <v>1900</v>
      </c>
      <c r="UL64" t="s">
        <v>1900</v>
      </c>
      <c r="UM64" t="s">
        <v>1900</v>
      </c>
      <c r="UN64" t="s">
        <v>1900</v>
      </c>
      <c r="UO64" t="s">
        <v>1900</v>
      </c>
      <c r="UP64" t="s">
        <v>1900</v>
      </c>
      <c r="UQ64" t="s">
        <v>1900</v>
      </c>
      <c r="UR64" t="s">
        <v>1900</v>
      </c>
      <c r="US64" t="s">
        <v>1900</v>
      </c>
      <c r="UT64" t="s">
        <v>1900</v>
      </c>
      <c r="UU64" t="s">
        <v>1900</v>
      </c>
      <c r="UV64" t="s">
        <v>1900</v>
      </c>
      <c r="UW64" t="s">
        <v>1900</v>
      </c>
      <c r="UX64" t="s">
        <v>1900</v>
      </c>
      <c r="UY64" t="s">
        <v>1900</v>
      </c>
      <c r="UZ64" t="s">
        <v>1900</v>
      </c>
      <c r="VA64" t="s">
        <v>1900</v>
      </c>
      <c r="VB64" t="s">
        <v>1900</v>
      </c>
      <c r="VC64" t="s">
        <v>1900</v>
      </c>
      <c r="VD64" t="s">
        <v>1900</v>
      </c>
      <c r="VE64" t="s">
        <v>1900</v>
      </c>
      <c r="VF64" t="s">
        <v>1900</v>
      </c>
      <c r="VG64" t="s">
        <v>1900</v>
      </c>
      <c r="VH64" t="s">
        <v>1900</v>
      </c>
      <c r="VI64" t="s">
        <v>1900</v>
      </c>
      <c r="VJ64" t="s">
        <v>1900</v>
      </c>
      <c r="VK64" t="s">
        <v>1900</v>
      </c>
      <c r="VL64" t="s">
        <v>1900</v>
      </c>
      <c r="VM64" t="s">
        <v>1900</v>
      </c>
      <c r="VN64" t="s">
        <v>1900</v>
      </c>
      <c r="VO64" t="s">
        <v>1900</v>
      </c>
      <c r="VP64" t="s">
        <v>1900</v>
      </c>
      <c r="VQ64" t="s">
        <v>1900</v>
      </c>
      <c r="VR64" t="s">
        <v>1900</v>
      </c>
      <c r="VS64" t="s">
        <v>1900</v>
      </c>
      <c r="VT64" t="s">
        <v>1900</v>
      </c>
      <c r="VU64" t="s">
        <v>1900</v>
      </c>
      <c r="VV64" t="s">
        <v>1900</v>
      </c>
      <c r="VW64" t="s">
        <v>1900</v>
      </c>
      <c r="VX64" t="s">
        <v>1900</v>
      </c>
      <c r="VY64" t="s">
        <v>1900</v>
      </c>
      <c r="VZ64" t="s">
        <v>1900</v>
      </c>
      <c r="WA64" t="s">
        <v>1900</v>
      </c>
      <c r="WB64">
        <v>2335692.58823013</v>
      </c>
      <c r="WC64">
        <v>1117556.27880991</v>
      </c>
      <c r="WD64">
        <v>1379269.32842731</v>
      </c>
      <c r="WE64">
        <v>1225089.31077838</v>
      </c>
      <c r="WF64" t="s">
        <v>1900</v>
      </c>
      <c r="WG64" t="s">
        <v>1900</v>
      </c>
      <c r="WH64" t="s">
        <v>1900</v>
      </c>
      <c r="WI64" t="s">
        <v>1900</v>
      </c>
      <c r="WJ64" t="s">
        <v>1900</v>
      </c>
      <c r="WK64" t="s">
        <v>1900</v>
      </c>
      <c r="WL64" t="s">
        <v>1900</v>
      </c>
      <c r="WM64" t="s">
        <v>1900</v>
      </c>
      <c r="WN64" t="s">
        <v>1900</v>
      </c>
      <c r="WO64" t="s">
        <v>1900</v>
      </c>
      <c r="WP64" t="s">
        <v>1900</v>
      </c>
      <c r="WQ64" t="s">
        <v>1900</v>
      </c>
      <c r="WR64" t="s">
        <v>1900</v>
      </c>
      <c r="WS64" t="s">
        <v>1900</v>
      </c>
      <c r="WT64" t="s">
        <v>1900</v>
      </c>
      <c r="WU64" t="s">
        <v>1900</v>
      </c>
      <c r="WV64" t="s">
        <v>1900</v>
      </c>
      <c r="WW64" t="s">
        <v>1900</v>
      </c>
      <c r="WX64" t="s">
        <v>1900</v>
      </c>
      <c r="WY64" t="s">
        <v>1900</v>
      </c>
      <c r="WZ64" t="s">
        <v>1900</v>
      </c>
      <c r="XA64" t="s">
        <v>1900</v>
      </c>
      <c r="XB64" t="s">
        <v>1900</v>
      </c>
      <c r="XC64" t="s">
        <v>1900</v>
      </c>
      <c r="XD64" t="s">
        <v>1900</v>
      </c>
      <c r="XE64" t="s">
        <v>1900</v>
      </c>
      <c r="XF64" t="s">
        <v>1900</v>
      </c>
      <c r="XG64" t="s">
        <v>1900</v>
      </c>
      <c r="XH64" t="s">
        <v>1900</v>
      </c>
      <c r="XI64" t="s">
        <v>1900</v>
      </c>
      <c r="XJ64" t="s">
        <v>1900</v>
      </c>
      <c r="XK64">
        <v>2535.97613811493</v>
      </c>
      <c r="XL64">
        <v>72929.8066091537</v>
      </c>
      <c r="XM64">
        <v>77910.4425501823</v>
      </c>
      <c r="XN64">
        <v>4783.23306918144</v>
      </c>
      <c r="XO64" t="s">
        <v>1900</v>
      </c>
      <c r="XP64" t="s">
        <v>1900</v>
      </c>
      <c r="XQ64" t="s">
        <v>1900</v>
      </c>
      <c r="XR64" t="s">
        <v>1900</v>
      </c>
      <c r="XS64" t="s">
        <v>1900</v>
      </c>
      <c r="XT64" t="s">
        <v>1900</v>
      </c>
      <c r="XU64" t="s">
        <v>1900</v>
      </c>
      <c r="XV64" t="s">
        <v>1900</v>
      </c>
      <c r="XW64" t="s">
        <v>1900</v>
      </c>
      <c r="XX64" t="s">
        <v>1900</v>
      </c>
      <c r="XY64" t="s">
        <v>1900</v>
      </c>
      <c r="XZ64" t="s">
        <v>1900</v>
      </c>
      <c r="YA64" t="s">
        <v>1900</v>
      </c>
      <c r="YB64" t="s">
        <v>1900</v>
      </c>
      <c r="YC64" t="s">
        <v>1900</v>
      </c>
      <c r="YD64" t="s">
        <v>1900</v>
      </c>
      <c r="YE64" t="s">
        <v>1900</v>
      </c>
      <c r="YF64" t="s">
        <v>1900</v>
      </c>
      <c r="YG64" t="s">
        <v>1900</v>
      </c>
      <c r="YH64" t="s">
        <v>1900</v>
      </c>
      <c r="YI64" t="s">
        <v>1900</v>
      </c>
      <c r="YJ64" t="s">
        <v>1900</v>
      </c>
      <c r="YK64" t="s">
        <v>1900</v>
      </c>
      <c r="YL64" t="s">
        <v>1900</v>
      </c>
      <c r="YM64" t="s">
        <v>1900</v>
      </c>
      <c r="YN64" t="s">
        <v>1900</v>
      </c>
      <c r="YO64" t="s">
        <v>1900</v>
      </c>
      <c r="YP64" t="s">
        <v>1900</v>
      </c>
      <c r="YQ64" t="s">
        <v>1900</v>
      </c>
      <c r="YR64" t="s">
        <v>1900</v>
      </c>
      <c r="YS64" t="s">
        <v>1900</v>
      </c>
      <c r="YT64" t="s">
        <v>1900</v>
      </c>
      <c r="YU64" t="s">
        <v>1900</v>
      </c>
      <c r="YV64" t="s">
        <v>1900</v>
      </c>
      <c r="YW64" t="s">
        <v>1900</v>
      </c>
      <c r="YX64" t="s">
        <v>1900</v>
      </c>
      <c r="YY64" t="s">
        <v>1900</v>
      </c>
      <c r="YZ64" t="s">
        <v>1900</v>
      </c>
      <c r="ZA64" t="s">
        <v>1900</v>
      </c>
      <c r="ZB64" t="s">
        <v>1900</v>
      </c>
      <c r="ZC64" t="s">
        <v>1900</v>
      </c>
      <c r="ZD64" t="s">
        <v>1900</v>
      </c>
      <c r="ZE64" t="s">
        <v>1900</v>
      </c>
      <c r="ZF64" t="s">
        <v>1900</v>
      </c>
      <c r="ZG64" t="s">
        <v>1900</v>
      </c>
      <c r="ZH64" t="s">
        <v>1900</v>
      </c>
      <c r="ZI64" t="s">
        <v>1900</v>
      </c>
      <c r="ZJ64" t="s">
        <v>1900</v>
      </c>
      <c r="ZK64" t="s">
        <v>1900</v>
      </c>
      <c r="ZL64" t="s">
        <v>1900</v>
      </c>
      <c r="ZM64" t="s">
        <v>1900</v>
      </c>
      <c r="ZN64" t="s">
        <v>1900</v>
      </c>
      <c r="ZO64" t="s">
        <v>1900</v>
      </c>
      <c r="ZP64" t="s">
        <v>1900</v>
      </c>
      <c r="ZQ64" t="s">
        <v>1900</v>
      </c>
      <c r="ZR64" t="s">
        <v>1900</v>
      </c>
      <c r="ZS64" t="s">
        <v>1900</v>
      </c>
      <c r="ZT64" t="s">
        <v>1900</v>
      </c>
      <c r="ZU64" t="s">
        <v>1900</v>
      </c>
      <c r="ZV64" t="s">
        <v>1900</v>
      </c>
      <c r="ZW64" t="s">
        <v>1900</v>
      </c>
      <c r="ZX64" t="s">
        <v>1900</v>
      </c>
      <c r="ZY64" t="s">
        <v>1900</v>
      </c>
      <c r="ZZ64" t="s">
        <v>1900</v>
      </c>
      <c r="AAA64" t="s">
        <v>1900</v>
      </c>
      <c r="AAB64" t="s">
        <v>1900</v>
      </c>
      <c r="AAC64" t="s">
        <v>1900</v>
      </c>
      <c r="AAD64" t="s">
        <v>1900</v>
      </c>
      <c r="AAE64" t="s">
        <v>1900</v>
      </c>
      <c r="AAF64" t="s">
        <v>1900</v>
      </c>
      <c r="AAG64" t="s">
        <v>1900</v>
      </c>
      <c r="AAH64" t="s">
        <v>1900</v>
      </c>
      <c r="AAI64" t="s">
        <v>1900</v>
      </c>
      <c r="AAJ64" t="s">
        <v>1900</v>
      </c>
      <c r="AAK64" t="s">
        <v>1900</v>
      </c>
      <c r="AAL64" t="s">
        <v>1900</v>
      </c>
      <c r="AAM64" t="s">
        <v>1900</v>
      </c>
      <c r="AAN64" t="s">
        <v>1900</v>
      </c>
      <c r="AAO64" t="s">
        <v>1900</v>
      </c>
      <c r="AAP64" t="s">
        <v>1900</v>
      </c>
      <c r="AAQ64" t="s">
        <v>1900</v>
      </c>
      <c r="AAR64" t="s">
        <v>1900</v>
      </c>
      <c r="AAS64" t="s">
        <v>1900</v>
      </c>
      <c r="AAT64" t="s">
        <v>1900</v>
      </c>
      <c r="AAU64" t="s">
        <v>1900</v>
      </c>
      <c r="AAV64" t="s">
        <v>1900</v>
      </c>
      <c r="AAW64" t="s">
        <v>1900</v>
      </c>
      <c r="AAX64" t="s">
        <v>1900</v>
      </c>
      <c r="AAY64" t="s">
        <v>1900</v>
      </c>
      <c r="AAZ64" t="s">
        <v>1900</v>
      </c>
      <c r="ABA64" t="s">
        <v>1900</v>
      </c>
      <c r="ABB64" t="s">
        <v>1900</v>
      </c>
      <c r="ABC64" t="s">
        <v>1900</v>
      </c>
      <c r="ABD64" t="s">
        <v>1900</v>
      </c>
      <c r="ABE64" t="s">
        <v>1900</v>
      </c>
      <c r="ABF64" t="s">
        <v>1900</v>
      </c>
      <c r="ABG64" t="s">
        <v>1900</v>
      </c>
      <c r="ABH64" t="s">
        <v>1900</v>
      </c>
      <c r="ABI64" t="s">
        <v>1900</v>
      </c>
      <c r="ABJ64" t="s">
        <v>1900</v>
      </c>
      <c r="ABK64" t="s">
        <v>1900</v>
      </c>
      <c r="ABL64" t="s">
        <v>1900</v>
      </c>
      <c r="ABM64" t="s">
        <v>1900</v>
      </c>
      <c r="ABN64" t="s">
        <v>1900</v>
      </c>
      <c r="ABO64" t="s">
        <v>1900</v>
      </c>
      <c r="ABP64" t="s">
        <v>1900</v>
      </c>
      <c r="ABQ64" t="s">
        <v>1900</v>
      </c>
      <c r="ABR64" t="s">
        <v>1900</v>
      </c>
      <c r="ABS64" t="s">
        <v>1900</v>
      </c>
      <c r="ABT64" t="s">
        <v>1900</v>
      </c>
      <c r="ABU64" t="s">
        <v>1900</v>
      </c>
      <c r="ABV64" t="s">
        <v>1900</v>
      </c>
      <c r="ABW64" t="s">
        <v>1900</v>
      </c>
      <c r="ABX64" t="s">
        <v>1900</v>
      </c>
      <c r="ABY64" t="s">
        <v>1900</v>
      </c>
      <c r="ABZ64" t="s">
        <v>1900</v>
      </c>
      <c r="ACA64" t="s">
        <v>1900</v>
      </c>
      <c r="ACB64" t="s">
        <v>1900</v>
      </c>
      <c r="ACC64" t="s">
        <v>1900</v>
      </c>
      <c r="ACD64" t="s">
        <v>1900</v>
      </c>
      <c r="ACE64" t="s">
        <v>1900</v>
      </c>
      <c r="ACF64">
        <v>29.355</v>
      </c>
      <c r="ACG64">
        <v>16.883</v>
      </c>
      <c r="ACH64">
        <v>21.042</v>
      </c>
      <c r="ACI64">
        <v>16.093</v>
      </c>
      <c r="ACJ64" t="s">
        <v>1900</v>
      </c>
      <c r="ACK64">
        <v>29.045</v>
      </c>
      <c r="ACL64">
        <v>16.523</v>
      </c>
      <c r="ACM64">
        <v>20.561</v>
      </c>
      <c r="ACN64">
        <v>15.515</v>
      </c>
      <c r="ACO64" t="s">
        <v>1900</v>
      </c>
      <c r="ACP64">
        <v>22.327</v>
      </c>
      <c r="ACQ64">
        <v>13.958</v>
      </c>
      <c r="ACR64">
        <v>16.492</v>
      </c>
      <c r="ACS64">
        <v>12.389</v>
      </c>
      <c r="ACT64" t="s">
        <v>1900</v>
      </c>
      <c r="ACU64">
        <v>22.216</v>
      </c>
      <c r="ACV64">
        <v>13.162</v>
      </c>
      <c r="ACW64">
        <v>15.944</v>
      </c>
      <c r="ACX64">
        <v>12.066</v>
      </c>
      <c r="ACY64" t="s">
        <v>1900</v>
      </c>
      <c r="ACZ64">
        <v>21.999</v>
      </c>
      <c r="ADA64">
        <v>12.89</v>
      </c>
      <c r="ADB64">
        <v>15.601</v>
      </c>
      <c r="ADC64">
        <v>11.662</v>
      </c>
      <c r="ADD64" t="s">
        <v>1900</v>
      </c>
      <c r="ADE64">
        <v>16.897</v>
      </c>
      <c r="ADF64">
        <v>10.882</v>
      </c>
      <c r="ADG64">
        <v>12.497</v>
      </c>
      <c r="ADH64">
        <v>9.289</v>
      </c>
      <c r="ADI64" t="s">
        <v>1900</v>
      </c>
      <c r="ADJ64">
        <v>24.722</v>
      </c>
      <c r="ADK64">
        <v>13.819</v>
      </c>
      <c r="ADL64">
        <v>16.994</v>
      </c>
      <c r="ADM64">
        <v>10.541</v>
      </c>
      <c r="ADN64" t="s">
        <v>1900</v>
      </c>
      <c r="ADO64">
        <v>75.97799999999999</v>
      </c>
      <c r="ADP64">
        <v>74.959</v>
      </c>
      <c r="ADQ64">
        <v>76.874</v>
      </c>
      <c r="ADR64">
        <v>78.949</v>
      </c>
      <c r="ADS64" t="s">
        <v>1900</v>
      </c>
      <c r="ADT64">
        <v>24.782805142</v>
      </c>
      <c r="ADU64">
        <v>13.850147625</v>
      </c>
      <c r="ADV64">
        <v>17.065089237</v>
      </c>
      <c r="ADW64">
        <v>10.618905211</v>
      </c>
      <c r="ADX64" t="s">
        <v>1900</v>
      </c>
      <c r="ADY64">
        <v>28.067</v>
      </c>
      <c r="ADZ64">
        <v>16.532</v>
      </c>
      <c r="AEA64">
        <v>19.545</v>
      </c>
      <c r="AEB64">
        <v>13.216</v>
      </c>
      <c r="AEC64" t="s">
        <v>1900</v>
      </c>
      <c r="AED64">
        <v>24.783</v>
      </c>
      <c r="AEE64">
        <v>13.85</v>
      </c>
      <c r="AEF64">
        <v>17.065</v>
      </c>
      <c r="AEG64">
        <v>10.619</v>
      </c>
      <c r="AEH64" t="s">
        <v>1900</v>
      </c>
      <c r="AEI64">
        <v>21.994</v>
      </c>
      <c r="AEJ64">
        <v>13.456</v>
      </c>
      <c r="AEK64">
        <v>15.358</v>
      </c>
      <c r="AEL64">
        <v>10.501</v>
      </c>
      <c r="AEM64" t="s">
        <v>1900</v>
      </c>
      <c r="AEN64">
        <v>32.948324101</v>
      </c>
      <c r="AEO64">
        <v>16.07680947</v>
      </c>
      <c r="AEP64">
        <v>20.576484715</v>
      </c>
      <c r="AEQ64">
        <v>11.880482372</v>
      </c>
      <c r="AER64" t="s">
        <v>1900</v>
      </c>
      <c r="AES64">
        <v>1.484080914</v>
      </c>
      <c r="AET64">
        <v>1.226645965</v>
      </c>
      <c r="AEU64">
        <v>1.285325158</v>
      </c>
      <c r="AEV64">
        <v>1.155405166</v>
      </c>
      <c r="AEW64" t="s">
        <v>1900</v>
      </c>
      <c r="AEX64" t="s">
        <v>1900</v>
      </c>
      <c r="AEY64" t="s">
        <v>1900</v>
      </c>
      <c r="AEZ64" t="s">
        <v>1900</v>
      </c>
      <c r="AFA64" t="s">
        <v>1900</v>
      </c>
      <c r="AFB64" t="s">
        <v>1900</v>
      </c>
      <c r="AFC64" t="s">
        <v>1900</v>
      </c>
      <c r="AFD64" t="s">
        <v>1900</v>
      </c>
      <c r="AFE64" t="s">
        <v>1900</v>
      </c>
      <c r="AFF64" t="s">
        <v>1900</v>
      </c>
      <c r="AFG64" t="s">
        <v>1900</v>
      </c>
      <c r="AFH64">
        <v>1.172</v>
      </c>
      <c r="AFI64">
        <v>1.193</v>
      </c>
      <c r="AFJ64">
        <v>1.205</v>
      </c>
      <c r="AFK64">
        <v>1.461</v>
      </c>
      <c r="AFL64" t="s">
        <v>1900</v>
      </c>
      <c r="AFM64">
        <v>406.059</v>
      </c>
      <c r="AFN64">
        <v>446.3</v>
      </c>
      <c r="AFO64">
        <v>239.804</v>
      </c>
      <c r="AFP64">
        <v>135.63</v>
      </c>
      <c r="AFQ64" t="s">
        <v>1900</v>
      </c>
      <c r="AFR64">
        <v>77.429</v>
      </c>
      <c r="AFS64">
        <v>105.772</v>
      </c>
      <c r="AFT64">
        <v>66.602</v>
      </c>
      <c r="AFU64">
        <v>69.69799999999999</v>
      </c>
      <c r="AFV64" t="s">
        <v>1900</v>
      </c>
      <c r="AFW64">
        <v>42.51</v>
      </c>
      <c r="AFX64">
        <v>46.386</v>
      </c>
      <c r="AFY64">
        <v>43.873</v>
      </c>
      <c r="AFZ64">
        <v>23.686</v>
      </c>
      <c r="AGA64" t="s">
        <v>1900</v>
      </c>
      <c r="AGB64">
        <v>0</v>
      </c>
      <c r="AGC64">
        <v>0</v>
      </c>
      <c r="AGD64">
        <v>0</v>
      </c>
      <c r="AGE64">
        <v>0</v>
      </c>
      <c r="AGF64" t="s">
        <v>1900</v>
      </c>
      <c r="AGG64" t="s">
        <v>1900</v>
      </c>
      <c r="AGH64" t="s">
        <v>1900</v>
      </c>
      <c r="AGI64" t="s">
        <v>1900</v>
      </c>
      <c r="AGJ64" t="s">
        <v>1900</v>
      </c>
      <c r="AGK64" t="s">
        <v>1900</v>
      </c>
      <c r="AGL64" t="s">
        <v>1900</v>
      </c>
      <c r="AGM64" t="s">
        <v>1900</v>
      </c>
      <c r="AGN64" t="s">
        <v>1900</v>
      </c>
      <c r="AGO64" t="s">
        <v>1900</v>
      </c>
      <c r="AGP64" t="s">
        <v>1900</v>
      </c>
      <c r="AGQ64" t="s">
        <v>1900</v>
      </c>
      <c r="AGR64" t="s">
        <v>1900</v>
      </c>
      <c r="AGS64" t="s">
        <v>1900</v>
      </c>
      <c r="AGT64" t="s">
        <v>1900</v>
      </c>
      <c r="AGU64">
        <v>0</v>
      </c>
      <c r="AGV64">
        <v>0</v>
      </c>
      <c r="AGW64">
        <v>0</v>
      </c>
      <c r="AGX64">
        <v>0</v>
      </c>
      <c r="AGY64">
        <v>0</v>
      </c>
      <c r="AGZ64" t="s">
        <v>1900</v>
      </c>
      <c r="AHA64">
        <v>2.83</v>
      </c>
      <c r="AHB64">
        <v>4.406</v>
      </c>
      <c r="AHC64">
        <v>3.776</v>
      </c>
      <c r="AHD64">
        <v>3.427</v>
      </c>
      <c r="AHE64" t="s">
        <v>1900</v>
      </c>
      <c r="AHF64">
        <v>2.779</v>
      </c>
      <c r="AHG64">
        <v>4.344</v>
      </c>
      <c r="AHH64">
        <v>3.701</v>
      </c>
      <c r="AHI64">
        <v>3.341</v>
      </c>
      <c r="AHJ64" t="s">
        <v>1900</v>
      </c>
      <c r="AHK64">
        <v>76.02800000000001</v>
      </c>
      <c r="AHL64">
        <v>41.517</v>
      </c>
      <c r="AHM64">
        <v>36.126</v>
      </c>
      <c r="AHN64">
        <v>22.237</v>
      </c>
      <c r="AHO64" t="s">
        <v>1900</v>
      </c>
      <c r="AHP64">
        <v>76.06</v>
      </c>
      <c r="AHQ64">
        <v>82.676</v>
      </c>
      <c r="AHR64">
        <v>78.38</v>
      </c>
      <c r="AHS64">
        <v>76.983</v>
      </c>
      <c r="AHT64" t="s">
        <v>1900</v>
      </c>
      <c r="AHU64" t="s">
        <v>1901</v>
      </c>
      <c r="AHV64" t="s">
        <v>1901</v>
      </c>
      <c r="AHW64" t="s">
        <v>1901</v>
      </c>
      <c r="AHX64" t="s">
        <v>1901</v>
      </c>
      <c r="AHY64" t="s">
        <v>1900</v>
      </c>
      <c r="AHZ64">
        <v>1.315</v>
      </c>
      <c r="AIA64">
        <v>2.409</v>
      </c>
      <c r="AIB64">
        <v>2.768</v>
      </c>
      <c r="AIC64">
        <v>4.497</v>
      </c>
      <c r="AID64" t="s">
        <v>1900</v>
      </c>
      <c r="AIE64">
        <v>0.239256778</v>
      </c>
      <c r="AIF64">
        <v>0.22974609</v>
      </c>
      <c r="AIG64">
        <v>0.138652039</v>
      </c>
      <c r="AIH64">
        <v>0.547582653</v>
      </c>
      <c r="AII64" t="s">
        <v>1900</v>
      </c>
      <c r="AIJ64">
        <v>53.087656147</v>
      </c>
      <c r="AIK64">
        <v>53.58310977</v>
      </c>
      <c r="AIL64">
        <v>60.155323505</v>
      </c>
      <c r="AIM64">
        <v>57.598639701</v>
      </c>
      <c r="AIN64" t="s">
        <v>1900</v>
      </c>
      <c r="AIO64">
        <v>22.939695918</v>
      </c>
      <c r="AIP64">
        <v>15.332624779</v>
      </c>
      <c r="AIQ64">
        <v>19.450416603</v>
      </c>
      <c r="AIR64">
        <v>19.55521935</v>
      </c>
      <c r="AIS64" t="s">
        <v>1900</v>
      </c>
      <c r="AIT64">
        <v>5.376462961</v>
      </c>
      <c r="AIU64">
        <v>3.775567353</v>
      </c>
      <c r="AIV64">
        <v>6.492627546</v>
      </c>
      <c r="AIW64">
        <v>6.815754619</v>
      </c>
      <c r="AIX64" t="s">
        <v>1900</v>
      </c>
      <c r="AIY64">
        <v>39.8826469838419</v>
      </c>
      <c r="AIZ64">
        <v>17.8483819757605</v>
      </c>
      <c r="AJA64">
        <v>21.6575615599322</v>
      </c>
      <c r="AJB64">
        <v>11.2482499038076</v>
      </c>
      <c r="AJC64" t="s">
        <v>1900</v>
      </c>
      <c r="AJD64">
        <v>161.326001581127</v>
      </c>
      <c r="AJE64">
        <v>129.157208131321</v>
      </c>
      <c r="AJF64">
        <v>127.442954671068</v>
      </c>
      <c r="AJG64">
        <v>106.713446296314</v>
      </c>
      <c r="AJH64" t="s">
        <v>1900</v>
      </c>
      <c r="AJI64">
        <v>31.575</v>
      </c>
      <c r="AJJ64">
        <v>36.054</v>
      </c>
      <c r="AJK64">
        <v>45.046</v>
      </c>
      <c r="AJL64">
        <v>44.504</v>
      </c>
      <c r="AJM64" t="s">
        <v>1900</v>
      </c>
      <c r="AJN64">
        <v>50.9384487755499</v>
      </c>
      <c r="AJO64">
        <v>46.5658436430669</v>
      </c>
      <c r="AJP64">
        <v>57.4074616718817</v>
      </c>
      <c r="AJQ64">
        <v>47.4918732182866</v>
      </c>
      <c r="AJR64" t="s">
        <v>1900</v>
      </c>
      <c r="AJS64">
        <v>135.86539453972</v>
      </c>
      <c r="AJT64">
        <v>105.72008802177</v>
      </c>
      <c r="AJU64">
        <v>102.9274653795</v>
      </c>
      <c r="AJV64">
        <v>69.89566444673061</v>
      </c>
      <c r="AJW64" t="s">
        <v>1900</v>
      </c>
      <c r="AJX64">
        <v>21.1335411244736</v>
      </c>
      <c r="AJY64">
        <v>17.8628471980202</v>
      </c>
      <c r="AJZ64">
        <v>17.4450857667804</v>
      </c>
      <c r="AKA64">
        <v>8.552259977688189</v>
      </c>
      <c r="AKB64" t="s">
        <v>1900</v>
      </c>
      <c r="AKC64">
        <v>178.629494961722</v>
      </c>
      <c r="AKD64">
        <v>127.872759963984</v>
      </c>
      <c r="AKE64">
        <v>131.318650630195</v>
      </c>
      <c r="AKF64">
        <v>90.7937532966024</v>
      </c>
      <c r="AKG64" t="s">
        <v>1900</v>
      </c>
      <c r="AKH64">
        <v>5.376462961</v>
      </c>
      <c r="AKI64">
        <v>3.775567353</v>
      </c>
      <c r="AKJ64">
        <v>6.492627546</v>
      </c>
      <c r="AKK64">
        <v>6.815754619</v>
      </c>
      <c r="AKL64" t="s">
        <v>1900</v>
      </c>
      <c r="AKM64">
        <v>1.291513004</v>
      </c>
      <c r="AKN64">
        <v>0.945427687</v>
      </c>
      <c r="AKO64">
        <v>1.501461766</v>
      </c>
      <c r="AKP64">
        <v>1.434760183</v>
      </c>
      <c r="AKQ64" t="s">
        <v>1900</v>
      </c>
      <c r="AKR64">
        <v>1.166406638</v>
      </c>
      <c r="AKS64">
        <v>0.954924256</v>
      </c>
      <c r="AKT64">
        <v>1.457148119</v>
      </c>
      <c r="AKU64">
        <v>1.686329708</v>
      </c>
      <c r="AKV64" t="s">
        <v>1900</v>
      </c>
      <c r="AKW64">
        <v>0.213824189</v>
      </c>
      <c r="AKX64">
        <v>3.531894493</v>
      </c>
      <c r="AKY64">
        <v>0.677478008</v>
      </c>
      <c r="AKZ64">
        <v>0.13860477</v>
      </c>
      <c r="ALA64" t="s">
        <v>1900</v>
      </c>
      <c r="ALB64">
        <v>0.193111454</v>
      </c>
      <c r="ALC64">
        <v>3.567371431</v>
      </c>
      <c r="ALD64">
        <v>0.657483145</v>
      </c>
      <c r="ALE64">
        <v>0.162907602</v>
      </c>
      <c r="ALF64" t="s">
        <v>1900</v>
      </c>
      <c r="ALG64">
        <v>38.365423785</v>
      </c>
      <c r="ALH64">
        <v>28.365612314</v>
      </c>
      <c r="ALI64">
        <v>26.547510192</v>
      </c>
      <c r="ALJ64">
        <v>27.457126597</v>
      </c>
      <c r="ALK64" t="s">
        <v>1900</v>
      </c>
      <c r="ALL64">
        <v>34.649039413</v>
      </c>
      <c r="ALM64">
        <v>28.65053732</v>
      </c>
      <c r="ALN64">
        <v>25.763995734</v>
      </c>
      <c r="ALO64">
        <v>32.271433798</v>
      </c>
      <c r="ALP64" t="s">
        <v>1900</v>
      </c>
      <c r="ALQ64">
        <v>11.808384975</v>
      </c>
      <c r="ALR64">
        <v>12.884885892</v>
      </c>
      <c r="ALS64">
        <v>12.187083005</v>
      </c>
      <c r="ALT64">
        <v>6.579468596</v>
      </c>
      <c r="ALU64" t="s">
        <v>1900</v>
      </c>
      <c r="ALV64">
        <v>0</v>
      </c>
      <c r="ALW64">
        <v>0</v>
      </c>
      <c r="ALX64">
        <v>0</v>
      </c>
      <c r="ALY64">
        <v>0</v>
      </c>
      <c r="ALZ64" t="s">
        <v>1900</v>
      </c>
      <c r="AMA64">
        <v>75.97838926480961</v>
      </c>
      <c r="AMB64">
        <v>74.9593213713801</v>
      </c>
      <c r="AMC64">
        <v>76.8743585641844</v>
      </c>
      <c r="AMD64">
        <v>78.9493568468706</v>
      </c>
      <c r="AME64" t="s">
        <v>1900</v>
      </c>
      <c r="AMF64">
        <v>82.74081716404631</v>
      </c>
      <c r="AMG64">
        <v>75.3088576129179</v>
      </c>
      <c r="AMH64">
        <v>77.72403581025419</v>
      </c>
      <c r="AMI64">
        <v>79.1993810322771</v>
      </c>
      <c r="AMJ64" t="s">
        <v>1900</v>
      </c>
      <c r="AMK64">
        <v>316.291817823462</v>
      </c>
      <c r="AML64">
        <v>299.350199262198</v>
      </c>
      <c r="AMM64">
        <v>332.420438055941</v>
      </c>
      <c r="AMN64">
        <v>375.044868095321</v>
      </c>
      <c r="AMO64" t="s">
        <v>1900</v>
      </c>
      <c r="AMP64">
        <v>1.48408091373816</v>
      </c>
      <c r="AMQ64">
        <v>1.22664596452945</v>
      </c>
      <c r="AMR64">
        <v>1.28532515826311</v>
      </c>
      <c r="AMS64">
        <v>1.15540516645737</v>
      </c>
      <c r="AMT64" t="s">
        <v>1900</v>
      </c>
      <c r="AMU64">
        <v>1.48408091373816</v>
      </c>
      <c r="AMV64">
        <v>1.22664596452945</v>
      </c>
      <c r="AMW64">
        <v>1.28532515826311</v>
      </c>
      <c r="AMX64">
        <v>1.15540516645737</v>
      </c>
      <c r="AMY64" t="s">
        <v>1900</v>
      </c>
      <c r="AMZ64">
        <v>1.48408091373816</v>
      </c>
      <c r="ANA64">
        <v>1.22664596452945</v>
      </c>
      <c r="ANB64">
        <v>1.28532515826311</v>
      </c>
      <c r="ANC64">
        <v>1.15540516645737</v>
      </c>
      <c r="AND64" t="s">
        <v>1900</v>
      </c>
      <c r="ANE64">
        <v>24.7828051416823</v>
      </c>
      <c r="ANF64">
        <v>13.8501476252823</v>
      </c>
      <c r="ANG64">
        <v>17.0650892365178</v>
      </c>
      <c r="ANH64">
        <v>10.6189052106361</v>
      </c>
      <c r="ANI64" t="s">
        <v>1900</v>
      </c>
      <c r="ANJ64">
        <v>26.9885893723448</v>
      </c>
      <c r="ANK64">
        <v>13.9147310347518</v>
      </c>
      <c r="ANL64">
        <v>17.2537063293591</v>
      </c>
      <c r="ANM64">
        <v>10.6525341498857</v>
      </c>
      <c r="ANN64" t="s">
        <v>1900</v>
      </c>
      <c r="ANO64">
        <v>32.9483241011104</v>
      </c>
      <c r="ANP64">
        <v>16.0768094703629</v>
      </c>
      <c r="ANQ64">
        <v>20.5764847148444</v>
      </c>
      <c r="ANR64">
        <v>11.880482372319</v>
      </c>
      <c r="ANS64" t="s">
        <v>1900</v>
      </c>
      <c r="ANT64">
        <v>29.0449707208666</v>
      </c>
      <c r="ANU64">
        <v>16.5226199891598</v>
      </c>
      <c r="ANV64">
        <v>20.560548079823</v>
      </c>
      <c r="ANW64">
        <v>15.5147594854231</v>
      </c>
      <c r="ANX64" t="s">
        <v>1900</v>
      </c>
      <c r="ANY64">
        <v>75.97838926480961</v>
      </c>
      <c r="ANZ64">
        <v>74.9593213713801</v>
      </c>
      <c r="AOA64">
        <v>76.8743585641844</v>
      </c>
      <c r="AOB64">
        <v>78.9493568468706</v>
      </c>
      <c r="AOC64" t="s">
        <v>1900</v>
      </c>
      <c r="AOD64">
        <v>101.011995206582</v>
      </c>
      <c r="AOE64">
        <v>87.0103886485339</v>
      </c>
      <c r="AOF64">
        <v>92.69239920377851</v>
      </c>
      <c r="AOG64">
        <v>88.32892127012229</v>
      </c>
      <c r="AOH64" t="s">
        <v>1900</v>
      </c>
      <c r="AOI64">
        <v>68.6185097013707</v>
      </c>
      <c r="AOJ64">
        <v>75.71226775340961</v>
      </c>
      <c r="AOK64">
        <v>74.6055141058205</v>
      </c>
      <c r="AOL64">
        <v>92.7922641120644</v>
      </c>
      <c r="AOM64" t="s">
        <v>1900</v>
      </c>
      <c r="AON64">
        <v>103.168790031956</v>
      </c>
      <c r="AOO64">
        <v>55.3105921396733</v>
      </c>
      <c r="AOP64">
        <v>73.7929336311873</v>
      </c>
      <c r="AOQ64">
        <v>50.4445642510333</v>
      </c>
      <c r="AOR64" t="s">
        <v>1900</v>
      </c>
      <c r="AOS64">
        <v>48.4080913738159</v>
      </c>
      <c r="AOT64">
        <v>22.6645964529453</v>
      </c>
      <c r="AOU64">
        <v>28.5325158263115</v>
      </c>
      <c r="AOV64">
        <v>15.5405166457367</v>
      </c>
      <c r="AOW64" t="s">
        <v>1900</v>
      </c>
      <c r="AOX64">
        <v>22.3821427579189</v>
      </c>
      <c r="AOY64">
        <v>13.9892686625895</v>
      </c>
      <c r="AOZ64">
        <v>16.5614358224417</v>
      </c>
      <c r="APA64">
        <v>12.4808142363655</v>
      </c>
      <c r="APB64" t="s">
        <v>1900</v>
      </c>
      <c r="APC64">
        <v>18.7098689104147</v>
      </c>
      <c r="APD64">
        <v>10.7739870619432</v>
      </c>
      <c r="APE64">
        <v>12.877266296831</v>
      </c>
      <c r="APF64">
        <v>7.90337162726866</v>
      </c>
      <c r="APG64" t="s">
        <v>1900</v>
      </c>
      <c r="APH64">
        <v>20.3751337407847</v>
      </c>
      <c r="API64">
        <v>10.8242262967056</v>
      </c>
      <c r="APJ64">
        <v>13.0195962019952</v>
      </c>
      <c r="APK64">
        <v>7.92840076153894</v>
      </c>
      <c r="APL64" t="s">
        <v>1900</v>
      </c>
      <c r="APM64">
        <v>77.88765339955221</v>
      </c>
      <c r="APN64">
        <v>43.0259388003536</v>
      </c>
      <c r="APO64">
        <v>55.6839313303866</v>
      </c>
      <c r="APP64">
        <v>37.5445613218414</v>
      </c>
      <c r="APQ64" t="s">
        <v>1900</v>
      </c>
      <c r="APR64">
        <v>36.5458647085982</v>
      </c>
      <c r="APS64">
        <v>17.6307195818225</v>
      </c>
      <c r="APT64">
        <v>21.5305527748258</v>
      </c>
      <c r="APU64">
        <v>11.5663974670374</v>
      </c>
      <c r="APV64" t="s">
        <v>1900</v>
      </c>
      <c r="APW64">
        <v>24.874457157911</v>
      </c>
      <c r="APX64">
        <v>12.5061004342534</v>
      </c>
      <c r="APY64">
        <v>15.5269550280882</v>
      </c>
      <c r="APZ64">
        <v>8.84233030026517</v>
      </c>
      <c r="AQA64" t="s">
        <v>1900</v>
      </c>
      <c r="AQB64">
        <v>16.8974801093249</v>
      </c>
      <c r="AQC64">
        <v>10.8822088871934</v>
      </c>
      <c r="AQD64">
        <v>12.4972109074641</v>
      </c>
      <c r="AQE64">
        <v>9.289141504163871</v>
      </c>
      <c r="AQF64" t="s">
        <v>1900</v>
      </c>
      <c r="AQG64">
        <v>0.484080913738159</v>
      </c>
      <c r="AQH64">
        <v>0.226645964529453</v>
      </c>
      <c r="AQI64">
        <v>0.285325158263115</v>
      </c>
      <c r="AQJ64">
        <v>0.155405166457367</v>
      </c>
      <c r="AQK64">
        <v>34</v>
      </c>
      <c r="AQO64" t="s">
        <v>1902</v>
      </c>
      <c r="AQP64">
        <v>12</v>
      </c>
      <c r="AQQ64">
        <v>0</v>
      </c>
      <c r="AQS64" t="s">
        <v>1905</v>
      </c>
      <c r="AQU64" t="s">
        <v>1906</v>
      </c>
      <c r="AQV64" t="s">
        <v>1900</v>
      </c>
      <c r="AQW64">
        <v>9195582.076864241</v>
      </c>
      <c r="AQX64">
        <v>7361960.84961951</v>
      </c>
      <c r="AQY64" t="s">
        <v>1900</v>
      </c>
      <c r="AQZ64">
        <v>2278923.18775272</v>
      </c>
      <c r="ARA64">
        <v>1019642.44578779</v>
      </c>
      <c r="ARB64">
        <v>16557542.92648375</v>
      </c>
      <c r="ARC64">
        <v>3298565.63354051</v>
      </c>
      <c r="ARD64">
        <v>0.248779793543812</v>
      </c>
      <c r="ARE64">
        <v>0.248779793543812</v>
      </c>
      <c r="ARF64">
        <v>0.248779793543812</v>
      </c>
      <c r="ARG64">
        <v>0.248779793543812</v>
      </c>
      <c r="ARH64">
        <v>0.248779793543812</v>
      </c>
      <c r="ARI64">
        <v>0.248779793543812</v>
      </c>
      <c r="ARJ64" t="s">
        <v>1225</v>
      </c>
      <c r="ARK64" t="s">
        <v>1563</v>
      </c>
      <c r="ARL64" t="s">
        <v>1909</v>
      </c>
      <c r="ARP64" t="s">
        <v>1907</v>
      </c>
      <c r="ARQ64" t="s">
        <v>1961</v>
      </c>
    </row>
    <row r="65" spans="1:1163">
      <c r="A65">
        <v>475</v>
      </c>
      <c r="B65" t="s">
        <v>1226</v>
      </c>
      <c r="C65" t="s">
        <v>1349</v>
      </c>
      <c r="E65" s="2">
        <v>42534</v>
      </c>
      <c r="F65" t="s">
        <v>1431</v>
      </c>
      <c r="G65" t="s">
        <v>1433</v>
      </c>
      <c r="H65" t="s">
        <v>1434</v>
      </c>
      <c r="I65" t="s">
        <v>1442</v>
      </c>
      <c r="J65" t="s">
        <v>1483</v>
      </c>
      <c r="L65" t="s">
        <v>1564</v>
      </c>
      <c r="N65" t="s">
        <v>1628</v>
      </c>
      <c r="O65" t="s">
        <v>1652</v>
      </c>
      <c r="P65">
        <v>7490</v>
      </c>
      <c r="Q65">
        <v>7490</v>
      </c>
      <c r="R65" t="s">
        <v>1734</v>
      </c>
      <c r="Z65" t="s">
        <v>1899</v>
      </c>
      <c r="AA65" s="2">
        <v>45657</v>
      </c>
      <c r="AB65">
        <v>2024</v>
      </c>
      <c r="AC65">
        <v>1453780.42602268</v>
      </c>
      <c r="AD65">
        <v>1294516.23586298</v>
      </c>
      <c r="AE65">
        <v>1219413.22348017</v>
      </c>
      <c r="AF65">
        <v>1232582.08331244</v>
      </c>
      <c r="AG65">
        <v>1776360.22289866</v>
      </c>
      <c r="AH65">
        <v>1453780.42602268</v>
      </c>
      <c r="AI65">
        <v>1294516.23586298</v>
      </c>
      <c r="AJ65">
        <v>1214186.8859877</v>
      </c>
      <c r="AK65">
        <v>1232582.08331244</v>
      </c>
      <c r="AL65">
        <v>1776360.22289866</v>
      </c>
      <c r="AM65">
        <v>1223718.21087819</v>
      </c>
      <c r="AN65">
        <v>856379.063982401</v>
      </c>
      <c r="AO65">
        <v>588431.375733686</v>
      </c>
      <c r="AP65">
        <v>677121.899884844</v>
      </c>
      <c r="AQ65">
        <v>1318121.64782884</v>
      </c>
      <c r="AR65">
        <v>230062.21514449</v>
      </c>
      <c r="AS65">
        <v>438137.170775578</v>
      </c>
      <c r="AT65">
        <v>630981.8466798801</v>
      </c>
      <c r="AU65">
        <v>555460.183427596</v>
      </c>
      <c r="AV65">
        <v>458238.573842716</v>
      </c>
      <c r="AW65">
        <v>55806.5250826073</v>
      </c>
      <c r="AX65">
        <v>65725.63944685931</v>
      </c>
      <c r="AY65">
        <v>221142.145244052</v>
      </c>
      <c r="AZ65">
        <v>228142.115023255</v>
      </c>
      <c r="BA65">
        <v>75278.9711611211</v>
      </c>
      <c r="BB65">
        <v>174255.690061883</v>
      </c>
      <c r="BC65">
        <v>372411.53243372</v>
      </c>
      <c r="BD65">
        <v>409839.701435828</v>
      </c>
      <c r="BE65">
        <v>327318.068404341</v>
      </c>
      <c r="BF65">
        <v>382959.603908694</v>
      </c>
      <c r="BG65">
        <v>0</v>
      </c>
      <c r="BH65">
        <v>0</v>
      </c>
      <c r="BI65">
        <v>17208.9747813404</v>
      </c>
      <c r="BJ65">
        <v>-8499.066685223581</v>
      </c>
      <c r="BK65">
        <v>-2490.98703585863</v>
      </c>
      <c r="BL65" t="s">
        <v>1900</v>
      </c>
      <c r="BM65" t="s">
        <v>1900</v>
      </c>
      <c r="BN65">
        <v>17208.9747813404</v>
      </c>
      <c r="BO65" t="s">
        <v>1900</v>
      </c>
      <c r="BP65" t="s">
        <v>1900</v>
      </c>
      <c r="BQ65" t="s">
        <v>1900</v>
      </c>
      <c r="BR65" t="s">
        <v>1900</v>
      </c>
      <c r="BS65" t="s">
        <v>1900</v>
      </c>
      <c r="BT65">
        <v>8499.066685223581</v>
      </c>
      <c r="BU65">
        <v>2490.98703585863</v>
      </c>
      <c r="BV65">
        <v>174255.690061883</v>
      </c>
      <c r="BW65">
        <v>372411.53243372</v>
      </c>
      <c r="BX65">
        <v>427048.676217169</v>
      </c>
      <c r="BY65">
        <v>318819.001719117</v>
      </c>
      <c r="BZ65">
        <v>380468.616872835</v>
      </c>
      <c r="CA65">
        <v>45536.3382250929</v>
      </c>
      <c r="CB65">
        <v>93634.9242722034</v>
      </c>
      <c r="CC65">
        <v>107675.543526566</v>
      </c>
      <c r="CD65">
        <v>81002.9510596991</v>
      </c>
      <c r="CE65">
        <v>95119.96427560451</v>
      </c>
      <c r="CF65">
        <v>128719.35079789</v>
      </c>
      <c r="CG65">
        <v>278776.607056516</v>
      </c>
      <c r="CH65">
        <v>319373.132690603</v>
      </c>
      <c r="CI65">
        <v>237816.050659418</v>
      </c>
      <c r="CJ65">
        <v>285348.652597231</v>
      </c>
      <c r="CK65" t="s">
        <v>1900</v>
      </c>
      <c r="CL65" t="s">
        <v>1900</v>
      </c>
      <c r="CM65" t="s">
        <v>1900</v>
      </c>
      <c r="CN65" t="s">
        <v>1900</v>
      </c>
      <c r="CO65" t="s">
        <v>1900</v>
      </c>
      <c r="CP65" t="s">
        <v>1900</v>
      </c>
      <c r="CQ65" t="s">
        <v>1900</v>
      </c>
      <c r="CR65" t="s">
        <v>1900</v>
      </c>
      <c r="CS65" t="s">
        <v>1900</v>
      </c>
      <c r="CT65" t="s">
        <v>1900</v>
      </c>
      <c r="CU65" t="s">
        <v>1900</v>
      </c>
      <c r="CV65" t="s">
        <v>1900</v>
      </c>
      <c r="CW65" t="s">
        <v>1900</v>
      </c>
      <c r="CX65" t="s">
        <v>1900</v>
      </c>
      <c r="CY65" t="s">
        <v>1900</v>
      </c>
      <c r="CZ65">
        <v>128719.35079789</v>
      </c>
      <c r="DA65">
        <v>278776.607056516</v>
      </c>
      <c r="DB65">
        <v>319373.132690603</v>
      </c>
      <c r="DC65">
        <v>237816.050659418</v>
      </c>
      <c r="DD65">
        <v>285348.652597231</v>
      </c>
      <c r="DE65" t="s">
        <v>1900</v>
      </c>
      <c r="DF65" t="s">
        <v>1900</v>
      </c>
      <c r="DG65" t="s">
        <v>1900</v>
      </c>
      <c r="DH65" t="s">
        <v>1900</v>
      </c>
      <c r="DI65" t="s">
        <v>1900</v>
      </c>
      <c r="DJ65">
        <v>1223718.21087819</v>
      </c>
      <c r="DK65">
        <v>856379.063982401</v>
      </c>
      <c r="DL65">
        <v>588431.375733686</v>
      </c>
      <c r="DM65">
        <v>677121.899884844</v>
      </c>
      <c r="DN65">
        <v>1318121.64782884</v>
      </c>
      <c r="DO65" t="s">
        <v>1900</v>
      </c>
      <c r="DP65" t="s">
        <v>1900</v>
      </c>
      <c r="DQ65">
        <v>46244.7993303001</v>
      </c>
      <c r="DR65">
        <v>61850.430688405</v>
      </c>
      <c r="DS65">
        <v>2013.51042745709</v>
      </c>
      <c r="DT65">
        <v>5824.7149440074</v>
      </c>
      <c r="DU65">
        <v>6251.06515540123</v>
      </c>
      <c r="DV65">
        <v>6157.96948148012</v>
      </c>
      <c r="DW65">
        <v>2622.24153585434</v>
      </c>
      <c r="DX65">
        <v>345.93156350255</v>
      </c>
      <c r="DY65">
        <v>49981.8101385999</v>
      </c>
      <c r="DZ65">
        <v>59474.5742914581</v>
      </c>
      <c r="EA65">
        <v>168739.376432272</v>
      </c>
      <c r="EB65">
        <v>163669.442798996</v>
      </c>
      <c r="EC65">
        <v>72919.52917016151</v>
      </c>
      <c r="ED65" t="s">
        <v>1900</v>
      </c>
      <c r="EE65" t="s">
        <v>1900</v>
      </c>
      <c r="EF65" t="s">
        <v>1900</v>
      </c>
      <c r="EG65" t="s">
        <v>1900</v>
      </c>
      <c r="EH65">
        <v>343.870036679506</v>
      </c>
      <c r="EI65" t="s">
        <v>1900</v>
      </c>
      <c r="EJ65" t="s">
        <v>1900</v>
      </c>
      <c r="EK65" t="s">
        <v>1900</v>
      </c>
      <c r="EL65" t="s">
        <v>1900</v>
      </c>
      <c r="EM65" t="s">
        <v>1900</v>
      </c>
      <c r="EN65">
        <v>134544.065741898</v>
      </c>
      <c r="EO65">
        <v>285027.672211917</v>
      </c>
      <c r="EP65">
        <v>325531.102172083</v>
      </c>
      <c r="EQ65">
        <v>240438.292195272</v>
      </c>
      <c r="ER65">
        <v>285694.584160733</v>
      </c>
      <c r="ES65">
        <v>180080.40500589</v>
      </c>
      <c r="ET65">
        <v>378662.597589121</v>
      </c>
      <c r="EU65">
        <v>479451.445028949</v>
      </c>
      <c r="EV65">
        <v>383291.673943377</v>
      </c>
      <c r="EW65">
        <v>383171.928900474</v>
      </c>
      <c r="EX65">
        <v>180080.40500589</v>
      </c>
      <c r="EY65">
        <v>378662.597589121</v>
      </c>
      <c r="EZ65">
        <v>415997.670917308</v>
      </c>
      <c r="FA65">
        <v>329940.309940195</v>
      </c>
      <c r="FB65">
        <v>383305.535472196</v>
      </c>
      <c r="FC65">
        <v>8517.52177603245</v>
      </c>
      <c r="FD65">
        <v>82411.9977854919</v>
      </c>
      <c r="FE65">
        <v>49887.0232628047</v>
      </c>
      <c r="FF65">
        <v>36957.9599148989</v>
      </c>
      <c r="FG65">
        <v>23238.7083646774</v>
      </c>
      <c r="FH65">
        <v>206.325448822975</v>
      </c>
      <c r="FI65">
        <v>7038.67635887146</v>
      </c>
      <c r="FJ65">
        <v>10527.1662931919</v>
      </c>
      <c r="FK65">
        <v>10612.2836648941</v>
      </c>
      <c r="FL65">
        <v>0</v>
      </c>
      <c r="FM65">
        <v>0</v>
      </c>
      <c r="FN65">
        <v>9552.861887207029</v>
      </c>
      <c r="FO65">
        <v>11521.6103260696</v>
      </c>
      <c r="FP65">
        <v>14164.559943223</v>
      </c>
      <c r="FQ65">
        <v>7531.83733196259</v>
      </c>
      <c r="FR65">
        <v>8311.196327209471</v>
      </c>
      <c r="FS65">
        <v>65820.4595394135</v>
      </c>
      <c r="FT65">
        <v>27838.2466435432</v>
      </c>
      <c r="FU65">
        <v>12181.1163067818</v>
      </c>
      <c r="FV65">
        <v>15706.8710327148</v>
      </c>
      <c r="FW65">
        <v>206.325448822975</v>
      </c>
      <c r="FX65">
        <v>7038.67635887146</v>
      </c>
      <c r="FY65">
        <v>10527.1662931919</v>
      </c>
      <c r="FZ65">
        <v>10612.2836648941</v>
      </c>
      <c r="GA65">
        <v>0</v>
      </c>
      <c r="GB65">
        <v>0</v>
      </c>
      <c r="GC65">
        <v>9552.861887207029</v>
      </c>
      <c r="GD65">
        <v>11521.6103260696</v>
      </c>
      <c r="GE65">
        <v>14164.559943223</v>
      </c>
      <c r="GF65">
        <v>7531.83733196259</v>
      </c>
      <c r="GG65">
        <v>8311.196327209471</v>
      </c>
      <c r="GH65">
        <v>65820.4595394135</v>
      </c>
      <c r="GI65">
        <v>27838.2466435432</v>
      </c>
      <c r="GJ65">
        <v>12181.1163067818</v>
      </c>
      <c r="GK65">
        <v>15706.8710327148</v>
      </c>
      <c r="GL65">
        <v>961737.043629968</v>
      </c>
      <c r="GM65">
        <v>486591.012676067</v>
      </c>
      <c r="GN65">
        <v>616387.620278615</v>
      </c>
      <c r="GO65">
        <v>451552.39585197</v>
      </c>
      <c r="GP65">
        <v>572178.389506888</v>
      </c>
      <c r="GQ65">
        <v>0</v>
      </c>
      <c r="GR65">
        <v>0</v>
      </c>
      <c r="GS65">
        <v>0</v>
      </c>
      <c r="GT65">
        <v>0</v>
      </c>
      <c r="GU65">
        <v>0</v>
      </c>
      <c r="GV65">
        <v>239146.581288029</v>
      </c>
      <c r="GW65">
        <v>196382.511384058</v>
      </c>
      <c r="GX65">
        <v>206749.634138006</v>
      </c>
      <c r="GY65">
        <v>80187.2070142507</v>
      </c>
      <c r="GZ65">
        <v>26892.7155745506</v>
      </c>
      <c r="HA65">
        <v>722590.462341939</v>
      </c>
      <c r="HB65">
        <v>290208.501292009</v>
      </c>
      <c r="HC65">
        <v>409637.986140609</v>
      </c>
      <c r="HD65">
        <v>371365.188837719</v>
      </c>
      <c r="HE65">
        <v>545285.673932338</v>
      </c>
      <c r="HF65">
        <v>722590.462341939</v>
      </c>
      <c r="HG65">
        <v>290208.501292009</v>
      </c>
      <c r="HH65">
        <v>409637.986140609</v>
      </c>
      <c r="HI65">
        <v>371365.188837719</v>
      </c>
      <c r="HJ65">
        <v>545285.673932338</v>
      </c>
      <c r="HK65">
        <v>970254.5654060011</v>
      </c>
      <c r="HL65">
        <v>569003.0104615591</v>
      </c>
      <c r="HM65">
        <v>666274.64354142</v>
      </c>
      <c r="HN65">
        <v>488510.355766869</v>
      </c>
      <c r="HO65">
        <v>595417.097871566</v>
      </c>
      <c r="HP65">
        <v>362681.232242984</v>
      </c>
      <c r="HQ65">
        <v>528156.567680178</v>
      </c>
      <c r="HR65">
        <v>560693.346778059</v>
      </c>
      <c r="HS65">
        <v>482773.089627385</v>
      </c>
      <c r="HT65">
        <v>510814.994363159</v>
      </c>
      <c r="HU65">
        <v>3116.69862270355</v>
      </c>
      <c r="HV65">
        <v>3315.00148773193</v>
      </c>
      <c r="HW65">
        <v>3199.79846477509</v>
      </c>
      <c r="HX65">
        <v>3397.8009223938</v>
      </c>
      <c r="HY65">
        <v>3681.29789829254</v>
      </c>
      <c r="HZ65">
        <v>359564.53362028</v>
      </c>
      <c r="IA65">
        <v>524841.566192446</v>
      </c>
      <c r="IB65">
        <v>557493.5483132839</v>
      </c>
      <c r="IC65">
        <v>479375.288704991</v>
      </c>
      <c r="ID65">
        <v>507133.696464866</v>
      </c>
      <c r="IE65">
        <v>0</v>
      </c>
      <c r="IF65">
        <v>0</v>
      </c>
      <c r="IG65">
        <v>0</v>
      </c>
      <c r="IH65">
        <v>0</v>
      </c>
      <c r="II65">
        <v>0</v>
      </c>
      <c r="IJ65" t="s">
        <v>1900</v>
      </c>
      <c r="IK65" t="s">
        <v>1900</v>
      </c>
      <c r="IL65" t="s">
        <v>1900</v>
      </c>
      <c r="IM65" t="s">
        <v>1900</v>
      </c>
      <c r="IN65" t="s">
        <v>1900</v>
      </c>
      <c r="IO65" t="s">
        <v>1900</v>
      </c>
      <c r="IP65" t="s">
        <v>1900</v>
      </c>
      <c r="IQ65" t="s">
        <v>1900</v>
      </c>
      <c r="IR65" t="s">
        <v>1900</v>
      </c>
      <c r="IS65" t="s">
        <v>1900</v>
      </c>
      <c r="IT65" t="s">
        <v>1900</v>
      </c>
      <c r="IU65" t="s">
        <v>1900</v>
      </c>
      <c r="IV65" t="s">
        <v>1900</v>
      </c>
      <c r="IW65" t="s">
        <v>1900</v>
      </c>
      <c r="IX65" t="s">
        <v>1900</v>
      </c>
      <c r="IY65">
        <v>607573.3331630171</v>
      </c>
      <c r="IZ65">
        <v>40846.4427813816</v>
      </c>
      <c r="JA65">
        <v>105581.296763361</v>
      </c>
      <c r="JB65">
        <v>5737.26613948345</v>
      </c>
      <c r="JC65">
        <v>84602.1035084069</v>
      </c>
      <c r="JD65">
        <v>0</v>
      </c>
      <c r="JE65">
        <v>0</v>
      </c>
      <c r="JF65">
        <v>0</v>
      </c>
      <c r="JG65">
        <v>0</v>
      </c>
      <c r="JH65">
        <v>0</v>
      </c>
      <c r="JI65">
        <v>0</v>
      </c>
      <c r="JJ65">
        <v>0</v>
      </c>
      <c r="JK65">
        <v>0</v>
      </c>
      <c r="JL65">
        <v>0</v>
      </c>
      <c r="JM65">
        <v>0</v>
      </c>
      <c r="JN65">
        <v>607573.3331630171</v>
      </c>
      <c r="JO65">
        <v>40846.4427813816</v>
      </c>
      <c r="JP65">
        <v>105581.296763361</v>
      </c>
      <c r="JQ65">
        <v>5737.26613948345</v>
      </c>
      <c r="JR65">
        <v>84602.1035084069</v>
      </c>
      <c r="JS65">
        <v>970254.5654060011</v>
      </c>
      <c r="JT65">
        <v>569003.0104615591</v>
      </c>
      <c r="JU65">
        <v>666274.64354142</v>
      </c>
      <c r="JV65">
        <v>488510.355766869</v>
      </c>
      <c r="JW65">
        <v>595417.097871566</v>
      </c>
      <c r="JX65">
        <v>239146.581288029</v>
      </c>
      <c r="JY65">
        <v>196382.511384058</v>
      </c>
      <c r="JZ65">
        <v>206749.634138006</v>
      </c>
      <c r="KA65">
        <v>80187.2070142507</v>
      </c>
      <c r="KB65">
        <v>26892.7155745506</v>
      </c>
      <c r="KC65" t="s">
        <v>1900</v>
      </c>
      <c r="KD65" t="s">
        <v>1900</v>
      </c>
      <c r="KE65" t="s">
        <v>1900</v>
      </c>
      <c r="KF65" t="s">
        <v>1900</v>
      </c>
      <c r="KG65" t="s">
        <v>1900</v>
      </c>
      <c r="KH65" t="s">
        <v>1900</v>
      </c>
      <c r="KI65" t="s">
        <v>1900</v>
      </c>
      <c r="KJ65" t="s">
        <v>1900</v>
      </c>
      <c r="KK65" t="s">
        <v>1900</v>
      </c>
      <c r="KL65" t="s">
        <v>1900</v>
      </c>
      <c r="KM65" t="s">
        <v>1900</v>
      </c>
      <c r="KN65" t="s">
        <v>1900</v>
      </c>
      <c r="KO65">
        <v>1</v>
      </c>
      <c r="KP65">
        <v>2</v>
      </c>
      <c r="KQ65" t="s">
        <v>1900</v>
      </c>
      <c r="KR65" t="s">
        <v>1900</v>
      </c>
      <c r="KS65" t="s">
        <v>1900</v>
      </c>
      <c r="KT65" t="s">
        <v>1900</v>
      </c>
      <c r="KU65" t="s">
        <v>1900</v>
      </c>
      <c r="KV65" t="s">
        <v>1900</v>
      </c>
      <c r="KW65" t="s">
        <v>1900</v>
      </c>
      <c r="KX65" t="s">
        <v>1900</v>
      </c>
      <c r="KY65" t="s">
        <v>1900</v>
      </c>
      <c r="KZ65" t="s">
        <v>1900</v>
      </c>
      <c r="LA65" t="s">
        <v>1900</v>
      </c>
      <c r="LB65" t="s">
        <v>1900</v>
      </c>
      <c r="LC65" t="s">
        <v>1900</v>
      </c>
      <c r="LD65" t="s">
        <v>1900</v>
      </c>
      <c r="LE65" t="s">
        <v>1900</v>
      </c>
      <c r="LF65" t="s">
        <v>1900</v>
      </c>
      <c r="LG65" t="s">
        <v>1900</v>
      </c>
      <c r="LH65" t="s">
        <v>1900</v>
      </c>
      <c r="LI65" t="s">
        <v>1900</v>
      </c>
      <c r="LJ65" t="s">
        <v>1900</v>
      </c>
      <c r="LK65" t="s">
        <v>1900</v>
      </c>
      <c r="LL65" t="s">
        <v>1900</v>
      </c>
      <c r="LM65" t="s">
        <v>1900</v>
      </c>
      <c r="LN65" t="s">
        <v>1900</v>
      </c>
      <c r="LO65" t="s">
        <v>1900</v>
      </c>
      <c r="LP65" t="s">
        <v>1900</v>
      </c>
      <c r="LQ65" t="s">
        <v>1900</v>
      </c>
      <c r="LR65" t="s">
        <v>1900</v>
      </c>
      <c r="LS65" t="s">
        <v>1900</v>
      </c>
      <c r="LT65" t="s">
        <v>1900</v>
      </c>
      <c r="LU65" t="s">
        <v>1900</v>
      </c>
      <c r="LV65" t="s">
        <v>1900</v>
      </c>
      <c r="LW65" t="s">
        <v>1900</v>
      </c>
      <c r="LX65" t="s">
        <v>1900</v>
      </c>
      <c r="LY65" t="s">
        <v>1900</v>
      </c>
      <c r="LZ65" t="s">
        <v>1900</v>
      </c>
      <c r="MA65" t="s">
        <v>1900</v>
      </c>
      <c r="MB65" t="s">
        <v>1900</v>
      </c>
      <c r="MC65" t="s">
        <v>1900</v>
      </c>
      <c r="MD65" t="s">
        <v>1900</v>
      </c>
      <c r="ME65" t="s">
        <v>1900</v>
      </c>
      <c r="MF65" t="s">
        <v>1900</v>
      </c>
      <c r="MG65" t="s">
        <v>1900</v>
      </c>
      <c r="MH65" t="s">
        <v>1900</v>
      </c>
      <c r="MI65" t="s">
        <v>1900</v>
      </c>
      <c r="MJ65" t="s">
        <v>1900</v>
      </c>
      <c r="MK65" t="s">
        <v>1900</v>
      </c>
      <c r="ML65" t="s">
        <v>1900</v>
      </c>
      <c r="MM65" t="s">
        <v>1900</v>
      </c>
      <c r="MN65" t="s">
        <v>1900</v>
      </c>
      <c r="MO65" t="s">
        <v>1900</v>
      </c>
      <c r="MP65">
        <v>722590.462341939</v>
      </c>
      <c r="MQ65">
        <v>290208.501292009</v>
      </c>
      <c r="MR65">
        <v>409637.986140609</v>
      </c>
      <c r="MS65">
        <v>371365.188837719</v>
      </c>
      <c r="MT65">
        <v>545285.673932338</v>
      </c>
      <c r="MU65" t="s">
        <v>1900</v>
      </c>
      <c r="MV65" t="s">
        <v>1900</v>
      </c>
      <c r="MW65" t="s">
        <v>1900</v>
      </c>
      <c r="MX65" t="s">
        <v>1900</v>
      </c>
      <c r="MY65" t="s">
        <v>1900</v>
      </c>
      <c r="MZ65" t="s">
        <v>1900</v>
      </c>
      <c r="NA65" t="s">
        <v>1900</v>
      </c>
      <c r="NB65" t="s">
        <v>1900</v>
      </c>
      <c r="NC65" t="s">
        <v>1900</v>
      </c>
      <c r="ND65" t="s">
        <v>1900</v>
      </c>
      <c r="NE65" t="s">
        <v>1900</v>
      </c>
      <c r="NF65" t="s">
        <v>1900</v>
      </c>
      <c r="NG65" t="s">
        <v>1900</v>
      </c>
      <c r="NH65" t="s">
        <v>1900</v>
      </c>
      <c r="NI65" t="s">
        <v>1900</v>
      </c>
      <c r="NJ65" t="s">
        <v>1900</v>
      </c>
      <c r="NK65" t="s">
        <v>1900</v>
      </c>
      <c r="NL65" t="s">
        <v>1900</v>
      </c>
      <c r="NM65" t="s">
        <v>1900</v>
      </c>
      <c r="NN65" t="s">
        <v>1900</v>
      </c>
      <c r="NO65" t="s">
        <v>1900</v>
      </c>
      <c r="NP65" t="s">
        <v>1900</v>
      </c>
      <c r="NQ65" t="s">
        <v>1900</v>
      </c>
      <c r="NR65" t="s">
        <v>1900</v>
      </c>
      <c r="NS65" t="s">
        <v>1900</v>
      </c>
      <c r="NT65">
        <v>8517.52177603245</v>
      </c>
      <c r="NU65">
        <v>82411.9977854919</v>
      </c>
      <c r="NV65">
        <v>49887.0232628047</v>
      </c>
      <c r="NW65">
        <v>36957.9599148989</v>
      </c>
      <c r="NX65">
        <v>23238.7083646774</v>
      </c>
      <c r="NY65" t="s">
        <v>1900</v>
      </c>
      <c r="NZ65" t="s">
        <v>1900</v>
      </c>
      <c r="OA65" t="s">
        <v>1900</v>
      </c>
      <c r="OB65" t="s">
        <v>1900</v>
      </c>
      <c r="OC65" t="s">
        <v>1900</v>
      </c>
      <c r="OD65" t="s">
        <v>1900</v>
      </c>
      <c r="OE65" t="s">
        <v>1900</v>
      </c>
      <c r="OF65" t="s">
        <v>1900</v>
      </c>
      <c r="OG65" t="s">
        <v>1900</v>
      </c>
      <c r="OH65" t="s">
        <v>1900</v>
      </c>
      <c r="OI65" t="s">
        <v>1900</v>
      </c>
      <c r="OJ65" t="s">
        <v>1900</v>
      </c>
      <c r="OK65" t="s">
        <v>1900</v>
      </c>
      <c r="OL65" t="s">
        <v>1900</v>
      </c>
      <c r="OM65" t="s">
        <v>1900</v>
      </c>
      <c r="ON65" t="s">
        <v>1900</v>
      </c>
      <c r="OO65" t="s">
        <v>1900</v>
      </c>
      <c r="OP65" t="s">
        <v>1900</v>
      </c>
      <c r="OQ65" t="s">
        <v>1900</v>
      </c>
      <c r="OR65" t="s">
        <v>1900</v>
      </c>
      <c r="OS65" t="s">
        <v>1900</v>
      </c>
      <c r="OT65" t="s">
        <v>1900</v>
      </c>
      <c r="OU65" t="s">
        <v>1900</v>
      </c>
      <c r="OV65" t="s">
        <v>1900</v>
      </c>
      <c r="OW65" t="s">
        <v>1900</v>
      </c>
      <c r="OX65" t="s">
        <v>1900</v>
      </c>
      <c r="OY65" t="s">
        <v>1900</v>
      </c>
      <c r="OZ65" t="s">
        <v>1900</v>
      </c>
      <c r="PA65" t="s">
        <v>1900</v>
      </c>
      <c r="PB65" t="s">
        <v>1900</v>
      </c>
      <c r="PC65" t="s">
        <v>1900</v>
      </c>
      <c r="PD65" t="s">
        <v>1900</v>
      </c>
      <c r="PE65" t="s">
        <v>1900</v>
      </c>
      <c r="PF65" t="s">
        <v>1900</v>
      </c>
      <c r="PG65" t="s">
        <v>1900</v>
      </c>
      <c r="PH65" t="s">
        <v>1900</v>
      </c>
      <c r="PI65" t="s">
        <v>1900</v>
      </c>
      <c r="PJ65" t="s">
        <v>1900</v>
      </c>
      <c r="PK65" t="s">
        <v>1900</v>
      </c>
      <c r="PL65" t="s">
        <v>1900</v>
      </c>
      <c r="PM65" t="s">
        <v>1900</v>
      </c>
      <c r="PN65" t="s">
        <v>1900</v>
      </c>
      <c r="PO65" t="s">
        <v>1900</v>
      </c>
      <c r="PP65" t="s">
        <v>1900</v>
      </c>
      <c r="PQ65" t="s">
        <v>1900</v>
      </c>
      <c r="PR65" t="s">
        <v>1900</v>
      </c>
      <c r="PS65" t="s">
        <v>1900</v>
      </c>
      <c r="PT65" t="s">
        <v>1900</v>
      </c>
      <c r="PU65" t="s">
        <v>1900</v>
      </c>
      <c r="PV65" t="s">
        <v>1900</v>
      </c>
      <c r="PW65" t="s">
        <v>1900</v>
      </c>
      <c r="PX65" t="s">
        <v>1900</v>
      </c>
      <c r="PY65" t="s">
        <v>1900</v>
      </c>
      <c r="PZ65" t="s">
        <v>1900</v>
      </c>
      <c r="QA65" t="s">
        <v>1900</v>
      </c>
      <c r="QB65" t="s">
        <v>1900</v>
      </c>
      <c r="QC65" t="s">
        <v>1900</v>
      </c>
      <c r="QD65" t="s">
        <v>1900</v>
      </c>
      <c r="QE65" t="s">
        <v>1900</v>
      </c>
      <c r="QF65" t="s">
        <v>1900</v>
      </c>
      <c r="QG65" t="s">
        <v>1900</v>
      </c>
      <c r="QH65" t="s">
        <v>1900</v>
      </c>
      <c r="QI65" t="s">
        <v>1900</v>
      </c>
      <c r="QJ65" t="s">
        <v>1900</v>
      </c>
      <c r="QK65" t="s">
        <v>1900</v>
      </c>
      <c r="QL65" t="s">
        <v>1900</v>
      </c>
      <c r="QM65" t="s">
        <v>1900</v>
      </c>
      <c r="QN65" t="s">
        <v>1900</v>
      </c>
      <c r="QO65" t="s">
        <v>1900</v>
      </c>
      <c r="QP65" t="s">
        <v>1900</v>
      </c>
      <c r="QQ65" t="s">
        <v>1900</v>
      </c>
      <c r="QR65" t="s">
        <v>1900</v>
      </c>
      <c r="QS65" t="s">
        <v>1900</v>
      </c>
      <c r="QT65" t="s">
        <v>1900</v>
      </c>
      <c r="QU65" t="s">
        <v>1900</v>
      </c>
      <c r="QV65" t="s">
        <v>1900</v>
      </c>
      <c r="QW65" t="s">
        <v>1900</v>
      </c>
      <c r="QX65" t="s">
        <v>1900</v>
      </c>
      <c r="QY65" t="s">
        <v>1900</v>
      </c>
      <c r="QZ65" t="s">
        <v>1900</v>
      </c>
      <c r="RA65" t="s">
        <v>1900</v>
      </c>
      <c r="RB65" t="s">
        <v>1900</v>
      </c>
      <c r="RC65" t="s">
        <v>1900</v>
      </c>
      <c r="RD65" t="s">
        <v>1900</v>
      </c>
      <c r="RE65" t="s">
        <v>1900</v>
      </c>
      <c r="RF65" t="s">
        <v>1900</v>
      </c>
      <c r="RG65" t="s">
        <v>1900</v>
      </c>
      <c r="RH65" t="s">
        <v>1900</v>
      </c>
      <c r="RI65" t="s">
        <v>1900</v>
      </c>
      <c r="RJ65" t="s">
        <v>1900</v>
      </c>
      <c r="RK65" t="s">
        <v>1900</v>
      </c>
      <c r="RL65" t="s">
        <v>1900</v>
      </c>
      <c r="RM65" t="s">
        <v>1900</v>
      </c>
      <c r="RN65" t="s">
        <v>1900</v>
      </c>
      <c r="RO65" t="s">
        <v>1900</v>
      </c>
      <c r="RP65" t="s">
        <v>1900</v>
      </c>
      <c r="RQ65" t="s">
        <v>1900</v>
      </c>
      <c r="RR65" t="s">
        <v>1900</v>
      </c>
      <c r="RS65" t="s">
        <v>1900</v>
      </c>
      <c r="RT65" t="s">
        <v>1900</v>
      </c>
      <c r="RU65" t="s">
        <v>1900</v>
      </c>
      <c r="RV65" t="s">
        <v>1900</v>
      </c>
      <c r="RW65" t="s">
        <v>1900</v>
      </c>
      <c r="RX65" t="s">
        <v>1900</v>
      </c>
      <c r="RY65" t="s">
        <v>1900</v>
      </c>
      <c r="RZ65" t="s">
        <v>1900</v>
      </c>
      <c r="SA65" t="s">
        <v>1900</v>
      </c>
      <c r="SB65" t="s">
        <v>1900</v>
      </c>
      <c r="SC65" t="s">
        <v>1900</v>
      </c>
      <c r="SD65" t="s">
        <v>1900</v>
      </c>
      <c r="SE65" t="s">
        <v>1900</v>
      </c>
      <c r="SF65" t="s">
        <v>1900</v>
      </c>
      <c r="SG65" t="s">
        <v>1900</v>
      </c>
      <c r="SH65" t="s">
        <v>1900</v>
      </c>
      <c r="SI65" t="s">
        <v>1900</v>
      </c>
      <c r="SJ65">
        <v>8311.196327209471</v>
      </c>
      <c r="SK65">
        <v>65820.4595394135</v>
      </c>
      <c r="SL65">
        <v>27838.2466435432</v>
      </c>
      <c r="SM65">
        <v>12181.1163067818</v>
      </c>
      <c r="SN65">
        <v>15706.8710327148</v>
      </c>
      <c r="SO65" t="s">
        <v>1900</v>
      </c>
      <c r="SP65" t="s">
        <v>1900</v>
      </c>
      <c r="SQ65" t="s">
        <v>1900</v>
      </c>
      <c r="SR65" t="s">
        <v>1900</v>
      </c>
      <c r="SS65" t="s">
        <v>1900</v>
      </c>
      <c r="ST65" t="s">
        <v>1900</v>
      </c>
      <c r="SU65" t="s">
        <v>1900</v>
      </c>
      <c r="SV65" t="s">
        <v>1900</v>
      </c>
      <c r="SW65" t="s">
        <v>1900</v>
      </c>
      <c r="SX65" t="s">
        <v>1900</v>
      </c>
      <c r="SY65" t="s">
        <v>1900</v>
      </c>
      <c r="SZ65" t="s">
        <v>1900</v>
      </c>
      <c r="TA65" t="s">
        <v>1900</v>
      </c>
      <c r="TB65" t="s">
        <v>1900</v>
      </c>
      <c r="TC65" t="s">
        <v>1900</v>
      </c>
      <c r="TD65" t="s">
        <v>1900</v>
      </c>
      <c r="TE65" t="s">
        <v>1900</v>
      </c>
      <c r="TF65" t="s">
        <v>1900</v>
      </c>
      <c r="TG65" t="s">
        <v>1900</v>
      </c>
      <c r="TH65" t="s">
        <v>1900</v>
      </c>
      <c r="TI65" t="s">
        <v>1900</v>
      </c>
      <c r="TJ65" t="s">
        <v>1900</v>
      </c>
      <c r="TK65" t="s">
        <v>1900</v>
      </c>
      <c r="TL65" t="s">
        <v>1900</v>
      </c>
      <c r="TM65" t="s">
        <v>1900</v>
      </c>
      <c r="TN65" t="s">
        <v>1900</v>
      </c>
      <c r="TO65" t="s">
        <v>1900</v>
      </c>
      <c r="TP65" t="s">
        <v>1900</v>
      </c>
      <c r="TQ65" t="s">
        <v>1900</v>
      </c>
      <c r="TR65" t="s">
        <v>1900</v>
      </c>
      <c r="TS65">
        <v>970254.5654060011</v>
      </c>
      <c r="TT65">
        <v>569003.0104615591</v>
      </c>
      <c r="TU65">
        <v>666274.64354142</v>
      </c>
      <c r="TV65">
        <v>488510.355766869</v>
      </c>
      <c r="TW65">
        <v>595417.097871566</v>
      </c>
      <c r="TX65" t="s">
        <v>1900</v>
      </c>
      <c r="TY65" t="s">
        <v>1900</v>
      </c>
      <c r="TZ65" t="s">
        <v>1900</v>
      </c>
      <c r="UA65" t="s">
        <v>1900</v>
      </c>
      <c r="UB65" t="s">
        <v>1900</v>
      </c>
      <c r="UC65">
        <v>0</v>
      </c>
      <c r="UD65">
        <v>0</v>
      </c>
      <c r="UE65">
        <v>0</v>
      </c>
      <c r="UF65">
        <v>0</v>
      </c>
      <c r="UG65">
        <v>0</v>
      </c>
      <c r="UH65" t="s">
        <v>1900</v>
      </c>
      <c r="UI65" t="s">
        <v>1900</v>
      </c>
      <c r="UJ65" t="s">
        <v>1900</v>
      </c>
      <c r="UK65" t="s">
        <v>1900</v>
      </c>
      <c r="UL65" t="s">
        <v>1900</v>
      </c>
      <c r="UM65" t="s">
        <v>1900</v>
      </c>
      <c r="UN65" t="s">
        <v>1900</v>
      </c>
      <c r="UO65" t="s">
        <v>1900</v>
      </c>
      <c r="UP65" t="s">
        <v>1900</v>
      </c>
      <c r="UQ65" t="s">
        <v>1900</v>
      </c>
      <c r="UR65" t="s">
        <v>1900</v>
      </c>
      <c r="US65" t="s">
        <v>1900</v>
      </c>
      <c r="UT65" t="s">
        <v>1900</v>
      </c>
      <c r="UU65" t="s">
        <v>1900</v>
      </c>
      <c r="UV65" t="s">
        <v>1900</v>
      </c>
      <c r="UW65" t="s">
        <v>1900</v>
      </c>
      <c r="UX65" t="s">
        <v>1900</v>
      </c>
      <c r="UY65" t="s">
        <v>1900</v>
      </c>
      <c r="UZ65" t="s">
        <v>1900</v>
      </c>
      <c r="VA65" t="s">
        <v>1900</v>
      </c>
      <c r="VB65" t="s">
        <v>1900</v>
      </c>
      <c r="VC65" t="s">
        <v>1900</v>
      </c>
      <c r="VD65" t="s">
        <v>1900</v>
      </c>
      <c r="VE65" t="s">
        <v>1900</v>
      </c>
      <c r="VF65" t="s">
        <v>1900</v>
      </c>
      <c r="VG65" t="s">
        <v>1900</v>
      </c>
      <c r="VH65" t="s">
        <v>1900</v>
      </c>
      <c r="VI65" t="s">
        <v>1900</v>
      </c>
      <c r="VJ65" t="s">
        <v>1900</v>
      </c>
      <c r="VK65" t="s">
        <v>1900</v>
      </c>
      <c r="VL65" t="s">
        <v>1900</v>
      </c>
      <c r="VM65" t="s">
        <v>1900</v>
      </c>
      <c r="VN65" t="s">
        <v>1900</v>
      </c>
      <c r="VO65" t="s">
        <v>1900</v>
      </c>
      <c r="VP65" t="s">
        <v>1900</v>
      </c>
      <c r="VQ65" t="s">
        <v>1900</v>
      </c>
      <c r="VR65" t="s">
        <v>1900</v>
      </c>
      <c r="VS65" t="s">
        <v>1900</v>
      </c>
      <c r="VT65" t="s">
        <v>1900</v>
      </c>
      <c r="VU65" t="s">
        <v>1900</v>
      </c>
      <c r="VV65" t="s">
        <v>1900</v>
      </c>
      <c r="VW65" t="s">
        <v>1900</v>
      </c>
      <c r="VX65" t="s">
        <v>1900</v>
      </c>
      <c r="VY65" t="s">
        <v>1900</v>
      </c>
      <c r="VZ65" t="s">
        <v>1900</v>
      </c>
      <c r="WA65">
        <v>607573.3331630171</v>
      </c>
      <c r="WB65">
        <v>40846.4427813816</v>
      </c>
      <c r="WC65">
        <v>105581.296763361</v>
      </c>
      <c r="WD65">
        <v>5737.26613948345</v>
      </c>
      <c r="WE65">
        <v>84602.1035084069</v>
      </c>
      <c r="WF65" t="s">
        <v>1900</v>
      </c>
      <c r="WG65" t="s">
        <v>1900</v>
      </c>
      <c r="WH65" t="s">
        <v>1900</v>
      </c>
      <c r="WI65" t="s">
        <v>1900</v>
      </c>
      <c r="WJ65" t="s">
        <v>1900</v>
      </c>
      <c r="WK65" t="s">
        <v>1900</v>
      </c>
      <c r="WL65" t="s">
        <v>1900</v>
      </c>
      <c r="WM65" t="s">
        <v>1900</v>
      </c>
      <c r="WN65" t="s">
        <v>1900</v>
      </c>
      <c r="WO65" t="s">
        <v>1900</v>
      </c>
      <c r="WP65" t="s">
        <v>1900</v>
      </c>
      <c r="WQ65" t="s">
        <v>1900</v>
      </c>
      <c r="WR65" t="s">
        <v>1900</v>
      </c>
      <c r="WS65" t="s">
        <v>1900</v>
      </c>
      <c r="WT65" t="s">
        <v>1900</v>
      </c>
      <c r="WU65" t="s">
        <v>1900</v>
      </c>
      <c r="WV65" t="s">
        <v>1900</v>
      </c>
      <c r="WW65" t="s">
        <v>1900</v>
      </c>
      <c r="WX65" t="s">
        <v>1900</v>
      </c>
      <c r="WY65" t="s">
        <v>1900</v>
      </c>
      <c r="WZ65" t="s">
        <v>1900</v>
      </c>
      <c r="XA65" t="s">
        <v>1900</v>
      </c>
      <c r="XB65" t="s">
        <v>1900</v>
      </c>
      <c r="XC65" t="s">
        <v>1900</v>
      </c>
      <c r="XD65" t="s">
        <v>1900</v>
      </c>
      <c r="XE65" t="s">
        <v>1900</v>
      </c>
      <c r="XF65" t="s">
        <v>1900</v>
      </c>
      <c r="XG65" t="s">
        <v>1900</v>
      </c>
      <c r="XH65" t="s">
        <v>1900</v>
      </c>
      <c r="XI65" t="s">
        <v>1900</v>
      </c>
      <c r="XJ65" t="s">
        <v>1900</v>
      </c>
      <c r="XK65" t="s">
        <v>1900</v>
      </c>
      <c r="XL65" t="s">
        <v>1900</v>
      </c>
      <c r="XM65" t="s">
        <v>1900</v>
      </c>
      <c r="XN65" t="s">
        <v>1900</v>
      </c>
      <c r="XO65" t="s">
        <v>1900</v>
      </c>
      <c r="XP65" t="s">
        <v>1900</v>
      </c>
      <c r="XQ65" t="s">
        <v>1900</v>
      </c>
      <c r="XR65" t="s">
        <v>1900</v>
      </c>
      <c r="XS65" t="s">
        <v>1900</v>
      </c>
      <c r="XT65" t="s">
        <v>1900</v>
      </c>
      <c r="XU65" t="s">
        <v>1900</v>
      </c>
      <c r="XV65" t="s">
        <v>1900</v>
      </c>
      <c r="XW65" t="s">
        <v>1900</v>
      </c>
      <c r="XX65" t="s">
        <v>1900</v>
      </c>
      <c r="XY65" t="s">
        <v>1900</v>
      </c>
      <c r="XZ65" t="s">
        <v>1900</v>
      </c>
      <c r="YA65" t="s">
        <v>1900</v>
      </c>
      <c r="YB65" t="s">
        <v>1900</v>
      </c>
      <c r="YC65" t="s">
        <v>1900</v>
      </c>
      <c r="YD65" t="s">
        <v>1900</v>
      </c>
      <c r="YE65" t="s">
        <v>1900</v>
      </c>
      <c r="YF65" t="s">
        <v>1900</v>
      </c>
      <c r="YG65" t="s">
        <v>1900</v>
      </c>
      <c r="YH65" t="s">
        <v>1900</v>
      </c>
      <c r="YI65" t="s">
        <v>1900</v>
      </c>
      <c r="YJ65" t="s">
        <v>1900</v>
      </c>
      <c r="YK65" t="s">
        <v>1900</v>
      </c>
      <c r="YL65" t="s">
        <v>1900</v>
      </c>
      <c r="YM65" t="s">
        <v>1900</v>
      </c>
      <c r="YN65" t="s">
        <v>1900</v>
      </c>
      <c r="YO65" t="s">
        <v>1900</v>
      </c>
      <c r="YP65" t="s">
        <v>1900</v>
      </c>
      <c r="YQ65" t="s">
        <v>1900</v>
      </c>
      <c r="YR65" t="s">
        <v>1900</v>
      </c>
      <c r="YS65" t="s">
        <v>1900</v>
      </c>
      <c r="YT65" t="s">
        <v>1900</v>
      </c>
      <c r="YU65" t="s">
        <v>1900</v>
      </c>
      <c r="YV65" t="s">
        <v>1900</v>
      </c>
      <c r="YW65" t="s">
        <v>1900</v>
      </c>
      <c r="YX65" t="s">
        <v>1900</v>
      </c>
      <c r="YY65" t="s">
        <v>1900</v>
      </c>
      <c r="YZ65" t="s">
        <v>1900</v>
      </c>
      <c r="ZA65" t="s">
        <v>1900</v>
      </c>
      <c r="ZB65" t="s">
        <v>1900</v>
      </c>
      <c r="ZC65" t="s">
        <v>1900</v>
      </c>
      <c r="ZD65" t="s">
        <v>1900</v>
      </c>
      <c r="ZE65" t="s">
        <v>1900</v>
      </c>
      <c r="ZF65" t="s">
        <v>1900</v>
      </c>
      <c r="ZG65" t="s">
        <v>1900</v>
      </c>
      <c r="ZH65" t="s">
        <v>1900</v>
      </c>
      <c r="ZI65" t="s">
        <v>1900</v>
      </c>
      <c r="ZJ65" t="s">
        <v>1900</v>
      </c>
      <c r="ZK65" t="s">
        <v>1900</v>
      </c>
      <c r="ZL65" t="s">
        <v>1900</v>
      </c>
      <c r="ZM65" t="s">
        <v>1900</v>
      </c>
      <c r="ZN65" t="s">
        <v>1900</v>
      </c>
      <c r="ZO65" t="s">
        <v>1900</v>
      </c>
      <c r="ZP65" t="s">
        <v>1900</v>
      </c>
      <c r="ZQ65" t="s">
        <v>1900</v>
      </c>
      <c r="ZR65" t="s">
        <v>1900</v>
      </c>
      <c r="ZS65" t="s">
        <v>1900</v>
      </c>
      <c r="ZT65" t="s">
        <v>1900</v>
      </c>
      <c r="ZU65" t="s">
        <v>1900</v>
      </c>
      <c r="ZV65" t="s">
        <v>1900</v>
      </c>
      <c r="ZW65" t="s">
        <v>1900</v>
      </c>
      <c r="ZX65" t="s">
        <v>1900</v>
      </c>
      <c r="ZY65" t="s">
        <v>1900</v>
      </c>
      <c r="ZZ65" t="s">
        <v>1900</v>
      </c>
      <c r="AAA65" t="s">
        <v>1900</v>
      </c>
      <c r="AAB65" t="s">
        <v>1900</v>
      </c>
      <c r="AAC65" t="s">
        <v>1900</v>
      </c>
      <c r="AAD65" t="s">
        <v>1900</v>
      </c>
      <c r="AAE65" t="s">
        <v>1900</v>
      </c>
      <c r="AAF65" t="s">
        <v>1900</v>
      </c>
      <c r="AAG65" t="s">
        <v>1900</v>
      </c>
      <c r="AAH65" t="s">
        <v>1900</v>
      </c>
      <c r="AAI65" t="s">
        <v>1900</v>
      </c>
      <c r="AAJ65" t="s">
        <v>1900</v>
      </c>
      <c r="AAK65" t="s">
        <v>1900</v>
      </c>
      <c r="AAL65" t="s">
        <v>1900</v>
      </c>
      <c r="AAM65" t="s">
        <v>1900</v>
      </c>
      <c r="AAN65" t="s">
        <v>1900</v>
      </c>
      <c r="AAO65" t="s">
        <v>1900</v>
      </c>
      <c r="AAP65" t="s">
        <v>1900</v>
      </c>
      <c r="AAQ65" t="s">
        <v>1900</v>
      </c>
      <c r="AAR65" t="s">
        <v>1900</v>
      </c>
      <c r="AAS65" t="s">
        <v>1900</v>
      </c>
      <c r="AAT65" t="s">
        <v>1900</v>
      </c>
      <c r="AAU65" t="s">
        <v>1900</v>
      </c>
      <c r="AAV65" t="s">
        <v>1900</v>
      </c>
      <c r="AAW65" t="s">
        <v>1900</v>
      </c>
      <c r="AAX65" t="s">
        <v>1900</v>
      </c>
      <c r="AAY65" t="s">
        <v>1900</v>
      </c>
      <c r="AAZ65" t="s">
        <v>1900</v>
      </c>
      <c r="ABA65" t="s">
        <v>1900</v>
      </c>
      <c r="ABB65" t="s">
        <v>1900</v>
      </c>
      <c r="ABC65" t="s">
        <v>1900</v>
      </c>
      <c r="ABD65" t="s">
        <v>1900</v>
      </c>
      <c r="ABE65" t="s">
        <v>1900</v>
      </c>
      <c r="ABF65" t="s">
        <v>1900</v>
      </c>
      <c r="ABG65" t="s">
        <v>1900</v>
      </c>
      <c r="ABH65" t="s">
        <v>1900</v>
      </c>
      <c r="ABI65" t="s">
        <v>1900</v>
      </c>
      <c r="ABJ65" t="s">
        <v>1900</v>
      </c>
      <c r="ABK65" t="s">
        <v>1900</v>
      </c>
      <c r="ABL65" t="s">
        <v>1900</v>
      </c>
      <c r="ABM65" t="s">
        <v>1900</v>
      </c>
      <c r="ABN65" t="s">
        <v>1900</v>
      </c>
      <c r="ABO65" t="s">
        <v>1900</v>
      </c>
      <c r="ABP65" t="s">
        <v>1900</v>
      </c>
      <c r="ABQ65" t="s">
        <v>1900</v>
      </c>
      <c r="ABR65" t="s">
        <v>1900</v>
      </c>
      <c r="ABS65" t="s">
        <v>1900</v>
      </c>
      <c r="ABT65" t="s">
        <v>1900</v>
      </c>
      <c r="ABU65" t="s">
        <v>1900</v>
      </c>
      <c r="ABV65" t="s">
        <v>1900</v>
      </c>
      <c r="ABW65" t="s">
        <v>1900</v>
      </c>
      <c r="ABX65" t="s">
        <v>1900</v>
      </c>
      <c r="ABY65" t="s">
        <v>1900</v>
      </c>
      <c r="ABZ65" t="s">
        <v>1900</v>
      </c>
      <c r="ACA65" t="s">
        <v>1900</v>
      </c>
      <c r="ACB65" t="s">
        <v>1900</v>
      </c>
      <c r="ACC65" t="s">
        <v>1900</v>
      </c>
      <c r="ACD65" t="s">
        <v>1900</v>
      </c>
      <c r="ACE65">
        <v>48.047</v>
      </c>
      <c r="ACF65">
        <v>70.512</v>
      </c>
      <c r="ACG65">
        <v>76.164</v>
      </c>
      <c r="ACH65">
        <v>66.039</v>
      </c>
      <c r="ACI65">
        <v>74.483</v>
      </c>
      <c r="ACJ65" t="s">
        <v>1900</v>
      </c>
      <c r="ACK65" t="s">
        <v>1900</v>
      </c>
      <c r="ACL65" t="s">
        <v>1900</v>
      </c>
      <c r="ACM65" t="s">
        <v>1900</v>
      </c>
      <c r="ACN65">
        <v>74.55</v>
      </c>
      <c r="ACO65">
        <v>17.96</v>
      </c>
      <c r="ACP65">
        <v>65.45</v>
      </c>
      <c r="ACQ65">
        <v>64.095</v>
      </c>
      <c r="ACR65">
        <v>65.264</v>
      </c>
      <c r="ACS65">
        <v>63.9</v>
      </c>
      <c r="ACT65">
        <v>35.491</v>
      </c>
      <c r="ACU65">
        <v>52.783</v>
      </c>
      <c r="ACV65">
        <v>56.96</v>
      </c>
      <c r="ACW65">
        <v>49.26</v>
      </c>
      <c r="ACX65">
        <v>55.861</v>
      </c>
      <c r="ACY65" t="s">
        <v>1900</v>
      </c>
      <c r="ACZ65" t="s">
        <v>1900</v>
      </c>
      <c r="ADA65" t="s">
        <v>1900</v>
      </c>
      <c r="ADB65" t="s">
        <v>1900</v>
      </c>
      <c r="ADC65">
        <v>55.929</v>
      </c>
      <c r="ADD65">
        <v>13.267</v>
      </c>
      <c r="ADE65">
        <v>48.994</v>
      </c>
      <c r="ADF65">
        <v>47.934</v>
      </c>
      <c r="ADG65">
        <v>48.682</v>
      </c>
      <c r="ADH65">
        <v>47.924</v>
      </c>
      <c r="ADI65">
        <v>11.986</v>
      </c>
      <c r="ADJ65">
        <v>28.768</v>
      </c>
      <c r="ADK65">
        <v>35.021</v>
      </c>
      <c r="ADL65">
        <v>25.866</v>
      </c>
      <c r="ADM65">
        <v>21.418</v>
      </c>
      <c r="ADN65">
        <v>15.825</v>
      </c>
      <c r="ADO65">
        <v>33.846</v>
      </c>
      <c r="ADP65">
        <v>51.745</v>
      </c>
      <c r="ADQ65">
        <v>45.065</v>
      </c>
      <c r="ADR65">
        <v>25.796</v>
      </c>
      <c r="ADS65">
        <v>11.986383015</v>
      </c>
      <c r="ADT65">
        <v>28.768394101</v>
      </c>
      <c r="ADU65">
        <v>33.609583162</v>
      </c>
      <c r="ADV65">
        <v>26.55547836</v>
      </c>
      <c r="ADW65">
        <v>21.558668055</v>
      </c>
      <c r="ADX65">
        <v>12.387</v>
      </c>
      <c r="ADY65">
        <v>29.251</v>
      </c>
      <c r="ADZ65">
        <v>34.115</v>
      </c>
      <c r="AEA65">
        <v>26.768</v>
      </c>
      <c r="AEB65">
        <v>21.578</v>
      </c>
      <c r="AEC65">
        <v>11.986</v>
      </c>
      <c r="AED65">
        <v>28.768</v>
      </c>
      <c r="AEE65">
        <v>33.61</v>
      </c>
      <c r="AEF65">
        <v>26.555</v>
      </c>
      <c r="AEG65">
        <v>21.559</v>
      </c>
      <c r="AEH65">
        <v>9.255000000000001</v>
      </c>
      <c r="AEI65">
        <v>22.018</v>
      </c>
      <c r="AEJ65">
        <v>26.696</v>
      </c>
      <c r="AEK65">
        <v>19.507</v>
      </c>
      <c r="AEL65">
        <v>16.083</v>
      </c>
      <c r="AEM65">
        <v>13.61878244</v>
      </c>
      <c r="AEN65">
        <v>40.387119928</v>
      </c>
      <c r="AEO65">
        <v>50.624148428</v>
      </c>
      <c r="AEP65">
        <v>36.157194256</v>
      </c>
      <c r="AEQ65">
        <v>27.483811812</v>
      </c>
      <c r="AER65">
        <v>4.122496694</v>
      </c>
      <c r="AES65">
        <v>6.66615305</v>
      </c>
      <c r="AET65">
        <v>2.853286261</v>
      </c>
      <c r="AEU65">
        <v>2.434711291</v>
      </c>
      <c r="AEV65">
        <v>6.087205603</v>
      </c>
      <c r="AEW65" t="s">
        <v>1900</v>
      </c>
      <c r="AEX65" t="s">
        <v>1900</v>
      </c>
      <c r="AEY65" t="s">
        <v>1900</v>
      </c>
      <c r="AEZ65" t="s">
        <v>1900</v>
      </c>
      <c r="AFA65" t="s">
        <v>1900</v>
      </c>
      <c r="AFB65" t="s">
        <v>1900</v>
      </c>
      <c r="AFC65" t="s">
        <v>1900</v>
      </c>
      <c r="AFD65" t="s">
        <v>1900</v>
      </c>
      <c r="AFE65" t="s">
        <v>1900</v>
      </c>
      <c r="AFF65" t="s">
        <v>1900</v>
      </c>
      <c r="AFG65">
        <v>4.008</v>
      </c>
      <c r="AFH65">
        <v>2.451</v>
      </c>
      <c r="AFI65">
        <v>2.175</v>
      </c>
      <c r="AFJ65">
        <v>2.553</v>
      </c>
      <c r="AFK65">
        <v>3.478</v>
      </c>
      <c r="AFL65" t="s">
        <v>1900</v>
      </c>
      <c r="AFM65" t="s">
        <v>1900</v>
      </c>
      <c r="AFN65" t="s">
        <v>1900</v>
      </c>
      <c r="AFO65" t="s">
        <v>1900</v>
      </c>
      <c r="AFP65" t="s">
        <v>1901</v>
      </c>
      <c r="AFQ65" t="s">
        <v>1901</v>
      </c>
      <c r="AFR65" t="s">
        <v>1901</v>
      </c>
      <c r="AFS65" t="s">
        <v>1901</v>
      </c>
      <c r="AFT65" t="s">
        <v>1901</v>
      </c>
      <c r="AFU65" t="s">
        <v>1901</v>
      </c>
      <c r="AFV65">
        <v>59.22</v>
      </c>
      <c r="AFW65">
        <v>54.613</v>
      </c>
      <c r="AFX65">
        <v>61.037</v>
      </c>
      <c r="AFY65">
        <v>23.42</v>
      </c>
      <c r="AFZ65">
        <v>5.45</v>
      </c>
      <c r="AGA65">
        <v>0</v>
      </c>
      <c r="AGB65">
        <v>0</v>
      </c>
      <c r="AGC65">
        <v>0</v>
      </c>
      <c r="AGD65">
        <v>0</v>
      </c>
      <c r="AGE65">
        <v>0</v>
      </c>
      <c r="AGF65" t="s">
        <v>1900</v>
      </c>
      <c r="AGG65" t="s">
        <v>1900</v>
      </c>
      <c r="AGH65" t="s">
        <v>1900</v>
      </c>
      <c r="AGI65" t="s">
        <v>1900</v>
      </c>
      <c r="AGJ65" t="s">
        <v>1900</v>
      </c>
      <c r="AGK65" t="s">
        <v>1900</v>
      </c>
      <c r="AGL65" t="s">
        <v>1900</v>
      </c>
      <c r="AGM65" t="s">
        <v>1900</v>
      </c>
      <c r="AGN65" t="s">
        <v>1900</v>
      </c>
      <c r="AGO65" t="s">
        <v>1900</v>
      </c>
      <c r="AGP65" t="s">
        <v>1900</v>
      </c>
      <c r="AGQ65" t="s">
        <v>1900</v>
      </c>
      <c r="AGR65" t="s">
        <v>1900</v>
      </c>
      <c r="AGS65" t="s">
        <v>1900</v>
      </c>
      <c r="AGT65" t="s">
        <v>1900</v>
      </c>
      <c r="AGU65">
        <v>0</v>
      </c>
      <c r="AGV65">
        <v>0</v>
      </c>
      <c r="AGW65">
        <v>0</v>
      </c>
      <c r="AGX65">
        <v>0</v>
      </c>
      <c r="AGY65">
        <v>0</v>
      </c>
      <c r="AGZ65">
        <v>1.583</v>
      </c>
      <c r="AHA65">
        <v>11.913</v>
      </c>
      <c r="AHB65">
        <v>5.838</v>
      </c>
      <c r="AHC65">
        <v>78.705</v>
      </c>
      <c r="AHD65">
        <v>6.763</v>
      </c>
      <c r="AHE65">
        <v>1.583</v>
      </c>
      <c r="AHF65">
        <v>11.913</v>
      </c>
      <c r="AHG65">
        <v>5.838</v>
      </c>
      <c r="AHH65">
        <v>78.705</v>
      </c>
      <c r="AHI65">
        <v>6.763</v>
      </c>
      <c r="AHJ65" t="s">
        <v>1901</v>
      </c>
      <c r="AHK65" t="s">
        <v>1901</v>
      </c>
      <c r="AHL65" t="s">
        <v>1901</v>
      </c>
      <c r="AHM65" t="s">
        <v>1901</v>
      </c>
      <c r="AHN65" t="s">
        <v>1901</v>
      </c>
      <c r="AHO65">
        <v>37.38</v>
      </c>
      <c r="AHP65">
        <v>92.821</v>
      </c>
      <c r="AHQ65">
        <v>84.15300000000001</v>
      </c>
      <c r="AHR65">
        <v>98.82599999999999</v>
      </c>
      <c r="AHS65">
        <v>85.791</v>
      </c>
      <c r="AHT65">
        <v>59.693</v>
      </c>
      <c r="AHU65" t="s">
        <v>1901</v>
      </c>
      <c r="AHV65" t="s">
        <v>1901</v>
      </c>
      <c r="AHW65" t="s">
        <v>1901</v>
      </c>
      <c r="AHX65" t="s">
        <v>1901</v>
      </c>
      <c r="AHY65">
        <v>0</v>
      </c>
      <c r="AHZ65">
        <v>0</v>
      </c>
      <c r="AIA65">
        <v>0</v>
      </c>
      <c r="AIB65">
        <v>0</v>
      </c>
      <c r="AIC65">
        <v>0</v>
      </c>
      <c r="AID65">
        <v>0.856599559</v>
      </c>
      <c r="AIE65">
        <v>11.567682126</v>
      </c>
      <c r="AIF65">
        <v>4.178193919</v>
      </c>
      <c r="AIG65">
        <v>2.493522637</v>
      </c>
      <c r="AIH65">
        <v>2.637961034</v>
      </c>
      <c r="AII65">
        <v>74.474317164</v>
      </c>
      <c r="AIJ65">
        <v>51.002981699</v>
      </c>
      <c r="AIK65">
        <v>61.481851382</v>
      </c>
      <c r="AIL65">
        <v>76.01992147199999</v>
      </c>
      <c r="AIM65">
        <v>91.58045274200001</v>
      </c>
      <c r="AIN65">
        <v>62.619992199</v>
      </c>
      <c r="AIO65">
        <v>7.178598712</v>
      </c>
      <c r="AIP65">
        <v>15.846512814</v>
      </c>
      <c r="AIQ65">
        <v>1.174441048</v>
      </c>
      <c r="AIR65">
        <v>14.208880432</v>
      </c>
      <c r="AIS65">
        <v>0</v>
      </c>
      <c r="AIT65">
        <v>0</v>
      </c>
      <c r="AIU65">
        <v>0</v>
      </c>
      <c r="AIV65">
        <v>0</v>
      </c>
      <c r="AIW65">
        <v>0</v>
      </c>
      <c r="AIX65" t="s">
        <v>1900</v>
      </c>
      <c r="AIY65" t="s">
        <v>1900</v>
      </c>
      <c r="AIZ65">
        <v>427.048676217169</v>
      </c>
      <c r="AJA65">
        <v>159.409500859559</v>
      </c>
      <c r="AJB65" t="s">
        <v>1900</v>
      </c>
      <c r="AJC65" t="s">
        <v>1900</v>
      </c>
      <c r="AJD65" t="s">
        <v>1900</v>
      </c>
      <c r="AJE65">
        <v>1219.41322348017</v>
      </c>
      <c r="AJF65">
        <v>616.29104165622</v>
      </c>
      <c r="AJG65" t="s">
        <v>1900</v>
      </c>
      <c r="AJH65" t="s">
        <v>1900</v>
      </c>
      <c r="AJI65" t="s">
        <v>1900</v>
      </c>
      <c r="AJJ65">
        <v>3.792</v>
      </c>
      <c r="AJK65">
        <v>5.018</v>
      </c>
      <c r="AJL65">
        <v>0.113</v>
      </c>
      <c r="AJM65" t="s">
        <v>1900</v>
      </c>
      <c r="AJN65" t="s">
        <v>1900</v>
      </c>
      <c r="AJO65">
        <v>46.2447993303001</v>
      </c>
      <c r="AJP65">
        <v>30.9252153442025</v>
      </c>
      <c r="AJQ65" t="s">
        <v>1900</v>
      </c>
      <c r="AJR65" t="s">
        <v>1900</v>
      </c>
      <c r="AJS65" t="s">
        <v>1900</v>
      </c>
      <c r="AJT65">
        <v>560.693346778059</v>
      </c>
      <c r="AJU65">
        <v>241.386544813693</v>
      </c>
      <c r="AJV65" t="s">
        <v>1900</v>
      </c>
      <c r="AJW65" t="s">
        <v>1900</v>
      </c>
      <c r="AJX65" t="s">
        <v>1900</v>
      </c>
      <c r="AJY65">
        <v>206.749634138006</v>
      </c>
      <c r="AJZ65">
        <v>40.0936035071254</v>
      </c>
      <c r="AKA65" t="s">
        <v>1900</v>
      </c>
      <c r="AKB65" t="s">
        <v>1900</v>
      </c>
      <c r="AKC65" t="s">
        <v>1900</v>
      </c>
      <c r="AKD65">
        <v>666.27464354142</v>
      </c>
      <c r="AKE65">
        <v>244.255177883434</v>
      </c>
      <c r="AKF65" t="s">
        <v>1900</v>
      </c>
      <c r="AKG65">
        <v>0</v>
      </c>
      <c r="AKH65">
        <v>0</v>
      </c>
      <c r="AKI65">
        <v>0</v>
      </c>
      <c r="AKJ65">
        <v>0</v>
      </c>
      <c r="AKK65">
        <v>0</v>
      </c>
      <c r="AKL65">
        <v>0</v>
      </c>
      <c r="AKM65">
        <v>0</v>
      </c>
      <c r="AKN65">
        <v>0</v>
      </c>
      <c r="AKO65">
        <v>0</v>
      </c>
      <c r="AKP65">
        <v>0</v>
      </c>
      <c r="AKQ65">
        <v>0</v>
      </c>
      <c r="AKR65">
        <v>0</v>
      </c>
      <c r="AKS65">
        <v>0</v>
      </c>
      <c r="AKT65">
        <v>0</v>
      </c>
      <c r="AKU65">
        <v>0</v>
      </c>
      <c r="AKV65">
        <v>0.014192339</v>
      </c>
      <c r="AKW65">
        <v>0.543730249</v>
      </c>
      <c r="AKX65">
        <v>0.863297698</v>
      </c>
      <c r="AKY65">
        <v>0.860979874</v>
      </c>
      <c r="AKZ65">
        <v>0</v>
      </c>
      <c r="ALA65">
        <v>0.021265084</v>
      </c>
      <c r="ALB65">
        <v>1.237019177</v>
      </c>
      <c r="ALC65">
        <v>1.580004041</v>
      </c>
      <c r="ALD65">
        <v>2.172376397</v>
      </c>
      <c r="ALE65">
        <v>0</v>
      </c>
      <c r="ALF65">
        <v>0</v>
      </c>
      <c r="ALG65">
        <v>0.737948403</v>
      </c>
      <c r="ALH65">
        <v>0.944848728</v>
      </c>
      <c r="ALI65">
        <v>1.149177822</v>
      </c>
      <c r="ALJ65">
        <v>0.42400394</v>
      </c>
      <c r="ALK65">
        <v>0</v>
      </c>
      <c r="ALL65">
        <v>1.678877214</v>
      </c>
      <c r="ALM65">
        <v>1.729258413</v>
      </c>
      <c r="ALN65">
        <v>2.899541387</v>
      </c>
      <c r="ALO65">
        <v>1.264968265</v>
      </c>
      <c r="ALP65">
        <v>16.449979447</v>
      </c>
      <c r="ALQ65">
        <v>15.170339772</v>
      </c>
      <c r="ALR65">
        <v>16.954845999</v>
      </c>
      <c r="ALS65">
        <v>6.505628152</v>
      </c>
      <c r="ALT65">
        <v>1.513922414</v>
      </c>
      <c r="ALU65">
        <v>0</v>
      </c>
      <c r="ALV65">
        <v>0</v>
      </c>
      <c r="ALW65">
        <v>0</v>
      </c>
      <c r="ALX65">
        <v>0</v>
      </c>
      <c r="ALY65">
        <v>0</v>
      </c>
      <c r="ALZ65">
        <v>15.8251006153594</v>
      </c>
      <c r="AMA65">
        <v>33.8456296365798</v>
      </c>
      <c r="AMB65">
        <v>51.74471086012</v>
      </c>
      <c r="AMC65">
        <v>45.0647620915317</v>
      </c>
      <c r="AMD65">
        <v>25.7964892444486</v>
      </c>
      <c r="AME65">
        <v>15.8251006153594</v>
      </c>
      <c r="AMF65">
        <v>33.8456296365798</v>
      </c>
      <c r="AMG65">
        <v>51.9674404296171</v>
      </c>
      <c r="AMH65">
        <v>45.0647620915317</v>
      </c>
      <c r="AMI65">
        <v>25.7964892444486</v>
      </c>
      <c r="AMJ65">
        <v>18.8002608034563</v>
      </c>
      <c r="AMK65">
        <v>51.1615929443813</v>
      </c>
      <c r="AML65">
        <v>107.231169631827</v>
      </c>
      <c r="AMM65">
        <v>82.03252376301251</v>
      </c>
      <c r="AMN65">
        <v>34.7645131689862</v>
      </c>
      <c r="AMO65">
        <v>4.12249669378163</v>
      </c>
      <c r="AMP65">
        <v>6.66615303347215</v>
      </c>
      <c r="AMQ65">
        <v>2.85328626971367</v>
      </c>
      <c r="AMR65">
        <v>2.4347112911221</v>
      </c>
      <c r="AMS65">
        <v>6.08720558709468</v>
      </c>
      <c r="AMT65">
        <v>4.12249669378163</v>
      </c>
      <c r="AMU65">
        <v>6.66615305028447</v>
      </c>
      <c r="AMV65">
        <v>2.85328626971367</v>
      </c>
      <c r="AMW65">
        <v>2.4347112911221</v>
      </c>
      <c r="AMX65">
        <v>6.08720560339537</v>
      </c>
      <c r="AMY65">
        <v>4.12249669378163</v>
      </c>
      <c r="AMZ65">
        <v>6.66615305028447</v>
      </c>
      <c r="ANA65">
        <v>2.85328626077502</v>
      </c>
      <c r="ANB65">
        <v>2.4347112911221</v>
      </c>
      <c r="ANC65">
        <v>6.08720560339536</v>
      </c>
      <c r="AND65">
        <v>11.9863830151173</v>
      </c>
      <c r="ANE65">
        <v>28.7683941009403</v>
      </c>
      <c r="ANF65">
        <v>33.6095831621507</v>
      </c>
      <c r="ANG65">
        <v>26.5554783600867</v>
      </c>
      <c r="ANH65">
        <v>21.5586680546011</v>
      </c>
      <c r="ANI65">
        <v>11.9863830151173</v>
      </c>
      <c r="ANJ65">
        <v>28.7683941009403</v>
      </c>
      <c r="ANK65">
        <v>33.754252015532</v>
      </c>
      <c r="ANL65">
        <v>26.5554783600867</v>
      </c>
      <c r="ANM65">
        <v>21.5586680546011</v>
      </c>
      <c r="ANN65">
        <v>13.6187824404218</v>
      </c>
      <c r="ANO65">
        <v>40.3871199277848</v>
      </c>
      <c r="ANP65">
        <v>50.6241484282861</v>
      </c>
      <c r="ANQ65">
        <v>36.157194256481</v>
      </c>
      <c r="ANR65">
        <v>27.4838118118744</v>
      </c>
      <c r="ANS65">
        <v>48.0465142858943</v>
      </c>
      <c r="ANT65">
        <v>70.51157842634861</v>
      </c>
      <c r="ANU65">
        <v>73.09516044570729</v>
      </c>
      <c r="ANV65">
        <v>67.7995678377542</v>
      </c>
      <c r="ANW65">
        <v>74.9703137407185</v>
      </c>
      <c r="ANX65">
        <v>15.8251006153594</v>
      </c>
      <c r="ANY65">
        <v>33.84562972194</v>
      </c>
      <c r="ANZ65">
        <v>51.7447109475882</v>
      </c>
      <c r="AOA65">
        <v>45.0647620915317</v>
      </c>
      <c r="AOB65">
        <v>25.7964893135281</v>
      </c>
      <c r="AOC65">
        <v>17.980286639143</v>
      </c>
      <c r="AOD65">
        <v>47.5149046682192</v>
      </c>
      <c r="AOE65">
        <v>77.94003008973461</v>
      </c>
      <c r="AOF65">
        <v>61.3589156621878</v>
      </c>
      <c r="AOG65">
        <v>32.8863478024633</v>
      </c>
      <c r="AOH65">
        <v>23.7115313184042</v>
      </c>
      <c r="AOI65">
        <v>77.00085284613409</v>
      </c>
      <c r="AOJ65">
        <v>94.7029656308171</v>
      </c>
      <c r="AOK65" t="s">
        <v>1901</v>
      </c>
      <c r="AOL65">
        <v>76.9609363722974</v>
      </c>
      <c r="AOM65">
        <v>14.2398542828605</v>
      </c>
      <c r="AON65">
        <v>43.4867628246191</v>
      </c>
      <c r="AOO65">
        <v>69.6495323562276</v>
      </c>
      <c r="AOP65">
        <v>48.3396074562065</v>
      </c>
      <c r="AOQ65">
        <v>29.0534340695709</v>
      </c>
      <c r="AOR65">
        <v>312.249669378163</v>
      </c>
      <c r="AOS65">
        <v>566.615305028447</v>
      </c>
      <c r="AOT65">
        <v>185.328626971367</v>
      </c>
      <c r="AOU65">
        <v>143.47112911221</v>
      </c>
      <c r="AOV65">
        <v>508.720560339537</v>
      </c>
      <c r="AOW65">
        <v>17.9597907884067</v>
      </c>
      <c r="AOX65">
        <v>65.4498351654818</v>
      </c>
      <c r="AOY65">
        <v>61.5121264794689</v>
      </c>
      <c r="AOZ65">
        <v>67.0033018830304</v>
      </c>
      <c r="APA65">
        <v>64.3178715017854</v>
      </c>
      <c r="APB65">
        <v>8.85411225064065</v>
      </c>
      <c r="APC65">
        <v>21.5351958772978</v>
      </c>
      <c r="APD65">
        <v>26.1907224344445</v>
      </c>
      <c r="APE65">
        <v>19.2941349610009</v>
      </c>
      <c r="APF65">
        <v>16.0636704717245</v>
      </c>
      <c r="APG65">
        <v>8.85411225064065</v>
      </c>
      <c r="APH65">
        <v>21.5351958772978</v>
      </c>
      <c r="API65">
        <v>26.3034575958876</v>
      </c>
      <c r="APJ65">
        <v>19.2941349610009</v>
      </c>
      <c r="APK65">
        <v>16.0636704717245</v>
      </c>
      <c r="APL65">
        <v>10.5187084455919</v>
      </c>
      <c r="APM65">
        <v>32.5529451596034</v>
      </c>
      <c r="APN65">
        <v>54.2753404833983</v>
      </c>
      <c r="APO65">
        <v>35.1216008077516</v>
      </c>
      <c r="APP65">
        <v>21.6481273232441</v>
      </c>
      <c r="APQ65">
        <v>230.652868293366</v>
      </c>
      <c r="APR65">
        <v>424.151989090822</v>
      </c>
      <c r="APS65">
        <v>144.419840161243</v>
      </c>
      <c r="APT65">
        <v>104.240311191635</v>
      </c>
      <c r="APU65">
        <v>379.05493153791</v>
      </c>
      <c r="APV65">
        <v>10.0599345350861</v>
      </c>
      <c r="APW65">
        <v>30.2326412629455</v>
      </c>
      <c r="APX65">
        <v>39.4495526340981</v>
      </c>
      <c r="APY65">
        <v>26.2703528189575</v>
      </c>
      <c r="APZ65">
        <v>20.4785794342529</v>
      </c>
      <c r="AQA65">
        <v>13.2665545092311</v>
      </c>
      <c r="AQB65">
        <v>48.9938720764201</v>
      </c>
      <c r="AQC65">
        <v>47.9341568505523</v>
      </c>
      <c r="AQD65">
        <v>48.6818852153281</v>
      </c>
      <c r="AQE65">
        <v>47.9241616704097</v>
      </c>
      <c r="AQF65">
        <v>3.12249669378163</v>
      </c>
      <c r="AQG65">
        <v>5.66615305028447</v>
      </c>
      <c r="AQH65">
        <v>1.85328626077502</v>
      </c>
      <c r="AQI65">
        <v>1.4347112911221</v>
      </c>
      <c r="AQJ65">
        <v>5.08720560339536</v>
      </c>
      <c r="AQK65">
        <v>3</v>
      </c>
      <c r="AQO65" t="s">
        <v>1902</v>
      </c>
      <c r="AQP65">
        <v>1</v>
      </c>
      <c r="AQQ65">
        <v>0</v>
      </c>
      <c r="AQS65" t="s">
        <v>1905</v>
      </c>
      <c r="AQU65" t="s">
        <v>1906</v>
      </c>
      <c r="AQV65">
        <v>1453780.42602268</v>
      </c>
      <c r="AQW65">
        <v>1294516.23586298</v>
      </c>
      <c r="AQX65">
        <v>1219413.22348017</v>
      </c>
      <c r="AQY65">
        <v>174255.690061883</v>
      </c>
      <c r="AQZ65">
        <v>372411.53243372</v>
      </c>
      <c r="ARA65">
        <v>409839.701435828</v>
      </c>
      <c r="ARB65">
        <v>3967709.88536583</v>
      </c>
      <c r="ARC65">
        <v>956506.923931431</v>
      </c>
      <c r="ARD65">
        <v>0.3176494365148323</v>
      </c>
      <c r="ARE65">
        <v>0.3176494365148323</v>
      </c>
      <c r="ARF65">
        <v>0.3176494365148323</v>
      </c>
      <c r="ARG65">
        <v>0.3176494365148323</v>
      </c>
      <c r="ARH65">
        <v>0.3176494365148323</v>
      </c>
      <c r="ARI65">
        <v>0.3176494365148323</v>
      </c>
      <c r="ARJ65" t="s">
        <v>1226</v>
      </c>
      <c r="ARK65" t="s">
        <v>1564</v>
      </c>
      <c r="ARL65" t="s">
        <v>1909</v>
      </c>
      <c r="ARP65" t="s">
        <v>1907</v>
      </c>
      <c r="ARQ65" t="s">
        <v>1911</v>
      </c>
    </row>
    <row r="66" spans="1:1163">
      <c r="A66">
        <v>763</v>
      </c>
      <c r="B66" t="s">
        <v>1227</v>
      </c>
      <c r="C66" t="s">
        <v>1350</v>
      </c>
      <c r="E66" s="2">
        <v>26276</v>
      </c>
      <c r="F66" t="s">
        <v>1431</v>
      </c>
      <c r="G66" t="s">
        <v>1433</v>
      </c>
      <c r="H66" t="s">
        <v>1434</v>
      </c>
      <c r="I66" t="s">
        <v>1437</v>
      </c>
      <c r="J66" t="s">
        <v>1456</v>
      </c>
      <c r="L66" t="s">
        <v>1565</v>
      </c>
      <c r="N66" t="s">
        <v>1642</v>
      </c>
      <c r="O66" t="s">
        <v>1666</v>
      </c>
      <c r="P66">
        <v>7010</v>
      </c>
      <c r="Q66">
        <v>7010</v>
      </c>
      <c r="R66" t="s">
        <v>1735</v>
      </c>
      <c r="Z66" t="s">
        <v>1899</v>
      </c>
      <c r="AA66" s="2">
        <v>45657</v>
      </c>
      <c r="AB66">
        <v>2024</v>
      </c>
      <c r="AC66">
        <v>4543.89725601196</v>
      </c>
      <c r="AD66">
        <v>414765.206941528</v>
      </c>
      <c r="AE66">
        <v>551578.432869285</v>
      </c>
      <c r="AF66">
        <v>288245.951451516</v>
      </c>
      <c r="AG66">
        <v>301094.55765866</v>
      </c>
      <c r="AH66">
        <v>4543.89725601196</v>
      </c>
      <c r="AI66">
        <v>414765.206941528</v>
      </c>
      <c r="AJ66">
        <v>551578.432869285</v>
      </c>
      <c r="AK66">
        <v>288245.951451516</v>
      </c>
      <c r="AL66">
        <v>301094.55765866</v>
      </c>
      <c r="AM66" t="s">
        <v>1900</v>
      </c>
      <c r="AN66">
        <v>11343.9350910187</v>
      </c>
      <c r="AO66">
        <v>513189.138770008</v>
      </c>
      <c r="AP66">
        <v>327152.459587383</v>
      </c>
      <c r="AQ66">
        <v>308942.041743416</v>
      </c>
      <c r="AR66">
        <v>4543.89725601196</v>
      </c>
      <c r="AS66">
        <v>403421.27185051</v>
      </c>
      <c r="AT66">
        <v>38389.2930326778</v>
      </c>
      <c r="AU66">
        <v>-38906.5081358671</v>
      </c>
      <c r="AV66">
        <v>-7847.48285765588</v>
      </c>
      <c r="AW66">
        <v>-21774.4305346882</v>
      </c>
      <c r="AX66">
        <v>415624.455327148</v>
      </c>
      <c r="AY66">
        <v>141808.625697923</v>
      </c>
      <c r="AZ66">
        <v>12517.1361660004</v>
      </c>
      <c r="BA66">
        <v>68038.3981188715</v>
      </c>
      <c r="BB66">
        <v>26318.3277907002</v>
      </c>
      <c r="BC66">
        <v>-12203.1834766388</v>
      </c>
      <c r="BD66">
        <v>-103419.331598645</v>
      </c>
      <c r="BE66">
        <v>-51423.6443018675</v>
      </c>
      <c r="BF66">
        <v>-75885.88220362661</v>
      </c>
      <c r="BG66">
        <v>2692685.09377685</v>
      </c>
      <c r="BH66">
        <v>531712.348775969</v>
      </c>
      <c r="BI66">
        <v>1205.48034102499</v>
      </c>
      <c r="BJ66">
        <v>3451.25965690613</v>
      </c>
      <c r="BK66">
        <v>-49280.6514529467</v>
      </c>
      <c r="BL66">
        <v>2692747.4277493</v>
      </c>
      <c r="BM66">
        <v>565353.956273909</v>
      </c>
      <c r="BN66">
        <v>1714.42961883724</v>
      </c>
      <c r="BO66">
        <v>4509.65199222565</v>
      </c>
      <c r="BP66">
        <v>1923.67448774576</v>
      </c>
      <c r="BQ66">
        <v>62.333972454071</v>
      </c>
      <c r="BR66">
        <v>33641.6074979401</v>
      </c>
      <c r="BS66">
        <v>508.949277812243</v>
      </c>
      <c r="BT66">
        <v>1058.39233531952</v>
      </c>
      <c r="BU66">
        <v>51204.3259406924</v>
      </c>
      <c r="BV66">
        <v>2719003.42156755</v>
      </c>
      <c r="BW66">
        <v>519509.16529933</v>
      </c>
      <c r="BX66">
        <v>-102213.850191021</v>
      </c>
      <c r="BY66">
        <v>-47972.3846449614</v>
      </c>
      <c r="BZ66">
        <v>-125166.533656573</v>
      </c>
      <c r="CA66">
        <v>31548.9999772203</v>
      </c>
      <c r="CB66">
        <v>9459.467245292661</v>
      </c>
      <c r="CC66">
        <v>-37504.8058076441</v>
      </c>
      <c r="CD66">
        <v>-12713.2798872471</v>
      </c>
      <c r="CE66">
        <v>-46687.1648126066</v>
      </c>
      <c r="CF66">
        <v>2687454.42159033</v>
      </c>
      <c r="CG66">
        <v>510049.698054037</v>
      </c>
      <c r="CH66">
        <v>-64709.0443833768</v>
      </c>
      <c r="CI66">
        <v>-35259.1047577143</v>
      </c>
      <c r="CJ66">
        <v>-78479.3688439667</v>
      </c>
      <c r="CK66" t="s">
        <v>1900</v>
      </c>
      <c r="CL66" t="s">
        <v>1900</v>
      </c>
      <c r="CM66" t="s">
        <v>1900</v>
      </c>
      <c r="CN66" t="s">
        <v>1900</v>
      </c>
      <c r="CO66" t="s">
        <v>1900</v>
      </c>
      <c r="CP66" t="s">
        <v>1900</v>
      </c>
      <c r="CQ66" t="s">
        <v>1900</v>
      </c>
      <c r="CR66" t="s">
        <v>1900</v>
      </c>
      <c r="CS66" t="s">
        <v>1900</v>
      </c>
      <c r="CT66" t="s">
        <v>1900</v>
      </c>
      <c r="CU66" t="s">
        <v>1900</v>
      </c>
      <c r="CV66" t="s">
        <v>1900</v>
      </c>
      <c r="CW66" t="s">
        <v>1900</v>
      </c>
      <c r="CX66" t="s">
        <v>1900</v>
      </c>
      <c r="CY66" t="s">
        <v>1900</v>
      </c>
      <c r="CZ66">
        <v>2687454.42159033</v>
      </c>
      <c r="DA66">
        <v>510049.698054037</v>
      </c>
      <c r="DB66">
        <v>-64709.0443833768</v>
      </c>
      <c r="DC66">
        <v>-35259.1047577143</v>
      </c>
      <c r="DD66">
        <v>-78479.3688439667</v>
      </c>
      <c r="DE66" t="s">
        <v>1900</v>
      </c>
      <c r="DF66" t="s">
        <v>1900</v>
      </c>
      <c r="DG66" t="s">
        <v>1900</v>
      </c>
      <c r="DH66" t="s">
        <v>1900</v>
      </c>
      <c r="DI66" t="s">
        <v>1900</v>
      </c>
      <c r="DJ66" t="s">
        <v>1900</v>
      </c>
      <c r="DK66">
        <v>11343.9350910187</v>
      </c>
      <c r="DL66">
        <v>513189.138770008</v>
      </c>
      <c r="DM66">
        <v>327152.459587383</v>
      </c>
      <c r="DN66">
        <v>308942.041743416</v>
      </c>
      <c r="DO66">
        <v>8311.196327209471</v>
      </c>
      <c r="DP66">
        <v>130052.414565926</v>
      </c>
      <c r="DQ66">
        <v>95554.0136523306</v>
      </c>
      <c r="DR66" t="s">
        <v>1900</v>
      </c>
      <c r="DS66" t="s">
        <v>1900</v>
      </c>
      <c r="DT66">
        <v>466.632117791176</v>
      </c>
      <c r="DU66">
        <v>1985.2880909729</v>
      </c>
      <c r="DV66">
        <v>2529.12070655823</v>
      </c>
      <c r="DW66">
        <v>2705.77080852985</v>
      </c>
      <c r="DX66">
        <v>3027.21715871692</v>
      </c>
      <c r="DY66">
        <v>-30552.2589796889</v>
      </c>
      <c r="DZ66">
        <v>283586.75267025</v>
      </c>
      <c r="EA66">
        <v>43725.4913390338</v>
      </c>
      <c r="EB66">
        <v>9811.365357470509</v>
      </c>
      <c r="EC66">
        <v>65011.1809601545</v>
      </c>
      <c r="ED66">
        <v>62.333972454071</v>
      </c>
      <c r="EE66">
        <v>5297.44972743034</v>
      </c>
      <c r="EF66">
        <v>476.439325410128</v>
      </c>
      <c r="EG66">
        <v>1014.48142139912</v>
      </c>
      <c r="EH66">
        <v>2065.13449498415</v>
      </c>
      <c r="EI66" t="s">
        <v>1900</v>
      </c>
      <c r="EJ66" t="s">
        <v>1900</v>
      </c>
      <c r="EK66" t="s">
        <v>1900</v>
      </c>
      <c r="EL66" t="s">
        <v>1900</v>
      </c>
      <c r="EM66" t="s">
        <v>1900</v>
      </c>
      <c r="EN66">
        <v>2687921.05370812</v>
      </c>
      <c r="EO66">
        <v>512034.98614501</v>
      </c>
      <c r="EP66">
        <v>-62179.9236768186</v>
      </c>
      <c r="EQ66">
        <v>-32553.3339491844</v>
      </c>
      <c r="ER66">
        <v>-75452.1516852498</v>
      </c>
      <c r="ES66">
        <v>2727843.583985</v>
      </c>
      <c r="ET66">
        <v>656844.317683659</v>
      </c>
      <c r="EU66">
        <v>-3654.27650672197</v>
      </c>
      <c r="EV66">
        <v>-44252.1324150324</v>
      </c>
      <c r="EW66">
        <v>-120074.182002872</v>
      </c>
      <c r="EX66">
        <v>26784.9599084914</v>
      </c>
      <c r="EY66">
        <v>-10217.8953856659</v>
      </c>
      <c r="EZ66">
        <v>-100890.210892087</v>
      </c>
      <c r="FA66">
        <v>-48717.8734933376</v>
      </c>
      <c r="FB66">
        <v>-72858.66504490971</v>
      </c>
      <c r="FC66">
        <v>924705.438327559</v>
      </c>
      <c r="FD66">
        <v>1612320.83168978</v>
      </c>
      <c r="FE66">
        <v>1533536.12684976</v>
      </c>
      <c r="FF66">
        <v>1379994.88351028</v>
      </c>
      <c r="FG66">
        <v>1442165.36108445</v>
      </c>
      <c r="FH66">
        <v>0</v>
      </c>
      <c r="FI66">
        <v>5955.84217290878</v>
      </c>
      <c r="FJ66">
        <v>7665.15988634825</v>
      </c>
      <c r="FK66">
        <v>9399.9029917717</v>
      </c>
      <c r="FL66">
        <v>1476.67902594209</v>
      </c>
      <c r="FM66">
        <v>0</v>
      </c>
      <c r="FN66">
        <v>0</v>
      </c>
      <c r="FO66">
        <v>0</v>
      </c>
      <c r="FP66">
        <v>0</v>
      </c>
      <c r="FQ66">
        <v>0</v>
      </c>
      <c r="FR66">
        <v>924705.43728866</v>
      </c>
      <c r="FS66">
        <v>1606364.98951687</v>
      </c>
      <c r="FT66">
        <v>1525870.96696342</v>
      </c>
      <c r="FU66">
        <v>1370594.98051851</v>
      </c>
      <c r="FV66">
        <v>1440688.68205851</v>
      </c>
      <c r="FW66">
        <v>0</v>
      </c>
      <c r="FX66">
        <v>5955.84217290878</v>
      </c>
      <c r="FY66">
        <v>7665.15988634825</v>
      </c>
      <c r="FZ66">
        <v>9399.9029917717</v>
      </c>
      <c r="GA66">
        <v>1476.67902594209</v>
      </c>
      <c r="GB66">
        <v>0</v>
      </c>
      <c r="GC66">
        <v>0</v>
      </c>
      <c r="GD66">
        <v>0</v>
      </c>
      <c r="GE66">
        <v>0</v>
      </c>
      <c r="GF66">
        <v>0</v>
      </c>
      <c r="GG66">
        <v>924705.43728866</v>
      </c>
      <c r="GH66">
        <v>1606364.98951687</v>
      </c>
      <c r="GI66">
        <v>1525870.96696342</v>
      </c>
      <c r="GJ66">
        <v>1370594.98051851</v>
      </c>
      <c r="GK66">
        <v>1440688.68205851</v>
      </c>
      <c r="GL66">
        <v>1341174.1151734</v>
      </c>
      <c r="GM66">
        <v>115685.706418324</v>
      </c>
      <c r="GN66">
        <v>155149.012137365</v>
      </c>
      <c r="GO66">
        <v>92714.70647306441</v>
      </c>
      <c r="GP66">
        <v>202785.889956534</v>
      </c>
      <c r="GQ66">
        <v>0</v>
      </c>
      <c r="GR66">
        <v>0</v>
      </c>
      <c r="GS66">
        <v>0</v>
      </c>
      <c r="GT66">
        <v>0</v>
      </c>
      <c r="GU66">
        <v>0</v>
      </c>
      <c r="GV66">
        <v>26517.817280544</v>
      </c>
      <c r="GW66">
        <v>28904.3377719116</v>
      </c>
      <c r="GX66">
        <v>57703.6402764857</v>
      </c>
      <c r="GY66">
        <v>43689.8303403854</v>
      </c>
      <c r="GZ66">
        <v>32676.8076453269</v>
      </c>
      <c r="HA66">
        <v>1314656.29789286</v>
      </c>
      <c r="HB66">
        <v>86781.36864641189</v>
      </c>
      <c r="HC66">
        <v>97445.3718608796</v>
      </c>
      <c r="HD66">
        <v>49024.876132679</v>
      </c>
      <c r="HE66">
        <v>170109.082311207</v>
      </c>
      <c r="HF66">
        <v>51325.0656890035</v>
      </c>
      <c r="HG66">
        <v>63680.8802291965</v>
      </c>
      <c r="HH66">
        <v>90880.75065850619</v>
      </c>
      <c r="HI66">
        <v>40321.363765955</v>
      </c>
      <c r="HJ66">
        <v>156557.525300992</v>
      </c>
      <c r="HK66">
        <v>2265879.55350096</v>
      </c>
      <c r="HL66">
        <v>1728006.5381081</v>
      </c>
      <c r="HM66">
        <v>1688685.13898713</v>
      </c>
      <c r="HN66">
        <v>1472709.58998334</v>
      </c>
      <c r="HO66">
        <v>1644951.25104098</v>
      </c>
      <c r="HP66">
        <v>2260691.67358653</v>
      </c>
      <c r="HQ66">
        <v>1692199.54953836</v>
      </c>
      <c r="HR66">
        <v>1256372.49564755</v>
      </c>
      <c r="HS66">
        <v>1303757.2010062</v>
      </c>
      <c r="HT66">
        <v>1450881.76645412</v>
      </c>
      <c r="HU66">
        <v>631665.673241401</v>
      </c>
      <c r="HV66">
        <v>671855.9925207139</v>
      </c>
      <c r="HW66">
        <v>648507.634573817</v>
      </c>
      <c r="HX66">
        <v>688637.069862843</v>
      </c>
      <c r="HY66">
        <v>746093.798864007</v>
      </c>
      <c r="HZ66">
        <v>1629025.99930623</v>
      </c>
      <c r="IA66">
        <v>1020343.55591265</v>
      </c>
      <c r="IB66">
        <v>607864.861073732</v>
      </c>
      <c r="IC66">
        <v>615120.131143356</v>
      </c>
      <c r="ID66">
        <v>704787.9675901179</v>
      </c>
      <c r="IE66">
        <v>0</v>
      </c>
      <c r="IF66">
        <v>0</v>
      </c>
      <c r="IG66">
        <v>0</v>
      </c>
      <c r="IH66">
        <v>1718.9588126421</v>
      </c>
      <c r="II66">
        <v>12709.9264137149</v>
      </c>
      <c r="IJ66" t="s">
        <v>1900</v>
      </c>
      <c r="IK66" t="s">
        <v>1900</v>
      </c>
      <c r="IL66" t="s">
        <v>1900</v>
      </c>
      <c r="IM66">
        <v>1718.9588126421</v>
      </c>
      <c r="IN66">
        <v>12709.9264137149</v>
      </c>
      <c r="IO66" t="s">
        <v>1900</v>
      </c>
      <c r="IP66" t="s">
        <v>1900</v>
      </c>
      <c r="IQ66" t="s">
        <v>1900</v>
      </c>
      <c r="IR66">
        <v>0</v>
      </c>
      <c r="IS66">
        <v>0</v>
      </c>
      <c r="IT66" t="s">
        <v>1900</v>
      </c>
      <c r="IU66" t="s">
        <v>1900</v>
      </c>
      <c r="IV66" t="s">
        <v>1900</v>
      </c>
      <c r="IW66">
        <v>0</v>
      </c>
      <c r="IX66">
        <v>0</v>
      </c>
      <c r="IY66">
        <v>5187.87991443038</v>
      </c>
      <c r="IZ66">
        <v>35806.9885697365</v>
      </c>
      <c r="JA66">
        <v>432312.64333958</v>
      </c>
      <c r="JB66">
        <v>167233.430164504</v>
      </c>
      <c r="JC66">
        <v>181359.558173144</v>
      </c>
      <c r="JD66">
        <v>0</v>
      </c>
      <c r="JE66">
        <v>0</v>
      </c>
      <c r="JF66">
        <v>1631.01193946004</v>
      </c>
      <c r="JG66">
        <v>10025.1549915075</v>
      </c>
      <c r="JH66">
        <v>10310.7264054537</v>
      </c>
      <c r="JI66">
        <v>0</v>
      </c>
      <c r="JJ66">
        <v>626.0711809730529</v>
      </c>
      <c r="JK66">
        <v>405934.720719391</v>
      </c>
      <c r="JL66">
        <v>140511.232268286</v>
      </c>
      <c r="JM66">
        <v>153628.905570984</v>
      </c>
      <c r="JN66">
        <v>5187.87991443038</v>
      </c>
      <c r="JO66">
        <v>35180.9173887634</v>
      </c>
      <c r="JP66">
        <v>24746.9106807292</v>
      </c>
      <c r="JQ66">
        <v>16697.0429047108</v>
      </c>
      <c r="JR66">
        <v>17419.924969607</v>
      </c>
      <c r="JS66">
        <v>2265879.55350096</v>
      </c>
      <c r="JT66">
        <v>1728006.5381081</v>
      </c>
      <c r="JU66">
        <v>1688685.13898713</v>
      </c>
      <c r="JV66">
        <v>1472709.58998334</v>
      </c>
      <c r="JW66">
        <v>1644951.25104098</v>
      </c>
      <c r="JX66">
        <v>26517.817280544</v>
      </c>
      <c r="JY66">
        <v>28278.2654859381</v>
      </c>
      <c r="JZ66">
        <v>-348231.080442905</v>
      </c>
      <c r="KA66">
        <v>-96821.4019279003</v>
      </c>
      <c r="KB66">
        <v>-120952.097925657</v>
      </c>
      <c r="KC66" t="s">
        <v>1900</v>
      </c>
      <c r="KD66" t="s">
        <v>1900</v>
      </c>
      <c r="KE66" t="s">
        <v>1900</v>
      </c>
      <c r="KF66" t="s">
        <v>1900</v>
      </c>
      <c r="KG66" t="s">
        <v>1900</v>
      </c>
      <c r="KH66" t="s">
        <v>1900</v>
      </c>
      <c r="KI66" t="s">
        <v>1900</v>
      </c>
      <c r="KJ66" t="s">
        <v>1900</v>
      </c>
      <c r="KK66" t="s">
        <v>1900</v>
      </c>
      <c r="KL66" t="s">
        <v>1900</v>
      </c>
      <c r="KM66" t="s">
        <v>1900</v>
      </c>
      <c r="KN66">
        <v>3</v>
      </c>
      <c r="KO66">
        <v>3</v>
      </c>
      <c r="KP66" t="s">
        <v>1900</v>
      </c>
      <c r="KQ66" t="s">
        <v>1900</v>
      </c>
      <c r="KR66" t="s">
        <v>1900</v>
      </c>
      <c r="KS66" t="s">
        <v>1900</v>
      </c>
      <c r="KT66" t="s">
        <v>1900</v>
      </c>
      <c r="KU66" t="s">
        <v>1900</v>
      </c>
      <c r="KV66" t="s">
        <v>1900</v>
      </c>
      <c r="KW66" t="s">
        <v>1900</v>
      </c>
      <c r="KX66" t="s">
        <v>1900</v>
      </c>
      <c r="KY66" t="s">
        <v>1900</v>
      </c>
      <c r="KZ66" t="s">
        <v>1900</v>
      </c>
      <c r="LA66" t="s">
        <v>1900</v>
      </c>
      <c r="LB66" t="s">
        <v>1900</v>
      </c>
      <c r="LC66" t="s">
        <v>1900</v>
      </c>
      <c r="LD66" t="s">
        <v>1900</v>
      </c>
      <c r="LE66" t="s">
        <v>1900</v>
      </c>
      <c r="LF66" t="s">
        <v>1900</v>
      </c>
      <c r="LG66" t="s">
        <v>1900</v>
      </c>
      <c r="LH66" t="s">
        <v>1900</v>
      </c>
      <c r="LI66" t="s">
        <v>1900</v>
      </c>
      <c r="LJ66" t="s">
        <v>1900</v>
      </c>
      <c r="LK66" t="s">
        <v>1900</v>
      </c>
      <c r="LL66" t="s">
        <v>1900</v>
      </c>
      <c r="LM66" t="s">
        <v>1900</v>
      </c>
      <c r="LN66" t="s">
        <v>1900</v>
      </c>
      <c r="LO66" t="s">
        <v>1900</v>
      </c>
      <c r="LP66" t="s">
        <v>1900</v>
      </c>
      <c r="LQ66" t="s">
        <v>1900</v>
      </c>
      <c r="LR66" t="s">
        <v>1900</v>
      </c>
      <c r="LS66" t="s">
        <v>1900</v>
      </c>
      <c r="LT66" t="s">
        <v>1900</v>
      </c>
      <c r="LU66" t="s">
        <v>1900</v>
      </c>
      <c r="LV66" t="s">
        <v>1900</v>
      </c>
      <c r="LW66" t="s">
        <v>1900</v>
      </c>
      <c r="LX66" t="s">
        <v>1900</v>
      </c>
      <c r="LY66" t="s">
        <v>1900</v>
      </c>
      <c r="LZ66" t="s">
        <v>1900</v>
      </c>
      <c r="MA66" t="s">
        <v>1900</v>
      </c>
      <c r="MB66" t="s">
        <v>1900</v>
      </c>
      <c r="MC66" t="s">
        <v>1900</v>
      </c>
      <c r="MD66" t="s">
        <v>1900</v>
      </c>
      <c r="ME66" t="s">
        <v>1900</v>
      </c>
      <c r="MF66" t="s">
        <v>1900</v>
      </c>
      <c r="MG66" t="s">
        <v>1900</v>
      </c>
      <c r="MH66" t="s">
        <v>1900</v>
      </c>
      <c r="MI66" t="s">
        <v>1900</v>
      </c>
      <c r="MJ66" t="s">
        <v>1900</v>
      </c>
      <c r="MK66" t="s">
        <v>1900</v>
      </c>
      <c r="ML66" t="s">
        <v>1900</v>
      </c>
      <c r="MM66" t="s">
        <v>1900</v>
      </c>
      <c r="MN66" t="s">
        <v>1900</v>
      </c>
      <c r="MO66" t="s">
        <v>1900</v>
      </c>
      <c r="MP66">
        <v>1314656.29789286</v>
      </c>
      <c r="MQ66">
        <v>86781.36864641189</v>
      </c>
      <c r="MR66">
        <v>97445.3718608796</v>
      </c>
      <c r="MS66">
        <v>49024.876132679</v>
      </c>
      <c r="MT66">
        <v>170109.082311207</v>
      </c>
      <c r="MU66" t="s">
        <v>1900</v>
      </c>
      <c r="MV66" t="s">
        <v>1900</v>
      </c>
      <c r="MW66" t="s">
        <v>1900</v>
      </c>
      <c r="MX66" t="s">
        <v>1900</v>
      </c>
      <c r="MY66" t="s">
        <v>1900</v>
      </c>
      <c r="MZ66" t="s">
        <v>1900</v>
      </c>
      <c r="NA66" t="s">
        <v>1900</v>
      </c>
      <c r="NB66" t="s">
        <v>1900</v>
      </c>
      <c r="NC66" t="s">
        <v>1900</v>
      </c>
      <c r="ND66" t="s">
        <v>1900</v>
      </c>
      <c r="NE66" t="s">
        <v>1900</v>
      </c>
      <c r="NF66" t="s">
        <v>1900</v>
      </c>
      <c r="NG66" t="s">
        <v>1900</v>
      </c>
      <c r="NH66" t="s">
        <v>1900</v>
      </c>
      <c r="NI66" t="s">
        <v>1900</v>
      </c>
      <c r="NJ66" t="s">
        <v>1900</v>
      </c>
      <c r="NK66" t="s">
        <v>1900</v>
      </c>
      <c r="NL66" t="s">
        <v>1900</v>
      </c>
      <c r="NM66" t="s">
        <v>1900</v>
      </c>
      <c r="NN66" t="s">
        <v>1900</v>
      </c>
      <c r="NO66" t="s">
        <v>1900</v>
      </c>
      <c r="NP66" t="s">
        <v>1900</v>
      </c>
      <c r="NQ66" t="s">
        <v>1900</v>
      </c>
      <c r="NR66" t="s">
        <v>1900</v>
      </c>
      <c r="NS66" t="s">
        <v>1900</v>
      </c>
      <c r="NT66">
        <v>924705.438327559</v>
      </c>
      <c r="NU66">
        <v>1612320.83168978</v>
      </c>
      <c r="NV66">
        <v>1533536.12684976</v>
      </c>
      <c r="NW66">
        <v>1379994.88351028</v>
      </c>
      <c r="NX66">
        <v>1442165.36108445</v>
      </c>
      <c r="NY66" t="s">
        <v>1900</v>
      </c>
      <c r="NZ66" t="s">
        <v>1900</v>
      </c>
      <c r="OA66" t="s">
        <v>1900</v>
      </c>
      <c r="OB66" t="s">
        <v>1900</v>
      </c>
      <c r="OC66" t="s">
        <v>1900</v>
      </c>
      <c r="OD66" t="s">
        <v>1900</v>
      </c>
      <c r="OE66" t="s">
        <v>1900</v>
      </c>
      <c r="OF66" t="s">
        <v>1900</v>
      </c>
      <c r="OG66" t="s">
        <v>1900</v>
      </c>
      <c r="OH66" t="s">
        <v>1900</v>
      </c>
      <c r="OI66" t="s">
        <v>1900</v>
      </c>
      <c r="OJ66" t="s">
        <v>1900</v>
      </c>
      <c r="OK66" t="s">
        <v>1900</v>
      </c>
      <c r="OL66" t="s">
        <v>1900</v>
      </c>
      <c r="OM66" t="s">
        <v>1900</v>
      </c>
      <c r="ON66" t="s">
        <v>1900</v>
      </c>
      <c r="OO66" t="s">
        <v>1900</v>
      </c>
      <c r="OP66" t="s">
        <v>1900</v>
      </c>
      <c r="OQ66" t="s">
        <v>1900</v>
      </c>
      <c r="OR66" t="s">
        <v>1900</v>
      </c>
      <c r="OS66" t="s">
        <v>1900</v>
      </c>
      <c r="OT66" t="s">
        <v>1900</v>
      </c>
      <c r="OU66" t="s">
        <v>1900</v>
      </c>
      <c r="OV66" t="s">
        <v>1900</v>
      </c>
      <c r="OW66" t="s">
        <v>1900</v>
      </c>
      <c r="OX66" t="s">
        <v>1900</v>
      </c>
      <c r="OY66" t="s">
        <v>1900</v>
      </c>
      <c r="OZ66" t="s">
        <v>1900</v>
      </c>
      <c r="PA66" t="s">
        <v>1900</v>
      </c>
      <c r="PB66" t="s">
        <v>1900</v>
      </c>
      <c r="PC66" t="s">
        <v>1900</v>
      </c>
      <c r="PD66" t="s">
        <v>1900</v>
      </c>
      <c r="PE66" t="s">
        <v>1900</v>
      </c>
      <c r="PF66" t="s">
        <v>1900</v>
      </c>
      <c r="PG66" t="s">
        <v>1900</v>
      </c>
      <c r="PH66" t="s">
        <v>1900</v>
      </c>
      <c r="PI66" t="s">
        <v>1900</v>
      </c>
      <c r="PJ66" t="s">
        <v>1900</v>
      </c>
      <c r="PK66" t="s">
        <v>1900</v>
      </c>
      <c r="PL66" t="s">
        <v>1900</v>
      </c>
      <c r="PM66" t="s">
        <v>1900</v>
      </c>
      <c r="PN66" t="s">
        <v>1900</v>
      </c>
      <c r="PO66" t="s">
        <v>1900</v>
      </c>
      <c r="PP66" t="s">
        <v>1900</v>
      </c>
      <c r="PQ66" t="s">
        <v>1900</v>
      </c>
      <c r="PR66" t="s">
        <v>1900</v>
      </c>
      <c r="PS66" t="s">
        <v>1900</v>
      </c>
      <c r="PT66" t="s">
        <v>1900</v>
      </c>
      <c r="PU66" t="s">
        <v>1900</v>
      </c>
      <c r="PV66" t="s">
        <v>1900</v>
      </c>
      <c r="PW66" t="s">
        <v>1900</v>
      </c>
      <c r="PX66" t="s">
        <v>1900</v>
      </c>
      <c r="PY66" t="s">
        <v>1900</v>
      </c>
      <c r="PZ66" t="s">
        <v>1900</v>
      </c>
      <c r="QA66" t="s">
        <v>1900</v>
      </c>
      <c r="QB66" t="s">
        <v>1900</v>
      </c>
      <c r="QC66" t="s">
        <v>1900</v>
      </c>
      <c r="QD66" t="s">
        <v>1900</v>
      </c>
      <c r="QE66" t="s">
        <v>1900</v>
      </c>
      <c r="QF66" t="s">
        <v>1900</v>
      </c>
      <c r="QG66" t="s">
        <v>1900</v>
      </c>
      <c r="QH66" t="s">
        <v>1900</v>
      </c>
      <c r="QI66" t="s">
        <v>1900</v>
      </c>
      <c r="QJ66" t="s">
        <v>1900</v>
      </c>
      <c r="QK66" t="s">
        <v>1900</v>
      </c>
      <c r="QL66" t="s">
        <v>1900</v>
      </c>
      <c r="QM66" t="s">
        <v>1900</v>
      </c>
      <c r="QN66" t="s">
        <v>1900</v>
      </c>
      <c r="QO66" t="s">
        <v>1900</v>
      </c>
      <c r="QP66" t="s">
        <v>1900</v>
      </c>
      <c r="QQ66" t="s">
        <v>1900</v>
      </c>
      <c r="QR66" t="s">
        <v>1900</v>
      </c>
      <c r="QS66" t="s">
        <v>1900</v>
      </c>
      <c r="QT66" t="s">
        <v>1900</v>
      </c>
      <c r="QU66" t="s">
        <v>1900</v>
      </c>
      <c r="QV66" t="s">
        <v>1900</v>
      </c>
      <c r="QW66" t="s">
        <v>1900</v>
      </c>
      <c r="QX66" t="s">
        <v>1900</v>
      </c>
      <c r="QY66" t="s">
        <v>1900</v>
      </c>
      <c r="QZ66" t="s">
        <v>1900</v>
      </c>
      <c r="RA66" t="s">
        <v>1900</v>
      </c>
      <c r="RB66" t="s">
        <v>1900</v>
      </c>
      <c r="RC66" t="s">
        <v>1900</v>
      </c>
      <c r="RD66" t="s">
        <v>1900</v>
      </c>
      <c r="RE66" t="s">
        <v>1900</v>
      </c>
      <c r="RF66" t="s">
        <v>1900</v>
      </c>
      <c r="RG66" t="s">
        <v>1900</v>
      </c>
      <c r="RH66" t="s">
        <v>1900</v>
      </c>
      <c r="RI66" t="s">
        <v>1900</v>
      </c>
      <c r="RJ66" t="s">
        <v>1900</v>
      </c>
      <c r="RK66" t="s">
        <v>1900</v>
      </c>
      <c r="RL66" t="s">
        <v>1900</v>
      </c>
      <c r="RM66" t="s">
        <v>1900</v>
      </c>
      <c r="RN66" t="s">
        <v>1900</v>
      </c>
      <c r="RO66" t="s">
        <v>1900</v>
      </c>
      <c r="RP66" t="s">
        <v>1900</v>
      </c>
      <c r="RQ66" t="s">
        <v>1900</v>
      </c>
      <c r="RR66" t="s">
        <v>1900</v>
      </c>
      <c r="RS66" t="s">
        <v>1900</v>
      </c>
      <c r="RT66" t="s">
        <v>1900</v>
      </c>
      <c r="RU66" t="s">
        <v>1900</v>
      </c>
      <c r="RV66" t="s">
        <v>1900</v>
      </c>
      <c r="RW66" t="s">
        <v>1900</v>
      </c>
      <c r="RX66" t="s">
        <v>1900</v>
      </c>
      <c r="RY66" t="s">
        <v>1900</v>
      </c>
      <c r="RZ66" t="s">
        <v>1900</v>
      </c>
      <c r="SA66" t="s">
        <v>1900</v>
      </c>
      <c r="SB66" t="s">
        <v>1900</v>
      </c>
      <c r="SC66" t="s">
        <v>1900</v>
      </c>
      <c r="SD66" t="s">
        <v>1900</v>
      </c>
      <c r="SE66" t="s">
        <v>1900</v>
      </c>
      <c r="SF66" t="s">
        <v>1900</v>
      </c>
      <c r="SG66" t="s">
        <v>1900</v>
      </c>
      <c r="SH66" t="s">
        <v>1900</v>
      </c>
      <c r="SI66" t="s">
        <v>1900</v>
      </c>
      <c r="SJ66">
        <v>924705.43728866</v>
      </c>
      <c r="SK66">
        <v>1606364.98951687</v>
      </c>
      <c r="SL66">
        <v>1525870.96696342</v>
      </c>
      <c r="SM66">
        <v>1370594.98051851</v>
      </c>
      <c r="SN66">
        <v>1440688.68205851</v>
      </c>
      <c r="SO66" t="s">
        <v>1900</v>
      </c>
      <c r="SP66" t="s">
        <v>1900</v>
      </c>
      <c r="SQ66" t="s">
        <v>1900</v>
      </c>
      <c r="SR66" t="s">
        <v>1900</v>
      </c>
      <c r="SS66" t="s">
        <v>1900</v>
      </c>
      <c r="ST66" t="s">
        <v>1900</v>
      </c>
      <c r="SU66" t="s">
        <v>1900</v>
      </c>
      <c r="SV66" t="s">
        <v>1900</v>
      </c>
      <c r="SW66" t="s">
        <v>1900</v>
      </c>
      <c r="SX66" t="s">
        <v>1900</v>
      </c>
      <c r="SY66" t="s">
        <v>1900</v>
      </c>
      <c r="SZ66" t="s">
        <v>1900</v>
      </c>
      <c r="TA66" t="s">
        <v>1900</v>
      </c>
      <c r="TB66" t="s">
        <v>1900</v>
      </c>
      <c r="TC66" t="s">
        <v>1900</v>
      </c>
      <c r="TD66" t="s">
        <v>1900</v>
      </c>
      <c r="TE66" t="s">
        <v>1900</v>
      </c>
      <c r="TF66" t="s">
        <v>1900</v>
      </c>
      <c r="TG66" t="s">
        <v>1900</v>
      </c>
      <c r="TH66" t="s">
        <v>1900</v>
      </c>
      <c r="TI66" t="s">
        <v>1900</v>
      </c>
      <c r="TJ66" t="s">
        <v>1900</v>
      </c>
      <c r="TK66" t="s">
        <v>1900</v>
      </c>
      <c r="TL66" t="s">
        <v>1900</v>
      </c>
      <c r="TM66" t="s">
        <v>1900</v>
      </c>
      <c r="TN66" t="s">
        <v>1900</v>
      </c>
      <c r="TO66" t="s">
        <v>1900</v>
      </c>
      <c r="TP66" t="s">
        <v>1900</v>
      </c>
      <c r="TQ66" t="s">
        <v>1900</v>
      </c>
      <c r="TR66" t="s">
        <v>1900</v>
      </c>
      <c r="TS66">
        <v>2265879.55350096</v>
      </c>
      <c r="TT66">
        <v>1728006.5381081</v>
      </c>
      <c r="TU66">
        <v>1688685.13898713</v>
      </c>
      <c r="TV66">
        <v>1472709.58998334</v>
      </c>
      <c r="TW66">
        <v>1644951.25104098</v>
      </c>
      <c r="TX66" t="s">
        <v>1900</v>
      </c>
      <c r="TY66" t="s">
        <v>1900</v>
      </c>
      <c r="TZ66" t="s">
        <v>1900</v>
      </c>
      <c r="UA66" t="s">
        <v>1900</v>
      </c>
      <c r="UB66" t="s">
        <v>1900</v>
      </c>
      <c r="UC66">
        <v>0</v>
      </c>
      <c r="UD66">
        <v>0</v>
      </c>
      <c r="UE66">
        <v>1631.01193946004</v>
      </c>
      <c r="UF66">
        <v>10025.1549915075</v>
      </c>
      <c r="UG66">
        <v>10310.7264054537</v>
      </c>
      <c r="UH66" t="s">
        <v>1900</v>
      </c>
      <c r="UI66" t="s">
        <v>1900</v>
      </c>
      <c r="UJ66" t="s">
        <v>1900</v>
      </c>
      <c r="UK66" t="s">
        <v>1900</v>
      </c>
      <c r="UL66" t="s">
        <v>1900</v>
      </c>
      <c r="UM66" t="s">
        <v>1900</v>
      </c>
      <c r="UN66" t="s">
        <v>1900</v>
      </c>
      <c r="UO66" t="s">
        <v>1900</v>
      </c>
      <c r="UP66" t="s">
        <v>1900</v>
      </c>
      <c r="UQ66" t="s">
        <v>1900</v>
      </c>
      <c r="UR66" t="s">
        <v>1900</v>
      </c>
      <c r="US66" t="s">
        <v>1900</v>
      </c>
      <c r="UT66" t="s">
        <v>1900</v>
      </c>
      <c r="UU66" t="s">
        <v>1900</v>
      </c>
      <c r="UV66" t="s">
        <v>1900</v>
      </c>
      <c r="UW66" t="s">
        <v>1900</v>
      </c>
      <c r="UX66" t="s">
        <v>1900</v>
      </c>
      <c r="UY66" t="s">
        <v>1900</v>
      </c>
      <c r="UZ66" t="s">
        <v>1900</v>
      </c>
      <c r="VA66" t="s">
        <v>1900</v>
      </c>
      <c r="VB66" t="s">
        <v>1900</v>
      </c>
      <c r="VC66" t="s">
        <v>1900</v>
      </c>
      <c r="VD66" t="s">
        <v>1900</v>
      </c>
      <c r="VE66" t="s">
        <v>1900</v>
      </c>
      <c r="VF66" t="s">
        <v>1900</v>
      </c>
      <c r="VG66" t="s">
        <v>1900</v>
      </c>
      <c r="VH66" t="s">
        <v>1900</v>
      </c>
      <c r="VI66" t="s">
        <v>1900</v>
      </c>
      <c r="VJ66" t="s">
        <v>1900</v>
      </c>
      <c r="VK66" t="s">
        <v>1900</v>
      </c>
      <c r="VL66" t="s">
        <v>1900</v>
      </c>
      <c r="VM66" t="s">
        <v>1900</v>
      </c>
      <c r="VN66" t="s">
        <v>1900</v>
      </c>
      <c r="VO66" t="s">
        <v>1900</v>
      </c>
      <c r="VP66" t="s">
        <v>1900</v>
      </c>
      <c r="VQ66" t="s">
        <v>1900</v>
      </c>
      <c r="VR66" t="s">
        <v>1900</v>
      </c>
      <c r="VS66" t="s">
        <v>1900</v>
      </c>
      <c r="VT66" t="s">
        <v>1900</v>
      </c>
      <c r="VU66" t="s">
        <v>1900</v>
      </c>
      <c r="VV66" t="s">
        <v>1900</v>
      </c>
      <c r="VW66" t="s">
        <v>1900</v>
      </c>
      <c r="VX66" t="s">
        <v>1900</v>
      </c>
      <c r="VY66" t="s">
        <v>1900</v>
      </c>
      <c r="VZ66" t="s">
        <v>1900</v>
      </c>
      <c r="WA66">
        <v>5187.87991443038</v>
      </c>
      <c r="WB66">
        <v>35180.9173887634</v>
      </c>
      <c r="WC66">
        <v>24746.9106807292</v>
      </c>
      <c r="WD66">
        <v>16697.0429047108</v>
      </c>
      <c r="WE66">
        <v>17419.924969607</v>
      </c>
      <c r="WF66" t="s">
        <v>1900</v>
      </c>
      <c r="WG66" t="s">
        <v>1900</v>
      </c>
      <c r="WH66" t="s">
        <v>1900</v>
      </c>
      <c r="WI66" t="s">
        <v>1900</v>
      </c>
      <c r="WJ66" t="s">
        <v>1900</v>
      </c>
      <c r="WK66" t="s">
        <v>1900</v>
      </c>
      <c r="WL66" t="s">
        <v>1900</v>
      </c>
      <c r="WM66" t="s">
        <v>1900</v>
      </c>
      <c r="WN66" t="s">
        <v>1900</v>
      </c>
      <c r="WO66" t="s">
        <v>1900</v>
      </c>
      <c r="WP66" t="s">
        <v>1900</v>
      </c>
      <c r="WQ66" t="s">
        <v>1900</v>
      </c>
      <c r="WR66" t="s">
        <v>1900</v>
      </c>
      <c r="WS66" t="s">
        <v>1900</v>
      </c>
      <c r="WT66" t="s">
        <v>1900</v>
      </c>
      <c r="WU66" t="s">
        <v>1900</v>
      </c>
      <c r="WV66" t="s">
        <v>1900</v>
      </c>
      <c r="WW66" t="s">
        <v>1900</v>
      </c>
      <c r="WX66" t="s">
        <v>1900</v>
      </c>
      <c r="WY66" t="s">
        <v>1900</v>
      </c>
      <c r="WZ66" t="s">
        <v>1900</v>
      </c>
      <c r="XA66" t="s">
        <v>1900</v>
      </c>
      <c r="XB66" t="s">
        <v>1900</v>
      </c>
      <c r="XC66" t="s">
        <v>1900</v>
      </c>
      <c r="XD66" t="s">
        <v>1900</v>
      </c>
      <c r="XE66" t="s">
        <v>1900</v>
      </c>
      <c r="XF66" t="s">
        <v>1900</v>
      </c>
      <c r="XG66" t="s">
        <v>1900</v>
      </c>
      <c r="XH66" t="s">
        <v>1900</v>
      </c>
      <c r="XI66" t="s">
        <v>1900</v>
      </c>
      <c r="XJ66" t="s">
        <v>1900</v>
      </c>
      <c r="XK66" t="s">
        <v>1900</v>
      </c>
      <c r="XL66" t="s">
        <v>1900</v>
      </c>
      <c r="XM66">
        <v>0</v>
      </c>
      <c r="XN66">
        <v>0</v>
      </c>
      <c r="XO66" t="s">
        <v>1900</v>
      </c>
      <c r="XP66" t="s">
        <v>1900</v>
      </c>
      <c r="XQ66" t="s">
        <v>1900</v>
      </c>
      <c r="XR66" t="s">
        <v>1900</v>
      </c>
      <c r="XS66" t="s">
        <v>1900</v>
      </c>
      <c r="XT66" t="s">
        <v>1900</v>
      </c>
      <c r="XU66" t="s">
        <v>1900</v>
      </c>
      <c r="XV66" t="s">
        <v>1900</v>
      </c>
      <c r="XW66" t="s">
        <v>1900</v>
      </c>
      <c r="XX66" t="s">
        <v>1900</v>
      </c>
      <c r="XY66" t="s">
        <v>1900</v>
      </c>
      <c r="XZ66" t="s">
        <v>1900</v>
      </c>
      <c r="YA66" t="s">
        <v>1900</v>
      </c>
      <c r="YB66">
        <v>0</v>
      </c>
      <c r="YC66">
        <v>0</v>
      </c>
      <c r="YD66" t="s">
        <v>1900</v>
      </c>
      <c r="YE66" t="s">
        <v>1900</v>
      </c>
      <c r="YF66" t="s">
        <v>1900</v>
      </c>
      <c r="YG66" t="s">
        <v>1900</v>
      </c>
      <c r="YH66" t="s">
        <v>1900</v>
      </c>
      <c r="YI66" t="s">
        <v>1900</v>
      </c>
      <c r="YJ66" t="s">
        <v>1900</v>
      </c>
      <c r="YK66" t="s">
        <v>1900</v>
      </c>
      <c r="YL66" t="s">
        <v>1900</v>
      </c>
      <c r="YM66" t="s">
        <v>1900</v>
      </c>
      <c r="YN66" t="s">
        <v>1900</v>
      </c>
      <c r="YO66" t="s">
        <v>1900</v>
      </c>
      <c r="YP66" t="s">
        <v>1900</v>
      </c>
      <c r="YQ66" t="s">
        <v>1900</v>
      </c>
      <c r="YR66" t="s">
        <v>1900</v>
      </c>
      <c r="YS66" t="s">
        <v>1900</v>
      </c>
      <c r="YT66" t="s">
        <v>1900</v>
      </c>
      <c r="YU66" t="s">
        <v>1900</v>
      </c>
      <c r="YV66" t="s">
        <v>1900</v>
      </c>
      <c r="YW66" t="s">
        <v>1900</v>
      </c>
      <c r="YX66" t="s">
        <v>1900</v>
      </c>
      <c r="YY66" t="s">
        <v>1900</v>
      </c>
      <c r="YZ66" t="s">
        <v>1900</v>
      </c>
      <c r="ZA66" t="s">
        <v>1900</v>
      </c>
      <c r="ZB66" t="s">
        <v>1900</v>
      </c>
      <c r="ZC66" t="s">
        <v>1900</v>
      </c>
      <c r="ZD66" t="s">
        <v>1900</v>
      </c>
      <c r="ZE66" t="s">
        <v>1900</v>
      </c>
      <c r="ZF66" t="s">
        <v>1900</v>
      </c>
      <c r="ZG66" t="s">
        <v>1900</v>
      </c>
      <c r="ZH66" t="s">
        <v>1900</v>
      </c>
      <c r="ZI66" t="s">
        <v>1900</v>
      </c>
      <c r="ZJ66" t="s">
        <v>1900</v>
      </c>
      <c r="ZK66" t="s">
        <v>1900</v>
      </c>
      <c r="ZL66" t="s">
        <v>1900</v>
      </c>
      <c r="ZM66" t="s">
        <v>1900</v>
      </c>
      <c r="ZN66" t="s">
        <v>1900</v>
      </c>
      <c r="ZO66" t="s">
        <v>1900</v>
      </c>
      <c r="ZP66" t="s">
        <v>1900</v>
      </c>
      <c r="ZQ66" t="s">
        <v>1900</v>
      </c>
      <c r="ZR66" t="s">
        <v>1900</v>
      </c>
      <c r="ZS66" t="s">
        <v>1900</v>
      </c>
      <c r="ZT66" t="s">
        <v>1900</v>
      </c>
      <c r="ZU66" t="s">
        <v>1900</v>
      </c>
      <c r="ZV66" t="s">
        <v>1900</v>
      </c>
      <c r="ZW66" t="s">
        <v>1900</v>
      </c>
      <c r="ZX66" t="s">
        <v>1900</v>
      </c>
      <c r="ZY66" t="s">
        <v>1900</v>
      </c>
      <c r="ZZ66" t="s">
        <v>1900</v>
      </c>
      <c r="AAA66" t="s">
        <v>1900</v>
      </c>
      <c r="AAB66" t="s">
        <v>1900</v>
      </c>
      <c r="AAC66" t="s">
        <v>1900</v>
      </c>
      <c r="AAD66" t="s">
        <v>1900</v>
      </c>
      <c r="AAE66" t="s">
        <v>1900</v>
      </c>
      <c r="AAF66" t="s">
        <v>1900</v>
      </c>
      <c r="AAG66" t="s">
        <v>1900</v>
      </c>
      <c r="AAH66" t="s">
        <v>1900</v>
      </c>
      <c r="AAI66" t="s">
        <v>1900</v>
      </c>
      <c r="AAJ66" t="s">
        <v>1900</v>
      </c>
      <c r="AAK66" t="s">
        <v>1900</v>
      </c>
      <c r="AAL66" t="s">
        <v>1900</v>
      </c>
      <c r="AAM66" t="s">
        <v>1900</v>
      </c>
      <c r="AAN66" t="s">
        <v>1900</v>
      </c>
      <c r="AAO66" t="s">
        <v>1900</v>
      </c>
      <c r="AAP66" t="s">
        <v>1900</v>
      </c>
      <c r="AAQ66" t="s">
        <v>1900</v>
      </c>
      <c r="AAR66" t="s">
        <v>1900</v>
      </c>
      <c r="AAS66" t="s">
        <v>1900</v>
      </c>
      <c r="AAT66" t="s">
        <v>1900</v>
      </c>
      <c r="AAU66" t="s">
        <v>1900</v>
      </c>
      <c r="AAV66" t="s">
        <v>1900</v>
      </c>
      <c r="AAW66" t="s">
        <v>1900</v>
      </c>
      <c r="AAX66" t="s">
        <v>1900</v>
      </c>
      <c r="AAY66" t="s">
        <v>1900</v>
      </c>
      <c r="AAZ66" t="s">
        <v>1900</v>
      </c>
      <c r="ABA66" t="s">
        <v>1900</v>
      </c>
      <c r="ABB66" t="s">
        <v>1900</v>
      </c>
      <c r="ABC66" t="s">
        <v>1900</v>
      </c>
      <c r="ABD66" t="s">
        <v>1900</v>
      </c>
      <c r="ABE66" t="s">
        <v>1900</v>
      </c>
      <c r="ABF66" t="s">
        <v>1900</v>
      </c>
      <c r="ABG66" t="s">
        <v>1900</v>
      </c>
      <c r="ABH66" t="s">
        <v>1900</v>
      </c>
      <c r="ABI66" t="s">
        <v>1900</v>
      </c>
      <c r="ABJ66" t="s">
        <v>1900</v>
      </c>
      <c r="ABK66" t="s">
        <v>1900</v>
      </c>
      <c r="ABL66" t="s">
        <v>1900</v>
      </c>
      <c r="ABM66" t="s">
        <v>1900</v>
      </c>
      <c r="ABN66" t="s">
        <v>1900</v>
      </c>
      <c r="ABO66" t="s">
        <v>1900</v>
      </c>
      <c r="ABP66" t="s">
        <v>1900</v>
      </c>
      <c r="ABQ66" t="s">
        <v>1900</v>
      </c>
      <c r="ABR66" t="s">
        <v>1900</v>
      </c>
      <c r="ABS66" t="s">
        <v>1900</v>
      </c>
      <c r="ABT66" t="s">
        <v>1900</v>
      </c>
      <c r="ABU66" t="s">
        <v>1900</v>
      </c>
      <c r="ABV66" t="s">
        <v>1900</v>
      </c>
      <c r="ABW66" t="s">
        <v>1900</v>
      </c>
      <c r="ABX66" t="s">
        <v>1900</v>
      </c>
      <c r="ABY66" t="s">
        <v>1900</v>
      </c>
      <c r="ABZ66" t="s">
        <v>1900</v>
      </c>
      <c r="ACA66" t="s">
        <v>1900</v>
      </c>
      <c r="ACB66" t="s">
        <v>1900</v>
      </c>
      <c r="ACC66" t="s">
        <v>1900</v>
      </c>
      <c r="ACD66" t="s">
        <v>1900</v>
      </c>
      <c r="ACE66">
        <v>120.273</v>
      </c>
      <c r="ACF66">
        <v>30.7</v>
      </c>
      <c r="ACG66">
        <v>-8.135999999999999</v>
      </c>
      <c r="ACH66">
        <v>-3.68</v>
      </c>
      <c r="ACI66">
        <v>-8.627000000000001</v>
      </c>
      <c r="ACJ66">
        <v>120.276</v>
      </c>
      <c r="ACK66">
        <v>31.013</v>
      </c>
      <c r="ACL66">
        <v>-8.098000000000001</v>
      </c>
      <c r="ACM66">
        <v>-3.597</v>
      </c>
      <c r="ACN66">
        <v>-8.411</v>
      </c>
      <c r="ACO66" t="s">
        <v>1901</v>
      </c>
      <c r="ACP66">
        <v>30.064</v>
      </c>
      <c r="ACQ66">
        <v>-6.053</v>
      </c>
      <c r="ACR66">
        <v>-3.257</v>
      </c>
      <c r="ACS66">
        <v>-7.609</v>
      </c>
      <c r="ACT66">
        <v>118.878</v>
      </c>
      <c r="ACU66">
        <v>30.141</v>
      </c>
      <c r="ACV66">
        <v>-5.15</v>
      </c>
      <c r="ACW66">
        <v>-2.704</v>
      </c>
      <c r="ACX66">
        <v>-5.409</v>
      </c>
      <c r="ACY66">
        <v>118.88</v>
      </c>
      <c r="ACZ66">
        <v>30.454</v>
      </c>
      <c r="ADA66">
        <v>-5.113</v>
      </c>
      <c r="ADB66">
        <v>-2.623</v>
      </c>
      <c r="ADC66">
        <v>-5.221</v>
      </c>
      <c r="ADD66" t="s">
        <v>1901</v>
      </c>
      <c r="ADE66">
        <v>29.517</v>
      </c>
      <c r="ADF66">
        <v>-3.832</v>
      </c>
      <c r="ADG66">
        <v>-2.394</v>
      </c>
      <c r="ADH66">
        <v>-4.771</v>
      </c>
      <c r="ADI66" t="s">
        <v>1901</v>
      </c>
      <c r="ADJ66" t="s">
        <v>1901</v>
      </c>
      <c r="ADK66">
        <v>-18.531</v>
      </c>
      <c r="ADL66">
        <v>-16.643</v>
      </c>
      <c r="ADM66">
        <v>-41.571</v>
      </c>
      <c r="ADN66">
        <v>100</v>
      </c>
      <c r="ADO66">
        <v>97.265</v>
      </c>
      <c r="ADP66">
        <v>6.96</v>
      </c>
      <c r="ADQ66">
        <v>-13.498</v>
      </c>
      <c r="ADR66">
        <v>-2.606</v>
      </c>
      <c r="ADS66">
        <v>579.20164801</v>
      </c>
      <c r="ADT66">
        <v>-2.942190732</v>
      </c>
      <c r="ADU66">
        <v>-18.74970547</v>
      </c>
      <c r="ADV66">
        <v>-17.840196555</v>
      </c>
      <c r="ADW66">
        <v>-25.203339042</v>
      </c>
      <c r="ADX66" t="s">
        <v>1901</v>
      </c>
      <c r="ADY66">
        <v>-2.464</v>
      </c>
      <c r="ADZ66">
        <v>-18.291</v>
      </c>
      <c r="AEA66">
        <v>-16.901</v>
      </c>
      <c r="AEB66">
        <v>-24.198</v>
      </c>
      <c r="AEC66" t="s">
        <v>1901</v>
      </c>
      <c r="AED66">
        <v>-2.942</v>
      </c>
      <c r="AEE66">
        <v>-18.75</v>
      </c>
      <c r="AEF66">
        <v>-17.84</v>
      </c>
      <c r="AEG66">
        <v>-25.203</v>
      </c>
      <c r="AEH66" t="s">
        <v>1901</v>
      </c>
      <c r="AEI66" t="s">
        <v>1901</v>
      </c>
      <c r="AEJ66">
        <v>-11.273</v>
      </c>
      <c r="AEK66">
        <v>-11.294</v>
      </c>
      <c r="AEL66">
        <v>-25.059</v>
      </c>
      <c r="AEM66">
        <v>-120.868041756</v>
      </c>
      <c r="AEN66">
        <v>-2.858099979</v>
      </c>
      <c r="AEO66">
        <v>-15.78926482</v>
      </c>
      <c r="AEP66">
        <v>-15.139313305</v>
      </c>
      <c r="AEQ66">
        <v>-20.129925635</v>
      </c>
      <c r="AER66" t="s">
        <v>1900</v>
      </c>
      <c r="AES66">
        <v>0.970638919</v>
      </c>
      <c r="AET66">
        <v>0.270711982</v>
      </c>
      <c r="AEU66">
        <v>-3.108259559</v>
      </c>
      <c r="AEV66">
        <v>-0.115339048</v>
      </c>
      <c r="AEW66" t="s">
        <v>1900</v>
      </c>
      <c r="AEX66" t="s">
        <v>1900</v>
      </c>
      <c r="AEY66" t="s">
        <v>1900</v>
      </c>
      <c r="AEZ66" t="s">
        <v>1900</v>
      </c>
      <c r="AFA66" t="s">
        <v>1900</v>
      </c>
      <c r="AFB66" t="s">
        <v>1900</v>
      </c>
      <c r="AFC66" t="s">
        <v>1900</v>
      </c>
      <c r="AFD66" t="s">
        <v>1900</v>
      </c>
      <c r="AFE66" t="s">
        <v>1900</v>
      </c>
      <c r="AFF66" t="s">
        <v>1900</v>
      </c>
      <c r="AFG66">
        <v>0.002</v>
      </c>
      <c r="AFH66">
        <v>0.245</v>
      </c>
      <c r="AFI66">
        <v>0.439</v>
      </c>
      <c r="AFJ66">
        <v>0.221</v>
      </c>
      <c r="AFK66">
        <v>0.206</v>
      </c>
      <c r="AFL66">
        <v>422.215</v>
      </c>
      <c r="AFM66">
        <v>-2.304</v>
      </c>
      <c r="AFN66" t="s">
        <v>1901</v>
      </c>
      <c r="AFO66">
        <v>-50.69</v>
      </c>
      <c r="AFP66">
        <v>-36.746</v>
      </c>
      <c r="AFQ66" t="s">
        <v>1901</v>
      </c>
      <c r="AFR66" t="s">
        <v>1901</v>
      </c>
      <c r="AFS66" t="s">
        <v>1901</v>
      </c>
      <c r="AFT66" t="s">
        <v>1901</v>
      </c>
      <c r="AFU66" t="s">
        <v>1901</v>
      </c>
      <c r="AFV66" t="s">
        <v>1901</v>
      </c>
      <c r="AFW66">
        <v>25.088</v>
      </c>
      <c r="AFX66">
        <v>37.662</v>
      </c>
      <c r="AFY66">
        <v>54.566</v>
      </c>
      <c r="AFZ66">
        <v>39.07</v>
      </c>
      <c r="AGA66">
        <v>0</v>
      </c>
      <c r="AGB66">
        <v>0.543</v>
      </c>
      <c r="AGC66">
        <v>264.942</v>
      </c>
      <c r="AGD66">
        <v>175.489</v>
      </c>
      <c r="AGE66">
        <v>183.685</v>
      </c>
      <c r="AGF66" t="s">
        <v>1900</v>
      </c>
      <c r="AGG66" t="s">
        <v>1900</v>
      </c>
      <c r="AGH66" t="s">
        <v>1900</v>
      </c>
      <c r="AGI66" t="s">
        <v>1900</v>
      </c>
      <c r="AGJ66" t="s">
        <v>1900</v>
      </c>
      <c r="AGK66" t="s">
        <v>1900</v>
      </c>
      <c r="AGL66" t="s">
        <v>1900</v>
      </c>
      <c r="AGM66" t="s">
        <v>1900</v>
      </c>
      <c r="AGN66" t="s">
        <v>1900</v>
      </c>
      <c r="AGO66" t="s">
        <v>1900</v>
      </c>
      <c r="AGP66" t="s">
        <v>1900</v>
      </c>
      <c r="AGQ66" t="s">
        <v>1900</v>
      </c>
      <c r="AGR66" t="s">
        <v>1900</v>
      </c>
      <c r="AGS66" t="s">
        <v>1900</v>
      </c>
      <c r="AGT66" t="s">
        <v>1900</v>
      </c>
      <c r="AGU66">
        <v>0</v>
      </c>
      <c r="AGV66">
        <v>0</v>
      </c>
      <c r="AGW66">
        <v>0</v>
      </c>
      <c r="AGX66">
        <v>0</v>
      </c>
      <c r="AGY66">
        <v>0</v>
      </c>
      <c r="AGZ66" t="s">
        <v>1901</v>
      </c>
      <c r="AHA66">
        <v>3.231</v>
      </c>
      <c r="AHB66">
        <v>0.359</v>
      </c>
      <c r="AHC66">
        <v>0.554</v>
      </c>
      <c r="AHD66">
        <v>1.118</v>
      </c>
      <c r="AHE66" t="s">
        <v>1901</v>
      </c>
      <c r="AHF66">
        <v>3.231</v>
      </c>
      <c r="AHG66">
        <v>0.359</v>
      </c>
      <c r="AHH66">
        <v>0.554</v>
      </c>
      <c r="AHI66">
        <v>1.118</v>
      </c>
      <c r="AHJ66" t="s">
        <v>1901</v>
      </c>
      <c r="AHK66" t="s">
        <v>1901</v>
      </c>
      <c r="AHL66" t="s">
        <v>1901</v>
      </c>
      <c r="AHM66">
        <v>758.457</v>
      </c>
      <c r="AHN66">
        <v>114.153</v>
      </c>
      <c r="AHO66">
        <v>99.771</v>
      </c>
      <c r="AHP66">
        <v>97.928</v>
      </c>
      <c r="AHQ66">
        <v>74.399</v>
      </c>
      <c r="AHR66">
        <v>88.52800000000001</v>
      </c>
      <c r="AHS66">
        <v>88.202</v>
      </c>
      <c r="AHT66" t="s">
        <v>1901</v>
      </c>
      <c r="AHU66" t="s">
        <v>1901</v>
      </c>
      <c r="AHV66" t="s">
        <v>1901</v>
      </c>
      <c r="AHW66" t="s">
        <v>1901</v>
      </c>
      <c r="AHX66" t="s">
        <v>1901</v>
      </c>
      <c r="AHY66">
        <v>0</v>
      </c>
      <c r="AHZ66">
        <v>0</v>
      </c>
      <c r="AIA66">
        <v>0.13</v>
      </c>
      <c r="AIB66">
        <v>0.901</v>
      </c>
      <c r="AIC66">
        <v>1.587</v>
      </c>
      <c r="AID66">
        <v>40.809999625</v>
      </c>
      <c r="AIE66">
        <v>92.960585165</v>
      </c>
      <c r="AIF66">
        <v>90.358524022</v>
      </c>
      <c r="AIG66">
        <v>93.06620869699999</v>
      </c>
      <c r="AIH66">
        <v>87.58245456500001</v>
      </c>
      <c r="AII66">
        <v>58.019690229</v>
      </c>
      <c r="AIJ66">
        <v>5.022050943</v>
      </c>
      <c r="AIK66">
        <v>5.770487915</v>
      </c>
      <c r="AIL66">
        <v>3.328889583</v>
      </c>
      <c r="AIM66">
        <v>10.341284108</v>
      </c>
      <c r="AIN66">
        <v>0.228956562</v>
      </c>
      <c r="AIO66">
        <v>2.035925016</v>
      </c>
      <c r="AIP66">
        <v>1.465454401</v>
      </c>
      <c r="AIQ66">
        <v>1.13376344</v>
      </c>
      <c r="AIR66">
        <v>1.058993387</v>
      </c>
      <c r="AIS66" t="s">
        <v>1900</v>
      </c>
      <c r="AIT66">
        <v>0</v>
      </c>
      <c r="AIU66">
        <v>0</v>
      </c>
      <c r="AIV66">
        <v>0</v>
      </c>
      <c r="AIW66">
        <v>0</v>
      </c>
      <c r="AIX66" t="s">
        <v>1900</v>
      </c>
      <c r="AIY66">
        <v>173.169721766443</v>
      </c>
      <c r="AIZ66">
        <v>-34.071283397007</v>
      </c>
      <c r="AJA66" t="s">
        <v>1900</v>
      </c>
      <c r="AJB66" t="s">
        <v>1900</v>
      </c>
      <c r="AJC66" t="s">
        <v>1900</v>
      </c>
      <c r="AJD66">
        <v>138.255068612176</v>
      </c>
      <c r="AJE66">
        <v>183.859477978628</v>
      </c>
      <c r="AJF66" t="s">
        <v>1900</v>
      </c>
      <c r="AJG66" t="s">
        <v>1900</v>
      </c>
      <c r="AJH66" t="s">
        <v>1901</v>
      </c>
      <c r="AJI66">
        <v>31.356</v>
      </c>
      <c r="AJJ66">
        <v>17.324</v>
      </c>
      <c r="AJK66" t="s">
        <v>1900</v>
      </c>
      <c r="AJL66" t="s">
        <v>1900</v>
      </c>
      <c r="AJM66" t="s">
        <v>1900</v>
      </c>
      <c r="AJN66">
        <v>43.3508048553085</v>
      </c>
      <c r="AJO66">
        <v>31.8513378841102</v>
      </c>
      <c r="AJP66" t="s">
        <v>1900</v>
      </c>
      <c r="AJQ66" t="s">
        <v>1900</v>
      </c>
      <c r="AJR66" t="s">
        <v>1900</v>
      </c>
      <c r="AJS66">
        <v>564.066516881122</v>
      </c>
      <c r="AJT66">
        <v>418.790831526983</v>
      </c>
      <c r="AJU66" t="s">
        <v>1900</v>
      </c>
      <c r="AJV66" t="s">
        <v>1900</v>
      </c>
      <c r="AJW66" t="s">
        <v>1900</v>
      </c>
      <c r="AJX66">
        <v>9.42608849531269</v>
      </c>
      <c r="AJY66" t="s">
        <v>1901</v>
      </c>
      <c r="AJZ66" t="s">
        <v>1900</v>
      </c>
      <c r="AKA66" t="s">
        <v>1900</v>
      </c>
      <c r="AKB66" t="s">
        <v>1900</v>
      </c>
      <c r="AKC66">
        <v>576.002179737701</v>
      </c>
      <c r="AKD66">
        <v>562.89504597351</v>
      </c>
      <c r="AKE66" t="s">
        <v>1900</v>
      </c>
      <c r="AKF66" t="s">
        <v>1900</v>
      </c>
      <c r="AKG66" t="s">
        <v>1900</v>
      </c>
      <c r="AKH66">
        <v>0</v>
      </c>
      <c r="AKI66">
        <v>0</v>
      </c>
      <c r="AKJ66">
        <v>0</v>
      </c>
      <c r="AKK66">
        <v>0</v>
      </c>
      <c r="AKL66">
        <v>0</v>
      </c>
      <c r="AKM66">
        <v>0</v>
      </c>
      <c r="AKN66">
        <v>0</v>
      </c>
      <c r="AKO66">
        <v>0</v>
      </c>
      <c r="AKP66">
        <v>0</v>
      </c>
      <c r="AKQ66">
        <v>0</v>
      </c>
      <c r="AKR66">
        <v>0</v>
      </c>
      <c r="AKS66">
        <v>0</v>
      </c>
      <c r="AKT66">
        <v>0</v>
      </c>
      <c r="AKU66">
        <v>0</v>
      </c>
      <c r="AKV66">
        <v>0</v>
      </c>
      <c r="AKW66">
        <v>1.435955107</v>
      </c>
      <c r="AKX66">
        <v>1.38967723</v>
      </c>
      <c r="AKY66">
        <v>3.261070258</v>
      </c>
      <c r="AKZ66">
        <v>0.49043697</v>
      </c>
      <c r="ALA66">
        <v>0</v>
      </c>
      <c r="ALB66">
        <v>0.344665488</v>
      </c>
      <c r="ALC66">
        <v>0.453912912</v>
      </c>
      <c r="ALD66">
        <v>0.638272682</v>
      </c>
      <c r="ALE66">
        <v>0.089770382</v>
      </c>
      <c r="ALF66">
        <v>0</v>
      </c>
      <c r="ALG66">
        <v>0</v>
      </c>
      <c r="ALH66">
        <v>0</v>
      </c>
      <c r="ALI66">
        <v>0</v>
      </c>
      <c r="ALJ66">
        <v>0</v>
      </c>
      <c r="ALK66">
        <v>0</v>
      </c>
      <c r="ALL66">
        <v>0</v>
      </c>
      <c r="ALM66">
        <v>0</v>
      </c>
      <c r="ALN66">
        <v>0</v>
      </c>
      <c r="ALO66">
        <v>0</v>
      </c>
      <c r="ALP66">
        <v>583.59192091</v>
      </c>
      <c r="ALQ66">
        <v>6.968843405</v>
      </c>
      <c r="ALR66">
        <v>10.461547595</v>
      </c>
      <c r="ALS66">
        <v>15.157135814</v>
      </c>
      <c r="ALT66">
        <v>10.852672961</v>
      </c>
      <c r="ALU66">
        <v>0</v>
      </c>
      <c r="ALV66">
        <v>2.166011157</v>
      </c>
      <c r="ALW66">
        <v>703.481996585</v>
      </c>
      <c r="ALX66">
        <v>321.610844385</v>
      </c>
      <c r="ALY66">
        <v>470.146616642</v>
      </c>
      <c r="ALZ66">
        <v>100</v>
      </c>
      <c r="AMA66">
        <v>97.26497427914251</v>
      </c>
      <c r="AMB66">
        <v>6.9598974044323</v>
      </c>
      <c r="AMC66">
        <v>-13.4976772231999</v>
      </c>
      <c r="AMD66">
        <v>-2.60631839999987</v>
      </c>
      <c r="AME66">
        <v>100</v>
      </c>
      <c r="AMF66">
        <v>97.26497427914251</v>
      </c>
      <c r="AMG66">
        <v>6.9598974044323</v>
      </c>
      <c r="AMH66">
        <v>-13.4976772231999</v>
      </c>
      <c r="AMI66">
        <v>-2.60631839999987</v>
      </c>
      <c r="AMJ66" t="s">
        <v>1900</v>
      </c>
      <c r="AMK66">
        <v>3556.27274498344</v>
      </c>
      <c r="AML66">
        <v>7.4805349787191</v>
      </c>
      <c r="AMM66">
        <v>-11.8924700076953</v>
      </c>
      <c r="AMN66">
        <v>-2.54011490743413</v>
      </c>
      <c r="AMO66" t="s">
        <v>1901</v>
      </c>
      <c r="AMP66">
        <v>0.970638918571254</v>
      </c>
      <c r="AMQ66">
        <v>0.27071197428042</v>
      </c>
      <c r="AMR66">
        <v>-3.10825955872772</v>
      </c>
      <c r="AMS66">
        <v>-0.115339030233272</v>
      </c>
      <c r="AMT66" t="s">
        <v>1901</v>
      </c>
      <c r="AMU66">
        <v>0.970638918571254</v>
      </c>
      <c r="AMV66">
        <v>0.270711981801821</v>
      </c>
      <c r="AMW66">
        <v>-3.10825955872772</v>
      </c>
      <c r="AMX66">
        <v>-0.115339048268665</v>
      </c>
      <c r="AMY66" t="s">
        <v>1900</v>
      </c>
      <c r="AMZ66">
        <v>0.970638918571254</v>
      </c>
      <c r="ANA66">
        <v>0.270711981801821</v>
      </c>
      <c r="ANB66">
        <v>-3.10825955872772</v>
      </c>
      <c r="ANC66">
        <v>-0.115339048268666</v>
      </c>
      <c r="AND66" t="s">
        <v>1901</v>
      </c>
      <c r="ANE66">
        <v>-2.94219073162497</v>
      </c>
      <c r="ANF66">
        <v>-18.7497054699298</v>
      </c>
      <c r="ANG66">
        <v>-17.8401965553772</v>
      </c>
      <c r="ANH66">
        <v>-25.2033390419682</v>
      </c>
      <c r="ANI66" t="s">
        <v>1901</v>
      </c>
      <c r="ANJ66">
        <v>-2.94219073162497</v>
      </c>
      <c r="ANK66">
        <v>-18.7497054699298</v>
      </c>
      <c r="ANL66">
        <v>-17.8401965553772</v>
      </c>
      <c r="ANM66">
        <v>-25.2033390419682</v>
      </c>
      <c r="ANN66">
        <v>-120.86804175555</v>
      </c>
      <c r="ANO66">
        <v>-2.85809997894391</v>
      </c>
      <c r="ANP66">
        <v>-15.7892648202632</v>
      </c>
      <c r="ANQ66">
        <v>-15.1393133046867</v>
      </c>
      <c r="ANR66">
        <v>-20.1299256352261</v>
      </c>
      <c r="ANS66">
        <v>1.16417148336495</v>
      </c>
      <c r="ANT66">
        <v>-0.72114328832955</v>
      </c>
      <c r="ANU66">
        <v>-8.231581951763591</v>
      </c>
      <c r="ANV66">
        <v>-3.93907187926002</v>
      </c>
      <c r="ANW66">
        <v>-5.18490796124511</v>
      </c>
      <c r="ANX66" t="s">
        <v>1900</v>
      </c>
      <c r="ANY66">
        <v>97.26497427914251</v>
      </c>
      <c r="ANZ66">
        <v>6.95989759780453</v>
      </c>
      <c r="AOA66">
        <v>-13.4976772231999</v>
      </c>
      <c r="AOB66">
        <v>-2.60631880754604</v>
      </c>
      <c r="AOC66">
        <v>-20.86804175555</v>
      </c>
      <c r="AOD66">
        <v>94.4850440697505</v>
      </c>
      <c r="AOE66">
        <v>5.86098077202786</v>
      </c>
      <c r="AOF66">
        <v>-11.4542215795243</v>
      </c>
      <c r="AOG66">
        <v>-2.08166844426268</v>
      </c>
      <c r="AOH66">
        <v>0.200535692596338</v>
      </c>
      <c r="AOI66">
        <v>23.3460500845207</v>
      </c>
      <c r="AOJ66">
        <v>2.27332450238199</v>
      </c>
      <c r="AOK66">
        <v>-2.64183165509957</v>
      </c>
      <c r="AOL66">
        <v>-0.477064767280472</v>
      </c>
      <c r="AOM66" t="s">
        <v>1900</v>
      </c>
      <c r="AON66">
        <v>-107.574517825833</v>
      </c>
      <c r="AOO66">
        <v>-20.1522837849836</v>
      </c>
      <c r="AOP66">
        <v>-15.718556530715</v>
      </c>
      <c r="AOQ66">
        <v>-24.5631451696859</v>
      </c>
      <c r="AOR66" t="s">
        <v>1901</v>
      </c>
      <c r="AOS66">
        <v>-2.93610814287464</v>
      </c>
      <c r="AOT66">
        <v>-72.92880181981791</v>
      </c>
      <c r="AOU66">
        <v>-410.825955872772</v>
      </c>
      <c r="AOV66">
        <v>-111.533904826867</v>
      </c>
      <c r="AOW66">
        <v>1.16150603636616</v>
      </c>
      <c r="AOX66">
        <v>-0.706200075492734</v>
      </c>
      <c r="AOY66">
        <v>-6.12425189343918</v>
      </c>
      <c r="AOZ66">
        <v>-3.49177085907678</v>
      </c>
      <c r="APA66">
        <v>-4.61326025045444</v>
      </c>
      <c r="APB66">
        <v>59144.2603160667</v>
      </c>
      <c r="APC66">
        <v>122.973115757499</v>
      </c>
      <c r="APD66">
        <v>-11.7316125010116</v>
      </c>
      <c r="APE66">
        <v>-12.2322983480463</v>
      </c>
      <c r="APF66">
        <v>-26.0646919207805</v>
      </c>
      <c r="APG66">
        <v>59144.2603160667</v>
      </c>
      <c r="APH66">
        <v>122.973115757499</v>
      </c>
      <c r="API66">
        <v>-11.7316125010116</v>
      </c>
      <c r="APJ66">
        <v>-12.2322983480463</v>
      </c>
      <c r="APK66">
        <v>-26.0646919207805</v>
      </c>
      <c r="APL66" t="s">
        <v>1900</v>
      </c>
      <c r="APM66">
        <v>4496.23251509838</v>
      </c>
      <c r="APN66">
        <v>-12.6091999021002</v>
      </c>
      <c r="APO66">
        <v>-10.7775759357531</v>
      </c>
      <c r="APP66">
        <v>-25.4026186921966</v>
      </c>
      <c r="APQ66" t="s">
        <v>1901</v>
      </c>
      <c r="APR66">
        <v>122.718885165832</v>
      </c>
      <c r="APS66">
        <v>-45.6312470873376</v>
      </c>
      <c r="APT66">
        <v>-281.686675690936</v>
      </c>
      <c r="APU66">
        <v>-115.345703328955</v>
      </c>
      <c r="APV66">
        <v>-12342.248938768</v>
      </c>
      <c r="APW66">
        <v>119.458421161928</v>
      </c>
      <c r="APX66">
        <v>-9.879277135539761</v>
      </c>
      <c r="APY66">
        <v>-10.3804123767716</v>
      </c>
      <c r="APZ66">
        <v>-20.8178888200766</v>
      </c>
      <c r="AQA66">
        <v>118.605352055806</v>
      </c>
      <c r="AQB66">
        <v>29.5166532536655</v>
      </c>
      <c r="AQC66">
        <v>-3.8319188633465</v>
      </c>
      <c r="AQD66">
        <v>-2.39416548907738</v>
      </c>
      <c r="AQE66">
        <v>-4.77092368508199</v>
      </c>
      <c r="AQF66" t="s">
        <v>1900</v>
      </c>
      <c r="AQG66">
        <v>-0.0293610814287464</v>
      </c>
      <c r="AQH66">
        <v>-0.729288018198179</v>
      </c>
      <c r="AQI66">
        <v>-4.10825955872772</v>
      </c>
      <c r="AQJ66">
        <v>-1.11533904826867</v>
      </c>
      <c r="AQK66">
        <v>2</v>
      </c>
      <c r="AQO66" t="s">
        <v>1903</v>
      </c>
      <c r="AQP66">
        <v>19</v>
      </c>
      <c r="AQQ66">
        <v>2</v>
      </c>
      <c r="AQS66" t="s">
        <v>1905</v>
      </c>
      <c r="AQU66" t="s">
        <v>1906</v>
      </c>
      <c r="AQV66">
        <v>4543.89725601196</v>
      </c>
      <c r="AQW66">
        <v>414765.206941528</v>
      </c>
      <c r="AQX66">
        <v>551578.432869285</v>
      </c>
      <c r="AQY66">
        <v>26318.3277907002</v>
      </c>
      <c r="AQZ66">
        <v>-12203.1834766388</v>
      </c>
      <c r="ARA66">
        <v>-103419.331598645</v>
      </c>
      <c r="ARB66">
        <v>970887.537066825</v>
      </c>
      <c r="ARC66">
        <v>-89304.1872845836</v>
      </c>
      <c r="ARD66">
        <v>-0.08423399771321272</v>
      </c>
      <c r="ARE66">
        <v>-0.08423399771321272</v>
      </c>
      <c r="ARF66">
        <v>-0.08423399771321272</v>
      </c>
      <c r="ARG66" t="s">
        <v>1907</v>
      </c>
      <c r="ARH66" t="s">
        <v>1907</v>
      </c>
      <c r="ARI66" t="s">
        <v>1907</v>
      </c>
      <c r="ARJ66" t="s">
        <v>1227</v>
      </c>
      <c r="ARK66" t="s">
        <v>1565</v>
      </c>
      <c r="ARL66" t="s">
        <v>1909</v>
      </c>
      <c r="ARP66" t="s">
        <v>1907</v>
      </c>
      <c r="ARQ66" t="s">
        <v>1911</v>
      </c>
    </row>
    <row r="67" spans="1:1163">
      <c r="A67">
        <v>457</v>
      </c>
      <c r="B67" t="s">
        <v>1228</v>
      </c>
      <c r="C67" t="s">
        <v>1351</v>
      </c>
      <c r="E67" s="2">
        <v>42340</v>
      </c>
      <c r="F67" t="s">
        <v>1431</v>
      </c>
      <c r="G67" t="s">
        <v>1433</v>
      </c>
      <c r="H67" t="s">
        <v>1434</v>
      </c>
      <c r="I67" t="s">
        <v>1437</v>
      </c>
      <c r="J67" t="s">
        <v>1453</v>
      </c>
      <c r="L67" t="s">
        <v>1566</v>
      </c>
      <c r="N67" t="s">
        <v>1643</v>
      </c>
      <c r="O67" t="s">
        <v>1667</v>
      </c>
      <c r="P67">
        <v>7021</v>
      </c>
      <c r="Q67">
        <v>7021</v>
      </c>
      <c r="R67" t="s">
        <v>1736</v>
      </c>
      <c r="Z67" t="s">
        <v>1899</v>
      </c>
      <c r="AA67" s="2">
        <v>45657</v>
      </c>
      <c r="AB67">
        <v>2024</v>
      </c>
      <c r="AC67">
        <v>1536883.44436973</v>
      </c>
      <c r="AD67">
        <v>3692119.3498778</v>
      </c>
      <c r="AE67">
        <v>3449198.32997602</v>
      </c>
      <c r="AF67">
        <v>3519612.08546162</v>
      </c>
      <c r="AG67">
        <v>1530389.89853776</v>
      </c>
      <c r="AH67">
        <v>1536883.44436973</v>
      </c>
      <c r="AI67">
        <v>3593411.51197893</v>
      </c>
      <c r="AJ67">
        <v>2660934.37777561</v>
      </c>
      <c r="AK67">
        <v>1886820.80199924</v>
      </c>
      <c r="AL67">
        <v>1530389.89853776</v>
      </c>
      <c r="AM67">
        <v>449763.703336476</v>
      </c>
      <c r="AN67">
        <v>1002757.36362518</v>
      </c>
      <c r="AO67">
        <v>1000988.60200968</v>
      </c>
      <c r="AP67">
        <v>773022.984780908</v>
      </c>
      <c r="AQ67">
        <v>710690.3765753451</v>
      </c>
      <c r="AR67">
        <v>1087119.74103325</v>
      </c>
      <c r="AS67">
        <v>2689361.98625261</v>
      </c>
      <c r="AT67">
        <v>2448209.72796634</v>
      </c>
      <c r="AU67">
        <v>2746589.10068071</v>
      </c>
      <c r="AV67">
        <v>819699.52196241</v>
      </c>
      <c r="AW67">
        <v>1977564.01785312</v>
      </c>
      <c r="AX67">
        <v>4006579.87165381</v>
      </c>
      <c r="AY67">
        <v>2783196.25593383</v>
      </c>
      <c r="AZ67">
        <v>1726806.78138857</v>
      </c>
      <c r="BA67">
        <v>1406518.65408868</v>
      </c>
      <c r="BB67">
        <v>-890444.276819867</v>
      </c>
      <c r="BC67">
        <v>-1317217.8854012</v>
      </c>
      <c r="BD67">
        <v>-334986.527967483</v>
      </c>
      <c r="BE67">
        <v>1019782.31929214</v>
      </c>
      <c r="BF67">
        <v>-586819.132126272</v>
      </c>
      <c r="BG67">
        <v>-35433.601195581</v>
      </c>
      <c r="BH67">
        <v>1666196.77731864</v>
      </c>
      <c r="BI67">
        <v>-514410.213862151</v>
      </c>
      <c r="BJ67">
        <v>-1514265.85051653</v>
      </c>
      <c r="BK67">
        <v>-15147.9027598381</v>
      </c>
      <c r="BL67">
        <v>9999.07563332081</v>
      </c>
      <c r="BM67">
        <v>1795983.94756553</v>
      </c>
      <c r="BN67" t="s">
        <v>1900</v>
      </c>
      <c r="BO67" t="s">
        <v>1900</v>
      </c>
      <c r="BP67">
        <v>8048.37251106501</v>
      </c>
      <c r="BQ67">
        <v>45432.6768289018</v>
      </c>
      <c r="BR67">
        <v>129787.170246887</v>
      </c>
      <c r="BS67">
        <v>514410.213862151</v>
      </c>
      <c r="BT67">
        <v>1514265.85051653</v>
      </c>
      <c r="BU67">
        <v>23196.2752709031</v>
      </c>
      <c r="BV67">
        <v>-925877.878015448</v>
      </c>
      <c r="BW67">
        <v>348978.891917438</v>
      </c>
      <c r="BX67">
        <v>-849396.7418296339</v>
      </c>
      <c r="BY67">
        <v>-494483.531224394</v>
      </c>
      <c r="BZ67">
        <v>-601967.03488611</v>
      </c>
      <c r="CA67" t="s">
        <v>1900</v>
      </c>
      <c r="CB67" t="s">
        <v>1900</v>
      </c>
      <c r="CC67">
        <v>-101244.940549892</v>
      </c>
      <c r="CD67">
        <v>229443.552058554</v>
      </c>
      <c r="CE67">
        <v>-146145.293241489</v>
      </c>
      <c r="CF67">
        <v>-925877.878015448</v>
      </c>
      <c r="CG67">
        <v>348978.891917438</v>
      </c>
      <c r="CH67">
        <v>-748151.801279742</v>
      </c>
      <c r="CI67">
        <v>-723927.083282948</v>
      </c>
      <c r="CJ67">
        <v>-455821.741644621</v>
      </c>
      <c r="CK67" t="s">
        <v>1900</v>
      </c>
      <c r="CL67" t="s">
        <v>1900</v>
      </c>
      <c r="CM67" t="s">
        <v>1900</v>
      </c>
      <c r="CN67" t="s">
        <v>1900</v>
      </c>
      <c r="CO67" t="s">
        <v>1900</v>
      </c>
      <c r="CP67" t="s">
        <v>1900</v>
      </c>
      <c r="CQ67" t="s">
        <v>1900</v>
      </c>
      <c r="CR67" t="s">
        <v>1900</v>
      </c>
      <c r="CS67" t="s">
        <v>1900</v>
      </c>
      <c r="CT67" t="s">
        <v>1900</v>
      </c>
      <c r="CU67" t="s">
        <v>1900</v>
      </c>
      <c r="CV67" t="s">
        <v>1900</v>
      </c>
      <c r="CW67" t="s">
        <v>1900</v>
      </c>
      <c r="CX67" t="s">
        <v>1900</v>
      </c>
      <c r="CY67" t="s">
        <v>1900</v>
      </c>
      <c r="CZ67">
        <v>-925877.878015448</v>
      </c>
      <c r="DA67">
        <v>348978.891917438</v>
      </c>
      <c r="DB67">
        <v>-748151.801279742</v>
      </c>
      <c r="DC67">
        <v>-723927.083282948</v>
      </c>
      <c r="DD67">
        <v>-455821.741644621</v>
      </c>
      <c r="DE67" t="s">
        <v>1900</v>
      </c>
      <c r="DF67" t="s">
        <v>1900</v>
      </c>
      <c r="DG67" t="s">
        <v>1900</v>
      </c>
      <c r="DH67" t="s">
        <v>1900</v>
      </c>
      <c r="DI67" t="s">
        <v>1900</v>
      </c>
      <c r="DJ67">
        <v>449763.703336476</v>
      </c>
      <c r="DK67">
        <v>1002757.36362518</v>
      </c>
      <c r="DL67">
        <v>1000988.60200968</v>
      </c>
      <c r="DM67">
        <v>773022.984780908</v>
      </c>
      <c r="DN67">
        <v>710690.3765753451</v>
      </c>
      <c r="DO67">
        <v>1134254.66514892</v>
      </c>
      <c r="DP67">
        <v>1310907.094969</v>
      </c>
      <c r="DQ67">
        <v>1224868.4852208</v>
      </c>
      <c r="DR67">
        <v>1192683.6438273</v>
      </c>
      <c r="DS67">
        <v>874737.9319351671</v>
      </c>
      <c r="DT67">
        <v>663206.580191197</v>
      </c>
      <c r="DU67">
        <v>329310.258790398</v>
      </c>
      <c r="DV67">
        <v>227191.418638283</v>
      </c>
      <c r="DW67">
        <v>213332.493900919</v>
      </c>
      <c r="DX67">
        <v>10236.9163825929</v>
      </c>
      <c r="DY67">
        <v>180102.772513006</v>
      </c>
      <c r="DZ67">
        <v>2366362.51789442</v>
      </c>
      <c r="EA67">
        <v>1331136.35207475</v>
      </c>
      <c r="EB67">
        <v>320790.643660355</v>
      </c>
      <c r="EC67">
        <v>521543.805770922</v>
      </c>
      <c r="ED67">
        <v>45432.6768289018</v>
      </c>
      <c r="EE67">
        <v>129787.170246887</v>
      </c>
      <c r="EF67">
        <v>55404.6704075038</v>
      </c>
      <c r="EG67">
        <v>28790.982965827</v>
      </c>
      <c r="EH67">
        <v>23196.2752709031</v>
      </c>
      <c r="EI67" t="s">
        <v>1900</v>
      </c>
      <c r="EJ67" t="s">
        <v>1900</v>
      </c>
      <c r="EK67" t="s">
        <v>1900</v>
      </c>
      <c r="EL67" t="s">
        <v>1900</v>
      </c>
      <c r="EM67" t="s">
        <v>1900</v>
      </c>
      <c r="EN67">
        <v>-262671.296785351</v>
      </c>
      <c r="EO67">
        <v>678289.150707836</v>
      </c>
      <c r="EP67">
        <v>-520960.382641459</v>
      </c>
      <c r="EQ67">
        <v>-510594.589382029</v>
      </c>
      <c r="ER67">
        <v>-445584.825262028</v>
      </c>
      <c r="ES67">
        <v>917016.04415357</v>
      </c>
      <c r="ET67">
        <v>2118983.41481872</v>
      </c>
      <c r="EU67">
        <v>658067.832436949</v>
      </c>
      <c r="EV67">
        <v>940323.589469647</v>
      </c>
      <c r="EW67">
        <v>306204.088702553</v>
      </c>
      <c r="EX67">
        <v>-227237.69558977</v>
      </c>
      <c r="EY67">
        <v>-987907.626610804</v>
      </c>
      <c r="EZ67">
        <v>-107795.1093292</v>
      </c>
      <c r="FA67">
        <v>1233114.81319306</v>
      </c>
      <c r="FB67">
        <v>-576582.215743679</v>
      </c>
      <c r="FC67">
        <v>2327581.73997722</v>
      </c>
      <c r="FD67">
        <v>2556826.43667229</v>
      </c>
      <c r="FE67">
        <v>1122950.3284059</v>
      </c>
      <c r="FF67">
        <v>877364.229820204</v>
      </c>
      <c r="FG67">
        <v>999464.525950909</v>
      </c>
      <c r="FH67">
        <v>1927823.00385011</v>
      </c>
      <c r="FI67">
        <v>2105337.68744968</v>
      </c>
      <c r="FJ67">
        <v>699341.200886482</v>
      </c>
      <c r="FK67">
        <v>811731.265210962</v>
      </c>
      <c r="FL67">
        <v>687775.315650892</v>
      </c>
      <c r="FM67">
        <v>417.17011064887</v>
      </c>
      <c r="FN67">
        <v>26738.7025500011</v>
      </c>
      <c r="FO67">
        <v>13620.0061612844</v>
      </c>
      <c r="FP67">
        <v>46224.8390005589</v>
      </c>
      <c r="FQ67">
        <v>59176.9250700176</v>
      </c>
      <c r="FR67">
        <v>399341.566016461</v>
      </c>
      <c r="FS67">
        <v>424750.046672602</v>
      </c>
      <c r="FT67">
        <v>409989.121358138</v>
      </c>
      <c r="FU67">
        <v>19408.1256086826</v>
      </c>
      <c r="FV67">
        <v>252512.285229999</v>
      </c>
      <c r="FW67">
        <v>1927823.00385011</v>
      </c>
      <c r="FX67">
        <v>2105337.68744968</v>
      </c>
      <c r="FY67">
        <v>699341.200886482</v>
      </c>
      <c r="FZ67">
        <v>811731.265210962</v>
      </c>
      <c r="GA67">
        <v>687775.315650892</v>
      </c>
      <c r="GB67">
        <v>417.17011064887</v>
      </c>
      <c r="GC67">
        <v>26738.7025500011</v>
      </c>
      <c r="GD67">
        <v>13620.0061612844</v>
      </c>
      <c r="GE67">
        <v>46224.8390005589</v>
      </c>
      <c r="GF67">
        <v>59176.9250700176</v>
      </c>
      <c r="GG67">
        <v>399341.566016461</v>
      </c>
      <c r="GH67">
        <v>424750.046672602</v>
      </c>
      <c r="GI67">
        <v>409989.121358138</v>
      </c>
      <c r="GJ67">
        <v>19408.1256086826</v>
      </c>
      <c r="GK67">
        <v>252512.285229999</v>
      </c>
      <c r="GL67">
        <v>255724.415541139</v>
      </c>
      <c r="GM67">
        <v>541147.638610411</v>
      </c>
      <c r="GN67">
        <v>1722031.7960238</v>
      </c>
      <c r="GO67">
        <v>1066989.15673728</v>
      </c>
      <c r="GP67">
        <v>985360.504294103</v>
      </c>
      <c r="GQ67">
        <v>0</v>
      </c>
      <c r="GR67">
        <v>0</v>
      </c>
      <c r="GS67">
        <v>0</v>
      </c>
      <c r="GT67">
        <v>0</v>
      </c>
      <c r="GU67">
        <v>0</v>
      </c>
      <c r="GV67">
        <v>138025.906386242</v>
      </c>
      <c r="GW67">
        <v>465576.709945107</v>
      </c>
      <c r="GX67">
        <v>1030816.18469076</v>
      </c>
      <c r="GY67">
        <v>871524.021638775</v>
      </c>
      <c r="GZ67">
        <v>793790.645522171</v>
      </c>
      <c r="HA67">
        <v>117698.508115997</v>
      </c>
      <c r="HB67">
        <v>75570.92866530421</v>
      </c>
      <c r="HC67">
        <v>691215.611333042</v>
      </c>
      <c r="HD67">
        <v>195465.135098505</v>
      </c>
      <c r="HE67">
        <v>191569.858771932</v>
      </c>
      <c r="HF67">
        <v>1117.45073518872</v>
      </c>
      <c r="HG67">
        <v>56688.8459412575</v>
      </c>
      <c r="HH67">
        <v>502118.305385661</v>
      </c>
      <c r="HI67">
        <v>195465.135098505</v>
      </c>
      <c r="HJ67">
        <v>191569.858771932</v>
      </c>
      <c r="HK67">
        <v>2583306.15551836</v>
      </c>
      <c r="HL67">
        <v>3097974.0752827</v>
      </c>
      <c r="HM67">
        <v>2844982.12442971</v>
      </c>
      <c r="HN67">
        <v>1944353.38655748</v>
      </c>
      <c r="HO67">
        <v>1984825.03024501</v>
      </c>
      <c r="HP67">
        <v>-1233910.05432133</v>
      </c>
      <c r="HQ67">
        <v>-327631.011636772</v>
      </c>
      <c r="HR67">
        <v>-653095.270960724</v>
      </c>
      <c r="HS67">
        <v>100938.596587586</v>
      </c>
      <c r="HT67">
        <v>893688.701320893</v>
      </c>
      <c r="HU67">
        <v>7532.71773422599</v>
      </c>
      <c r="HV67">
        <v>8011.99394568443</v>
      </c>
      <c r="HW67">
        <v>7733.56091153026</v>
      </c>
      <c r="HX67">
        <v>8212.111071324351</v>
      </c>
      <c r="HY67">
        <v>8897.29207740426</v>
      </c>
      <c r="HZ67">
        <v>-1241442.77205555</v>
      </c>
      <c r="IA67">
        <v>-335643.005582457</v>
      </c>
      <c r="IB67">
        <v>-660828.831872255</v>
      </c>
      <c r="IC67">
        <v>92726.48438366179</v>
      </c>
      <c r="ID67">
        <v>884791.408016389</v>
      </c>
      <c r="IE67">
        <v>1019966.36555392</v>
      </c>
      <c r="IF67">
        <v>1117258.06751169</v>
      </c>
      <c r="IG67">
        <v>1117621.22405275</v>
      </c>
      <c r="IH67">
        <v>584801.768706894</v>
      </c>
      <c r="II67">
        <v>306774.824857712</v>
      </c>
      <c r="IJ67">
        <v>1019966.36555392</v>
      </c>
      <c r="IK67">
        <v>1117258.06751169</v>
      </c>
      <c r="IL67">
        <v>1117621.22405275</v>
      </c>
      <c r="IM67">
        <v>584801.768706894</v>
      </c>
      <c r="IN67">
        <v>306774.824857712</v>
      </c>
      <c r="IO67">
        <v>0</v>
      </c>
      <c r="IP67">
        <v>0</v>
      </c>
      <c r="IQ67">
        <v>0</v>
      </c>
      <c r="IR67">
        <v>0</v>
      </c>
      <c r="IS67">
        <v>0</v>
      </c>
      <c r="IT67">
        <v>0</v>
      </c>
      <c r="IU67">
        <v>0</v>
      </c>
      <c r="IV67">
        <v>0</v>
      </c>
      <c r="IW67">
        <v>0</v>
      </c>
      <c r="IX67">
        <v>0</v>
      </c>
      <c r="IY67">
        <v>2797249.84428577</v>
      </c>
      <c r="IZ67">
        <v>2308347.01940778</v>
      </c>
      <c r="JA67">
        <v>2380456.17133769</v>
      </c>
      <c r="JB67">
        <v>1258613.021263</v>
      </c>
      <c r="JC67">
        <v>784361.504066408</v>
      </c>
      <c r="JD67">
        <v>110412.570578717</v>
      </c>
      <c r="JE67">
        <v>394369.428238153</v>
      </c>
      <c r="JF67">
        <v>499766.218862164</v>
      </c>
      <c r="JG67">
        <v>157600.200183392</v>
      </c>
      <c r="JH67">
        <v>211581.553669959</v>
      </c>
      <c r="JI67">
        <v>892333.027352212</v>
      </c>
      <c r="JJ67">
        <v>883821.563448258</v>
      </c>
      <c r="JK67">
        <v>811178.978260058</v>
      </c>
      <c r="JL67">
        <v>432981.635628605</v>
      </c>
      <c r="JM67">
        <v>286133.713916028</v>
      </c>
      <c r="JN67">
        <v>1794504.24635484</v>
      </c>
      <c r="JO67">
        <v>1030156.02772137</v>
      </c>
      <c r="JP67">
        <v>1069510.97421547</v>
      </c>
      <c r="JQ67">
        <v>668031.185451007</v>
      </c>
      <c r="JR67">
        <v>286646.236480421</v>
      </c>
      <c r="JS67">
        <v>2583306.15551836</v>
      </c>
      <c r="JT67">
        <v>3097974.0752827</v>
      </c>
      <c r="JU67">
        <v>2844982.12442971</v>
      </c>
      <c r="JV67">
        <v>1944353.38655748</v>
      </c>
      <c r="JW67">
        <v>1984825.03024501</v>
      </c>
      <c r="JX67">
        <v>-754307.12096597</v>
      </c>
      <c r="JY67">
        <v>-418244.853503151</v>
      </c>
      <c r="JZ67">
        <v>219637.206430703</v>
      </c>
      <c r="KA67">
        <v>438542.38601017</v>
      </c>
      <c r="KB67">
        <v>507656.931606144</v>
      </c>
      <c r="KC67" t="s">
        <v>1900</v>
      </c>
      <c r="KD67" t="s">
        <v>1900</v>
      </c>
      <c r="KE67" t="s">
        <v>1900</v>
      </c>
      <c r="KF67" t="s">
        <v>1900</v>
      </c>
      <c r="KG67" t="s">
        <v>1900</v>
      </c>
      <c r="KH67" t="s">
        <v>1900</v>
      </c>
      <c r="KI67" t="s">
        <v>1900</v>
      </c>
      <c r="KJ67" t="s">
        <v>1900</v>
      </c>
      <c r="KK67" t="s">
        <v>1900</v>
      </c>
      <c r="KL67" t="s">
        <v>1900</v>
      </c>
      <c r="KM67">
        <v>13</v>
      </c>
      <c r="KN67">
        <v>15</v>
      </c>
      <c r="KO67">
        <v>27</v>
      </c>
      <c r="KP67">
        <v>17</v>
      </c>
      <c r="KQ67">
        <v>9</v>
      </c>
      <c r="KR67" t="s">
        <v>1900</v>
      </c>
      <c r="KS67" t="s">
        <v>1900</v>
      </c>
      <c r="KT67" t="s">
        <v>1900</v>
      </c>
      <c r="KU67" t="s">
        <v>1900</v>
      </c>
      <c r="KV67" t="s">
        <v>1900</v>
      </c>
      <c r="KW67" t="s">
        <v>1900</v>
      </c>
      <c r="KX67" t="s">
        <v>1900</v>
      </c>
      <c r="KY67" t="s">
        <v>1900</v>
      </c>
      <c r="KZ67" t="s">
        <v>1900</v>
      </c>
      <c r="LA67" t="s">
        <v>1900</v>
      </c>
      <c r="LB67" t="s">
        <v>1900</v>
      </c>
      <c r="LC67" t="s">
        <v>1900</v>
      </c>
      <c r="LD67" t="s">
        <v>1900</v>
      </c>
      <c r="LE67" t="s">
        <v>1900</v>
      </c>
      <c r="LF67" t="s">
        <v>1900</v>
      </c>
      <c r="LG67" t="s">
        <v>1900</v>
      </c>
      <c r="LH67" t="s">
        <v>1900</v>
      </c>
      <c r="LI67" t="s">
        <v>1900</v>
      </c>
      <c r="LJ67" t="s">
        <v>1900</v>
      </c>
      <c r="LK67" t="s">
        <v>1900</v>
      </c>
      <c r="LL67" t="s">
        <v>1900</v>
      </c>
      <c r="LM67" t="s">
        <v>1900</v>
      </c>
      <c r="LN67" t="s">
        <v>1900</v>
      </c>
      <c r="LO67" t="s">
        <v>1900</v>
      </c>
      <c r="LP67" t="s">
        <v>1900</v>
      </c>
      <c r="LQ67" t="s">
        <v>1900</v>
      </c>
      <c r="LR67" t="s">
        <v>1900</v>
      </c>
      <c r="LS67" t="s">
        <v>1900</v>
      </c>
      <c r="LT67" t="s">
        <v>1900</v>
      </c>
      <c r="LU67" t="s">
        <v>1900</v>
      </c>
      <c r="LV67" t="s">
        <v>1900</v>
      </c>
      <c r="LW67" t="s">
        <v>1900</v>
      </c>
      <c r="LX67" t="s">
        <v>1900</v>
      </c>
      <c r="LY67" t="s">
        <v>1900</v>
      </c>
      <c r="LZ67" t="s">
        <v>1900</v>
      </c>
      <c r="MA67" t="s">
        <v>1900</v>
      </c>
      <c r="MB67" t="s">
        <v>1900</v>
      </c>
      <c r="MC67" t="s">
        <v>1900</v>
      </c>
      <c r="MD67" t="s">
        <v>1900</v>
      </c>
      <c r="ME67" t="s">
        <v>1900</v>
      </c>
      <c r="MF67" t="s">
        <v>1900</v>
      </c>
      <c r="MG67" t="s">
        <v>1900</v>
      </c>
      <c r="MH67" t="s">
        <v>1900</v>
      </c>
      <c r="MI67" t="s">
        <v>1900</v>
      </c>
      <c r="MJ67" t="s">
        <v>1900</v>
      </c>
      <c r="MK67" t="s">
        <v>1900</v>
      </c>
      <c r="ML67" t="s">
        <v>1900</v>
      </c>
      <c r="MM67" t="s">
        <v>1900</v>
      </c>
      <c r="MN67" t="s">
        <v>1900</v>
      </c>
      <c r="MO67" t="s">
        <v>1900</v>
      </c>
      <c r="MP67">
        <v>117698.508115997</v>
      </c>
      <c r="MQ67">
        <v>75570.92866530421</v>
      </c>
      <c r="MR67">
        <v>691215.611333042</v>
      </c>
      <c r="MS67">
        <v>195465.135098505</v>
      </c>
      <c r="MT67">
        <v>191569.858771932</v>
      </c>
      <c r="MU67" t="s">
        <v>1900</v>
      </c>
      <c r="MV67" t="s">
        <v>1900</v>
      </c>
      <c r="MW67" t="s">
        <v>1900</v>
      </c>
      <c r="MX67" t="s">
        <v>1900</v>
      </c>
      <c r="MY67" t="s">
        <v>1900</v>
      </c>
      <c r="MZ67" t="s">
        <v>1900</v>
      </c>
      <c r="NA67" t="s">
        <v>1900</v>
      </c>
      <c r="NB67" t="s">
        <v>1900</v>
      </c>
      <c r="NC67" t="s">
        <v>1900</v>
      </c>
      <c r="ND67" t="s">
        <v>1900</v>
      </c>
      <c r="NE67" t="s">
        <v>1900</v>
      </c>
      <c r="NF67" t="s">
        <v>1900</v>
      </c>
      <c r="NG67" t="s">
        <v>1900</v>
      </c>
      <c r="NH67" t="s">
        <v>1900</v>
      </c>
      <c r="NI67" t="s">
        <v>1900</v>
      </c>
      <c r="NJ67" t="s">
        <v>1900</v>
      </c>
      <c r="NK67" t="s">
        <v>1900</v>
      </c>
      <c r="NL67" t="s">
        <v>1900</v>
      </c>
      <c r="NM67" t="s">
        <v>1900</v>
      </c>
      <c r="NN67" t="s">
        <v>1900</v>
      </c>
      <c r="NO67" t="s">
        <v>1900</v>
      </c>
      <c r="NP67" t="s">
        <v>1900</v>
      </c>
      <c r="NQ67" t="s">
        <v>1900</v>
      </c>
      <c r="NR67" t="s">
        <v>1900</v>
      </c>
      <c r="NS67" t="s">
        <v>1900</v>
      </c>
      <c r="NT67">
        <v>2327581.73997722</v>
      </c>
      <c r="NU67">
        <v>2556826.43667229</v>
      </c>
      <c r="NV67">
        <v>1122950.3284059</v>
      </c>
      <c r="NW67">
        <v>877364.229820204</v>
      </c>
      <c r="NX67">
        <v>999464.525950909</v>
      </c>
      <c r="NY67" t="s">
        <v>1900</v>
      </c>
      <c r="NZ67" t="s">
        <v>1900</v>
      </c>
      <c r="OA67" t="s">
        <v>1900</v>
      </c>
      <c r="OB67" t="s">
        <v>1900</v>
      </c>
      <c r="OC67" t="s">
        <v>1900</v>
      </c>
      <c r="OD67" t="s">
        <v>1900</v>
      </c>
      <c r="OE67" t="s">
        <v>1900</v>
      </c>
      <c r="OF67" t="s">
        <v>1900</v>
      </c>
      <c r="OG67" t="s">
        <v>1900</v>
      </c>
      <c r="OH67" t="s">
        <v>1900</v>
      </c>
      <c r="OI67" t="s">
        <v>1900</v>
      </c>
      <c r="OJ67" t="s">
        <v>1900</v>
      </c>
      <c r="OK67" t="s">
        <v>1900</v>
      </c>
      <c r="OL67" t="s">
        <v>1900</v>
      </c>
      <c r="OM67" t="s">
        <v>1900</v>
      </c>
      <c r="ON67" t="s">
        <v>1900</v>
      </c>
      <c r="OO67" t="s">
        <v>1900</v>
      </c>
      <c r="OP67" t="s">
        <v>1900</v>
      </c>
      <c r="OQ67" t="s">
        <v>1900</v>
      </c>
      <c r="OR67" t="s">
        <v>1900</v>
      </c>
      <c r="OS67" t="s">
        <v>1900</v>
      </c>
      <c r="OT67" t="s">
        <v>1900</v>
      </c>
      <c r="OU67" t="s">
        <v>1900</v>
      </c>
      <c r="OV67" t="s">
        <v>1900</v>
      </c>
      <c r="OW67" t="s">
        <v>1900</v>
      </c>
      <c r="OX67" t="s">
        <v>1900</v>
      </c>
      <c r="OY67" t="s">
        <v>1900</v>
      </c>
      <c r="OZ67" t="s">
        <v>1900</v>
      </c>
      <c r="PA67" t="s">
        <v>1900</v>
      </c>
      <c r="PB67" t="s">
        <v>1900</v>
      </c>
      <c r="PC67" t="s">
        <v>1900</v>
      </c>
      <c r="PD67" t="s">
        <v>1900</v>
      </c>
      <c r="PE67" t="s">
        <v>1900</v>
      </c>
      <c r="PF67" t="s">
        <v>1900</v>
      </c>
      <c r="PG67" t="s">
        <v>1900</v>
      </c>
      <c r="PH67" t="s">
        <v>1900</v>
      </c>
      <c r="PI67" t="s">
        <v>1900</v>
      </c>
      <c r="PJ67" t="s">
        <v>1900</v>
      </c>
      <c r="PK67" t="s">
        <v>1900</v>
      </c>
      <c r="PL67" t="s">
        <v>1900</v>
      </c>
      <c r="PM67" t="s">
        <v>1900</v>
      </c>
      <c r="PN67" t="s">
        <v>1900</v>
      </c>
      <c r="PO67" t="s">
        <v>1900</v>
      </c>
      <c r="PP67" t="s">
        <v>1900</v>
      </c>
      <c r="PQ67" t="s">
        <v>1900</v>
      </c>
      <c r="PR67" t="s">
        <v>1900</v>
      </c>
      <c r="PS67" t="s">
        <v>1900</v>
      </c>
      <c r="PT67" t="s">
        <v>1900</v>
      </c>
      <c r="PU67" t="s">
        <v>1900</v>
      </c>
      <c r="PV67" t="s">
        <v>1900</v>
      </c>
      <c r="PW67" t="s">
        <v>1900</v>
      </c>
      <c r="PX67" t="s">
        <v>1900</v>
      </c>
      <c r="PY67" t="s">
        <v>1900</v>
      </c>
      <c r="PZ67" t="s">
        <v>1900</v>
      </c>
      <c r="QA67" t="s">
        <v>1900</v>
      </c>
      <c r="QB67" t="s">
        <v>1900</v>
      </c>
      <c r="QC67" t="s">
        <v>1900</v>
      </c>
      <c r="QD67" t="s">
        <v>1900</v>
      </c>
      <c r="QE67" t="s">
        <v>1900</v>
      </c>
      <c r="QF67" t="s">
        <v>1900</v>
      </c>
      <c r="QG67" t="s">
        <v>1900</v>
      </c>
      <c r="QH67" t="s">
        <v>1900</v>
      </c>
      <c r="QI67" t="s">
        <v>1900</v>
      </c>
      <c r="QJ67" t="s">
        <v>1900</v>
      </c>
      <c r="QK67" t="s">
        <v>1900</v>
      </c>
      <c r="QL67" t="s">
        <v>1900</v>
      </c>
      <c r="QM67" t="s">
        <v>1900</v>
      </c>
      <c r="QN67" t="s">
        <v>1900</v>
      </c>
      <c r="QO67" t="s">
        <v>1900</v>
      </c>
      <c r="QP67" t="s">
        <v>1900</v>
      </c>
      <c r="QQ67" t="s">
        <v>1900</v>
      </c>
      <c r="QR67" t="s">
        <v>1900</v>
      </c>
      <c r="QS67" t="s">
        <v>1900</v>
      </c>
      <c r="QT67" t="s">
        <v>1900</v>
      </c>
      <c r="QU67" t="s">
        <v>1900</v>
      </c>
      <c r="QV67" t="s">
        <v>1900</v>
      </c>
      <c r="QW67" t="s">
        <v>1900</v>
      </c>
      <c r="QX67" t="s">
        <v>1900</v>
      </c>
      <c r="QY67" t="s">
        <v>1900</v>
      </c>
      <c r="QZ67" t="s">
        <v>1900</v>
      </c>
      <c r="RA67" t="s">
        <v>1900</v>
      </c>
      <c r="RB67" t="s">
        <v>1900</v>
      </c>
      <c r="RC67" t="s">
        <v>1900</v>
      </c>
      <c r="RD67" t="s">
        <v>1900</v>
      </c>
      <c r="RE67" t="s">
        <v>1900</v>
      </c>
      <c r="RF67" t="s">
        <v>1900</v>
      </c>
      <c r="RG67" t="s">
        <v>1900</v>
      </c>
      <c r="RH67" t="s">
        <v>1900</v>
      </c>
      <c r="RI67" t="s">
        <v>1900</v>
      </c>
      <c r="RJ67" t="s">
        <v>1900</v>
      </c>
      <c r="RK67" t="s">
        <v>1900</v>
      </c>
      <c r="RL67" t="s">
        <v>1900</v>
      </c>
      <c r="RM67" t="s">
        <v>1900</v>
      </c>
      <c r="RN67" t="s">
        <v>1900</v>
      </c>
      <c r="RO67" t="s">
        <v>1900</v>
      </c>
      <c r="RP67" t="s">
        <v>1900</v>
      </c>
      <c r="RQ67" t="s">
        <v>1900</v>
      </c>
      <c r="RR67" t="s">
        <v>1900</v>
      </c>
      <c r="RS67" t="s">
        <v>1900</v>
      </c>
      <c r="RT67" t="s">
        <v>1900</v>
      </c>
      <c r="RU67" t="s">
        <v>1900</v>
      </c>
      <c r="RV67" t="s">
        <v>1900</v>
      </c>
      <c r="RW67" t="s">
        <v>1900</v>
      </c>
      <c r="RX67" t="s">
        <v>1900</v>
      </c>
      <c r="RY67" t="s">
        <v>1900</v>
      </c>
      <c r="RZ67" t="s">
        <v>1900</v>
      </c>
      <c r="SA67" t="s">
        <v>1900</v>
      </c>
      <c r="SB67" t="s">
        <v>1900</v>
      </c>
      <c r="SC67" t="s">
        <v>1900</v>
      </c>
      <c r="SD67" t="s">
        <v>1900</v>
      </c>
      <c r="SE67" t="s">
        <v>1900</v>
      </c>
      <c r="SF67" t="s">
        <v>1900</v>
      </c>
      <c r="SG67" t="s">
        <v>1900</v>
      </c>
      <c r="SH67" t="s">
        <v>1900</v>
      </c>
      <c r="SI67" t="s">
        <v>1900</v>
      </c>
      <c r="SJ67">
        <v>399341.566016461</v>
      </c>
      <c r="SK67">
        <v>424750.046672602</v>
      </c>
      <c r="SL67">
        <v>409989.121358138</v>
      </c>
      <c r="SM67">
        <v>19408.1256086826</v>
      </c>
      <c r="SN67">
        <v>252512.285229999</v>
      </c>
      <c r="SO67" t="s">
        <v>1900</v>
      </c>
      <c r="SP67" t="s">
        <v>1900</v>
      </c>
      <c r="SQ67" t="s">
        <v>1900</v>
      </c>
      <c r="SR67" t="s">
        <v>1900</v>
      </c>
      <c r="SS67" t="s">
        <v>1900</v>
      </c>
      <c r="ST67" t="s">
        <v>1900</v>
      </c>
      <c r="SU67" t="s">
        <v>1900</v>
      </c>
      <c r="SV67" t="s">
        <v>1900</v>
      </c>
      <c r="SW67" t="s">
        <v>1900</v>
      </c>
      <c r="SX67" t="s">
        <v>1900</v>
      </c>
      <c r="SY67" t="s">
        <v>1900</v>
      </c>
      <c r="SZ67" t="s">
        <v>1900</v>
      </c>
      <c r="TA67" t="s">
        <v>1900</v>
      </c>
      <c r="TB67" t="s">
        <v>1900</v>
      </c>
      <c r="TC67" t="s">
        <v>1900</v>
      </c>
      <c r="TD67" t="s">
        <v>1900</v>
      </c>
      <c r="TE67" t="s">
        <v>1900</v>
      </c>
      <c r="TF67" t="s">
        <v>1900</v>
      </c>
      <c r="TG67" t="s">
        <v>1900</v>
      </c>
      <c r="TH67" t="s">
        <v>1900</v>
      </c>
      <c r="TI67" t="s">
        <v>1900</v>
      </c>
      <c r="TJ67" t="s">
        <v>1900</v>
      </c>
      <c r="TK67" t="s">
        <v>1900</v>
      </c>
      <c r="TL67" t="s">
        <v>1900</v>
      </c>
      <c r="TM67" t="s">
        <v>1900</v>
      </c>
      <c r="TN67" t="s">
        <v>1900</v>
      </c>
      <c r="TO67" t="s">
        <v>1900</v>
      </c>
      <c r="TP67" t="s">
        <v>1900</v>
      </c>
      <c r="TQ67" t="s">
        <v>1900</v>
      </c>
      <c r="TR67" t="s">
        <v>1900</v>
      </c>
      <c r="TS67">
        <v>2583306.15551836</v>
      </c>
      <c r="TT67">
        <v>3097974.0752827</v>
      </c>
      <c r="TU67">
        <v>2844982.12442971</v>
      </c>
      <c r="TV67">
        <v>1944353.38655748</v>
      </c>
      <c r="TW67">
        <v>1984825.03024501</v>
      </c>
      <c r="TX67" t="s">
        <v>1900</v>
      </c>
      <c r="TY67" t="s">
        <v>1900</v>
      </c>
      <c r="TZ67" t="s">
        <v>1900</v>
      </c>
      <c r="UA67" t="s">
        <v>1900</v>
      </c>
      <c r="UB67" t="s">
        <v>1900</v>
      </c>
      <c r="UC67">
        <v>110412.570578717</v>
      </c>
      <c r="UD67">
        <v>394369.428238153</v>
      </c>
      <c r="UE67">
        <v>499766.218862164</v>
      </c>
      <c r="UF67">
        <v>157600.200183392</v>
      </c>
      <c r="UG67">
        <v>211581.553669959</v>
      </c>
      <c r="UH67" t="s">
        <v>1900</v>
      </c>
      <c r="UI67" t="s">
        <v>1900</v>
      </c>
      <c r="UJ67" t="s">
        <v>1900</v>
      </c>
      <c r="UK67" t="s">
        <v>1900</v>
      </c>
      <c r="UL67" t="s">
        <v>1900</v>
      </c>
      <c r="UM67" t="s">
        <v>1900</v>
      </c>
      <c r="UN67" t="s">
        <v>1900</v>
      </c>
      <c r="UO67" t="s">
        <v>1900</v>
      </c>
      <c r="UP67" t="s">
        <v>1900</v>
      </c>
      <c r="UQ67" t="s">
        <v>1900</v>
      </c>
      <c r="UR67" t="s">
        <v>1900</v>
      </c>
      <c r="US67" t="s">
        <v>1900</v>
      </c>
      <c r="UT67" t="s">
        <v>1900</v>
      </c>
      <c r="UU67" t="s">
        <v>1900</v>
      </c>
      <c r="UV67" t="s">
        <v>1900</v>
      </c>
      <c r="UW67" t="s">
        <v>1900</v>
      </c>
      <c r="UX67" t="s">
        <v>1900</v>
      </c>
      <c r="UY67" t="s">
        <v>1900</v>
      </c>
      <c r="UZ67" t="s">
        <v>1900</v>
      </c>
      <c r="VA67" t="s">
        <v>1900</v>
      </c>
      <c r="VB67" t="s">
        <v>1900</v>
      </c>
      <c r="VC67" t="s">
        <v>1900</v>
      </c>
      <c r="VD67" t="s">
        <v>1900</v>
      </c>
      <c r="VE67" t="s">
        <v>1900</v>
      </c>
      <c r="VF67" t="s">
        <v>1900</v>
      </c>
      <c r="VG67" t="s">
        <v>1900</v>
      </c>
      <c r="VH67" t="s">
        <v>1900</v>
      </c>
      <c r="VI67" t="s">
        <v>1900</v>
      </c>
      <c r="VJ67" t="s">
        <v>1900</v>
      </c>
      <c r="VK67" t="s">
        <v>1900</v>
      </c>
      <c r="VL67" t="s">
        <v>1900</v>
      </c>
      <c r="VM67" t="s">
        <v>1900</v>
      </c>
      <c r="VN67" t="s">
        <v>1900</v>
      </c>
      <c r="VO67" t="s">
        <v>1900</v>
      </c>
      <c r="VP67" t="s">
        <v>1900</v>
      </c>
      <c r="VQ67" t="s">
        <v>1900</v>
      </c>
      <c r="VR67" t="s">
        <v>1900</v>
      </c>
      <c r="VS67" t="s">
        <v>1900</v>
      </c>
      <c r="VT67" t="s">
        <v>1900</v>
      </c>
      <c r="VU67" t="s">
        <v>1900</v>
      </c>
      <c r="VV67" t="s">
        <v>1900</v>
      </c>
      <c r="VW67" t="s">
        <v>1900</v>
      </c>
      <c r="VX67" t="s">
        <v>1900</v>
      </c>
      <c r="VY67" t="s">
        <v>1900</v>
      </c>
      <c r="VZ67" t="s">
        <v>1900</v>
      </c>
      <c r="WA67">
        <v>1794504.24635484</v>
      </c>
      <c r="WB67">
        <v>1030156.02772137</v>
      </c>
      <c r="WC67">
        <v>1069510.97421547</v>
      </c>
      <c r="WD67">
        <v>668031.185451007</v>
      </c>
      <c r="WE67">
        <v>286646.236480421</v>
      </c>
      <c r="WF67" t="s">
        <v>1900</v>
      </c>
      <c r="WG67" t="s">
        <v>1900</v>
      </c>
      <c r="WH67" t="s">
        <v>1900</v>
      </c>
      <c r="WI67" t="s">
        <v>1900</v>
      </c>
      <c r="WJ67" t="s">
        <v>1900</v>
      </c>
      <c r="WK67" t="s">
        <v>1900</v>
      </c>
      <c r="WL67" t="s">
        <v>1900</v>
      </c>
      <c r="WM67" t="s">
        <v>1900</v>
      </c>
      <c r="WN67" t="s">
        <v>1900</v>
      </c>
      <c r="WO67" t="s">
        <v>1900</v>
      </c>
      <c r="WP67" t="s">
        <v>1900</v>
      </c>
      <c r="WQ67" t="s">
        <v>1900</v>
      </c>
      <c r="WR67" t="s">
        <v>1900</v>
      </c>
      <c r="WS67" t="s">
        <v>1900</v>
      </c>
      <c r="WT67" t="s">
        <v>1900</v>
      </c>
      <c r="WU67" t="s">
        <v>1900</v>
      </c>
      <c r="WV67" t="s">
        <v>1900</v>
      </c>
      <c r="WW67" t="s">
        <v>1900</v>
      </c>
      <c r="WX67" t="s">
        <v>1900</v>
      </c>
      <c r="WY67" t="s">
        <v>1900</v>
      </c>
      <c r="WZ67" t="s">
        <v>1900</v>
      </c>
      <c r="XA67" t="s">
        <v>1900</v>
      </c>
      <c r="XB67" t="s">
        <v>1900</v>
      </c>
      <c r="XC67" t="s">
        <v>1900</v>
      </c>
      <c r="XD67" t="s">
        <v>1900</v>
      </c>
      <c r="XE67" t="s">
        <v>1900</v>
      </c>
      <c r="XF67" t="s">
        <v>1900</v>
      </c>
      <c r="XG67" t="s">
        <v>1900</v>
      </c>
      <c r="XH67" t="s">
        <v>1900</v>
      </c>
      <c r="XI67" t="s">
        <v>1900</v>
      </c>
      <c r="XJ67">
        <v>0</v>
      </c>
      <c r="XK67">
        <v>0</v>
      </c>
      <c r="XL67">
        <v>0</v>
      </c>
      <c r="XM67">
        <v>0</v>
      </c>
      <c r="XN67">
        <v>0</v>
      </c>
      <c r="XO67" t="s">
        <v>1900</v>
      </c>
      <c r="XP67" t="s">
        <v>1900</v>
      </c>
      <c r="XQ67" t="s">
        <v>1900</v>
      </c>
      <c r="XR67" t="s">
        <v>1900</v>
      </c>
      <c r="XS67" t="s">
        <v>1900</v>
      </c>
      <c r="XT67" t="s">
        <v>1900</v>
      </c>
      <c r="XU67" t="s">
        <v>1900</v>
      </c>
      <c r="XV67" t="s">
        <v>1900</v>
      </c>
      <c r="XW67" t="s">
        <v>1900</v>
      </c>
      <c r="XX67" t="s">
        <v>1900</v>
      </c>
      <c r="XY67">
        <v>0</v>
      </c>
      <c r="XZ67">
        <v>0</v>
      </c>
      <c r="YA67">
        <v>0</v>
      </c>
      <c r="YB67">
        <v>0</v>
      </c>
      <c r="YC67">
        <v>0</v>
      </c>
      <c r="YD67" t="s">
        <v>1900</v>
      </c>
      <c r="YE67" t="s">
        <v>1900</v>
      </c>
      <c r="YF67" t="s">
        <v>1900</v>
      </c>
      <c r="YG67" t="s">
        <v>1900</v>
      </c>
      <c r="YH67" t="s">
        <v>1900</v>
      </c>
      <c r="YI67" t="s">
        <v>1900</v>
      </c>
      <c r="YJ67" t="s">
        <v>1900</v>
      </c>
      <c r="YK67" t="s">
        <v>1900</v>
      </c>
      <c r="YL67" t="s">
        <v>1900</v>
      </c>
      <c r="YM67" t="s">
        <v>1900</v>
      </c>
      <c r="YN67" t="s">
        <v>1900</v>
      </c>
      <c r="YO67" t="s">
        <v>1900</v>
      </c>
      <c r="YP67" t="s">
        <v>1900</v>
      </c>
      <c r="YQ67" t="s">
        <v>1900</v>
      </c>
      <c r="YR67" t="s">
        <v>1900</v>
      </c>
      <c r="YS67" t="s">
        <v>1900</v>
      </c>
      <c r="YT67" t="s">
        <v>1900</v>
      </c>
      <c r="YU67" t="s">
        <v>1900</v>
      </c>
      <c r="YV67" t="s">
        <v>1900</v>
      </c>
      <c r="YW67" t="s">
        <v>1900</v>
      </c>
      <c r="YX67" t="s">
        <v>1900</v>
      </c>
      <c r="YY67" t="s">
        <v>1900</v>
      </c>
      <c r="YZ67" t="s">
        <v>1900</v>
      </c>
      <c r="ZA67" t="s">
        <v>1900</v>
      </c>
      <c r="ZB67" t="s">
        <v>1900</v>
      </c>
      <c r="ZC67" t="s">
        <v>1900</v>
      </c>
      <c r="ZD67" t="s">
        <v>1900</v>
      </c>
      <c r="ZE67" t="s">
        <v>1900</v>
      </c>
      <c r="ZF67" t="s">
        <v>1900</v>
      </c>
      <c r="ZG67" t="s">
        <v>1900</v>
      </c>
      <c r="ZH67" t="s">
        <v>1900</v>
      </c>
      <c r="ZI67" t="s">
        <v>1900</v>
      </c>
      <c r="ZJ67" t="s">
        <v>1900</v>
      </c>
      <c r="ZK67" t="s">
        <v>1900</v>
      </c>
      <c r="ZL67" t="s">
        <v>1900</v>
      </c>
      <c r="ZM67" t="s">
        <v>1900</v>
      </c>
      <c r="ZN67" t="s">
        <v>1900</v>
      </c>
      <c r="ZO67" t="s">
        <v>1900</v>
      </c>
      <c r="ZP67" t="s">
        <v>1900</v>
      </c>
      <c r="ZQ67" t="s">
        <v>1900</v>
      </c>
      <c r="ZR67" t="s">
        <v>1900</v>
      </c>
      <c r="ZS67" t="s">
        <v>1900</v>
      </c>
      <c r="ZT67" t="s">
        <v>1900</v>
      </c>
      <c r="ZU67" t="s">
        <v>1900</v>
      </c>
      <c r="ZV67" t="s">
        <v>1900</v>
      </c>
      <c r="ZW67" t="s">
        <v>1900</v>
      </c>
      <c r="ZX67" t="s">
        <v>1900</v>
      </c>
      <c r="ZY67" t="s">
        <v>1900</v>
      </c>
      <c r="ZZ67" t="s">
        <v>1900</v>
      </c>
      <c r="AAA67" t="s">
        <v>1900</v>
      </c>
      <c r="AAB67" t="s">
        <v>1900</v>
      </c>
      <c r="AAC67" t="s">
        <v>1900</v>
      </c>
      <c r="AAD67" t="s">
        <v>1900</v>
      </c>
      <c r="AAE67" t="s">
        <v>1900</v>
      </c>
      <c r="AAF67" t="s">
        <v>1900</v>
      </c>
      <c r="AAG67" t="s">
        <v>1900</v>
      </c>
      <c r="AAH67" t="s">
        <v>1900</v>
      </c>
      <c r="AAI67" t="s">
        <v>1900</v>
      </c>
      <c r="AAJ67" t="s">
        <v>1900</v>
      </c>
      <c r="AAK67" t="s">
        <v>1900</v>
      </c>
      <c r="AAL67" t="s">
        <v>1900</v>
      </c>
      <c r="AAM67" t="s">
        <v>1900</v>
      </c>
      <c r="AAN67" t="s">
        <v>1900</v>
      </c>
      <c r="AAO67" t="s">
        <v>1900</v>
      </c>
      <c r="AAP67" t="s">
        <v>1900</v>
      </c>
      <c r="AAQ67" t="s">
        <v>1900</v>
      </c>
      <c r="AAR67" t="s">
        <v>1900</v>
      </c>
      <c r="AAS67" t="s">
        <v>1900</v>
      </c>
      <c r="AAT67" t="s">
        <v>1900</v>
      </c>
      <c r="AAU67" t="s">
        <v>1900</v>
      </c>
      <c r="AAV67" t="s">
        <v>1900</v>
      </c>
      <c r="AAW67" t="s">
        <v>1900</v>
      </c>
      <c r="AAX67" t="s">
        <v>1900</v>
      </c>
      <c r="AAY67" t="s">
        <v>1900</v>
      </c>
      <c r="AAZ67" t="s">
        <v>1900</v>
      </c>
      <c r="ABA67" t="s">
        <v>1900</v>
      </c>
      <c r="ABB67" t="s">
        <v>1900</v>
      </c>
      <c r="ABC67" t="s">
        <v>1900</v>
      </c>
      <c r="ABD67" t="s">
        <v>1900</v>
      </c>
      <c r="ABE67" t="s">
        <v>1900</v>
      </c>
      <c r="ABF67" t="s">
        <v>1900</v>
      </c>
      <c r="ABG67" t="s">
        <v>1900</v>
      </c>
      <c r="ABH67" t="s">
        <v>1900</v>
      </c>
      <c r="ABI67" t="s">
        <v>1900</v>
      </c>
      <c r="ABJ67" t="s">
        <v>1900</v>
      </c>
      <c r="ABK67" t="s">
        <v>1900</v>
      </c>
      <c r="ABL67" t="s">
        <v>1900</v>
      </c>
      <c r="ABM67" t="s">
        <v>1900</v>
      </c>
      <c r="ABN67" t="s">
        <v>1900</v>
      </c>
      <c r="ABO67" t="s">
        <v>1900</v>
      </c>
      <c r="ABP67" t="s">
        <v>1900</v>
      </c>
      <c r="ABQ67" t="s">
        <v>1900</v>
      </c>
      <c r="ABR67" t="s">
        <v>1900</v>
      </c>
      <c r="ABS67" t="s">
        <v>1900</v>
      </c>
      <c r="ABT67" t="s">
        <v>1900</v>
      </c>
      <c r="ABU67" t="s">
        <v>1900</v>
      </c>
      <c r="ABV67" t="s">
        <v>1900</v>
      </c>
      <c r="ABW67" t="s">
        <v>1900</v>
      </c>
      <c r="ABX67" t="s">
        <v>1900</v>
      </c>
      <c r="ABY67" t="s">
        <v>1900</v>
      </c>
      <c r="ABZ67" t="s">
        <v>1900</v>
      </c>
      <c r="ACA67" t="s">
        <v>1900</v>
      </c>
      <c r="ACB67" t="s">
        <v>1900</v>
      </c>
      <c r="ACC67" t="s">
        <v>1900</v>
      </c>
      <c r="ACD67" t="s">
        <v>1900</v>
      </c>
      <c r="ACE67" t="s">
        <v>1901</v>
      </c>
      <c r="ACF67" t="s">
        <v>1901</v>
      </c>
      <c r="ACG67" t="s">
        <v>1901</v>
      </c>
      <c r="ACH67">
        <v>-489.885</v>
      </c>
      <c r="ACI67">
        <v>-67.358</v>
      </c>
      <c r="ACJ67" t="s">
        <v>1901</v>
      </c>
      <c r="ACK67">
        <v>60.632</v>
      </c>
      <c r="ACL67">
        <v>-170.925</v>
      </c>
      <c r="ACM67">
        <v>-67.911</v>
      </c>
      <c r="ACN67">
        <v>-48.212</v>
      </c>
      <c r="ACO67">
        <v>-35.841</v>
      </c>
      <c r="ACP67">
        <v>11.265</v>
      </c>
      <c r="ACQ67">
        <v>-29.856</v>
      </c>
      <c r="ACR67">
        <v>-25.432</v>
      </c>
      <c r="ACS67">
        <v>-30.328</v>
      </c>
      <c r="ACT67" t="s">
        <v>1901</v>
      </c>
      <c r="ACU67" t="s">
        <v>1901</v>
      </c>
      <c r="ACV67" t="s">
        <v>1901</v>
      </c>
      <c r="ACW67">
        <v>-717.196</v>
      </c>
      <c r="ACX67">
        <v>-51.005</v>
      </c>
      <c r="ACY67" t="s">
        <v>1901</v>
      </c>
      <c r="ACZ67">
        <v>60.632</v>
      </c>
      <c r="ADA67">
        <v>-149.13</v>
      </c>
      <c r="ADB67">
        <v>-101.37</v>
      </c>
      <c r="ADC67">
        <v>-36.038</v>
      </c>
      <c r="ADD67">
        <v>-35.841</v>
      </c>
      <c r="ADE67">
        <v>11.265</v>
      </c>
      <c r="ADF67">
        <v>-26.297</v>
      </c>
      <c r="ADG67">
        <v>-37.232</v>
      </c>
      <c r="ADH67">
        <v>-22.965</v>
      </c>
      <c r="ADI67">
        <v>-60.244</v>
      </c>
      <c r="ADJ67">
        <v>9.452</v>
      </c>
      <c r="ADK67">
        <v>-24.626</v>
      </c>
      <c r="ADL67">
        <v>-14.049</v>
      </c>
      <c r="ADM67">
        <v>-39.334</v>
      </c>
      <c r="ADN67">
        <v>70.735</v>
      </c>
      <c r="ADO67">
        <v>72.84099999999999</v>
      </c>
      <c r="ADP67">
        <v>70.979</v>
      </c>
      <c r="ADQ67">
        <v>78.03700000000001</v>
      </c>
      <c r="ADR67">
        <v>53.561</v>
      </c>
      <c r="ADS67">
        <v>-57.93830886</v>
      </c>
      <c r="ADT67">
        <v>-35.676470899</v>
      </c>
      <c r="ADU67">
        <v>-9.712011196000001</v>
      </c>
      <c r="ADV67">
        <v>28.974281669</v>
      </c>
      <c r="ADW67">
        <v>-38.344420117</v>
      </c>
      <c r="ADX67">
        <v>-14.786</v>
      </c>
      <c r="ADY67">
        <v>-26.757</v>
      </c>
      <c r="ADZ67">
        <v>-3.125</v>
      </c>
      <c r="AEA67">
        <v>35.036</v>
      </c>
      <c r="AEB67">
        <v>-37.676</v>
      </c>
      <c r="AEC67">
        <v>-57.938</v>
      </c>
      <c r="AED67">
        <v>-35.676</v>
      </c>
      <c r="AEE67">
        <v>-9.712</v>
      </c>
      <c r="AEF67">
        <v>28.974</v>
      </c>
      <c r="AEG67">
        <v>-38.344</v>
      </c>
      <c r="AEH67">
        <v>-17.091</v>
      </c>
      <c r="AEI67">
        <v>18.371</v>
      </c>
      <c r="AEJ67">
        <v>-15.104</v>
      </c>
      <c r="AEK67">
        <v>-14.507</v>
      </c>
      <c r="AEL67">
        <v>-29.116</v>
      </c>
      <c r="AEM67">
        <v>-36.684139066</v>
      </c>
      <c r="AEN67">
        <v>-26.295252716</v>
      </c>
      <c r="AEO67">
        <v>-8.852277057</v>
      </c>
      <c r="AEP67">
        <v>40.794070584</v>
      </c>
      <c r="AEQ67">
        <v>-27.716636554</v>
      </c>
      <c r="AER67">
        <v>0.5497267</v>
      </c>
      <c r="AES67">
        <v>0.671236334</v>
      </c>
      <c r="AET67">
        <v>0.879639631</v>
      </c>
      <c r="AEU67">
        <v>1.590559598</v>
      </c>
      <c r="AEV67">
        <v>0.5827861009999999</v>
      </c>
      <c r="AEW67" t="s">
        <v>1900</v>
      </c>
      <c r="AEX67" t="s">
        <v>1900</v>
      </c>
      <c r="AEY67" t="s">
        <v>1900</v>
      </c>
      <c r="AEZ67" t="s">
        <v>1900</v>
      </c>
      <c r="AFA67" t="s">
        <v>1900</v>
      </c>
      <c r="AFB67" t="s">
        <v>1900</v>
      </c>
      <c r="AFC67" t="s">
        <v>1900</v>
      </c>
      <c r="AFD67" t="s">
        <v>1900</v>
      </c>
      <c r="AFE67" t="s">
        <v>1900</v>
      </c>
      <c r="AFF67" t="s">
        <v>1900</v>
      </c>
      <c r="AFG67" t="s">
        <v>1901</v>
      </c>
      <c r="AFH67">
        <v>4.676</v>
      </c>
      <c r="AFI67">
        <v>7.425</v>
      </c>
      <c r="AFJ67">
        <v>5.133</v>
      </c>
      <c r="AFK67">
        <v>1.275</v>
      </c>
      <c r="AFL67">
        <v>-19.599</v>
      </c>
      <c r="AFM67">
        <v>-10.149</v>
      </c>
      <c r="AFN67">
        <v>-6.046</v>
      </c>
      <c r="AFO67">
        <v>35.42</v>
      </c>
      <c r="AFP67">
        <v>-25.298</v>
      </c>
      <c r="AFQ67" t="s">
        <v>1901</v>
      </c>
      <c r="AFR67" t="s">
        <v>1901</v>
      </c>
      <c r="AFS67" t="s">
        <v>1901</v>
      </c>
      <c r="AFT67" t="s">
        <v>1901</v>
      </c>
      <c r="AFU67" t="s">
        <v>1901</v>
      </c>
      <c r="AFV67">
        <v>32.331</v>
      </c>
      <c r="AFW67">
        <v>45.396</v>
      </c>
      <c r="AFX67">
        <v>107.588</v>
      </c>
      <c r="AFY67">
        <v>89.143</v>
      </c>
      <c r="AFZ67">
        <v>186.727</v>
      </c>
      <c r="AGA67">
        <v>209.02</v>
      </c>
      <c r="AGB67">
        <v>86.17700000000001</v>
      </c>
      <c r="AGC67">
        <v>84.664</v>
      </c>
      <c r="AGD67">
        <v>44.287</v>
      </c>
      <c r="AGE67">
        <v>67.30800000000001</v>
      </c>
      <c r="AGF67" t="s">
        <v>1900</v>
      </c>
      <c r="AGG67" t="s">
        <v>1900</v>
      </c>
      <c r="AGH67" t="s">
        <v>1900</v>
      </c>
      <c r="AGI67" t="s">
        <v>1900</v>
      </c>
      <c r="AGJ67" t="s">
        <v>1900</v>
      </c>
      <c r="AGK67" t="s">
        <v>1900</v>
      </c>
      <c r="AGL67" t="s">
        <v>1900</v>
      </c>
      <c r="AGM67" t="s">
        <v>1900</v>
      </c>
      <c r="AGN67" t="s">
        <v>1900</v>
      </c>
      <c r="AGO67" t="s">
        <v>1900</v>
      </c>
      <c r="AGP67" t="s">
        <v>1900</v>
      </c>
      <c r="AGQ67" t="s">
        <v>1900</v>
      </c>
      <c r="AGR67" t="s">
        <v>1900</v>
      </c>
      <c r="AGS67" t="s">
        <v>1900</v>
      </c>
      <c r="AGT67" t="s">
        <v>1900</v>
      </c>
      <c r="AGU67">
        <v>0</v>
      </c>
      <c r="AGV67">
        <v>0</v>
      </c>
      <c r="AGW67">
        <v>0</v>
      </c>
      <c r="AGX67">
        <v>0</v>
      </c>
      <c r="AGY67">
        <v>0</v>
      </c>
      <c r="AGZ67">
        <v>0.091</v>
      </c>
      <c r="AHA67">
        <v>0.234</v>
      </c>
      <c r="AHB67">
        <v>0.723</v>
      </c>
      <c r="AHC67">
        <v>0.848</v>
      </c>
      <c r="AHD67">
        <v>1.256</v>
      </c>
      <c r="AHE67">
        <v>0.091</v>
      </c>
      <c r="AHF67">
        <v>0.234</v>
      </c>
      <c r="AHG67">
        <v>0.723</v>
      </c>
      <c r="AHH67">
        <v>0.848</v>
      </c>
      <c r="AHI67">
        <v>1.256</v>
      </c>
      <c r="AHJ67">
        <v>-1.21</v>
      </c>
      <c r="AHK67">
        <v>-0.293</v>
      </c>
      <c r="AHL67">
        <v>-0.584</v>
      </c>
      <c r="AHM67">
        <v>0.173</v>
      </c>
      <c r="AHN67">
        <v>2.913</v>
      </c>
      <c r="AHO67">
        <v>-47.765</v>
      </c>
      <c r="AHP67">
        <v>-10.576</v>
      </c>
      <c r="AHQ67">
        <v>-22.956</v>
      </c>
      <c r="AHR67">
        <v>5.191</v>
      </c>
      <c r="AHS67">
        <v>45.026</v>
      </c>
      <c r="AHT67" t="s">
        <v>1901</v>
      </c>
      <c r="AHU67" t="s">
        <v>1901</v>
      </c>
      <c r="AHV67" t="s">
        <v>1901</v>
      </c>
      <c r="AHW67">
        <v>5.476</v>
      </c>
      <c r="AHX67">
        <v>81.904</v>
      </c>
      <c r="AHY67" t="s">
        <v>1901</v>
      </c>
      <c r="AHZ67" t="s">
        <v>1901</v>
      </c>
      <c r="AIA67" t="s">
        <v>1901</v>
      </c>
      <c r="AIB67">
        <v>735.499</v>
      </c>
      <c r="AIC67">
        <v>58.002</v>
      </c>
      <c r="AID67">
        <v>15.458545831</v>
      </c>
      <c r="AIE67">
        <v>13.7105746</v>
      </c>
      <c r="AIF67">
        <v>14.410955972</v>
      </c>
      <c r="AIG67">
        <v>0.998178919</v>
      </c>
      <c r="AIH67">
        <v>12.722143332</v>
      </c>
      <c r="AII67">
        <v>4.556119214</v>
      </c>
      <c r="AIJ67">
        <v>2.439366077</v>
      </c>
      <c r="AIK67">
        <v>24.295956217</v>
      </c>
      <c r="AIL67">
        <v>10.05296344</v>
      </c>
      <c r="AIM67">
        <v>9.651725258000001</v>
      </c>
      <c r="AIN67">
        <v>69.465411311</v>
      </c>
      <c r="AIO67">
        <v>33.252570961</v>
      </c>
      <c r="AIP67">
        <v>37.592889074</v>
      </c>
      <c r="AIQ67">
        <v>34.357498491</v>
      </c>
      <c r="AIR67">
        <v>14.441889442</v>
      </c>
      <c r="AIS67">
        <v>0</v>
      </c>
      <c r="AIT67">
        <v>0</v>
      </c>
      <c r="AIU67">
        <v>0</v>
      </c>
      <c r="AIV67">
        <v>0</v>
      </c>
      <c r="AIW67">
        <v>0</v>
      </c>
      <c r="AIX67">
        <v>-71.2213757114496</v>
      </c>
      <c r="AIY67">
        <v>23.2652594611626</v>
      </c>
      <c r="AIZ67">
        <v>-31.4591385862827</v>
      </c>
      <c r="AJA67">
        <v>-29.0872666758585</v>
      </c>
      <c r="AJB67">
        <v>-66.8852266438341</v>
      </c>
      <c r="AJC67">
        <v>118.221803892548</v>
      </c>
      <c r="AJD67">
        <v>246.141290360187</v>
      </c>
      <c r="AJE67">
        <v>127.748086216401</v>
      </c>
      <c r="AJF67">
        <v>207.036005227025</v>
      </c>
      <c r="AJG67">
        <v>170.043322059751</v>
      </c>
      <c r="AJH67">
        <v>73.80200000000001</v>
      </c>
      <c r="AJI67">
        <v>35.506</v>
      </c>
      <c r="AJJ67">
        <v>35.512</v>
      </c>
      <c r="AJK67">
        <v>33.887</v>
      </c>
      <c r="AJL67">
        <v>57.158</v>
      </c>
      <c r="AJM67">
        <v>87.2503593371012</v>
      </c>
      <c r="AJN67">
        <v>87.3938063312664</v>
      </c>
      <c r="AJO67">
        <v>45.3654989785779</v>
      </c>
      <c r="AJP67">
        <v>70.1578614016056</v>
      </c>
      <c r="AJQ67">
        <v>97.19310313931879</v>
      </c>
      <c r="AJR67" t="s">
        <v>1901</v>
      </c>
      <c r="AJS67" t="s">
        <v>1901</v>
      </c>
      <c r="AJT67" t="s">
        <v>1901</v>
      </c>
      <c r="AJU67">
        <v>5.93756423865795</v>
      </c>
      <c r="AJV67">
        <v>99.2987441821772</v>
      </c>
      <c r="AJW67">
        <v>-58.0236250093514</v>
      </c>
      <c r="AJX67">
        <v>-27.8829902335434</v>
      </c>
      <c r="AJY67">
        <v>8.134711112263201</v>
      </c>
      <c r="AJZ67">
        <v>25.7966108751512</v>
      </c>
      <c r="AKA67">
        <v>56.4063262793934</v>
      </c>
      <c r="AKB67">
        <v>198.71585771722</v>
      </c>
      <c r="AKC67">
        <v>206.531605018846</v>
      </c>
      <c r="AKD67">
        <v>105.369707956678</v>
      </c>
      <c r="AKE67">
        <v>114.373729087393</v>
      </c>
      <c r="AKF67">
        <v>220.536114471668</v>
      </c>
      <c r="AKG67">
        <v>0</v>
      </c>
      <c r="AKH67">
        <v>0</v>
      </c>
      <c r="AKI67">
        <v>0</v>
      </c>
      <c r="AKJ67">
        <v>0</v>
      </c>
      <c r="AKK67">
        <v>0</v>
      </c>
      <c r="AKL67">
        <v>0</v>
      </c>
      <c r="AKM67">
        <v>0</v>
      </c>
      <c r="AKN67">
        <v>0</v>
      </c>
      <c r="AKO67">
        <v>0</v>
      </c>
      <c r="AKP67">
        <v>0</v>
      </c>
      <c r="AKQ67">
        <v>0</v>
      </c>
      <c r="AKR67">
        <v>0</v>
      </c>
      <c r="AKS67">
        <v>0</v>
      </c>
      <c r="AKT67">
        <v>0</v>
      </c>
      <c r="AKU67">
        <v>0</v>
      </c>
      <c r="AKV67">
        <v>125.437163821</v>
      </c>
      <c r="AKW67">
        <v>57.022471051</v>
      </c>
      <c r="AKX67">
        <v>20.275470819</v>
      </c>
      <c r="AKY67">
        <v>23.063088929</v>
      </c>
      <c r="AKZ67">
        <v>44.941182395</v>
      </c>
      <c r="ALA67">
        <v>74.626191701</v>
      </c>
      <c r="ALB67">
        <v>67.95853148800001</v>
      </c>
      <c r="ALC67">
        <v>24.581567486</v>
      </c>
      <c r="ALD67">
        <v>41.748134409</v>
      </c>
      <c r="ALE67">
        <v>34.651684918</v>
      </c>
      <c r="ALF67">
        <v>0.0271439</v>
      </c>
      <c r="ALG67">
        <v>0.7242101359999999</v>
      </c>
      <c r="ALH67">
        <v>0.394874544</v>
      </c>
      <c r="ALI67">
        <v>1.313350389</v>
      </c>
      <c r="ALJ67">
        <v>3.866787485</v>
      </c>
      <c r="ALK67">
        <v>0.01614869</v>
      </c>
      <c r="ALL67">
        <v>0.86310285</v>
      </c>
      <c r="ALM67">
        <v>0.478737847</v>
      </c>
      <c r="ALN67">
        <v>2.377388767</v>
      </c>
      <c r="ALO67">
        <v>2.981468098</v>
      </c>
      <c r="ALP67">
        <v>8.980896169999999</v>
      </c>
      <c r="ALQ67">
        <v>12.610012457</v>
      </c>
      <c r="ALR67">
        <v>29.885674469</v>
      </c>
      <c r="ALS67">
        <v>24.761933999</v>
      </c>
      <c r="ALT67">
        <v>51.868523589</v>
      </c>
      <c r="ALU67">
        <v>646.496770581</v>
      </c>
      <c r="ALV67">
        <v>189.833714739</v>
      </c>
      <c r="ALW67">
        <v>78.692883397</v>
      </c>
      <c r="ALX67">
        <v>49.680975496</v>
      </c>
      <c r="ALY67">
        <v>36.046496079</v>
      </c>
      <c r="ALZ67">
        <v>70.7353407323011</v>
      </c>
      <c r="AMA67">
        <v>72.8406026837033</v>
      </c>
      <c r="AMB67">
        <v>70.9790940894768</v>
      </c>
      <c r="AMC67">
        <v>78.03669932905341</v>
      </c>
      <c r="AMD67">
        <v>53.561482779363</v>
      </c>
      <c r="AME67">
        <v>70.7353407323011</v>
      </c>
      <c r="AMF67">
        <v>74.84146965320851</v>
      </c>
      <c r="AMG67">
        <v>92.0056408911861</v>
      </c>
      <c r="AMH67" t="s">
        <v>1901</v>
      </c>
      <c r="AMI67">
        <v>53.561482779363</v>
      </c>
      <c r="AMJ67">
        <v>241.709087009176</v>
      </c>
      <c r="AMK67">
        <v>268.196682847583</v>
      </c>
      <c r="AML67">
        <v>244.57918132645</v>
      </c>
      <c r="AMM67">
        <v>355.304972136004</v>
      </c>
      <c r="AMN67">
        <v>115.338486207222</v>
      </c>
      <c r="AMO67">
        <v>0.5497266997269959</v>
      </c>
      <c r="AMP67">
        <v>0.671236334330835</v>
      </c>
      <c r="AMQ67">
        <v>0.87963963114233</v>
      </c>
      <c r="AMR67">
        <v>1.59055959837736</v>
      </c>
      <c r="AMS67">
        <v>0.582786100688806</v>
      </c>
      <c r="AMT67">
        <v>0.5497266997269959</v>
      </c>
      <c r="AMU67">
        <v>0.671236334330835</v>
      </c>
      <c r="AMV67">
        <v>0.87963963114233</v>
      </c>
      <c r="AMW67">
        <v>1.59055959837736</v>
      </c>
      <c r="AMX67">
        <v>0.582786100688806</v>
      </c>
      <c r="AMY67">
        <v>0.5497266997269959</v>
      </c>
      <c r="AMZ67">
        <v>0.671236334330835</v>
      </c>
      <c r="ANA67">
        <v>0.87963963114233</v>
      </c>
      <c r="ANB67">
        <v>1.59055959837736</v>
      </c>
      <c r="ANC67">
        <v>0.582786100688806</v>
      </c>
      <c r="AND67">
        <v>-57.9383088601774</v>
      </c>
      <c r="ANE67">
        <v>-35.6764708986127</v>
      </c>
      <c r="ANF67">
        <v>-9.712011195651121</v>
      </c>
      <c r="ANG67">
        <v>28.9742816688388</v>
      </c>
      <c r="ANH67">
        <v>-38.3444201171846</v>
      </c>
      <c r="ANI67">
        <v>-57.9383088601774</v>
      </c>
      <c r="ANJ67">
        <v>-36.6564720185859</v>
      </c>
      <c r="ANK67">
        <v>-12.5890563392064</v>
      </c>
      <c r="ANL67">
        <v>54.0476508533084</v>
      </c>
      <c r="ANM67">
        <v>-38.3444201171846</v>
      </c>
      <c r="ANN67">
        <v>-36.6841390656336</v>
      </c>
      <c r="ANO67">
        <v>-26.2952527157585</v>
      </c>
      <c r="ANP67">
        <v>-8.852277056822469</v>
      </c>
      <c r="ANQ67">
        <v>40.7940705840449</v>
      </c>
      <c r="ANR67">
        <v>-27.7166365544089</v>
      </c>
      <c r="ANS67" t="s">
        <v>1901</v>
      </c>
      <c r="ANT67">
        <v>-166.815191500968</v>
      </c>
      <c r="ANU67">
        <v>-72.11363019390291</v>
      </c>
      <c r="ANV67">
        <v>148.712598951968</v>
      </c>
      <c r="ANW67">
        <v>-48.8827123298176</v>
      </c>
      <c r="ANX67">
        <v>70.7353407323011</v>
      </c>
      <c r="ANY67">
        <v>72.8406026837033</v>
      </c>
      <c r="ANZ67">
        <v>70.9790940894768</v>
      </c>
      <c r="AOA67">
        <v>78.03669932905341</v>
      </c>
      <c r="AOB67">
        <v>53.561482779363</v>
      </c>
      <c r="AOC67">
        <v>44.786689969514</v>
      </c>
      <c r="AOD67">
        <v>53.6869821283419</v>
      </c>
      <c r="AOE67">
        <v>64.6958280282536</v>
      </c>
      <c r="AOF67">
        <v>109.871045534806</v>
      </c>
      <c r="AOG67">
        <v>38.7160412642546</v>
      </c>
      <c r="AOH67">
        <v>42.0824972181865</v>
      </c>
      <c r="AOI67">
        <v>86.81034511262661</v>
      </c>
      <c r="AOJ67">
        <v>86.05360669733911</v>
      </c>
      <c r="AOK67" t="s">
        <v>1901</v>
      </c>
      <c r="AOL67">
        <v>41.2983265261031</v>
      </c>
      <c r="AOM67">
        <v>-197.980466234669</v>
      </c>
      <c r="AON67">
        <v>-131.359582405775</v>
      </c>
      <c r="AOO67">
        <v>-33.4655686683078</v>
      </c>
      <c r="AOP67">
        <v>131.921345078914</v>
      </c>
      <c r="AOQ67">
        <v>-82.5702938252829</v>
      </c>
      <c r="AOR67">
        <v>-45.0273300273004</v>
      </c>
      <c r="AOS67">
        <v>-32.8763665669165</v>
      </c>
      <c r="AOT67">
        <v>-12.036036885767</v>
      </c>
      <c r="AOU67">
        <v>59.0559598377363</v>
      </c>
      <c r="AOV67">
        <v>-41.7213899311194</v>
      </c>
      <c r="AOW67">
        <v>-34.4691733466331</v>
      </c>
      <c r="AOX67">
        <v>-42.5186865155094</v>
      </c>
      <c r="AOY67">
        <v>-11.7746443849672</v>
      </c>
      <c r="AOZ67">
        <v>52.448403996029</v>
      </c>
      <c r="APA67">
        <v>-29.5652827420175</v>
      </c>
      <c r="APB67">
        <v>-60.2438578805269</v>
      </c>
      <c r="APC67">
        <v>9.4519937967062</v>
      </c>
      <c r="APD67">
        <v>-21.6905996613115</v>
      </c>
      <c r="APE67">
        <v>-20.5683770172644</v>
      </c>
      <c r="APF67">
        <v>-29.7846804974435</v>
      </c>
      <c r="APG67">
        <v>-60.2438578805269</v>
      </c>
      <c r="APH67">
        <v>9.711631711372011</v>
      </c>
      <c r="API67">
        <v>-28.1161312179804</v>
      </c>
      <c r="APJ67">
        <v>-38.3675589391367</v>
      </c>
      <c r="APK67">
        <v>-29.7846804974435</v>
      </c>
      <c r="APL67">
        <v>-205.858736742654</v>
      </c>
      <c r="APM67">
        <v>34.8019276224315</v>
      </c>
      <c r="APN67">
        <v>-74.7412907377449</v>
      </c>
      <c r="APO67">
        <v>-93.64884324728391</v>
      </c>
      <c r="APP67">
        <v>-64.1378801048527</v>
      </c>
      <c r="APQ67">
        <v>-46.8191102617551</v>
      </c>
      <c r="APR67">
        <v>8.71014438989304</v>
      </c>
      <c r="APS67">
        <v>-26.8810293088268</v>
      </c>
      <c r="APT67">
        <v>-41.9228770170117</v>
      </c>
      <c r="APU67">
        <v>-32.4077992367587</v>
      </c>
      <c r="APV67">
        <v>-38.1439172771318</v>
      </c>
      <c r="APW67">
        <v>6.96656814118449</v>
      </c>
      <c r="APX67">
        <v>-19.770487684006</v>
      </c>
      <c r="APY67">
        <v>-28.9590552556797</v>
      </c>
      <c r="APZ67">
        <v>-21.5293688550752</v>
      </c>
      <c r="AQA67">
        <v>-35.8408110489584</v>
      </c>
      <c r="AQB67">
        <v>11.2647453928611</v>
      </c>
      <c r="AQC67">
        <v>-26.2972408457474</v>
      </c>
      <c r="AQD67">
        <v>-37.2322792907865</v>
      </c>
      <c r="AQE67">
        <v>-22.9653362235337</v>
      </c>
      <c r="AQF67">
        <v>-0.450273300273004</v>
      </c>
      <c r="AQG67">
        <v>-0.328763665669165</v>
      </c>
      <c r="AQH67">
        <v>-0.12036036885767</v>
      </c>
      <c r="AQI67">
        <v>0.590559598377363</v>
      </c>
      <c r="AQJ67">
        <v>-0.417213899311194</v>
      </c>
      <c r="AQK67">
        <v>2</v>
      </c>
      <c r="AQO67" t="s">
        <v>1902</v>
      </c>
      <c r="AQP67">
        <v>3</v>
      </c>
      <c r="AQQ67">
        <v>0</v>
      </c>
      <c r="AQS67" t="s">
        <v>1905</v>
      </c>
      <c r="AQU67" t="s">
        <v>1906</v>
      </c>
      <c r="AQV67">
        <v>1536883.44436973</v>
      </c>
      <c r="AQW67">
        <v>3692119.3498778</v>
      </c>
      <c r="AQX67">
        <v>3449198.32997602</v>
      </c>
      <c r="AQY67">
        <v>-890444.276819867</v>
      </c>
      <c r="AQZ67">
        <v>-1317217.8854012</v>
      </c>
      <c r="ARA67">
        <v>-334986.527967483</v>
      </c>
      <c r="ARB67">
        <v>8678201.124223551</v>
      </c>
      <c r="ARC67">
        <v>-2542648.69018855</v>
      </c>
      <c r="ARD67">
        <v>-0.226600367373491</v>
      </c>
      <c r="ARE67">
        <v>-0.226600367373491</v>
      </c>
      <c r="ARF67">
        <v>-0.226600367373491</v>
      </c>
      <c r="ARG67" t="s">
        <v>1907</v>
      </c>
      <c r="ARH67" t="s">
        <v>1907</v>
      </c>
      <c r="ARI67" t="s">
        <v>1907</v>
      </c>
      <c r="ARJ67" t="s">
        <v>1228</v>
      </c>
      <c r="ARK67" t="s">
        <v>1566</v>
      </c>
      <c r="ARL67" t="s">
        <v>1908</v>
      </c>
      <c r="ARM67" t="s">
        <v>1908</v>
      </c>
      <c r="ARN67" t="s">
        <v>1909</v>
      </c>
      <c r="ARO67" t="s">
        <v>1908</v>
      </c>
      <c r="ARP67" t="s">
        <v>1907</v>
      </c>
      <c r="ARQ67" t="s">
        <v>1962</v>
      </c>
      <c r="ARR67">
        <f>HYPERLINK("C:\Users\Usuario\Documents\Proyectos\llmthon\evidence\inlabdigital_com_234821.png", "Ver Evidencia")</f>
        <v>0</v>
      </c>
      <c r="ARS67">
        <v>100</v>
      </c>
    </row>
    <row r="68" spans="1:1163">
      <c r="A68">
        <v>236</v>
      </c>
      <c r="B68" t="s">
        <v>1229</v>
      </c>
      <c r="C68" t="s">
        <v>1352</v>
      </c>
      <c r="E68" s="2">
        <v>31734</v>
      </c>
      <c r="F68" t="s">
        <v>1431</v>
      </c>
      <c r="G68" t="s">
        <v>1433</v>
      </c>
      <c r="H68" t="s">
        <v>1434</v>
      </c>
      <c r="I68" t="s">
        <v>1435</v>
      </c>
      <c r="J68" t="s">
        <v>1484</v>
      </c>
      <c r="L68" t="s">
        <v>1567</v>
      </c>
      <c r="N68" t="s">
        <v>1640</v>
      </c>
      <c r="O68" t="s">
        <v>1664</v>
      </c>
      <c r="P68">
        <v>8299</v>
      </c>
      <c r="Q68">
        <v>8299</v>
      </c>
      <c r="R68" t="s">
        <v>1737</v>
      </c>
      <c r="S68" t="s">
        <v>1817</v>
      </c>
      <c r="Z68" t="s">
        <v>1899</v>
      </c>
      <c r="AA68" s="2">
        <v>45657</v>
      </c>
      <c r="AB68">
        <v>2024</v>
      </c>
      <c r="AC68">
        <v>3471307.09645296</v>
      </c>
      <c r="AD68">
        <v>3605079.30061529</v>
      </c>
      <c r="AE68">
        <v>3465631.28856709</v>
      </c>
      <c r="AF68">
        <v>2645385.06788506</v>
      </c>
      <c r="AG68">
        <v>1604429.91662021</v>
      </c>
      <c r="AH68">
        <v>2995893.23356551</v>
      </c>
      <c r="AI68">
        <v>3245449.04371765</v>
      </c>
      <c r="AJ68">
        <v>2931054.42060925</v>
      </c>
      <c r="AK68">
        <v>2123524.5485487</v>
      </c>
      <c r="AL68">
        <v>1119162.70018645</v>
      </c>
      <c r="AM68">
        <v>172320.022826271</v>
      </c>
      <c r="AN68">
        <v>203934.615173349</v>
      </c>
      <c r="AO68">
        <v>198306.496584922</v>
      </c>
      <c r="AP68">
        <v>37222.9544088364</v>
      </c>
      <c r="AQ68">
        <v>-15615.930703634</v>
      </c>
      <c r="AR68">
        <v>3298987.07362669</v>
      </c>
      <c r="AS68">
        <v>3401144.68544194</v>
      </c>
      <c r="AT68">
        <v>3267324.79304876</v>
      </c>
      <c r="AU68">
        <v>2608162.11347623</v>
      </c>
      <c r="AV68">
        <v>1620045.84732385</v>
      </c>
      <c r="AW68">
        <v>2594840.75584012</v>
      </c>
      <c r="AX68">
        <v>2713335.17091148</v>
      </c>
      <c r="AY68">
        <v>2693003.3552853</v>
      </c>
      <c r="AZ68">
        <v>2241229.92110933</v>
      </c>
      <c r="BA68">
        <v>1987268.22176316</v>
      </c>
      <c r="BB68">
        <v>704146.317786568</v>
      </c>
      <c r="BC68">
        <v>687809.514530458</v>
      </c>
      <c r="BD68">
        <v>574321.4377634641</v>
      </c>
      <c r="BE68">
        <v>366932.191234303</v>
      </c>
      <c r="BF68">
        <v>-367222.374439311</v>
      </c>
      <c r="BG68">
        <v>128306.242784446</v>
      </c>
      <c r="BH68">
        <v>1341333.91236918</v>
      </c>
      <c r="BI68">
        <v>115695.891708499</v>
      </c>
      <c r="BJ68">
        <v>-66990.4653597593</v>
      </c>
      <c r="BK68">
        <v>-70648.4493726545</v>
      </c>
      <c r="BL68">
        <v>159548.467155133</v>
      </c>
      <c r="BM68">
        <v>1395731.55193717</v>
      </c>
      <c r="BN68">
        <v>252566.172441781</v>
      </c>
      <c r="BO68">
        <v>10130.826600194</v>
      </c>
      <c r="BP68">
        <v>21135.2147455931</v>
      </c>
      <c r="BQ68">
        <v>31242.2233317876</v>
      </c>
      <c r="BR68">
        <v>54397.6384629917</v>
      </c>
      <c r="BS68">
        <v>136870.280733281</v>
      </c>
      <c r="BT68">
        <v>77121.29195995331</v>
      </c>
      <c r="BU68">
        <v>91783.6653453469</v>
      </c>
      <c r="BV68">
        <v>832452.5616099139</v>
      </c>
      <c r="BW68">
        <v>2029143.42800464</v>
      </c>
      <c r="BX68">
        <v>690017.329471964</v>
      </c>
      <c r="BY68">
        <v>299941.725874543</v>
      </c>
      <c r="BZ68">
        <v>-437870.825039065</v>
      </c>
      <c r="CA68">
        <v>143641.512669556</v>
      </c>
      <c r="CB68">
        <v>194911.302673798</v>
      </c>
      <c r="CC68">
        <v>113824.254924488</v>
      </c>
      <c r="CD68">
        <v>60399.7056065798</v>
      </c>
      <c r="CE68">
        <v>-100797.617753148</v>
      </c>
      <c r="CF68">
        <v>688811.048940358</v>
      </c>
      <c r="CG68">
        <v>1834232.12533084</v>
      </c>
      <c r="CH68">
        <v>576193.074547476</v>
      </c>
      <c r="CI68">
        <v>239542.020267963</v>
      </c>
      <c r="CJ68">
        <v>-337073.207285917</v>
      </c>
      <c r="CK68" t="s">
        <v>1900</v>
      </c>
      <c r="CL68" t="s">
        <v>1900</v>
      </c>
      <c r="CM68" t="s">
        <v>1900</v>
      </c>
      <c r="CN68" t="s">
        <v>1900</v>
      </c>
      <c r="CO68" t="s">
        <v>1900</v>
      </c>
      <c r="CP68" t="s">
        <v>1900</v>
      </c>
      <c r="CQ68" t="s">
        <v>1900</v>
      </c>
      <c r="CR68" t="s">
        <v>1900</v>
      </c>
      <c r="CS68" t="s">
        <v>1900</v>
      </c>
      <c r="CT68" t="s">
        <v>1900</v>
      </c>
      <c r="CU68" t="s">
        <v>1900</v>
      </c>
      <c r="CV68" t="s">
        <v>1900</v>
      </c>
      <c r="CW68" t="s">
        <v>1900</v>
      </c>
      <c r="CX68" t="s">
        <v>1900</v>
      </c>
      <c r="CY68" t="s">
        <v>1900</v>
      </c>
      <c r="CZ68">
        <v>688811.048940358</v>
      </c>
      <c r="DA68">
        <v>1834232.12533084</v>
      </c>
      <c r="DB68">
        <v>576193.074547476</v>
      </c>
      <c r="DC68">
        <v>239542.020267963</v>
      </c>
      <c r="DD68">
        <v>-337073.207285917</v>
      </c>
      <c r="DE68" t="s">
        <v>1900</v>
      </c>
      <c r="DF68" t="s">
        <v>1900</v>
      </c>
      <c r="DG68" t="s">
        <v>1900</v>
      </c>
      <c r="DH68" t="s">
        <v>1900</v>
      </c>
      <c r="DI68" t="s">
        <v>1900</v>
      </c>
      <c r="DJ68">
        <v>172320.022826271</v>
      </c>
      <c r="DK68">
        <v>203934.615173349</v>
      </c>
      <c r="DL68">
        <v>198306.496584922</v>
      </c>
      <c r="DM68">
        <v>37222.9544088364</v>
      </c>
      <c r="DN68">
        <v>-15615.930703634</v>
      </c>
      <c r="DO68">
        <v>1765847.23102963</v>
      </c>
      <c r="DP68">
        <v>1775336.23979909</v>
      </c>
      <c r="DQ68">
        <v>1790305.98119467</v>
      </c>
      <c r="DR68">
        <v>1626885.93943727</v>
      </c>
      <c r="DS68">
        <v>1219973.8037609</v>
      </c>
      <c r="DT68">
        <v>92902.1785417128</v>
      </c>
      <c r="DU68">
        <v>70706.98168242451</v>
      </c>
      <c r="DV68">
        <v>130782.152186292</v>
      </c>
      <c r="DW68">
        <v>146738.98229692</v>
      </c>
      <c r="DX68">
        <v>126936.894357848</v>
      </c>
      <c r="DY68">
        <v>736091.3462687799</v>
      </c>
      <c r="DZ68">
        <v>867291.94942997</v>
      </c>
      <c r="EA68">
        <v>771915.2219043371</v>
      </c>
      <c r="EB68">
        <v>467604.999375136</v>
      </c>
      <c r="EC68">
        <v>640357.5236444121</v>
      </c>
      <c r="ED68">
        <v>30467.6198340917</v>
      </c>
      <c r="EE68">
        <v>54397.6384629917</v>
      </c>
      <c r="EF68">
        <v>136870.280733281</v>
      </c>
      <c r="EG68">
        <v>77121.29195995331</v>
      </c>
      <c r="EH68">
        <v>69030.71650934219</v>
      </c>
      <c r="EI68" t="s">
        <v>1900</v>
      </c>
      <c r="EJ68" t="s">
        <v>1900</v>
      </c>
      <c r="EK68" t="s">
        <v>1900</v>
      </c>
      <c r="EL68" t="s">
        <v>1900</v>
      </c>
      <c r="EM68" t="s">
        <v>1900</v>
      </c>
      <c r="EN68">
        <v>781713.227482071</v>
      </c>
      <c r="EO68">
        <v>1904939.10701326</v>
      </c>
      <c r="EP68">
        <v>706975.226733768</v>
      </c>
      <c r="EQ68">
        <v>386281.002564883</v>
      </c>
      <c r="ER68">
        <v>-210136.312928069</v>
      </c>
      <c r="ES68">
        <v>2721669.59101534</v>
      </c>
      <c r="ET68">
        <v>3929584.28794914</v>
      </c>
      <c r="EU68">
        <v>2747975.74358621</v>
      </c>
      <c r="EV68">
        <v>2150687.93956869</v>
      </c>
      <c r="EW68">
        <v>978070.588361924</v>
      </c>
      <c r="EX68">
        <v>797048.496328281</v>
      </c>
      <c r="EY68">
        <v>758516.496212883</v>
      </c>
      <c r="EZ68">
        <v>705103.589949757</v>
      </c>
      <c r="FA68">
        <v>513671.173531222</v>
      </c>
      <c r="FB68">
        <v>-240285.480081463</v>
      </c>
      <c r="FC68">
        <v>7220347.44588516</v>
      </c>
      <c r="FD68">
        <v>7801726.57266902</v>
      </c>
      <c r="FE68">
        <v>7469002.86504803</v>
      </c>
      <c r="FF68">
        <v>6607308.83318009</v>
      </c>
      <c r="FG68">
        <v>7638054.75281749</v>
      </c>
      <c r="FH68">
        <v>15595.5755151784</v>
      </c>
      <c r="FI68">
        <v>16587.8585944271</v>
      </c>
      <c r="FJ68">
        <v>19475.7226797819</v>
      </c>
      <c r="FK68">
        <v>56747.001658988</v>
      </c>
      <c r="FL68">
        <v>87407.3015908778</v>
      </c>
      <c r="FM68">
        <v>457112.567018949</v>
      </c>
      <c r="FN68">
        <v>438622.720148487</v>
      </c>
      <c r="FO68">
        <v>438312.681434834</v>
      </c>
      <c r="FP68">
        <v>421817.27726984</v>
      </c>
      <c r="FQ68">
        <v>571167.529646003</v>
      </c>
      <c r="FR68">
        <v>6747639.30231213</v>
      </c>
      <c r="FS68">
        <v>7346515.9928211</v>
      </c>
      <c r="FT68">
        <v>7011214.46093342</v>
      </c>
      <c r="FU68">
        <v>6128744.55425126</v>
      </c>
      <c r="FV68">
        <v>6979479.92158061</v>
      </c>
      <c r="FW68">
        <v>15595.5755151784</v>
      </c>
      <c r="FX68">
        <v>16587.8585944271</v>
      </c>
      <c r="FY68">
        <v>19475.7226797819</v>
      </c>
      <c r="FZ68">
        <v>56747.001658988</v>
      </c>
      <c r="GA68">
        <v>87407.3015908778</v>
      </c>
      <c r="GB68">
        <v>457112.567018949</v>
      </c>
      <c r="GC68">
        <v>438622.720148487</v>
      </c>
      <c r="GD68">
        <v>438312.681434834</v>
      </c>
      <c r="GE68">
        <v>421817.27726984</v>
      </c>
      <c r="GF68">
        <v>571167.529646003</v>
      </c>
      <c r="GG68">
        <v>6747639.30231213</v>
      </c>
      <c r="GH68">
        <v>7346515.9928211</v>
      </c>
      <c r="GI68">
        <v>7011214.46093342</v>
      </c>
      <c r="GJ68">
        <v>6128744.55425126</v>
      </c>
      <c r="GK68">
        <v>6979479.92158061</v>
      </c>
      <c r="GL68">
        <v>418841.627287213</v>
      </c>
      <c r="GM68">
        <v>300455.038290529</v>
      </c>
      <c r="GN68">
        <v>585708.357906157</v>
      </c>
      <c r="GO68">
        <v>665606.0050426479</v>
      </c>
      <c r="GP68">
        <v>369313.204393625</v>
      </c>
      <c r="GQ68">
        <v>0</v>
      </c>
      <c r="GR68">
        <v>0</v>
      </c>
      <c r="GS68">
        <v>0</v>
      </c>
      <c r="GT68">
        <v>0</v>
      </c>
      <c r="GU68">
        <v>0</v>
      </c>
      <c r="GV68">
        <v>263145.732077594</v>
      </c>
      <c r="GW68">
        <v>249776.621546679</v>
      </c>
      <c r="GX68">
        <v>423291.995493579</v>
      </c>
      <c r="GY68">
        <v>539662.606383061</v>
      </c>
      <c r="GZ68">
        <v>337595.816606551</v>
      </c>
      <c r="HA68">
        <v>155695.895209619</v>
      </c>
      <c r="HB68">
        <v>50678.4167438507</v>
      </c>
      <c r="HC68">
        <v>162416.362412578</v>
      </c>
      <c r="HD68">
        <v>125943.398659587</v>
      </c>
      <c r="HE68">
        <v>31717.3877870739</v>
      </c>
      <c r="HF68">
        <v>155643.950232574</v>
      </c>
      <c r="HG68">
        <v>50623.1667190552</v>
      </c>
      <c r="HH68">
        <v>48669.5426109374</v>
      </c>
      <c r="HI68">
        <v>98364.58117282391</v>
      </c>
      <c r="HJ68" t="s">
        <v>1900</v>
      </c>
      <c r="HK68">
        <v>7639189.07317237</v>
      </c>
      <c r="HL68">
        <v>8102181.61095955</v>
      </c>
      <c r="HM68">
        <v>8054711.22295419</v>
      </c>
      <c r="HN68">
        <v>7272914.83822274</v>
      </c>
      <c r="HO68">
        <v>8007367.95721111</v>
      </c>
      <c r="HP68">
        <v>4943376.07104677</v>
      </c>
      <c r="HQ68">
        <v>4525265.70108364</v>
      </c>
      <c r="HR68">
        <v>2527698.0548288</v>
      </c>
      <c r="HS68">
        <v>3476687.83629906</v>
      </c>
      <c r="HT68">
        <v>3509075.98413658</v>
      </c>
      <c r="HU68">
        <v>1176553.73007059</v>
      </c>
      <c r="HV68">
        <v>1251413.0616188</v>
      </c>
      <c r="HW68">
        <v>1599899.23238754</v>
      </c>
      <c r="HX68">
        <v>1698900.4611969</v>
      </c>
      <c r="HY68">
        <v>1840648.94914627</v>
      </c>
      <c r="HZ68">
        <v>3766822.34097618</v>
      </c>
      <c r="IA68">
        <v>3273852.63946484</v>
      </c>
      <c r="IB68">
        <v>927798.822441256</v>
      </c>
      <c r="IC68">
        <v>1777787.37510216</v>
      </c>
      <c r="ID68">
        <v>1668427.03499031</v>
      </c>
      <c r="IE68">
        <v>622703.419349899</v>
      </c>
      <c r="IF68">
        <v>868721.853221693</v>
      </c>
      <c r="IG68">
        <v>3777120.83352874</v>
      </c>
      <c r="IH68">
        <v>2065719.31311843</v>
      </c>
      <c r="II68">
        <v>3051615.24277069</v>
      </c>
      <c r="IJ68">
        <v>462919.911562632</v>
      </c>
      <c r="IK68">
        <v>701753.582088385</v>
      </c>
      <c r="IL68">
        <v>3613234.96367121</v>
      </c>
      <c r="IM68">
        <v>1891956.79328749</v>
      </c>
      <c r="IN68">
        <v>2866187.62954206</v>
      </c>
      <c r="IO68">
        <v>159783.507787267</v>
      </c>
      <c r="IP68">
        <v>166968.271133308</v>
      </c>
      <c r="IQ68">
        <v>163885.869857526</v>
      </c>
      <c r="IR68">
        <v>173762.519830942</v>
      </c>
      <c r="IS68">
        <v>185427.613228631</v>
      </c>
      <c r="IT68" t="s">
        <v>1900</v>
      </c>
      <c r="IU68" t="s">
        <v>1900</v>
      </c>
      <c r="IV68" t="s">
        <v>1900</v>
      </c>
      <c r="IW68" t="s">
        <v>1900</v>
      </c>
      <c r="IX68" t="s">
        <v>1900</v>
      </c>
      <c r="IY68">
        <v>2073109.5827757</v>
      </c>
      <c r="IZ68">
        <v>2708194.05665421</v>
      </c>
      <c r="JA68">
        <v>1749892.33459665</v>
      </c>
      <c r="JB68">
        <v>1730507.68880525</v>
      </c>
      <c r="JC68">
        <v>1446676.73030384</v>
      </c>
      <c r="JD68">
        <v>554260.811096288</v>
      </c>
      <c r="JE68">
        <v>1154934.99317063</v>
      </c>
      <c r="JF68">
        <v>942349.4153240561</v>
      </c>
      <c r="JG68">
        <v>771745.082047398</v>
      </c>
      <c r="JH68">
        <v>584772.968586457</v>
      </c>
      <c r="JI68">
        <v>134617.901371169</v>
      </c>
      <c r="JJ68">
        <v>109840.762095184</v>
      </c>
      <c r="JK68">
        <v>120906.454194534</v>
      </c>
      <c r="JL68">
        <v>6716.9767314434</v>
      </c>
      <c r="JM68">
        <v>33112.5015225828</v>
      </c>
      <c r="JN68">
        <v>1384230.87030824</v>
      </c>
      <c r="JO68">
        <v>1443418.3002834</v>
      </c>
      <c r="JP68">
        <v>686636.465078062</v>
      </c>
      <c r="JQ68">
        <v>952045.628893805</v>
      </c>
      <c r="JR68">
        <v>828791.260194802</v>
      </c>
      <c r="JS68">
        <v>7639189.07317237</v>
      </c>
      <c r="JT68">
        <v>8102181.61095955</v>
      </c>
      <c r="JU68">
        <v>8054711.22295419</v>
      </c>
      <c r="JV68">
        <v>7272914.83822274</v>
      </c>
      <c r="JW68">
        <v>8007367.95721111</v>
      </c>
      <c r="JX68">
        <v>128527.830706425</v>
      </c>
      <c r="JY68">
        <v>139935.859451494</v>
      </c>
      <c r="JZ68">
        <v>302385.541299045</v>
      </c>
      <c r="KA68">
        <v>532945.629651618</v>
      </c>
      <c r="KB68">
        <v>304483.315083969</v>
      </c>
      <c r="KC68" t="s">
        <v>1900</v>
      </c>
      <c r="KD68" t="s">
        <v>1900</v>
      </c>
      <c r="KE68" t="s">
        <v>1900</v>
      </c>
      <c r="KF68" t="s">
        <v>1900</v>
      </c>
      <c r="KG68" t="s">
        <v>1900</v>
      </c>
      <c r="KH68" t="s">
        <v>1900</v>
      </c>
      <c r="KI68" t="s">
        <v>1900</v>
      </c>
      <c r="KJ68" t="s">
        <v>1900</v>
      </c>
      <c r="KK68" t="s">
        <v>1900</v>
      </c>
      <c r="KL68" t="s">
        <v>1900</v>
      </c>
      <c r="KM68">
        <v>23</v>
      </c>
      <c r="KN68">
        <v>22</v>
      </c>
      <c r="KO68">
        <v>22</v>
      </c>
      <c r="KP68">
        <v>21</v>
      </c>
      <c r="KQ68">
        <v>24</v>
      </c>
      <c r="KR68" t="s">
        <v>1900</v>
      </c>
      <c r="KS68" t="s">
        <v>1900</v>
      </c>
      <c r="KT68" t="s">
        <v>1900</v>
      </c>
      <c r="KU68" t="s">
        <v>1900</v>
      </c>
      <c r="KV68" t="s">
        <v>1900</v>
      </c>
      <c r="KW68" t="s">
        <v>1900</v>
      </c>
      <c r="KX68" t="s">
        <v>1900</v>
      </c>
      <c r="KY68" t="s">
        <v>1900</v>
      </c>
      <c r="KZ68" t="s">
        <v>1900</v>
      </c>
      <c r="LA68" t="s">
        <v>1900</v>
      </c>
      <c r="LB68" t="s">
        <v>1900</v>
      </c>
      <c r="LC68" t="s">
        <v>1900</v>
      </c>
      <c r="LD68" t="s">
        <v>1900</v>
      </c>
      <c r="LE68" t="s">
        <v>1900</v>
      </c>
      <c r="LF68" t="s">
        <v>1900</v>
      </c>
      <c r="LG68" t="s">
        <v>1900</v>
      </c>
      <c r="LH68" t="s">
        <v>1900</v>
      </c>
      <c r="LI68" t="s">
        <v>1900</v>
      </c>
      <c r="LJ68" t="s">
        <v>1900</v>
      </c>
      <c r="LK68" t="s">
        <v>1900</v>
      </c>
      <c r="LL68" t="s">
        <v>1900</v>
      </c>
      <c r="LM68" t="s">
        <v>1900</v>
      </c>
      <c r="LN68" t="s">
        <v>1900</v>
      </c>
      <c r="LO68" t="s">
        <v>1900</v>
      </c>
      <c r="LP68" t="s">
        <v>1900</v>
      </c>
      <c r="LQ68" t="s">
        <v>1900</v>
      </c>
      <c r="LR68" t="s">
        <v>1900</v>
      </c>
      <c r="LS68" t="s">
        <v>1900</v>
      </c>
      <c r="LT68" t="s">
        <v>1900</v>
      </c>
      <c r="LU68" t="s">
        <v>1900</v>
      </c>
      <c r="LV68" t="s">
        <v>1900</v>
      </c>
      <c r="LW68" t="s">
        <v>1900</v>
      </c>
      <c r="LX68" t="s">
        <v>1900</v>
      </c>
      <c r="LY68" t="s">
        <v>1900</v>
      </c>
      <c r="LZ68" t="s">
        <v>1900</v>
      </c>
      <c r="MA68" t="s">
        <v>1900</v>
      </c>
      <c r="MB68" t="s">
        <v>1900</v>
      </c>
      <c r="MC68" t="s">
        <v>1900</v>
      </c>
      <c r="MD68" t="s">
        <v>1900</v>
      </c>
      <c r="ME68" t="s">
        <v>1900</v>
      </c>
      <c r="MF68" t="s">
        <v>1900</v>
      </c>
      <c r="MG68" t="s">
        <v>1900</v>
      </c>
      <c r="MH68" t="s">
        <v>1900</v>
      </c>
      <c r="MI68" t="s">
        <v>1900</v>
      </c>
      <c r="MJ68" t="s">
        <v>1900</v>
      </c>
      <c r="MK68" t="s">
        <v>1900</v>
      </c>
      <c r="ML68" t="s">
        <v>1900</v>
      </c>
      <c r="MM68" t="s">
        <v>1900</v>
      </c>
      <c r="MN68" t="s">
        <v>1900</v>
      </c>
      <c r="MO68" t="s">
        <v>1900</v>
      </c>
      <c r="MP68">
        <v>155695.895209619</v>
      </c>
      <c r="MQ68">
        <v>50678.4167438507</v>
      </c>
      <c r="MR68">
        <v>162416.362412578</v>
      </c>
      <c r="MS68">
        <v>125943.398659587</v>
      </c>
      <c r="MT68">
        <v>31717.3877870739</v>
      </c>
      <c r="MU68" t="s">
        <v>1900</v>
      </c>
      <c r="MV68" t="s">
        <v>1900</v>
      </c>
      <c r="MW68" t="s">
        <v>1900</v>
      </c>
      <c r="MX68" t="s">
        <v>1900</v>
      </c>
      <c r="MY68" t="s">
        <v>1900</v>
      </c>
      <c r="MZ68" t="s">
        <v>1900</v>
      </c>
      <c r="NA68" t="s">
        <v>1900</v>
      </c>
      <c r="NB68" t="s">
        <v>1900</v>
      </c>
      <c r="NC68" t="s">
        <v>1900</v>
      </c>
      <c r="ND68" t="s">
        <v>1900</v>
      </c>
      <c r="NE68" t="s">
        <v>1900</v>
      </c>
      <c r="NF68" t="s">
        <v>1900</v>
      </c>
      <c r="NG68" t="s">
        <v>1900</v>
      </c>
      <c r="NH68" t="s">
        <v>1900</v>
      </c>
      <c r="NI68" t="s">
        <v>1900</v>
      </c>
      <c r="NJ68" t="s">
        <v>1900</v>
      </c>
      <c r="NK68" t="s">
        <v>1900</v>
      </c>
      <c r="NL68" t="s">
        <v>1900</v>
      </c>
      <c r="NM68" t="s">
        <v>1900</v>
      </c>
      <c r="NN68" t="s">
        <v>1900</v>
      </c>
      <c r="NO68" t="s">
        <v>1900</v>
      </c>
      <c r="NP68" t="s">
        <v>1900</v>
      </c>
      <c r="NQ68" t="s">
        <v>1900</v>
      </c>
      <c r="NR68" t="s">
        <v>1900</v>
      </c>
      <c r="NS68" t="s">
        <v>1900</v>
      </c>
      <c r="NT68">
        <v>7220347.44588516</v>
      </c>
      <c r="NU68">
        <v>7801726.57266902</v>
      </c>
      <c r="NV68">
        <v>7469002.86504803</v>
      </c>
      <c r="NW68">
        <v>6607308.83318009</v>
      </c>
      <c r="NX68">
        <v>7638054.75281749</v>
      </c>
      <c r="NY68" t="s">
        <v>1900</v>
      </c>
      <c r="NZ68" t="s">
        <v>1900</v>
      </c>
      <c r="OA68" t="s">
        <v>1900</v>
      </c>
      <c r="OB68" t="s">
        <v>1900</v>
      </c>
      <c r="OC68" t="s">
        <v>1900</v>
      </c>
      <c r="OD68" t="s">
        <v>1900</v>
      </c>
      <c r="OE68" t="s">
        <v>1900</v>
      </c>
      <c r="OF68" t="s">
        <v>1900</v>
      </c>
      <c r="OG68" t="s">
        <v>1900</v>
      </c>
      <c r="OH68" t="s">
        <v>1900</v>
      </c>
      <c r="OI68" t="s">
        <v>1900</v>
      </c>
      <c r="OJ68" t="s">
        <v>1900</v>
      </c>
      <c r="OK68" t="s">
        <v>1900</v>
      </c>
      <c r="OL68" t="s">
        <v>1900</v>
      </c>
      <c r="OM68" t="s">
        <v>1900</v>
      </c>
      <c r="ON68" t="s">
        <v>1900</v>
      </c>
      <c r="OO68" t="s">
        <v>1900</v>
      </c>
      <c r="OP68" t="s">
        <v>1900</v>
      </c>
      <c r="OQ68" t="s">
        <v>1900</v>
      </c>
      <c r="OR68" t="s">
        <v>1900</v>
      </c>
      <c r="OS68" t="s">
        <v>1900</v>
      </c>
      <c r="OT68" t="s">
        <v>1900</v>
      </c>
      <c r="OU68" t="s">
        <v>1900</v>
      </c>
      <c r="OV68" t="s">
        <v>1900</v>
      </c>
      <c r="OW68" t="s">
        <v>1900</v>
      </c>
      <c r="OX68" t="s">
        <v>1900</v>
      </c>
      <c r="OY68" t="s">
        <v>1900</v>
      </c>
      <c r="OZ68" t="s">
        <v>1900</v>
      </c>
      <c r="PA68" t="s">
        <v>1900</v>
      </c>
      <c r="PB68" t="s">
        <v>1900</v>
      </c>
      <c r="PC68" t="s">
        <v>1900</v>
      </c>
      <c r="PD68" t="s">
        <v>1900</v>
      </c>
      <c r="PE68" t="s">
        <v>1900</v>
      </c>
      <c r="PF68" t="s">
        <v>1900</v>
      </c>
      <c r="PG68" t="s">
        <v>1900</v>
      </c>
      <c r="PH68" t="s">
        <v>1900</v>
      </c>
      <c r="PI68" t="s">
        <v>1900</v>
      </c>
      <c r="PJ68" t="s">
        <v>1900</v>
      </c>
      <c r="PK68" t="s">
        <v>1900</v>
      </c>
      <c r="PL68" t="s">
        <v>1900</v>
      </c>
      <c r="PM68" t="s">
        <v>1900</v>
      </c>
      <c r="PN68" t="s">
        <v>1900</v>
      </c>
      <c r="PO68" t="s">
        <v>1900</v>
      </c>
      <c r="PP68" t="s">
        <v>1900</v>
      </c>
      <c r="PQ68" t="s">
        <v>1900</v>
      </c>
      <c r="PR68" t="s">
        <v>1900</v>
      </c>
      <c r="PS68" t="s">
        <v>1900</v>
      </c>
      <c r="PT68" t="s">
        <v>1900</v>
      </c>
      <c r="PU68" t="s">
        <v>1900</v>
      </c>
      <c r="PV68" t="s">
        <v>1900</v>
      </c>
      <c r="PW68" t="s">
        <v>1900</v>
      </c>
      <c r="PX68" t="s">
        <v>1900</v>
      </c>
      <c r="PY68" t="s">
        <v>1900</v>
      </c>
      <c r="PZ68" t="s">
        <v>1900</v>
      </c>
      <c r="QA68" t="s">
        <v>1900</v>
      </c>
      <c r="QB68" t="s">
        <v>1900</v>
      </c>
      <c r="QC68" t="s">
        <v>1900</v>
      </c>
      <c r="QD68" t="s">
        <v>1900</v>
      </c>
      <c r="QE68" t="s">
        <v>1900</v>
      </c>
      <c r="QF68" t="s">
        <v>1900</v>
      </c>
      <c r="QG68" t="s">
        <v>1900</v>
      </c>
      <c r="QH68" t="s">
        <v>1900</v>
      </c>
      <c r="QI68" t="s">
        <v>1900</v>
      </c>
      <c r="QJ68" t="s">
        <v>1900</v>
      </c>
      <c r="QK68" t="s">
        <v>1900</v>
      </c>
      <c r="QL68" t="s">
        <v>1900</v>
      </c>
      <c r="QM68" t="s">
        <v>1900</v>
      </c>
      <c r="QN68" t="s">
        <v>1900</v>
      </c>
      <c r="QO68" t="s">
        <v>1900</v>
      </c>
      <c r="QP68" t="s">
        <v>1900</v>
      </c>
      <c r="QQ68" t="s">
        <v>1900</v>
      </c>
      <c r="QR68" t="s">
        <v>1900</v>
      </c>
      <c r="QS68" t="s">
        <v>1900</v>
      </c>
      <c r="QT68" t="s">
        <v>1900</v>
      </c>
      <c r="QU68" t="s">
        <v>1900</v>
      </c>
      <c r="QV68" t="s">
        <v>1900</v>
      </c>
      <c r="QW68" t="s">
        <v>1900</v>
      </c>
      <c r="QX68" t="s">
        <v>1900</v>
      </c>
      <c r="QY68" t="s">
        <v>1900</v>
      </c>
      <c r="QZ68" t="s">
        <v>1900</v>
      </c>
      <c r="RA68" t="s">
        <v>1900</v>
      </c>
      <c r="RB68" t="s">
        <v>1900</v>
      </c>
      <c r="RC68" t="s">
        <v>1900</v>
      </c>
      <c r="RD68" t="s">
        <v>1900</v>
      </c>
      <c r="RE68" t="s">
        <v>1900</v>
      </c>
      <c r="RF68" t="s">
        <v>1900</v>
      </c>
      <c r="RG68" t="s">
        <v>1900</v>
      </c>
      <c r="RH68" t="s">
        <v>1900</v>
      </c>
      <c r="RI68" t="s">
        <v>1900</v>
      </c>
      <c r="RJ68" t="s">
        <v>1900</v>
      </c>
      <c r="RK68" t="s">
        <v>1900</v>
      </c>
      <c r="RL68" t="s">
        <v>1900</v>
      </c>
      <c r="RM68" t="s">
        <v>1900</v>
      </c>
      <c r="RN68" t="s">
        <v>1900</v>
      </c>
      <c r="RO68" t="s">
        <v>1900</v>
      </c>
      <c r="RP68" t="s">
        <v>1900</v>
      </c>
      <c r="RQ68" t="s">
        <v>1900</v>
      </c>
      <c r="RR68" t="s">
        <v>1900</v>
      </c>
      <c r="RS68" t="s">
        <v>1900</v>
      </c>
      <c r="RT68" t="s">
        <v>1900</v>
      </c>
      <c r="RU68" t="s">
        <v>1900</v>
      </c>
      <c r="RV68" t="s">
        <v>1900</v>
      </c>
      <c r="RW68" t="s">
        <v>1900</v>
      </c>
      <c r="RX68" t="s">
        <v>1900</v>
      </c>
      <c r="RY68" t="s">
        <v>1900</v>
      </c>
      <c r="RZ68" t="s">
        <v>1900</v>
      </c>
      <c r="SA68" t="s">
        <v>1900</v>
      </c>
      <c r="SB68" t="s">
        <v>1900</v>
      </c>
      <c r="SC68" t="s">
        <v>1900</v>
      </c>
      <c r="SD68" t="s">
        <v>1900</v>
      </c>
      <c r="SE68" t="s">
        <v>1900</v>
      </c>
      <c r="SF68" t="s">
        <v>1900</v>
      </c>
      <c r="SG68" t="s">
        <v>1900</v>
      </c>
      <c r="SH68" t="s">
        <v>1900</v>
      </c>
      <c r="SI68" t="s">
        <v>1900</v>
      </c>
      <c r="SJ68">
        <v>6747639.30231213</v>
      </c>
      <c r="SK68">
        <v>7346515.9928211</v>
      </c>
      <c r="SL68">
        <v>7011214.46093342</v>
      </c>
      <c r="SM68">
        <v>6128744.55425126</v>
      </c>
      <c r="SN68">
        <v>6979479.92158061</v>
      </c>
      <c r="SO68" t="s">
        <v>1900</v>
      </c>
      <c r="SP68" t="s">
        <v>1900</v>
      </c>
      <c r="SQ68" t="s">
        <v>1900</v>
      </c>
      <c r="SR68" t="s">
        <v>1900</v>
      </c>
      <c r="SS68" t="s">
        <v>1900</v>
      </c>
      <c r="ST68" t="s">
        <v>1900</v>
      </c>
      <c r="SU68" t="s">
        <v>1900</v>
      </c>
      <c r="SV68" t="s">
        <v>1900</v>
      </c>
      <c r="SW68" t="s">
        <v>1900</v>
      </c>
      <c r="SX68" t="s">
        <v>1900</v>
      </c>
      <c r="SY68" t="s">
        <v>1900</v>
      </c>
      <c r="SZ68" t="s">
        <v>1900</v>
      </c>
      <c r="TA68" t="s">
        <v>1900</v>
      </c>
      <c r="TB68" t="s">
        <v>1900</v>
      </c>
      <c r="TC68" t="s">
        <v>1900</v>
      </c>
      <c r="TD68" t="s">
        <v>1900</v>
      </c>
      <c r="TE68" t="s">
        <v>1900</v>
      </c>
      <c r="TF68" t="s">
        <v>1900</v>
      </c>
      <c r="TG68" t="s">
        <v>1900</v>
      </c>
      <c r="TH68" t="s">
        <v>1900</v>
      </c>
      <c r="TI68" t="s">
        <v>1900</v>
      </c>
      <c r="TJ68" t="s">
        <v>1900</v>
      </c>
      <c r="TK68" t="s">
        <v>1900</v>
      </c>
      <c r="TL68" t="s">
        <v>1900</v>
      </c>
      <c r="TM68" t="s">
        <v>1900</v>
      </c>
      <c r="TN68" t="s">
        <v>1900</v>
      </c>
      <c r="TO68" t="s">
        <v>1900</v>
      </c>
      <c r="TP68" t="s">
        <v>1900</v>
      </c>
      <c r="TQ68" t="s">
        <v>1900</v>
      </c>
      <c r="TR68" t="s">
        <v>1900</v>
      </c>
      <c r="TS68">
        <v>7639189.07317237</v>
      </c>
      <c r="TT68">
        <v>8102181.61095955</v>
      </c>
      <c r="TU68">
        <v>8054711.22295419</v>
      </c>
      <c r="TV68">
        <v>7272914.83822274</v>
      </c>
      <c r="TW68">
        <v>8007367.95721111</v>
      </c>
      <c r="TX68" t="s">
        <v>1900</v>
      </c>
      <c r="TY68" t="s">
        <v>1900</v>
      </c>
      <c r="TZ68" t="s">
        <v>1900</v>
      </c>
      <c r="UA68" t="s">
        <v>1900</v>
      </c>
      <c r="UB68" t="s">
        <v>1900</v>
      </c>
      <c r="UC68">
        <v>554260.811096288</v>
      </c>
      <c r="UD68">
        <v>1154934.99317063</v>
      </c>
      <c r="UE68">
        <v>942349.4153240561</v>
      </c>
      <c r="UF68">
        <v>771745.082047398</v>
      </c>
      <c r="UG68">
        <v>584772.968586457</v>
      </c>
      <c r="UH68" t="s">
        <v>1900</v>
      </c>
      <c r="UI68" t="s">
        <v>1900</v>
      </c>
      <c r="UJ68" t="s">
        <v>1900</v>
      </c>
      <c r="UK68" t="s">
        <v>1900</v>
      </c>
      <c r="UL68" t="s">
        <v>1900</v>
      </c>
      <c r="UM68" t="s">
        <v>1900</v>
      </c>
      <c r="UN68" t="s">
        <v>1900</v>
      </c>
      <c r="UO68" t="s">
        <v>1900</v>
      </c>
      <c r="UP68" t="s">
        <v>1900</v>
      </c>
      <c r="UQ68" t="s">
        <v>1900</v>
      </c>
      <c r="UR68" t="s">
        <v>1900</v>
      </c>
      <c r="US68" t="s">
        <v>1900</v>
      </c>
      <c r="UT68" t="s">
        <v>1900</v>
      </c>
      <c r="UU68" t="s">
        <v>1900</v>
      </c>
      <c r="UV68" t="s">
        <v>1900</v>
      </c>
      <c r="UW68" t="s">
        <v>1900</v>
      </c>
      <c r="UX68" t="s">
        <v>1900</v>
      </c>
      <c r="UY68" t="s">
        <v>1900</v>
      </c>
      <c r="UZ68" t="s">
        <v>1900</v>
      </c>
      <c r="VA68" t="s">
        <v>1900</v>
      </c>
      <c r="VB68" t="s">
        <v>1900</v>
      </c>
      <c r="VC68" t="s">
        <v>1900</v>
      </c>
      <c r="VD68" t="s">
        <v>1900</v>
      </c>
      <c r="VE68" t="s">
        <v>1900</v>
      </c>
      <c r="VF68" t="s">
        <v>1900</v>
      </c>
      <c r="VG68" t="s">
        <v>1900</v>
      </c>
      <c r="VH68" t="s">
        <v>1900</v>
      </c>
      <c r="VI68" t="s">
        <v>1900</v>
      </c>
      <c r="VJ68" t="s">
        <v>1900</v>
      </c>
      <c r="VK68" t="s">
        <v>1900</v>
      </c>
      <c r="VL68" t="s">
        <v>1900</v>
      </c>
      <c r="VM68" t="s">
        <v>1900</v>
      </c>
      <c r="VN68" t="s">
        <v>1900</v>
      </c>
      <c r="VO68" t="s">
        <v>1900</v>
      </c>
      <c r="VP68" t="s">
        <v>1900</v>
      </c>
      <c r="VQ68" t="s">
        <v>1900</v>
      </c>
      <c r="VR68" t="s">
        <v>1900</v>
      </c>
      <c r="VS68" t="s">
        <v>1900</v>
      </c>
      <c r="VT68" t="s">
        <v>1900</v>
      </c>
      <c r="VU68" t="s">
        <v>1900</v>
      </c>
      <c r="VV68" t="s">
        <v>1900</v>
      </c>
      <c r="VW68" t="s">
        <v>1900</v>
      </c>
      <c r="VX68" t="s">
        <v>1900</v>
      </c>
      <c r="VY68" t="s">
        <v>1900</v>
      </c>
      <c r="VZ68" t="s">
        <v>1900</v>
      </c>
      <c r="WA68">
        <v>1384230.87030824</v>
      </c>
      <c r="WB68">
        <v>1443418.3002834</v>
      </c>
      <c r="WC68">
        <v>686636.465078062</v>
      </c>
      <c r="WD68">
        <v>952045.628893805</v>
      </c>
      <c r="WE68">
        <v>828791.260194802</v>
      </c>
      <c r="WF68" t="s">
        <v>1900</v>
      </c>
      <c r="WG68" t="s">
        <v>1900</v>
      </c>
      <c r="WH68" t="s">
        <v>1900</v>
      </c>
      <c r="WI68" t="s">
        <v>1900</v>
      </c>
      <c r="WJ68" t="s">
        <v>1900</v>
      </c>
      <c r="WK68" t="s">
        <v>1900</v>
      </c>
      <c r="WL68" t="s">
        <v>1900</v>
      </c>
      <c r="WM68" t="s">
        <v>1900</v>
      </c>
      <c r="WN68" t="s">
        <v>1900</v>
      </c>
      <c r="WO68" t="s">
        <v>1900</v>
      </c>
      <c r="WP68" t="s">
        <v>1900</v>
      </c>
      <c r="WQ68" t="s">
        <v>1900</v>
      </c>
      <c r="WR68" t="s">
        <v>1900</v>
      </c>
      <c r="WS68" t="s">
        <v>1900</v>
      </c>
      <c r="WT68" t="s">
        <v>1900</v>
      </c>
      <c r="WU68" t="s">
        <v>1900</v>
      </c>
      <c r="WV68" t="s">
        <v>1900</v>
      </c>
      <c r="WW68" t="s">
        <v>1900</v>
      </c>
      <c r="WX68" t="s">
        <v>1900</v>
      </c>
      <c r="WY68" t="s">
        <v>1900</v>
      </c>
      <c r="WZ68" t="s">
        <v>1900</v>
      </c>
      <c r="XA68" t="s">
        <v>1900</v>
      </c>
      <c r="XB68" t="s">
        <v>1900</v>
      </c>
      <c r="XC68" t="s">
        <v>1900</v>
      </c>
      <c r="XD68" t="s">
        <v>1900</v>
      </c>
      <c r="XE68" t="s">
        <v>1900</v>
      </c>
      <c r="XF68" t="s">
        <v>1900</v>
      </c>
      <c r="XG68" t="s">
        <v>1900</v>
      </c>
      <c r="XH68" t="s">
        <v>1900</v>
      </c>
      <c r="XI68" t="s">
        <v>1900</v>
      </c>
      <c r="XJ68">
        <v>159783.507787267</v>
      </c>
      <c r="XK68">
        <v>166968.271133308</v>
      </c>
      <c r="XL68">
        <v>163885.869857526</v>
      </c>
      <c r="XM68">
        <v>173762.519830942</v>
      </c>
      <c r="XN68">
        <v>185427.613228631</v>
      </c>
      <c r="XO68" t="s">
        <v>1900</v>
      </c>
      <c r="XP68" t="s">
        <v>1900</v>
      </c>
      <c r="XQ68" t="s">
        <v>1900</v>
      </c>
      <c r="XR68" t="s">
        <v>1900</v>
      </c>
      <c r="XS68" t="s">
        <v>1900</v>
      </c>
      <c r="XT68" t="s">
        <v>1900</v>
      </c>
      <c r="XU68" t="s">
        <v>1900</v>
      </c>
      <c r="XV68" t="s">
        <v>1900</v>
      </c>
      <c r="XW68" t="s">
        <v>1900</v>
      </c>
      <c r="XX68" t="s">
        <v>1900</v>
      </c>
      <c r="XY68" t="s">
        <v>1900</v>
      </c>
      <c r="XZ68" t="s">
        <v>1900</v>
      </c>
      <c r="YA68" t="s">
        <v>1900</v>
      </c>
      <c r="YB68" t="s">
        <v>1900</v>
      </c>
      <c r="YC68" t="s">
        <v>1900</v>
      </c>
      <c r="YD68" t="s">
        <v>1900</v>
      </c>
      <c r="YE68" t="s">
        <v>1900</v>
      </c>
      <c r="YF68" t="s">
        <v>1900</v>
      </c>
      <c r="YG68" t="s">
        <v>1900</v>
      </c>
      <c r="YH68" t="s">
        <v>1900</v>
      </c>
      <c r="YI68" t="s">
        <v>1900</v>
      </c>
      <c r="YJ68" t="s">
        <v>1900</v>
      </c>
      <c r="YK68" t="s">
        <v>1900</v>
      </c>
      <c r="YL68" t="s">
        <v>1900</v>
      </c>
      <c r="YM68" t="s">
        <v>1900</v>
      </c>
      <c r="YN68" t="s">
        <v>1900</v>
      </c>
      <c r="YO68" t="s">
        <v>1900</v>
      </c>
      <c r="YP68" t="s">
        <v>1900</v>
      </c>
      <c r="YQ68" t="s">
        <v>1900</v>
      </c>
      <c r="YR68" t="s">
        <v>1900</v>
      </c>
      <c r="YS68" t="s">
        <v>1900</v>
      </c>
      <c r="YT68" t="s">
        <v>1900</v>
      </c>
      <c r="YU68" t="s">
        <v>1900</v>
      </c>
      <c r="YV68" t="s">
        <v>1900</v>
      </c>
      <c r="YW68" t="s">
        <v>1900</v>
      </c>
      <c r="YX68" t="s">
        <v>1900</v>
      </c>
      <c r="YY68" t="s">
        <v>1900</v>
      </c>
      <c r="YZ68" t="s">
        <v>1900</v>
      </c>
      <c r="ZA68" t="s">
        <v>1900</v>
      </c>
      <c r="ZB68" t="s">
        <v>1900</v>
      </c>
      <c r="ZC68" t="s">
        <v>1900</v>
      </c>
      <c r="ZD68" t="s">
        <v>1900</v>
      </c>
      <c r="ZE68" t="s">
        <v>1900</v>
      </c>
      <c r="ZF68" t="s">
        <v>1900</v>
      </c>
      <c r="ZG68" t="s">
        <v>1900</v>
      </c>
      <c r="ZH68" t="s">
        <v>1900</v>
      </c>
      <c r="ZI68" t="s">
        <v>1900</v>
      </c>
      <c r="ZJ68" t="s">
        <v>1900</v>
      </c>
      <c r="ZK68" t="s">
        <v>1900</v>
      </c>
      <c r="ZL68" t="s">
        <v>1900</v>
      </c>
      <c r="ZM68" t="s">
        <v>1900</v>
      </c>
      <c r="ZN68" t="s">
        <v>1900</v>
      </c>
      <c r="ZO68" t="s">
        <v>1900</v>
      </c>
      <c r="ZP68" t="s">
        <v>1900</v>
      </c>
      <c r="ZQ68" t="s">
        <v>1900</v>
      </c>
      <c r="ZR68" t="s">
        <v>1900</v>
      </c>
      <c r="ZS68" t="s">
        <v>1900</v>
      </c>
      <c r="ZT68" t="s">
        <v>1900</v>
      </c>
      <c r="ZU68" t="s">
        <v>1900</v>
      </c>
      <c r="ZV68" t="s">
        <v>1900</v>
      </c>
      <c r="ZW68" t="s">
        <v>1900</v>
      </c>
      <c r="ZX68" t="s">
        <v>1900</v>
      </c>
      <c r="ZY68" t="s">
        <v>1900</v>
      </c>
      <c r="ZZ68" t="s">
        <v>1900</v>
      </c>
      <c r="AAA68" t="s">
        <v>1900</v>
      </c>
      <c r="AAB68" t="s">
        <v>1900</v>
      </c>
      <c r="AAC68" t="s">
        <v>1900</v>
      </c>
      <c r="AAD68" t="s">
        <v>1900</v>
      </c>
      <c r="AAE68" t="s">
        <v>1900</v>
      </c>
      <c r="AAF68" t="s">
        <v>1900</v>
      </c>
      <c r="AAG68" t="s">
        <v>1900</v>
      </c>
      <c r="AAH68" t="s">
        <v>1900</v>
      </c>
      <c r="AAI68" t="s">
        <v>1900</v>
      </c>
      <c r="AAJ68" t="s">
        <v>1900</v>
      </c>
      <c r="AAK68" t="s">
        <v>1900</v>
      </c>
      <c r="AAL68" t="s">
        <v>1900</v>
      </c>
      <c r="AAM68" t="s">
        <v>1900</v>
      </c>
      <c r="AAN68" t="s">
        <v>1900</v>
      </c>
      <c r="AAO68" t="s">
        <v>1900</v>
      </c>
      <c r="AAP68" t="s">
        <v>1900</v>
      </c>
      <c r="AAQ68" t="s">
        <v>1900</v>
      </c>
      <c r="AAR68" t="s">
        <v>1900</v>
      </c>
      <c r="AAS68" t="s">
        <v>1900</v>
      </c>
      <c r="AAT68" t="s">
        <v>1900</v>
      </c>
      <c r="AAU68" t="s">
        <v>1900</v>
      </c>
      <c r="AAV68" t="s">
        <v>1900</v>
      </c>
      <c r="AAW68" t="s">
        <v>1900</v>
      </c>
      <c r="AAX68" t="s">
        <v>1900</v>
      </c>
      <c r="AAY68" t="s">
        <v>1900</v>
      </c>
      <c r="AAZ68" t="s">
        <v>1900</v>
      </c>
      <c r="ABA68" t="s">
        <v>1900</v>
      </c>
      <c r="ABB68" t="s">
        <v>1900</v>
      </c>
      <c r="ABC68" t="s">
        <v>1900</v>
      </c>
      <c r="ABD68" t="s">
        <v>1900</v>
      </c>
      <c r="ABE68" t="s">
        <v>1900</v>
      </c>
      <c r="ABF68" t="s">
        <v>1900</v>
      </c>
      <c r="ABG68" t="s">
        <v>1900</v>
      </c>
      <c r="ABH68" t="s">
        <v>1900</v>
      </c>
      <c r="ABI68" t="s">
        <v>1900</v>
      </c>
      <c r="ABJ68" t="s">
        <v>1900</v>
      </c>
      <c r="ABK68" t="s">
        <v>1900</v>
      </c>
      <c r="ABL68" t="s">
        <v>1900</v>
      </c>
      <c r="ABM68" t="s">
        <v>1900</v>
      </c>
      <c r="ABN68" t="s">
        <v>1900</v>
      </c>
      <c r="ABO68" t="s">
        <v>1900</v>
      </c>
      <c r="ABP68" t="s">
        <v>1900</v>
      </c>
      <c r="ABQ68" t="s">
        <v>1900</v>
      </c>
      <c r="ABR68" t="s">
        <v>1900</v>
      </c>
      <c r="ABS68" t="s">
        <v>1900</v>
      </c>
      <c r="ABT68" t="s">
        <v>1900</v>
      </c>
      <c r="ABU68" t="s">
        <v>1900</v>
      </c>
      <c r="ABV68" t="s">
        <v>1900</v>
      </c>
      <c r="ABW68" t="s">
        <v>1900</v>
      </c>
      <c r="ABX68" t="s">
        <v>1900</v>
      </c>
      <c r="ABY68" t="s">
        <v>1900</v>
      </c>
      <c r="ABZ68" t="s">
        <v>1900</v>
      </c>
      <c r="ACA68" t="s">
        <v>1900</v>
      </c>
      <c r="ACB68" t="s">
        <v>1900</v>
      </c>
      <c r="ACC68" t="s">
        <v>1900</v>
      </c>
      <c r="ACD68" t="s">
        <v>1900</v>
      </c>
      <c r="ACE68">
        <v>16.84</v>
      </c>
      <c r="ACF68">
        <v>44.84</v>
      </c>
      <c r="ACG68">
        <v>27.298</v>
      </c>
      <c r="ACH68">
        <v>8.627000000000001</v>
      </c>
      <c r="ACI68">
        <v>-12.478</v>
      </c>
      <c r="ACJ68">
        <v>15.503</v>
      </c>
      <c r="ACK68">
        <v>38.627</v>
      </c>
      <c r="ACL68">
        <v>13.115</v>
      </c>
      <c r="ACM68">
        <v>6.803</v>
      </c>
      <c r="ACN68">
        <v>-5.622</v>
      </c>
      <c r="ACO68">
        <v>10.897</v>
      </c>
      <c r="ACP68">
        <v>25.044</v>
      </c>
      <c r="ACQ68">
        <v>8.567</v>
      </c>
      <c r="ACR68">
        <v>4.124</v>
      </c>
      <c r="ACS68">
        <v>-5.468</v>
      </c>
      <c r="ACT68">
        <v>13.934</v>
      </c>
      <c r="ACU68">
        <v>40.533</v>
      </c>
      <c r="ACV68">
        <v>22.795</v>
      </c>
      <c r="ACW68">
        <v>6.89</v>
      </c>
      <c r="ACX68">
        <v>-9.606</v>
      </c>
      <c r="ACY68">
        <v>12.923</v>
      </c>
      <c r="ACZ68">
        <v>35.014</v>
      </c>
      <c r="ADA68">
        <v>11.31</v>
      </c>
      <c r="ADB68">
        <v>5.713</v>
      </c>
      <c r="ADC68">
        <v>-4.086</v>
      </c>
      <c r="ADD68">
        <v>9.016999999999999</v>
      </c>
      <c r="ADE68">
        <v>22.639</v>
      </c>
      <c r="ADF68">
        <v>7.153</v>
      </c>
      <c r="ADG68">
        <v>3.294</v>
      </c>
      <c r="ADH68">
        <v>-4.21</v>
      </c>
      <c r="ADI68">
        <v>23.981</v>
      </c>
      <c r="ADJ68">
        <v>56.286</v>
      </c>
      <c r="ADK68">
        <v>19.91</v>
      </c>
      <c r="ADL68">
        <v>11.338</v>
      </c>
      <c r="ADM68">
        <v>-27.291</v>
      </c>
      <c r="ADN68">
        <v>95.036</v>
      </c>
      <c r="ADO68">
        <v>94.343</v>
      </c>
      <c r="ADP68">
        <v>94.27800000000001</v>
      </c>
      <c r="ADQ68">
        <v>98.593</v>
      </c>
      <c r="ADR68" t="s">
        <v>1901</v>
      </c>
      <c r="ADS68">
        <v>20.284760127</v>
      </c>
      <c r="ADT68">
        <v>19.078901105</v>
      </c>
      <c r="ADU68">
        <v>16.571914031</v>
      </c>
      <c r="ADV68">
        <v>13.870653301</v>
      </c>
      <c r="ADW68">
        <v>-22.888028367</v>
      </c>
      <c r="ADX68">
        <v>22.961</v>
      </c>
      <c r="ADY68">
        <v>21.04</v>
      </c>
      <c r="ADZ68">
        <v>20.346</v>
      </c>
      <c r="AEA68">
        <v>19.418</v>
      </c>
      <c r="AEB68">
        <v>-14.976</v>
      </c>
      <c r="AEC68">
        <v>20.285</v>
      </c>
      <c r="AED68">
        <v>19.079</v>
      </c>
      <c r="AEE68">
        <v>16.572</v>
      </c>
      <c r="AEF68">
        <v>13.871</v>
      </c>
      <c r="AEG68">
        <v>-22.888</v>
      </c>
      <c r="AEH68">
        <v>22.519</v>
      </c>
      <c r="AEI68">
        <v>52.84</v>
      </c>
      <c r="AEJ68">
        <v>20.4</v>
      </c>
      <c r="AEK68">
        <v>14.602</v>
      </c>
      <c r="AEL68">
        <v>-13.097</v>
      </c>
      <c r="AEM68">
        <v>25.446527112</v>
      </c>
      <c r="AEN68">
        <v>23.577165122</v>
      </c>
      <c r="AEO68">
        <v>19.863711169</v>
      </c>
      <c r="AEP68">
        <v>16.104445038</v>
      </c>
      <c r="AEQ68">
        <v>-18.625108296</v>
      </c>
      <c r="AER68">
        <v>1.271363981</v>
      </c>
      <c r="AES68">
        <v>1.253492278</v>
      </c>
      <c r="AET68">
        <v>1.213264286</v>
      </c>
      <c r="AEU68">
        <v>1.16371912</v>
      </c>
      <c r="AEV68">
        <v>0.815212476</v>
      </c>
      <c r="AEW68" t="s">
        <v>1900</v>
      </c>
      <c r="AEX68" t="s">
        <v>1900</v>
      </c>
      <c r="AEY68" t="s">
        <v>1900</v>
      </c>
      <c r="AEZ68" t="s">
        <v>1900</v>
      </c>
      <c r="AFA68" t="s">
        <v>1900</v>
      </c>
      <c r="AFB68" t="s">
        <v>1900</v>
      </c>
      <c r="AFC68" t="s">
        <v>1900</v>
      </c>
      <c r="AFD68" t="s">
        <v>1900</v>
      </c>
      <c r="AFE68" t="s">
        <v>1900</v>
      </c>
      <c r="AFF68" t="s">
        <v>1900</v>
      </c>
      <c r="AFG68">
        <v>0.624</v>
      </c>
      <c r="AFH68">
        <v>0.668</v>
      </c>
      <c r="AFI68">
        <v>0.55</v>
      </c>
      <c r="AFJ68">
        <v>0.477</v>
      </c>
      <c r="AFK68">
        <v>0.245</v>
      </c>
      <c r="AFL68">
        <v>23.111</v>
      </c>
      <c r="AFM68">
        <v>12.644</v>
      </c>
      <c r="AFN68">
        <v>4.196</v>
      </c>
      <c r="AFO68">
        <v>4.758</v>
      </c>
      <c r="AFP68">
        <v>-5.32</v>
      </c>
      <c r="AFQ68" t="s">
        <v>1901</v>
      </c>
      <c r="AFR68" t="s">
        <v>1901</v>
      </c>
      <c r="AFS68" t="s">
        <v>1901</v>
      </c>
      <c r="AFT68" t="s">
        <v>1901</v>
      </c>
      <c r="AFU68" t="s">
        <v>1901</v>
      </c>
      <c r="AFV68">
        <v>27.29</v>
      </c>
      <c r="AFW68">
        <v>24.942</v>
      </c>
      <c r="AFX68">
        <v>43.97</v>
      </c>
      <c r="AFY68">
        <v>73.441</v>
      </c>
      <c r="AFZ68">
        <v>75.749</v>
      </c>
      <c r="AGA68">
        <v>13.961</v>
      </c>
      <c r="AGB68">
        <v>10.969</v>
      </c>
      <c r="AGC68">
        <v>12.559</v>
      </c>
      <c r="AGD68">
        <v>0.914</v>
      </c>
      <c r="AGE68">
        <v>7.43</v>
      </c>
      <c r="AGF68" t="s">
        <v>1900</v>
      </c>
      <c r="AGG68" t="s">
        <v>1900</v>
      </c>
      <c r="AGH68" t="s">
        <v>1900</v>
      </c>
      <c r="AGI68" t="s">
        <v>1900</v>
      </c>
      <c r="AGJ68" t="s">
        <v>1900</v>
      </c>
      <c r="AGK68" t="s">
        <v>1900</v>
      </c>
      <c r="AGL68" t="s">
        <v>1900</v>
      </c>
      <c r="AGM68" t="s">
        <v>1900</v>
      </c>
      <c r="AGN68" t="s">
        <v>1900</v>
      </c>
      <c r="AGO68" t="s">
        <v>1900</v>
      </c>
      <c r="AGP68" t="s">
        <v>1900</v>
      </c>
      <c r="AGQ68" t="s">
        <v>1900</v>
      </c>
      <c r="AGR68" t="s">
        <v>1900</v>
      </c>
      <c r="AGS68" t="s">
        <v>1900</v>
      </c>
      <c r="AGT68" t="s">
        <v>1900</v>
      </c>
      <c r="AGU68">
        <v>0</v>
      </c>
      <c r="AGV68">
        <v>0</v>
      </c>
      <c r="AGW68">
        <v>0</v>
      </c>
      <c r="AGX68">
        <v>0</v>
      </c>
      <c r="AGY68">
        <v>0</v>
      </c>
      <c r="AGZ68">
        <v>0.202</v>
      </c>
      <c r="AHA68">
        <v>0.111</v>
      </c>
      <c r="AHB68">
        <v>0.335</v>
      </c>
      <c r="AHC68">
        <v>0.385</v>
      </c>
      <c r="AHD68">
        <v>0.255</v>
      </c>
      <c r="AHE68">
        <v>0.202</v>
      </c>
      <c r="AHF68">
        <v>0.111</v>
      </c>
      <c r="AHG68">
        <v>0.335</v>
      </c>
      <c r="AHH68">
        <v>0.385</v>
      </c>
      <c r="AHI68">
        <v>0.255</v>
      </c>
      <c r="AHJ68">
        <v>7.939</v>
      </c>
      <c r="AHK68">
        <v>5.209</v>
      </c>
      <c r="AHL68">
        <v>0.669</v>
      </c>
      <c r="AHM68">
        <v>1.683</v>
      </c>
      <c r="AHN68">
        <v>1.15</v>
      </c>
      <c r="AHO68">
        <v>64.711</v>
      </c>
      <c r="AHP68">
        <v>55.852</v>
      </c>
      <c r="AHQ68">
        <v>31.382</v>
      </c>
      <c r="AHR68">
        <v>47.803</v>
      </c>
      <c r="AHS68">
        <v>43.823</v>
      </c>
      <c r="AHT68" t="s">
        <v>1901</v>
      </c>
      <c r="AHU68" t="s">
        <v>1901</v>
      </c>
      <c r="AHV68">
        <v>45.734</v>
      </c>
      <c r="AHW68">
        <v>91.583</v>
      </c>
      <c r="AHX68">
        <v>78.009</v>
      </c>
      <c r="AHY68">
        <v>23.809</v>
      </c>
      <c r="AHZ68">
        <v>44.719</v>
      </c>
      <c r="AIA68">
        <v>186.71</v>
      </c>
      <c r="AIB68">
        <v>81.614</v>
      </c>
      <c r="AIC68">
        <v>103.628</v>
      </c>
      <c r="AID68">
        <v>88.32926162299999</v>
      </c>
      <c r="AIE68">
        <v>90.67330684</v>
      </c>
      <c r="AIF68">
        <v>87.044889219</v>
      </c>
      <c r="AIG68">
        <v>84.268064326</v>
      </c>
      <c r="AIH68">
        <v>87.163222158</v>
      </c>
      <c r="AII68">
        <v>2.038120718</v>
      </c>
      <c r="AIJ68">
        <v>0.625491</v>
      </c>
      <c r="AIK68">
        <v>2.016414467</v>
      </c>
      <c r="AIL68">
        <v>1.731677071</v>
      </c>
      <c r="AIM68">
        <v>0.396102539</v>
      </c>
      <c r="AIN68">
        <v>18.12012842</v>
      </c>
      <c r="AIO68">
        <v>17.81518077</v>
      </c>
      <c r="AIP68">
        <v>8.524656516</v>
      </c>
      <c r="AIQ68">
        <v>13.090289795</v>
      </c>
      <c r="AIR68">
        <v>10.350358128</v>
      </c>
      <c r="AIS68">
        <v>0</v>
      </c>
      <c r="AIT68">
        <v>0</v>
      </c>
      <c r="AIU68">
        <v>0</v>
      </c>
      <c r="AIV68">
        <v>0</v>
      </c>
      <c r="AIW68">
        <v>0</v>
      </c>
      <c r="AIX68">
        <v>36.1935894545355</v>
      </c>
      <c r="AIY68">
        <v>92.2337924833927</v>
      </c>
      <c r="AIZ68">
        <v>31.3644245517254</v>
      </c>
      <c r="AJA68">
        <v>14.2829393273592</v>
      </c>
      <c r="AJB68">
        <v>-18.2446179144776</v>
      </c>
      <c r="AJC68">
        <v>150.926395723802</v>
      </c>
      <c r="AJD68">
        <v>163.867240836604</v>
      </c>
      <c r="AJE68">
        <v>157.528694789422</v>
      </c>
      <c r="AJF68">
        <v>125.970716979003</v>
      </c>
      <c r="AJG68">
        <v>66.8512470371336</v>
      </c>
      <c r="AJH68">
        <v>50.87</v>
      </c>
      <c r="AJI68">
        <v>49.245</v>
      </c>
      <c r="AJJ68">
        <v>51.659</v>
      </c>
      <c r="AJK68">
        <v>61.499</v>
      </c>
      <c r="AJL68">
        <v>76.038</v>
      </c>
      <c r="AJM68">
        <v>76.7759663858273</v>
      </c>
      <c r="AJN68">
        <v>80.6971022108679</v>
      </c>
      <c r="AJO68">
        <v>81.37754440583051</v>
      </c>
      <c r="AJP68">
        <v>77.4707591826224</v>
      </c>
      <c r="AJQ68">
        <v>50.8322424369204</v>
      </c>
      <c r="AJR68">
        <v>214.929394574016</v>
      </c>
      <c r="AJS68">
        <v>205.693895302893</v>
      </c>
      <c r="AJT68">
        <v>114.895366128582</v>
      </c>
      <c r="AJU68">
        <v>165.556563309689</v>
      </c>
      <c r="AJV68">
        <v>146.211498929991</v>
      </c>
      <c r="AJW68">
        <v>5.58816686864006</v>
      </c>
      <c r="AJX68">
        <v>6.36072098461342</v>
      </c>
      <c r="AJY68">
        <v>13.7447972348112</v>
      </c>
      <c r="AJZ68">
        <v>25.3783631010103</v>
      </c>
      <c r="AKA68">
        <v>12.686805408715</v>
      </c>
      <c r="AKB68">
        <v>332.138655807016</v>
      </c>
      <c r="AKC68">
        <v>368.280982014979</v>
      </c>
      <c r="AKD68">
        <v>366.123237794863</v>
      </c>
      <c r="AKE68">
        <v>346.329277633073</v>
      </c>
      <c r="AKF68">
        <v>333.640331959496</v>
      </c>
      <c r="AKG68">
        <v>0</v>
      </c>
      <c r="AKH68">
        <v>0</v>
      </c>
      <c r="AKI68">
        <v>0</v>
      </c>
      <c r="AKJ68">
        <v>0</v>
      </c>
      <c r="AKK68">
        <v>0</v>
      </c>
      <c r="AKL68">
        <v>0</v>
      </c>
      <c r="AKM68">
        <v>0</v>
      </c>
      <c r="AKN68">
        <v>0</v>
      </c>
      <c r="AKO68">
        <v>0</v>
      </c>
      <c r="AKP68">
        <v>0</v>
      </c>
      <c r="AKQ68">
        <v>0</v>
      </c>
      <c r="AKR68">
        <v>0</v>
      </c>
      <c r="AKS68">
        <v>0</v>
      </c>
      <c r="AKT68">
        <v>0</v>
      </c>
      <c r="AKU68">
        <v>0</v>
      </c>
      <c r="AKV68">
        <v>0.449270983</v>
      </c>
      <c r="AKW68">
        <v>0.460124652</v>
      </c>
      <c r="AKX68">
        <v>0.561967534</v>
      </c>
      <c r="AKY68">
        <v>2.145132002</v>
      </c>
      <c r="AKZ68">
        <v>5.447872835</v>
      </c>
      <c r="ALA68">
        <v>0.204152239</v>
      </c>
      <c r="ALB68">
        <v>0.204733236</v>
      </c>
      <c r="ALC68">
        <v>0.241792935</v>
      </c>
      <c r="ALD68">
        <v>0.78025115</v>
      </c>
      <c r="ALE68">
        <v>1.091585925</v>
      </c>
      <c r="ALF68">
        <v>13.168312521</v>
      </c>
      <c r="ALG68">
        <v>12.166798108</v>
      </c>
      <c r="ALH68">
        <v>12.647412403</v>
      </c>
      <c r="ALI68">
        <v>15.945401764</v>
      </c>
      <c r="ALJ68">
        <v>35.599406601</v>
      </c>
      <c r="ALK68">
        <v>5.983783915</v>
      </c>
      <c r="ALL68">
        <v>5.41363723</v>
      </c>
      <c r="ALM68">
        <v>5.441693306</v>
      </c>
      <c r="ALN68">
        <v>5.799837983</v>
      </c>
      <c r="ALO68">
        <v>7.133024643</v>
      </c>
      <c r="ALP68">
        <v>7.580594997</v>
      </c>
      <c r="ALQ68">
        <v>6.928464001</v>
      </c>
      <c r="ALR68">
        <v>12.213993938</v>
      </c>
      <c r="ALS68">
        <v>20.400153193</v>
      </c>
      <c r="ALT68">
        <v>21.041481034</v>
      </c>
      <c r="ALU68">
        <v>51.157166908</v>
      </c>
      <c r="ALV68">
        <v>43.975597642</v>
      </c>
      <c r="ALW68">
        <v>28.563368899</v>
      </c>
      <c r="ALX68">
        <v>1.244662249</v>
      </c>
      <c r="ALY68">
        <v>9.808326967999999</v>
      </c>
      <c r="ALZ68">
        <v>95.0358750165795</v>
      </c>
      <c r="AMA68">
        <v>94.34313095030831</v>
      </c>
      <c r="AMB68">
        <v>94.27791132390441</v>
      </c>
      <c r="AMC68">
        <v>98.5929097861509</v>
      </c>
      <c r="AMD68" t="s">
        <v>1901</v>
      </c>
      <c r="AME68" t="s">
        <v>1901</v>
      </c>
      <c r="AMF68" t="s">
        <v>1901</v>
      </c>
      <c r="AMG68" t="s">
        <v>1901</v>
      </c>
      <c r="AMH68" t="s">
        <v>1901</v>
      </c>
      <c r="AMI68" t="s">
        <v>1901</v>
      </c>
      <c r="AMJ68">
        <v>1914.45371206377</v>
      </c>
      <c r="AMK68">
        <v>1667.76232791617</v>
      </c>
      <c r="AML68">
        <v>1647.61359275468</v>
      </c>
      <c r="AMM68">
        <v>7006.86486308856</v>
      </c>
      <c r="AMN68" t="s">
        <v>1901</v>
      </c>
      <c r="AMO68">
        <v>1.27136398108507</v>
      </c>
      <c r="AMP68">
        <v>1.25349227839751</v>
      </c>
      <c r="AMQ68">
        <v>1.21326428600109</v>
      </c>
      <c r="AMR68">
        <v>1.16371912087685</v>
      </c>
      <c r="AMS68">
        <v>0.815212475891402</v>
      </c>
      <c r="AMT68">
        <v>1.27136398108507</v>
      </c>
      <c r="AMU68">
        <v>1.25349227839751</v>
      </c>
      <c r="AMV68">
        <v>1.21326428600109</v>
      </c>
      <c r="AMW68">
        <v>1.1637191203715</v>
      </c>
      <c r="AMX68">
        <v>0.815212475891402</v>
      </c>
      <c r="AMY68">
        <v>1.27136398108507</v>
      </c>
      <c r="AMZ68">
        <v>1.25349227839751</v>
      </c>
      <c r="ANA68">
        <v>1.21326428608556</v>
      </c>
      <c r="ANB68">
        <v>1.16371912028876</v>
      </c>
      <c r="ANC68">
        <v>0.815212475891402</v>
      </c>
      <c r="AND68">
        <v>20.2847601269872</v>
      </c>
      <c r="ANE68">
        <v>19.0789011052563</v>
      </c>
      <c r="ANF68">
        <v>16.5719140307313</v>
      </c>
      <c r="ANG68">
        <v>13.8706533006803</v>
      </c>
      <c r="ANH68">
        <v>-22.8880283666661</v>
      </c>
      <c r="ANI68">
        <v>23.5037186872157</v>
      </c>
      <c r="ANJ68">
        <v>21.1930461783672</v>
      </c>
      <c r="ANK68">
        <v>19.5943628246959</v>
      </c>
      <c r="ANL68">
        <v>17.2793948384104</v>
      </c>
      <c r="ANM68">
        <v>-32.8122420786658</v>
      </c>
      <c r="ANN68">
        <v>25.4465271123829</v>
      </c>
      <c r="ANO68">
        <v>23.5771651223778</v>
      </c>
      <c r="ANP68">
        <v>19.863711168965</v>
      </c>
      <c r="ANQ68">
        <v>16.1044450378837</v>
      </c>
      <c r="ANR68">
        <v>-18.6251082964519</v>
      </c>
      <c r="ANS68">
        <v>12.6506694523758</v>
      </c>
      <c r="ANT68">
        <v>12.7514108552488</v>
      </c>
      <c r="ANU68">
        <v>9.10924560932281</v>
      </c>
      <c r="ANV68">
        <v>6.62044814359889</v>
      </c>
      <c r="ANW68">
        <v>-5.59731226083659</v>
      </c>
      <c r="ANX68">
        <v>95.0358750165795</v>
      </c>
      <c r="ANY68">
        <v>94.34313095030831</v>
      </c>
      <c r="ANZ68">
        <v>94.2779112931279</v>
      </c>
      <c r="AOA68">
        <v>98.5929097861509</v>
      </c>
      <c r="AOB68">
        <v>100.973300892851</v>
      </c>
      <c r="AOC68">
        <v>119.219204719164</v>
      </c>
      <c r="AOD68">
        <v>116.586566716084</v>
      </c>
      <c r="AOE68">
        <v>113.005003325418</v>
      </c>
      <c r="AOF68">
        <v>114.470750753912</v>
      </c>
      <c r="AOG68">
        <v>82.1669142510553</v>
      </c>
      <c r="AOH68">
        <v>43.1850428367091</v>
      </c>
      <c r="AOI68">
        <v>41.9781343933507</v>
      </c>
      <c r="AOJ68">
        <v>40.5641456609592</v>
      </c>
      <c r="AOK68">
        <v>35.861304188096</v>
      </c>
      <c r="AOL68">
        <v>20.2319395834045</v>
      </c>
      <c r="AOM68">
        <v>408.627103361327</v>
      </c>
      <c r="AON68">
        <v>337.269626319104</v>
      </c>
      <c r="AOO68">
        <v>289.613022091548</v>
      </c>
      <c r="AOP68">
        <v>985.768585706879</v>
      </c>
      <c r="AOQ68" t="s">
        <v>1901</v>
      </c>
      <c r="AOR68">
        <v>27.1363981085071</v>
      </c>
      <c r="AOS68">
        <v>25.3492278397513</v>
      </c>
      <c r="AOT68">
        <v>21.3264286001092</v>
      </c>
      <c r="AOU68">
        <v>16.3719120371499</v>
      </c>
      <c r="AOV68">
        <v>-18.4787524108598</v>
      </c>
      <c r="AOW68">
        <v>9.21755321202115</v>
      </c>
      <c r="AOX68">
        <v>8.48918905495875</v>
      </c>
      <c r="AOY68">
        <v>7.1302548516795</v>
      </c>
      <c r="AOZ68">
        <v>5.04518751279602</v>
      </c>
      <c r="APA68">
        <v>-4.58605594749278</v>
      </c>
      <c r="APB68">
        <v>19.8429879524113</v>
      </c>
      <c r="APC68">
        <v>50.8791061827068</v>
      </c>
      <c r="APD68">
        <v>16.6259196830402</v>
      </c>
      <c r="APE68">
        <v>9.05509081365885</v>
      </c>
      <c r="APF68">
        <v>-21.0089081357928</v>
      </c>
      <c r="APG68">
        <v>22.9918423401418</v>
      </c>
      <c r="APH68">
        <v>56.517052051131</v>
      </c>
      <c r="API68">
        <v>19.6582182335498</v>
      </c>
      <c r="APJ68">
        <v>11.2803979794665</v>
      </c>
      <c r="APK68">
        <v>-30.1183382210434</v>
      </c>
      <c r="APL68">
        <v>399.727807391716</v>
      </c>
      <c r="APM68">
        <v>899.42167187836</v>
      </c>
      <c r="APN68">
        <v>290.556832211863</v>
      </c>
      <c r="APO68">
        <v>643.53306735668</v>
      </c>
      <c r="APP68" t="s">
        <v>1901</v>
      </c>
      <c r="APQ68">
        <v>26.5454073584313</v>
      </c>
      <c r="APR68">
        <v>67.6006467978916</v>
      </c>
      <c r="APS68">
        <v>21.3959285797634</v>
      </c>
      <c r="APT68">
        <v>10.6879717253373</v>
      </c>
      <c r="APU68">
        <v>-16.961636259994</v>
      </c>
      <c r="APV68">
        <v>24.8923392616285</v>
      </c>
      <c r="APW68">
        <v>62.8749570601936</v>
      </c>
      <c r="APX68">
        <v>19.9284443480634</v>
      </c>
      <c r="APY68">
        <v>10.513362936875</v>
      </c>
      <c r="APZ68">
        <v>-17.0959762435993</v>
      </c>
      <c r="AQA68">
        <v>9.01680849030631</v>
      </c>
      <c r="AQB68">
        <v>22.6387436545453</v>
      </c>
      <c r="AQC68">
        <v>7.15349139898957</v>
      </c>
      <c r="AQD68">
        <v>3.29361783543858</v>
      </c>
      <c r="AQE68">
        <v>-4.20953812897236</v>
      </c>
      <c r="AQF68">
        <v>0.271363981085071</v>
      </c>
      <c r="AQG68">
        <v>0.253492278397513</v>
      </c>
      <c r="AQH68">
        <v>0.213264286085558</v>
      </c>
      <c r="AQI68">
        <v>0.163719120288764</v>
      </c>
      <c r="AQJ68">
        <v>-0.184787524108598</v>
      </c>
      <c r="AQK68">
        <v>7</v>
      </c>
      <c r="AQO68" t="s">
        <v>1902</v>
      </c>
      <c r="AQP68">
        <v>5</v>
      </c>
      <c r="AQQ68">
        <v>1</v>
      </c>
      <c r="AQS68" t="s">
        <v>1905</v>
      </c>
      <c r="AQU68" t="s">
        <v>1906</v>
      </c>
      <c r="AQV68">
        <v>3471307.09645296</v>
      </c>
      <c r="AQW68">
        <v>3605079.30061529</v>
      </c>
      <c r="AQX68">
        <v>3465631.28856709</v>
      </c>
      <c r="AQY68">
        <v>704146.317786568</v>
      </c>
      <c r="AQZ68">
        <v>687809.514530458</v>
      </c>
      <c r="ARA68">
        <v>574321.4377634641</v>
      </c>
      <c r="ARB68">
        <v>10542017.68563534</v>
      </c>
      <c r="ARC68">
        <v>1966277.27008049</v>
      </c>
      <c r="ARD68">
        <v>0.2292836740386891</v>
      </c>
      <c r="ARE68">
        <v>0.2292836740386891</v>
      </c>
      <c r="ARF68">
        <v>0.2292836740386891</v>
      </c>
      <c r="ARG68">
        <v>0.2292836740386891</v>
      </c>
      <c r="ARH68">
        <v>0.2292836740386891</v>
      </c>
      <c r="ARI68">
        <v>0.2292836740386891</v>
      </c>
      <c r="ARJ68" t="s">
        <v>1229</v>
      </c>
      <c r="ARK68" t="s">
        <v>1567</v>
      </c>
      <c r="ARL68" t="s">
        <v>1908</v>
      </c>
      <c r="ARM68" t="s">
        <v>1908</v>
      </c>
      <c r="ARN68" t="s">
        <v>1909</v>
      </c>
      <c r="ARO68" t="s">
        <v>1908</v>
      </c>
      <c r="ARP68" t="s">
        <v>1907</v>
      </c>
      <c r="ARQ68" t="s">
        <v>1963</v>
      </c>
      <c r="ARR68">
        <f>HYPERLINK("C:\Users\Usuario\Documents\Proyectos\llmthon\evidence\ohtels_es_234838.png", "Ver Evidencia")</f>
        <v>0</v>
      </c>
      <c r="ARS68">
        <v>100</v>
      </c>
    </row>
    <row r="69" spans="1:1163">
      <c r="A69">
        <v>758</v>
      </c>
      <c r="B69" t="s">
        <v>1230</v>
      </c>
      <c r="C69" t="s">
        <v>1353</v>
      </c>
      <c r="E69" s="2">
        <v>26140</v>
      </c>
      <c r="F69" t="s">
        <v>1431</v>
      </c>
      <c r="G69" t="s">
        <v>1433</v>
      </c>
      <c r="H69" t="s">
        <v>1434</v>
      </c>
      <c r="I69" t="s">
        <v>1435</v>
      </c>
      <c r="J69" t="s">
        <v>1451</v>
      </c>
      <c r="L69" t="s">
        <v>1568</v>
      </c>
      <c r="N69" t="s">
        <v>1644</v>
      </c>
      <c r="O69" t="s">
        <v>1668</v>
      </c>
      <c r="P69">
        <v>6920</v>
      </c>
      <c r="Q69">
        <v>6920</v>
      </c>
      <c r="R69" t="s">
        <v>1738</v>
      </c>
      <c r="S69" t="s">
        <v>1818</v>
      </c>
      <c r="T69" t="s">
        <v>1860</v>
      </c>
      <c r="U69" t="s">
        <v>1873</v>
      </c>
      <c r="X69" t="s">
        <v>1887</v>
      </c>
      <c r="Z69" t="s">
        <v>1899</v>
      </c>
      <c r="AA69" s="2">
        <v>45291</v>
      </c>
      <c r="AB69">
        <v>2023</v>
      </c>
      <c r="AC69" t="s">
        <v>1900</v>
      </c>
      <c r="AD69">
        <v>16575.0074386597</v>
      </c>
      <c r="AE69">
        <v>6220.15223164558</v>
      </c>
      <c r="AF69" t="s">
        <v>1900</v>
      </c>
      <c r="AG69">
        <v>1153.19110862613</v>
      </c>
      <c r="AH69" t="s">
        <v>1900</v>
      </c>
      <c r="AI69">
        <v>16575.0074386597</v>
      </c>
      <c r="AJ69">
        <v>5749.02457168698</v>
      </c>
      <c r="AK69" t="s">
        <v>1900</v>
      </c>
      <c r="AL69" t="s">
        <v>1900</v>
      </c>
      <c r="AM69" t="s">
        <v>1900</v>
      </c>
      <c r="AN69" t="s">
        <v>1900</v>
      </c>
      <c r="AO69" t="s">
        <v>1900</v>
      </c>
      <c r="AP69" t="s">
        <v>1900</v>
      </c>
      <c r="AQ69" t="s">
        <v>1900</v>
      </c>
      <c r="AR69" t="s">
        <v>1900</v>
      </c>
      <c r="AS69">
        <v>16575.0074386597</v>
      </c>
      <c r="AT69">
        <v>6220.15223164558</v>
      </c>
      <c r="AU69" t="s">
        <v>1900</v>
      </c>
      <c r="AV69">
        <v>1153.19110862613</v>
      </c>
      <c r="AW69" t="s">
        <v>1900</v>
      </c>
      <c r="AX69">
        <v>66034.8959356499</v>
      </c>
      <c r="AY69">
        <v>87412.4997685313</v>
      </c>
      <c r="AZ69" t="s">
        <v>1900</v>
      </c>
      <c r="BA69">
        <v>83387.5083508372</v>
      </c>
      <c r="BB69" t="s">
        <v>1900</v>
      </c>
      <c r="BC69">
        <v>-49459.8884969902</v>
      </c>
      <c r="BD69">
        <v>-81192.3475368857</v>
      </c>
      <c r="BE69" t="s">
        <v>1900</v>
      </c>
      <c r="BF69">
        <v>-82234.31724221109</v>
      </c>
      <c r="BG69" t="s">
        <v>1900</v>
      </c>
      <c r="BH69">
        <v>350044.963245878</v>
      </c>
      <c r="BI69">
        <v>-942515.003828009</v>
      </c>
      <c r="BJ69" t="s">
        <v>1900</v>
      </c>
      <c r="BK69">
        <v>898666.808802717</v>
      </c>
      <c r="BL69" t="s">
        <v>1900</v>
      </c>
      <c r="BM69">
        <v>350193.397962494</v>
      </c>
      <c r="BN69">
        <v>101363.077109212</v>
      </c>
      <c r="BO69" t="s">
        <v>1900</v>
      </c>
      <c r="BP69">
        <v>974802.049854981</v>
      </c>
      <c r="BQ69" t="s">
        <v>1900</v>
      </c>
      <c r="BR69">
        <v>148.434716615677</v>
      </c>
      <c r="BS69">
        <v>1043878.08093722</v>
      </c>
      <c r="BT69" t="s">
        <v>1900</v>
      </c>
      <c r="BU69">
        <v>76135.241052264</v>
      </c>
      <c r="BV69" t="s">
        <v>1900</v>
      </c>
      <c r="BW69">
        <v>300585.074748888</v>
      </c>
      <c r="BX69">
        <v>-1023707.35243149</v>
      </c>
      <c r="BY69" t="s">
        <v>1900</v>
      </c>
      <c r="BZ69">
        <v>816432.492787606</v>
      </c>
      <c r="CA69" t="s">
        <v>1900</v>
      </c>
      <c r="CB69" t="s">
        <v>1900</v>
      </c>
      <c r="CC69">
        <v>7.69018231034279</v>
      </c>
      <c r="CD69" t="s">
        <v>1900</v>
      </c>
      <c r="CE69">
        <v>8167.79381488562</v>
      </c>
      <c r="CF69" t="s">
        <v>1900</v>
      </c>
      <c r="CG69">
        <v>300585.074748888</v>
      </c>
      <c r="CH69">
        <v>-1023715.0415472</v>
      </c>
      <c r="CI69" t="s">
        <v>1900</v>
      </c>
      <c r="CJ69">
        <v>808264.69897272</v>
      </c>
      <c r="CK69" t="s">
        <v>1900</v>
      </c>
      <c r="CL69" t="s">
        <v>1900</v>
      </c>
      <c r="CM69" t="s">
        <v>1900</v>
      </c>
      <c r="CN69" t="s">
        <v>1900</v>
      </c>
      <c r="CO69" t="s">
        <v>1900</v>
      </c>
      <c r="CP69" t="s">
        <v>1900</v>
      </c>
      <c r="CQ69" t="s">
        <v>1900</v>
      </c>
      <c r="CR69" t="s">
        <v>1900</v>
      </c>
      <c r="CS69" t="s">
        <v>1900</v>
      </c>
      <c r="CT69" t="s">
        <v>1900</v>
      </c>
      <c r="CU69" t="s">
        <v>1900</v>
      </c>
      <c r="CV69" t="s">
        <v>1900</v>
      </c>
      <c r="CW69" t="s">
        <v>1900</v>
      </c>
      <c r="CX69" t="s">
        <v>1900</v>
      </c>
      <c r="CY69" t="s">
        <v>1900</v>
      </c>
      <c r="CZ69" t="s">
        <v>1900</v>
      </c>
      <c r="DA69">
        <v>300585.074748888</v>
      </c>
      <c r="DB69">
        <v>-1023715.0415472</v>
      </c>
      <c r="DC69" t="s">
        <v>1900</v>
      </c>
      <c r="DD69">
        <v>808264.69897272</v>
      </c>
      <c r="DE69" t="s">
        <v>1900</v>
      </c>
      <c r="DF69" t="s">
        <v>1900</v>
      </c>
      <c r="DG69" t="s">
        <v>1900</v>
      </c>
      <c r="DH69" t="s">
        <v>1900</v>
      </c>
      <c r="DI69" t="s">
        <v>1900</v>
      </c>
      <c r="DJ69" t="s">
        <v>1900</v>
      </c>
      <c r="DK69" t="s">
        <v>1900</v>
      </c>
      <c r="DL69" t="s">
        <v>1900</v>
      </c>
      <c r="DM69" t="s">
        <v>1900</v>
      </c>
      <c r="DN69" t="s">
        <v>1900</v>
      </c>
      <c r="DO69" t="s">
        <v>1900</v>
      </c>
      <c r="DP69">
        <v>59705.2762949944</v>
      </c>
      <c r="DQ69">
        <v>5749.02457168698</v>
      </c>
      <c r="DR69" t="s">
        <v>1900</v>
      </c>
      <c r="DS69" t="s">
        <v>1900</v>
      </c>
      <c r="DT69" t="s">
        <v>1900</v>
      </c>
      <c r="DU69" t="s">
        <v>1900</v>
      </c>
      <c r="DV69" t="s">
        <v>1900</v>
      </c>
      <c r="DW69" t="s">
        <v>1900</v>
      </c>
      <c r="DX69" t="s">
        <v>1900</v>
      </c>
      <c r="DY69" t="s">
        <v>1900</v>
      </c>
      <c r="DZ69">
        <v>6329.61964065552</v>
      </c>
      <c r="EA69">
        <v>81663.4751968443</v>
      </c>
      <c r="EB69" t="s">
        <v>1900</v>
      </c>
      <c r="EC69">
        <v>83387.5083508372</v>
      </c>
      <c r="ED69" t="s">
        <v>1900</v>
      </c>
      <c r="EE69" t="s">
        <v>1900</v>
      </c>
      <c r="EF69">
        <v>8018.12965499759</v>
      </c>
      <c r="EG69" t="s">
        <v>1900</v>
      </c>
      <c r="EH69">
        <v>10669.0516718805</v>
      </c>
      <c r="EI69" t="s">
        <v>1900</v>
      </c>
      <c r="EJ69" t="s">
        <v>1900</v>
      </c>
      <c r="EK69" t="s">
        <v>1900</v>
      </c>
      <c r="EL69" t="s">
        <v>1900</v>
      </c>
      <c r="EM69" t="s">
        <v>1900</v>
      </c>
      <c r="EN69" t="s">
        <v>1900</v>
      </c>
      <c r="EO69" t="s">
        <v>1900</v>
      </c>
      <c r="EP69" t="s">
        <v>1900</v>
      </c>
      <c r="EQ69" t="s">
        <v>1900</v>
      </c>
      <c r="ER69" t="s">
        <v>1900</v>
      </c>
      <c r="ES69" t="s">
        <v>1900</v>
      </c>
      <c r="ET69">
        <v>360290.351043882</v>
      </c>
      <c r="EU69">
        <v>-1009940.19820481</v>
      </c>
      <c r="EV69" t="s">
        <v>1900</v>
      </c>
      <c r="EW69">
        <v>827101.544459486</v>
      </c>
      <c r="EX69" t="s">
        <v>1900</v>
      </c>
      <c r="EY69">
        <v>-49459.8884969902</v>
      </c>
      <c r="EZ69">
        <v>-81192.3475368857</v>
      </c>
      <c r="FA69" t="s">
        <v>1900</v>
      </c>
      <c r="FB69">
        <v>-82234.31724221109</v>
      </c>
      <c r="FC69" t="s">
        <v>1900</v>
      </c>
      <c r="FD69">
        <v>10139198.1453975</v>
      </c>
      <c r="FE69">
        <v>9212678.19388153</v>
      </c>
      <c r="FF69" t="s">
        <v>1900</v>
      </c>
      <c r="FG69">
        <v>0</v>
      </c>
      <c r="FH69" t="s">
        <v>1900</v>
      </c>
      <c r="FI69">
        <v>0</v>
      </c>
      <c r="FJ69">
        <v>0</v>
      </c>
      <c r="FK69" t="s">
        <v>1900</v>
      </c>
      <c r="FL69" t="s">
        <v>1900</v>
      </c>
      <c r="FM69" t="s">
        <v>1900</v>
      </c>
      <c r="FN69">
        <v>0</v>
      </c>
      <c r="FO69">
        <v>0</v>
      </c>
      <c r="FP69" t="s">
        <v>1900</v>
      </c>
      <c r="FQ69" t="s">
        <v>1900</v>
      </c>
      <c r="FR69" t="s">
        <v>1900</v>
      </c>
      <c r="FS69">
        <v>10139198.1453975</v>
      </c>
      <c r="FT69">
        <v>9212678.19388153</v>
      </c>
      <c r="FU69" t="s">
        <v>1900</v>
      </c>
      <c r="FV69" t="s">
        <v>1900</v>
      </c>
      <c r="FW69" t="s">
        <v>1900</v>
      </c>
      <c r="FX69">
        <v>0</v>
      </c>
      <c r="FY69">
        <v>0</v>
      </c>
      <c r="FZ69" t="s">
        <v>1900</v>
      </c>
      <c r="GA69" t="s">
        <v>1900</v>
      </c>
      <c r="GB69" t="s">
        <v>1900</v>
      </c>
      <c r="GC69">
        <v>0</v>
      </c>
      <c r="GD69">
        <v>0</v>
      </c>
      <c r="GE69" t="s">
        <v>1900</v>
      </c>
      <c r="GF69" t="s">
        <v>1900</v>
      </c>
      <c r="GG69" t="s">
        <v>1900</v>
      </c>
      <c r="GH69">
        <v>10139198.1453975</v>
      </c>
      <c r="GI69">
        <v>9212678.19388153</v>
      </c>
      <c r="GJ69" t="s">
        <v>1900</v>
      </c>
      <c r="GK69" t="s">
        <v>1900</v>
      </c>
      <c r="GL69" t="s">
        <v>1900</v>
      </c>
      <c r="GM69">
        <v>264870.199020491</v>
      </c>
      <c r="GN69">
        <v>1341905.28447394</v>
      </c>
      <c r="GO69" t="s">
        <v>1900</v>
      </c>
      <c r="GP69">
        <v>12916453.8521453</v>
      </c>
      <c r="GQ69" t="s">
        <v>1900</v>
      </c>
      <c r="GR69">
        <v>0</v>
      </c>
      <c r="GS69">
        <v>0</v>
      </c>
      <c r="GT69" t="s">
        <v>1900</v>
      </c>
      <c r="GU69">
        <v>0</v>
      </c>
      <c r="GV69" t="s">
        <v>1900</v>
      </c>
      <c r="GW69">
        <v>908.509307727814</v>
      </c>
      <c r="GX69">
        <v>17830.3329792202</v>
      </c>
      <c r="GY69" t="s">
        <v>1900</v>
      </c>
      <c r="GZ69">
        <v>1128.93135547638</v>
      </c>
      <c r="HA69" t="s">
        <v>1900</v>
      </c>
      <c r="HB69">
        <v>263961.689712763</v>
      </c>
      <c r="HC69">
        <v>1324074.95149472</v>
      </c>
      <c r="HD69" t="s">
        <v>1900</v>
      </c>
      <c r="HE69">
        <v>12915324.9207898</v>
      </c>
      <c r="HF69" t="s">
        <v>1900</v>
      </c>
      <c r="HG69">
        <v>44912.502056179</v>
      </c>
      <c r="HH69">
        <v>10859.2947078407</v>
      </c>
      <c r="HI69" t="s">
        <v>1900</v>
      </c>
      <c r="HJ69">
        <v>282494.395084769</v>
      </c>
      <c r="HK69" t="s">
        <v>1900</v>
      </c>
      <c r="HL69">
        <v>10404068.344418</v>
      </c>
      <c r="HM69">
        <v>10554583.4783555</v>
      </c>
      <c r="HN69" t="s">
        <v>1900</v>
      </c>
      <c r="HO69">
        <v>12916453.8521453</v>
      </c>
      <c r="HP69" t="s">
        <v>1900</v>
      </c>
      <c r="HQ69">
        <v>10398508.3023727</v>
      </c>
      <c r="HR69">
        <v>9746999.92164238</v>
      </c>
      <c r="HS69" t="s">
        <v>1900</v>
      </c>
      <c r="HT69">
        <v>12898043.4359361</v>
      </c>
      <c r="HU69" t="s">
        <v>1900</v>
      </c>
      <c r="HV69">
        <v>5456807.3739481</v>
      </c>
      <c r="HW69">
        <v>5267172.25387394</v>
      </c>
      <c r="HX69" t="s">
        <v>1900</v>
      </c>
      <c r="HY69">
        <v>17433920.037117</v>
      </c>
      <c r="HZ69" t="s">
        <v>1900</v>
      </c>
      <c r="IA69">
        <v>4941700.92842465</v>
      </c>
      <c r="IB69">
        <v>4479827.66776843</v>
      </c>
      <c r="IC69" t="s">
        <v>1900</v>
      </c>
      <c r="ID69">
        <v>-4535876.59995381</v>
      </c>
      <c r="IE69" t="s">
        <v>1900</v>
      </c>
      <c r="IF69">
        <v>0</v>
      </c>
      <c r="IG69">
        <v>0</v>
      </c>
      <c r="IH69" t="s">
        <v>1900</v>
      </c>
      <c r="II69">
        <v>0</v>
      </c>
      <c r="IJ69" t="s">
        <v>1900</v>
      </c>
      <c r="IK69" t="s">
        <v>1900</v>
      </c>
      <c r="IL69" t="s">
        <v>1900</v>
      </c>
      <c r="IM69" t="s">
        <v>1900</v>
      </c>
      <c r="IN69" t="s">
        <v>1900</v>
      </c>
      <c r="IO69" t="s">
        <v>1900</v>
      </c>
      <c r="IP69" t="s">
        <v>1900</v>
      </c>
      <c r="IQ69" t="s">
        <v>1900</v>
      </c>
      <c r="IR69" t="s">
        <v>1900</v>
      </c>
      <c r="IS69" t="s">
        <v>1900</v>
      </c>
      <c r="IT69" t="s">
        <v>1900</v>
      </c>
      <c r="IU69" t="s">
        <v>1900</v>
      </c>
      <c r="IV69" t="s">
        <v>1900</v>
      </c>
      <c r="IW69" t="s">
        <v>1900</v>
      </c>
      <c r="IX69" t="s">
        <v>1900</v>
      </c>
      <c r="IY69" t="s">
        <v>1900</v>
      </c>
      <c r="IZ69">
        <v>5560.04204527855</v>
      </c>
      <c r="JA69">
        <v>807583.556713098</v>
      </c>
      <c r="JB69" t="s">
        <v>1900</v>
      </c>
      <c r="JC69">
        <v>18410.4162092209</v>
      </c>
      <c r="JD69" t="s">
        <v>1900</v>
      </c>
      <c r="JE69">
        <v>0</v>
      </c>
      <c r="JF69">
        <v>0</v>
      </c>
      <c r="JG69" t="s">
        <v>1900</v>
      </c>
      <c r="JH69">
        <v>0</v>
      </c>
      <c r="JI69" t="s">
        <v>1900</v>
      </c>
      <c r="JJ69">
        <v>0</v>
      </c>
      <c r="JK69">
        <v>0</v>
      </c>
      <c r="JL69" t="s">
        <v>1900</v>
      </c>
      <c r="JM69">
        <v>0</v>
      </c>
      <c r="JN69" t="s">
        <v>1900</v>
      </c>
      <c r="JO69">
        <v>5560.04204527855</v>
      </c>
      <c r="JP69">
        <v>807583.556713098</v>
      </c>
      <c r="JQ69" t="s">
        <v>1900</v>
      </c>
      <c r="JR69">
        <v>18410.4162092209</v>
      </c>
      <c r="JS69" t="s">
        <v>1900</v>
      </c>
      <c r="JT69">
        <v>10404068.344418</v>
      </c>
      <c r="JU69">
        <v>10554583.4783555</v>
      </c>
      <c r="JV69" t="s">
        <v>1900</v>
      </c>
      <c r="JW69">
        <v>12916453.8521453</v>
      </c>
      <c r="JX69" t="s">
        <v>1900</v>
      </c>
      <c r="JY69">
        <v>908.509307727814</v>
      </c>
      <c r="JZ69">
        <v>17830.3329792202</v>
      </c>
      <c r="KA69" t="s">
        <v>1900</v>
      </c>
      <c r="KB69">
        <v>1128.93135547638</v>
      </c>
      <c r="KC69" t="s">
        <v>1900</v>
      </c>
      <c r="KD69" t="s">
        <v>1900</v>
      </c>
      <c r="KE69" t="s">
        <v>1900</v>
      </c>
      <c r="KF69" t="s">
        <v>1900</v>
      </c>
      <c r="KG69" t="s">
        <v>1900</v>
      </c>
      <c r="KH69" t="s">
        <v>1900</v>
      </c>
      <c r="KI69" t="s">
        <v>1900</v>
      </c>
      <c r="KJ69" t="s">
        <v>1900</v>
      </c>
      <c r="KK69" t="s">
        <v>1900</v>
      </c>
      <c r="KL69" t="s">
        <v>1900</v>
      </c>
      <c r="KM69" t="s">
        <v>1900</v>
      </c>
      <c r="KN69" t="s">
        <v>1900</v>
      </c>
      <c r="KO69" t="s">
        <v>1900</v>
      </c>
      <c r="KP69" t="s">
        <v>1900</v>
      </c>
      <c r="KQ69" t="s">
        <v>1900</v>
      </c>
      <c r="KR69" t="s">
        <v>1900</v>
      </c>
      <c r="KS69" t="s">
        <v>1900</v>
      </c>
      <c r="KT69" t="s">
        <v>1900</v>
      </c>
      <c r="KU69" t="s">
        <v>1900</v>
      </c>
      <c r="KV69" t="s">
        <v>1900</v>
      </c>
      <c r="KW69" t="s">
        <v>1900</v>
      </c>
      <c r="KX69" t="s">
        <v>1900</v>
      </c>
      <c r="KY69" t="s">
        <v>1900</v>
      </c>
      <c r="KZ69" t="s">
        <v>1900</v>
      </c>
      <c r="LA69" t="s">
        <v>1900</v>
      </c>
      <c r="LB69" t="s">
        <v>1900</v>
      </c>
      <c r="LC69" t="s">
        <v>1900</v>
      </c>
      <c r="LD69" t="s">
        <v>1900</v>
      </c>
      <c r="LE69" t="s">
        <v>1900</v>
      </c>
      <c r="LF69" t="s">
        <v>1900</v>
      </c>
      <c r="LG69" t="s">
        <v>1900</v>
      </c>
      <c r="LH69" t="s">
        <v>1900</v>
      </c>
      <c r="LI69" t="s">
        <v>1900</v>
      </c>
      <c r="LJ69" t="s">
        <v>1900</v>
      </c>
      <c r="LK69" t="s">
        <v>1900</v>
      </c>
      <c r="LL69" t="s">
        <v>1900</v>
      </c>
      <c r="LM69" t="s">
        <v>1900</v>
      </c>
      <c r="LN69" t="s">
        <v>1900</v>
      </c>
      <c r="LO69" t="s">
        <v>1900</v>
      </c>
      <c r="LP69" t="s">
        <v>1900</v>
      </c>
      <c r="LQ69" t="s">
        <v>1900</v>
      </c>
      <c r="LR69" t="s">
        <v>1900</v>
      </c>
      <c r="LS69" t="s">
        <v>1900</v>
      </c>
      <c r="LT69" t="s">
        <v>1900</v>
      </c>
      <c r="LU69" t="s">
        <v>1900</v>
      </c>
      <c r="LV69" t="s">
        <v>1900</v>
      </c>
      <c r="LW69" t="s">
        <v>1900</v>
      </c>
      <c r="LX69" t="s">
        <v>1900</v>
      </c>
      <c r="LY69" t="s">
        <v>1900</v>
      </c>
      <c r="LZ69" t="s">
        <v>1900</v>
      </c>
      <c r="MA69" t="s">
        <v>1900</v>
      </c>
      <c r="MB69" t="s">
        <v>1900</v>
      </c>
      <c r="MC69" t="s">
        <v>1900</v>
      </c>
      <c r="MD69" t="s">
        <v>1900</v>
      </c>
      <c r="ME69" t="s">
        <v>1900</v>
      </c>
      <c r="MF69" t="s">
        <v>1900</v>
      </c>
      <c r="MG69" t="s">
        <v>1900</v>
      </c>
      <c r="MH69" t="s">
        <v>1900</v>
      </c>
      <c r="MI69" t="s">
        <v>1900</v>
      </c>
      <c r="MJ69" t="s">
        <v>1900</v>
      </c>
      <c r="MK69" t="s">
        <v>1900</v>
      </c>
      <c r="ML69" t="s">
        <v>1900</v>
      </c>
      <c r="MM69" t="s">
        <v>1900</v>
      </c>
      <c r="MN69" t="s">
        <v>1900</v>
      </c>
      <c r="MO69" t="s">
        <v>1900</v>
      </c>
      <c r="MP69" t="s">
        <v>1900</v>
      </c>
      <c r="MQ69">
        <v>263961.689712763</v>
      </c>
      <c r="MR69">
        <v>1324074.95149472</v>
      </c>
      <c r="MS69" t="s">
        <v>1900</v>
      </c>
      <c r="MT69">
        <v>12915324.9207898</v>
      </c>
      <c r="MU69" t="s">
        <v>1900</v>
      </c>
      <c r="MV69" t="s">
        <v>1900</v>
      </c>
      <c r="MW69" t="s">
        <v>1900</v>
      </c>
      <c r="MX69" t="s">
        <v>1900</v>
      </c>
      <c r="MY69" t="s">
        <v>1900</v>
      </c>
      <c r="MZ69" t="s">
        <v>1900</v>
      </c>
      <c r="NA69" t="s">
        <v>1900</v>
      </c>
      <c r="NB69" t="s">
        <v>1900</v>
      </c>
      <c r="NC69" t="s">
        <v>1900</v>
      </c>
      <c r="ND69" t="s">
        <v>1900</v>
      </c>
      <c r="NE69" t="s">
        <v>1900</v>
      </c>
      <c r="NF69" t="s">
        <v>1900</v>
      </c>
      <c r="NG69" t="s">
        <v>1900</v>
      </c>
      <c r="NH69" t="s">
        <v>1900</v>
      </c>
      <c r="NI69" t="s">
        <v>1900</v>
      </c>
      <c r="NJ69" t="s">
        <v>1900</v>
      </c>
      <c r="NK69" t="s">
        <v>1900</v>
      </c>
      <c r="NL69" t="s">
        <v>1900</v>
      </c>
      <c r="NM69" t="s">
        <v>1900</v>
      </c>
      <c r="NN69" t="s">
        <v>1900</v>
      </c>
      <c r="NO69" t="s">
        <v>1900</v>
      </c>
      <c r="NP69" t="s">
        <v>1900</v>
      </c>
      <c r="NQ69" t="s">
        <v>1900</v>
      </c>
      <c r="NR69" t="s">
        <v>1900</v>
      </c>
      <c r="NS69" t="s">
        <v>1900</v>
      </c>
      <c r="NT69" t="s">
        <v>1900</v>
      </c>
      <c r="NU69">
        <v>10139198.1453975</v>
      </c>
      <c r="NV69">
        <v>9212678.19388153</v>
      </c>
      <c r="NW69" t="s">
        <v>1900</v>
      </c>
      <c r="NX69">
        <v>0</v>
      </c>
      <c r="NY69" t="s">
        <v>1900</v>
      </c>
      <c r="NZ69" t="s">
        <v>1900</v>
      </c>
      <c r="OA69" t="s">
        <v>1900</v>
      </c>
      <c r="OB69" t="s">
        <v>1900</v>
      </c>
      <c r="OC69" t="s">
        <v>1900</v>
      </c>
      <c r="OD69" t="s">
        <v>1900</v>
      </c>
      <c r="OE69" t="s">
        <v>1900</v>
      </c>
      <c r="OF69" t="s">
        <v>1900</v>
      </c>
      <c r="OG69" t="s">
        <v>1900</v>
      </c>
      <c r="OH69" t="s">
        <v>1900</v>
      </c>
      <c r="OI69" t="s">
        <v>1900</v>
      </c>
      <c r="OJ69" t="s">
        <v>1900</v>
      </c>
      <c r="OK69" t="s">
        <v>1900</v>
      </c>
      <c r="OL69" t="s">
        <v>1900</v>
      </c>
      <c r="OM69" t="s">
        <v>1900</v>
      </c>
      <c r="ON69" t="s">
        <v>1900</v>
      </c>
      <c r="OO69" t="s">
        <v>1900</v>
      </c>
      <c r="OP69" t="s">
        <v>1900</v>
      </c>
      <c r="OQ69" t="s">
        <v>1900</v>
      </c>
      <c r="OR69" t="s">
        <v>1900</v>
      </c>
      <c r="OS69" t="s">
        <v>1900</v>
      </c>
      <c r="OT69" t="s">
        <v>1900</v>
      </c>
      <c r="OU69" t="s">
        <v>1900</v>
      </c>
      <c r="OV69" t="s">
        <v>1900</v>
      </c>
      <c r="OW69" t="s">
        <v>1900</v>
      </c>
      <c r="OX69" t="s">
        <v>1900</v>
      </c>
      <c r="OY69" t="s">
        <v>1900</v>
      </c>
      <c r="OZ69" t="s">
        <v>1900</v>
      </c>
      <c r="PA69" t="s">
        <v>1900</v>
      </c>
      <c r="PB69" t="s">
        <v>1900</v>
      </c>
      <c r="PC69" t="s">
        <v>1900</v>
      </c>
      <c r="PD69" t="s">
        <v>1900</v>
      </c>
      <c r="PE69" t="s">
        <v>1900</v>
      </c>
      <c r="PF69" t="s">
        <v>1900</v>
      </c>
      <c r="PG69" t="s">
        <v>1900</v>
      </c>
      <c r="PH69" t="s">
        <v>1900</v>
      </c>
      <c r="PI69" t="s">
        <v>1900</v>
      </c>
      <c r="PJ69" t="s">
        <v>1900</v>
      </c>
      <c r="PK69" t="s">
        <v>1900</v>
      </c>
      <c r="PL69" t="s">
        <v>1900</v>
      </c>
      <c r="PM69" t="s">
        <v>1900</v>
      </c>
      <c r="PN69" t="s">
        <v>1900</v>
      </c>
      <c r="PO69" t="s">
        <v>1900</v>
      </c>
      <c r="PP69" t="s">
        <v>1900</v>
      </c>
      <c r="PQ69" t="s">
        <v>1900</v>
      </c>
      <c r="PR69" t="s">
        <v>1900</v>
      </c>
      <c r="PS69" t="s">
        <v>1900</v>
      </c>
      <c r="PT69" t="s">
        <v>1900</v>
      </c>
      <c r="PU69" t="s">
        <v>1900</v>
      </c>
      <c r="PV69" t="s">
        <v>1900</v>
      </c>
      <c r="PW69" t="s">
        <v>1900</v>
      </c>
      <c r="PX69" t="s">
        <v>1900</v>
      </c>
      <c r="PY69" t="s">
        <v>1900</v>
      </c>
      <c r="PZ69" t="s">
        <v>1900</v>
      </c>
      <c r="QA69" t="s">
        <v>1900</v>
      </c>
      <c r="QB69" t="s">
        <v>1900</v>
      </c>
      <c r="QC69" t="s">
        <v>1900</v>
      </c>
      <c r="QD69" t="s">
        <v>1900</v>
      </c>
      <c r="QE69" t="s">
        <v>1900</v>
      </c>
      <c r="QF69" t="s">
        <v>1900</v>
      </c>
      <c r="QG69" t="s">
        <v>1900</v>
      </c>
      <c r="QH69" t="s">
        <v>1900</v>
      </c>
      <c r="QI69" t="s">
        <v>1900</v>
      </c>
      <c r="QJ69" t="s">
        <v>1900</v>
      </c>
      <c r="QK69" t="s">
        <v>1900</v>
      </c>
      <c r="QL69" t="s">
        <v>1900</v>
      </c>
      <c r="QM69" t="s">
        <v>1900</v>
      </c>
      <c r="QN69" t="s">
        <v>1900</v>
      </c>
      <c r="QO69" t="s">
        <v>1900</v>
      </c>
      <c r="QP69" t="s">
        <v>1900</v>
      </c>
      <c r="QQ69" t="s">
        <v>1900</v>
      </c>
      <c r="QR69" t="s">
        <v>1900</v>
      </c>
      <c r="QS69" t="s">
        <v>1900</v>
      </c>
      <c r="QT69" t="s">
        <v>1900</v>
      </c>
      <c r="QU69" t="s">
        <v>1900</v>
      </c>
      <c r="QV69" t="s">
        <v>1900</v>
      </c>
      <c r="QW69" t="s">
        <v>1900</v>
      </c>
      <c r="QX69" t="s">
        <v>1900</v>
      </c>
      <c r="QY69" t="s">
        <v>1900</v>
      </c>
      <c r="QZ69" t="s">
        <v>1900</v>
      </c>
      <c r="RA69" t="s">
        <v>1900</v>
      </c>
      <c r="RB69" t="s">
        <v>1900</v>
      </c>
      <c r="RC69" t="s">
        <v>1900</v>
      </c>
      <c r="RD69" t="s">
        <v>1900</v>
      </c>
      <c r="RE69" t="s">
        <v>1900</v>
      </c>
      <c r="RF69" t="s">
        <v>1900</v>
      </c>
      <c r="RG69" t="s">
        <v>1900</v>
      </c>
      <c r="RH69" t="s">
        <v>1900</v>
      </c>
      <c r="RI69" t="s">
        <v>1900</v>
      </c>
      <c r="RJ69" t="s">
        <v>1900</v>
      </c>
      <c r="RK69" t="s">
        <v>1900</v>
      </c>
      <c r="RL69" t="s">
        <v>1900</v>
      </c>
      <c r="RM69" t="s">
        <v>1900</v>
      </c>
      <c r="RN69" t="s">
        <v>1900</v>
      </c>
      <c r="RO69" t="s">
        <v>1900</v>
      </c>
      <c r="RP69" t="s">
        <v>1900</v>
      </c>
      <c r="RQ69" t="s">
        <v>1900</v>
      </c>
      <c r="RR69" t="s">
        <v>1900</v>
      </c>
      <c r="RS69" t="s">
        <v>1900</v>
      </c>
      <c r="RT69" t="s">
        <v>1900</v>
      </c>
      <c r="RU69" t="s">
        <v>1900</v>
      </c>
      <c r="RV69" t="s">
        <v>1900</v>
      </c>
      <c r="RW69" t="s">
        <v>1900</v>
      </c>
      <c r="RX69" t="s">
        <v>1900</v>
      </c>
      <c r="RY69" t="s">
        <v>1900</v>
      </c>
      <c r="RZ69" t="s">
        <v>1900</v>
      </c>
      <c r="SA69" t="s">
        <v>1900</v>
      </c>
      <c r="SB69" t="s">
        <v>1900</v>
      </c>
      <c r="SC69" t="s">
        <v>1900</v>
      </c>
      <c r="SD69" t="s">
        <v>1900</v>
      </c>
      <c r="SE69" t="s">
        <v>1900</v>
      </c>
      <c r="SF69" t="s">
        <v>1900</v>
      </c>
      <c r="SG69" t="s">
        <v>1900</v>
      </c>
      <c r="SH69" t="s">
        <v>1900</v>
      </c>
      <c r="SI69" t="s">
        <v>1900</v>
      </c>
      <c r="SJ69" t="s">
        <v>1900</v>
      </c>
      <c r="SK69">
        <v>10139198.1453975</v>
      </c>
      <c r="SL69">
        <v>9212678.19388153</v>
      </c>
      <c r="SM69" t="s">
        <v>1900</v>
      </c>
      <c r="SN69" t="s">
        <v>1900</v>
      </c>
      <c r="SO69" t="s">
        <v>1900</v>
      </c>
      <c r="SP69" t="s">
        <v>1900</v>
      </c>
      <c r="SQ69" t="s">
        <v>1900</v>
      </c>
      <c r="SR69" t="s">
        <v>1900</v>
      </c>
      <c r="SS69" t="s">
        <v>1900</v>
      </c>
      <c r="ST69" t="s">
        <v>1900</v>
      </c>
      <c r="SU69" t="s">
        <v>1900</v>
      </c>
      <c r="SV69" t="s">
        <v>1900</v>
      </c>
      <c r="SW69" t="s">
        <v>1900</v>
      </c>
      <c r="SX69" t="s">
        <v>1900</v>
      </c>
      <c r="SY69" t="s">
        <v>1900</v>
      </c>
      <c r="SZ69" t="s">
        <v>1900</v>
      </c>
      <c r="TA69" t="s">
        <v>1900</v>
      </c>
      <c r="TB69" t="s">
        <v>1900</v>
      </c>
      <c r="TC69" t="s">
        <v>1900</v>
      </c>
      <c r="TD69" t="s">
        <v>1900</v>
      </c>
      <c r="TE69" t="s">
        <v>1900</v>
      </c>
      <c r="TF69" t="s">
        <v>1900</v>
      </c>
      <c r="TG69" t="s">
        <v>1900</v>
      </c>
      <c r="TH69" t="s">
        <v>1900</v>
      </c>
      <c r="TI69" t="s">
        <v>1900</v>
      </c>
      <c r="TJ69" t="s">
        <v>1900</v>
      </c>
      <c r="TK69" t="s">
        <v>1900</v>
      </c>
      <c r="TL69" t="s">
        <v>1900</v>
      </c>
      <c r="TM69" t="s">
        <v>1900</v>
      </c>
      <c r="TN69" t="s">
        <v>1900</v>
      </c>
      <c r="TO69" t="s">
        <v>1900</v>
      </c>
      <c r="TP69" t="s">
        <v>1900</v>
      </c>
      <c r="TQ69" t="s">
        <v>1900</v>
      </c>
      <c r="TR69" t="s">
        <v>1900</v>
      </c>
      <c r="TS69" t="s">
        <v>1900</v>
      </c>
      <c r="TT69">
        <v>10404068.344418</v>
      </c>
      <c r="TU69">
        <v>10554583.4783555</v>
      </c>
      <c r="TV69" t="s">
        <v>1900</v>
      </c>
      <c r="TW69">
        <v>12916453.8521453</v>
      </c>
      <c r="TX69" t="s">
        <v>1900</v>
      </c>
      <c r="TY69" t="s">
        <v>1900</v>
      </c>
      <c r="TZ69" t="s">
        <v>1900</v>
      </c>
      <c r="UA69" t="s">
        <v>1900</v>
      </c>
      <c r="UB69" t="s">
        <v>1900</v>
      </c>
      <c r="UC69" t="s">
        <v>1900</v>
      </c>
      <c r="UD69">
        <v>0</v>
      </c>
      <c r="UE69">
        <v>0</v>
      </c>
      <c r="UF69" t="s">
        <v>1900</v>
      </c>
      <c r="UG69">
        <v>0</v>
      </c>
      <c r="UH69" t="s">
        <v>1900</v>
      </c>
      <c r="UI69" t="s">
        <v>1900</v>
      </c>
      <c r="UJ69" t="s">
        <v>1900</v>
      </c>
      <c r="UK69" t="s">
        <v>1900</v>
      </c>
      <c r="UL69" t="s">
        <v>1900</v>
      </c>
      <c r="UM69" t="s">
        <v>1900</v>
      </c>
      <c r="UN69" t="s">
        <v>1900</v>
      </c>
      <c r="UO69" t="s">
        <v>1900</v>
      </c>
      <c r="UP69" t="s">
        <v>1900</v>
      </c>
      <c r="UQ69" t="s">
        <v>1900</v>
      </c>
      <c r="UR69" t="s">
        <v>1900</v>
      </c>
      <c r="US69" t="s">
        <v>1900</v>
      </c>
      <c r="UT69" t="s">
        <v>1900</v>
      </c>
      <c r="UU69" t="s">
        <v>1900</v>
      </c>
      <c r="UV69" t="s">
        <v>1900</v>
      </c>
      <c r="UW69" t="s">
        <v>1900</v>
      </c>
      <c r="UX69" t="s">
        <v>1900</v>
      </c>
      <c r="UY69" t="s">
        <v>1900</v>
      </c>
      <c r="UZ69" t="s">
        <v>1900</v>
      </c>
      <c r="VA69" t="s">
        <v>1900</v>
      </c>
      <c r="VB69" t="s">
        <v>1900</v>
      </c>
      <c r="VC69" t="s">
        <v>1900</v>
      </c>
      <c r="VD69" t="s">
        <v>1900</v>
      </c>
      <c r="VE69" t="s">
        <v>1900</v>
      </c>
      <c r="VF69" t="s">
        <v>1900</v>
      </c>
      <c r="VG69" t="s">
        <v>1900</v>
      </c>
      <c r="VH69" t="s">
        <v>1900</v>
      </c>
      <c r="VI69" t="s">
        <v>1900</v>
      </c>
      <c r="VJ69" t="s">
        <v>1900</v>
      </c>
      <c r="VK69" t="s">
        <v>1900</v>
      </c>
      <c r="VL69" t="s">
        <v>1900</v>
      </c>
      <c r="VM69" t="s">
        <v>1900</v>
      </c>
      <c r="VN69" t="s">
        <v>1900</v>
      </c>
      <c r="VO69" t="s">
        <v>1900</v>
      </c>
      <c r="VP69" t="s">
        <v>1900</v>
      </c>
      <c r="VQ69" t="s">
        <v>1900</v>
      </c>
      <c r="VR69" t="s">
        <v>1900</v>
      </c>
      <c r="VS69" t="s">
        <v>1900</v>
      </c>
      <c r="VT69" t="s">
        <v>1900</v>
      </c>
      <c r="VU69" t="s">
        <v>1900</v>
      </c>
      <c r="VV69" t="s">
        <v>1900</v>
      </c>
      <c r="VW69" t="s">
        <v>1900</v>
      </c>
      <c r="VX69" t="s">
        <v>1900</v>
      </c>
      <c r="VY69" t="s">
        <v>1900</v>
      </c>
      <c r="VZ69" t="s">
        <v>1900</v>
      </c>
      <c r="WA69" t="s">
        <v>1900</v>
      </c>
      <c r="WB69">
        <v>5560.04204527855</v>
      </c>
      <c r="WC69">
        <v>807583.556713098</v>
      </c>
      <c r="WD69" t="s">
        <v>1900</v>
      </c>
      <c r="WE69">
        <v>18410.4162092209</v>
      </c>
      <c r="WF69" t="s">
        <v>1900</v>
      </c>
      <c r="WG69" t="s">
        <v>1900</v>
      </c>
      <c r="WH69" t="s">
        <v>1900</v>
      </c>
      <c r="WI69" t="s">
        <v>1900</v>
      </c>
      <c r="WJ69" t="s">
        <v>1900</v>
      </c>
      <c r="WK69" t="s">
        <v>1900</v>
      </c>
      <c r="WL69" t="s">
        <v>1900</v>
      </c>
      <c r="WM69" t="s">
        <v>1900</v>
      </c>
      <c r="WN69" t="s">
        <v>1900</v>
      </c>
      <c r="WO69" t="s">
        <v>1900</v>
      </c>
      <c r="WP69" t="s">
        <v>1900</v>
      </c>
      <c r="WQ69" t="s">
        <v>1900</v>
      </c>
      <c r="WR69" t="s">
        <v>1900</v>
      </c>
      <c r="WS69" t="s">
        <v>1900</v>
      </c>
      <c r="WT69" t="s">
        <v>1900</v>
      </c>
      <c r="WU69" t="s">
        <v>1900</v>
      </c>
      <c r="WV69" t="s">
        <v>1900</v>
      </c>
      <c r="WW69" t="s">
        <v>1900</v>
      </c>
      <c r="WX69" t="s">
        <v>1900</v>
      </c>
      <c r="WY69" t="s">
        <v>1900</v>
      </c>
      <c r="WZ69" t="s">
        <v>1900</v>
      </c>
      <c r="XA69" t="s">
        <v>1900</v>
      </c>
      <c r="XB69" t="s">
        <v>1900</v>
      </c>
      <c r="XC69" t="s">
        <v>1900</v>
      </c>
      <c r="XD69" t="s">
        <v>1900</v>
      </c>
      <c r="XE69" t="s">
        <v>1900</v>
      </c>
      <c r="XF69" t="s">
        <v>1900</v>
      </c>
      <c r="XG69" t="s">
        <v>1900</v>
      </c>
      <c r="XH69" t="s">
        <v>1900</v>
      </c>
      <c r="XI69" t="s">
        <v>1900</v>
      </c>
      <c r="XJ69" t="s">
        <v>1900</v>
      </c>
      <c r="XK69" t="s">
        <v>1900</v>
      </c>
      <c r="XL69" t="s">
        <v>1900</v>
      </c>
      <c r="XM69" t="s">
        <v>1900</v>
      </c>
      <c r="XN69" t="s">
        <v>1900</v>
      </c>
      <c r="XO69" t="s">
        <v>1900</v>
      </c>
      <c r="XP69" t="s">
        <v>1900</v>
      </c>
      <c r="XQ69" t="s">
        <v>1900</v>
      </c>
      <c r="XR69" t="s">
        <v>1900</v>
      </c>
      <c r="XS69" t="s">
        <v>1900</v>
      </c>
      <c r="XT69" t="s">
        <v>1900</v>
      </c>
      <c r="XU69" t="s">
        <v>1900</v>
      </c>
      <c r="XV69" t="s">
        <v>1900</v>
      </c>
      <c r="XW69" t="s">
        <v>1900</v>
      </c>
      <c r="XX69" t="s">
        <v>1900</v>
      </c>
      <c r="XY69" t="s">
        <v>1900</v>
      </c>
      <c r="XZ69" t="s">
        <v>1900</v>
      </c>
      <c r="YA69" t="s">
        <v>1900</v>
      </c>
      <c r="YB69" t="s">
        <v>1900</v>
      </c>
      <c r="YC69" t="s">
        <v>1900</v>
      </c>
      <c r="YD69" t="s">
        <v>1900</v>
      </c>
      <c r="YE69" t="s">
        <v>1900</v>
      </c>
      <c r="YF69" t="s">
        <v>1900</v>
      </c>
      <c r="YG69" t="s">
        <v>1900</v>
      </c>
      <c r="YH69" t="s">
        <v>1900</v>
      </c>
      <c r="YI69" t="s">
        <v>1900</v>
      </c>
      <c r="YJ69" t="s">
        <v>1900</v>
      </c>
      <c r="YK69" t="s">
        <v>1900</v>
      </c>
      <c r="YL69" t="s">
        <v>1900</v>
      </c>
      <c r="YM69" t="s">
        <v>1900</v>
      </c>
      <c r="YN69" t="s">
        <v>1900</v>
      </c>
      <c r="YO69" t="s">
        <v>1900</v>
      </c>
      <c r="YP69" t="s">
        <v>1900</v>
      </c>
      <c r="YQ69" t="s">
        <v>1900</v>
      </c>
      <c r="YR69" t="s">
        <v>1900</v>
      </c>
      <c r="YS69" t="s">
        <v>1900</v>
      </c>
      <c r="YT69" t="s">
        <v>1900</v>
      </c>
      <c r="YU69" t="s">
        <v>1900</v>
      </c>
      <c r="YV69" t="s">
        <v>1900</v>
      </c>
      <c r="YW69" t="s">
        <v>1900</v>
      </c>
      <c r="YX69" t="s">
        <v>1900</v>
      </c>
      <c r="YY69" t="s">
        <v>1900</v>
      </c>
      <c r="YZ69" t="s">
        <v>1900</v>
      </c>
      <c r="ZA69" t="s">
        <v>1900</v>
      </c>
      <c r="ZB69" t="s">
        <v>1900</v>
      </c>
      <c r="ZC69" t="s">
        <v>1900</v>
      </c>
      <c r="ZD69" t="s">
        <v>1900</v>
      </c>
      <c r="ZE69" t="s">
        <v>1900</v>
      </c>
      <c r="ZF69" t="s">
        <v>1900</v>
      </c>
      <c r="ZG69" t="s">
        <v>1900</v>
      </c>
      <c r="ZH69" t="s">
        <v>1900</v>
      </c>
      <c r="ZI69" t="s">
        <v>1900</v>
      </c>
      <c r="ZJ69" t="s">
        <v>1900</v>
      </c>
      <c r="ZK69" t="s">
        <v>1900</v>
      </c>
      <c r="ZL69" t="s">
        <v>1900</v>
      </c>
      <c r="ZM69" t="s">
        <v>1900</v>
      </c>
      <c r="ZN69" t="s">
        <v>1900</v>
      </c>
      <c r="ZO69" t="s">
        <v>1900</v>
      </c>
      <c r="ZP69" t="s">
        <v>1900</v>
      </c>
      <c r="ZQ69" t="s">
        <v>1900</v>
      </c>
      <c r="ZR69" t="s">
        <v>1900</v>
      </c>
      <c r="ZS69" t="s">
        <v>1900</v>
      </c>
      <c r="ZT69" t="s">
        <v>1900</v>
      </c>
      <c r="ZU69" t="s">
        <v>1900</v>
      </c>
      <c r="ZV69" t="s">
        <v>1900</v>
      </c>
      <c r="ZW69" t="s">
        <v>1900</v>
      </c>
      <c r="ZX69" t="s">
        <v>1900</v>
      </c>
      <c r="ZY69" t="s">
        <v>1900</v>
      </c>
      <c r="ZZ69" t="s">
        <v>1900</v>
      </c>
      <c r="AAA69" t="s">
        <v>1900</v>
      </c>
      <c r="AAB69" t="s">
        <v>1900</v>
      </c>
      <c r="AAC69" t="s">
        <v>1900</v>
      </c>
      <c r="AAD69" t="s">
        <v>1900</v>
      </c>
      <c r="AAE69" t="s">
        <v>1900</v>
      </c>
      <c r="AAF69" t="s">
        <v>1900</v>
      </c>
      <c r="AAG69" t="s">
        <v>1900</v>
      </c>
      <c r="AAH69" t="s">
        <v>1900</v>
      </c>
      <c r="AAI69" t="s">
        <v>1900</v>
      </c>
      <c r="AAJ69" t="s">
        <v>1900</v>
      </c>
      <c r="AAK69" t="s">
        <v>1900</v>
      </c>
      <c r="AAL69" t="s">
        <v>1900</v>
      </c>
      <c r="AAM69" t="s">
        <v>1900</v>
      </c>
      <c r="AAN69" t="s">
        <v>1900</v>
      </c>
      <c r="AAO69" t="s">
        <v>1900</v>
      </c>
      <c r="AAP69" t="s">
        <v>1900</v>
      </c>
      <c r="AAQ69" t="s">
        <v>1900</v>
      </c>
      <c r="AAR69" t="s">
        <v>1900</v>
      </c>
      <c r="AAS69" t="s">
        <v>1900</v>
      </c>
      <c r="AAT69" t="s">
        <v>1900</v>
      </c>
      <c r="AAU69" t="s">
        <v>1900</v>
      </c>
      <c r="AAV69" t="s">
        <v>1900</v>
      </c>
      <c r="AAW69" t="s">
        <v>1900</v>
      </c>
      <c r="AAX69" t="s">
        <v>1900</v>
      </c>
      <c r="AAY69" t="s">
        <v>1900</v>
      </c>
      <c r="AAZ69" t="s">
        <v>1900</v>
      </c>
      <c r="ABA69" t="s">
        <v>1900</v>
      </c>
      <c r="ABB69" t="s">
        <v>1900</v>
      </c>
      <c r="ABC69" t="s">
        <v>1900</v>
      </c>
      <c r="ABD69" t="s">
        <v>1900</v>
      </c>
      <c r="ABE69" t="s">
        <v>1900</v>
      </c>
      <c r="ABF69" t="s">
        <v>1900</v>
      </c>
      <c r="ABG69" t="s">
        <v>1900</v>
      </c>
      <c r="ABH69" t="s">
        <v>1900</v>
      </c>
      <c r="ABI69" t="s">
        <v>1900</v>
      </c>
      <c r="ABJ69" t="s">
        <v>1900</v>
      </c>
      <c r="ABK69" t="s">
        <v>1900</v>
      </c>
      <c r="ABL69" t="s">
        <v>1900</v>
      </c>
      <c r="ABM69" t="s">
        <v>1900</v>
      </c>
      <c r="ABN69" t="s">
        <v>1900</v>
      </c>
      <c r="ABO69" t="s">
        <v>1900</v>
      </c>
      <c r="ABP69" t="s">
        <v>1900</v>
      </c>
      <c r="ABQ69" t="s">
        <v>1900</v>
      </c>
      <c r="ABR69" t="s">
        <v>1900</v>
      </c>
      <c r="ABS69" t="s">
        <v>1900</v>
      </c>
      <c r="ABT69" t="s">
        <v>1900</v>
      </c>
      <c r="ABU69" t="s">
        <v>1900</v>
      </c>
      <c r="ABV69" t="s">
        <v>1900</v>
      </c>
      <c r="ABW69" t="s">
        <v>1900</v>
      </c>
      <c r="ABX69" t="s">
        <v>1900</v>
      </c>
      <c r="ABY69" t="s">
        <v>1900</v>
      </c>
      <c r="ABZ69" t="s">
        <v>1900</v>
      </c>
      <c r="ACA69" t="s">
        <v>1900</v>
      </c>
      <c r="ACB69" t="s">
        <v>1900</v>
      </c>
      <c r="ACC69" t="s">
        <v>1900</v>
      </c>
      <c r="ACD69" t="s">
        <v>1900</v>
      </c>
      <c r="ACE69" t="s">
        <v>1900</v>
      </c>
      <c r="ACF69">
        <v>2.891</v>
      </c>
      <c r="ACG69">
        <v>-10.503</v>
      </c>
      <c r="ACH69" t="s">
        <v>1900</v>
      </c>
      <c r="ACI69">
        <v>6.33</v>
      </c>
      <c r="ACJ69" t="s">
        <v>1900</v>
      </c>
      <c r="ACK69" t="s">
        <v>1900</v>
      </c>
      <c r="ACL69">
        <v>-10.421</v>
      </c>
      <c r="ACM69" t="s">
        <v>1900</v>
      </c>
      <c r="ACN69">
        <v>6.413</v>
      </c>
      <c r="ACO69" t="s">
        <v>1900</v>
      </c>
      <c r="ACP69">
        <v>2.889</v>
      </c>
      <c r="ACQ69">
        <v>-9.699</v>
      </c>
      <c r="ACR69" t="s">
        <v>1900</v>
      </c>
      <c r="ACS69">
        <v>6.321</v>
      </c>
      <c r="ACT69" t="s">
        <v>1900</v>
      </c>
      <c r="ACU69">
        <v>2.891</v>
      </c>
      <c r="ACV69">
        <v>-10.503</v>
      </c>
      <c r="ACW69" t="s">
        <v>1900</v>
      </c>
      <c r="ACX69">
        <v>6.267</v>
      </c>
      <c r="ACY69" t="s">
        <v>1900</v>
      </c>
      <c r="ACZ69" t="s">
        <v>1900</v>
      </c>
      <c r="ADA69">
        <v>-10.421</v>
      </c>
      <c r="ADB69" t="s">
        <v>1900</v>
      </c>
      <c r="ADC69">
        <v>6.349</v>
      </c>
      <c r="ADD69" t="s">
        <v>1900</v>
      </c>
      <c r="ADE69">
        <v>2.889</v>
      </c>
      <c r="ADF69">
        <v>-9.699</v>
      </c>
      <c r="ADG69" t="s">
        <v>1900</v>
      </c>
      <c r="ADH69">
        <v>6.258</v>
      </c>
      <c r="ADI69" t="s">
        <v>1900</v>
      </c>
      <c r="ADJ69" t="s">
        <v>1901</v>
      </c>
      <c r="ADK69" t="s">
        <v>1901</v>
      </c>
      <c r="ADL69" t="s">
        <v>1900</v>
      </c>
      <c r="ADM69" t="s">
        <v>1901</v>
      </c>
      <c r="ADN69" t="s">
        <v>1900</v>
      </c>
      <c r="ADO69">
        <v>100</v>
      </c>
      <c r="ADP69">
        <v>100</v>
      </c>
      <c r="ADQ69" t="s">
        <v>1900</v>
      </c>
      <c r="ADR69">
        <v>100</v>
      </c>
      <c r="ADS69" t="s">
        <v>1900</v>
      </c>
      <c r="ADT69">
        <v>-298.4004</v>
      </c>
      <c r="ADU69" t="s">
        <v>1901</v>
      </c>
      <c r="ADV69" t="s">
        <v>1900</v>
      </c>
      <c r="ADW69" t="s">
        <v>1901</v>
      </c>
      <c r="ADX69" t="s">
        <v>1900</v>
      </c>
      <c r="ADY69" t="s">
        <v>1901</v>
      </c>
      <c r="ADZ69" t="s">
        <v>1901</v>
      </c>
      <c r="AEA69" t="s">
        <v>1900</v>
      </c>
      <c r="AEB69" t="s">
        <v>1901</v>
      </c>
      <c r="AEC69" t="s">
        <v>1900</v>
      </c>
      <c r="AED69" t="s">
        <v>1901</v>
      </c>
      <c r="AEE69" t="s">
        <v>1901</v>
      </c>
      <c r="AEF69" t="s">
        <v>1900</v>
      </c>
      <c r="AEG69" t="s">
        <v>1901</v>
      </c>
      <c r="AEH69" t="s">
        <v>1900</v>
      </c>
      <c r="AEI69" t="s">
        <v>1900</v>
      </c>
      <c r="AEJ69" t="s">
        <v>1900</v>
      </c>
      <c r="AEK69" t="s">
        <v>1900</v>
      </c>
      <c r="AEL69" t="s">
        <v>1900</v>
      </c>
      <c r="AEM69" t="s">
        <v>1900</v>
      </c>
      <c r="AEN69">
        <v>-74.89962359499999</v>
      </c>
      <c r="AEO69">
        <v>-92.884138712</v>
      </c>
      <c r="AEP69" t="s">
        <v>1900</v>
      </c>
      <c r="AEQ69">
        <v>-98.61706971300001</v>
      </c>
      <c r="AER69" t="s">
        <v>1900</v>
      </c>
      <c r="AES69" t="s">
        <v>1900</v>
      </c>
      <c r="AET69" t="s">
        <v>1900</v>
      </c>
      <c r="AEU69" t="s">
        <v>1900</v>
      </c>
      <c r="AEV69" t="s">
        <v>1900</v>
      </c>
      <c r="AEW69" t="s">
        <v>1900</v>
      </c>
      <c r="AEX69" t="s">
        <v>1900</v>
      </c>
      <c r="AEY69" t="s">
        <v>1900</v>
      </c>
      <c r="AEZ69" t="s">
        <v>1900</v>
      </c>
      <c r="AFA69" t="s">
        <v>1900</v>
      </c>
      <c r="AFB69" t="s">
        <v>1900</v>
      </c>
      <c r="AFC69" t="s">
        <v>1900</v>
      </c>
      <c r="AFD69" t="s">
        <v>1900</v>
      </c>
      <c r="AFE69" t="s">
        <v>1900</v>
      </c>
      <c r="AFF69" t="s">
        <v>1900</v>
      </c>
      <c r="AFG69" t="s">
        <v>1900</v>
      </c>
      <c r="AFH69">
        <v>0.002</v>
      </c>
      <c r="AFI69">
        <v>0.001</v>
      </c>
      <c r="AFJ69" t="s">
        <v>1900</v>
      </c>
      <c r="AFK69">
        <v>0</v>
      </c>
      <c r="AFL69" t="s">
        <v>1900</v>
      </c>
      <c r="AFM69" t="s">
        <v>1900</v>
      </c>
      <c r="AFN69">
        <v>-10.126</v>
      </c>
      <c r="AFO69" t="s">
        <v>1900</v>
      </c>
      <c r="AFP69">
        <v>-7.708</v>
      </c>
      <c r="AFQ69" t="s">
        <v>1900</v>
      </c>
      <c r="AFR69" t="s">
        <v>1901</v>
      </c>
      <c r="AFS69" t="s">
        <v>1901</v>
      </c>
      <c r="AFT69" t="s">
        <v>1900</v>
      </c>
      <c r="AFU69" t="s">
        <v>1901</v>
      </c>
      <c r="AFV69" t="s">
        <v>1900</v>
      </c>
      <c r="AFW69">
        <v>19.732</v>
      </c>
      <c r="AFX69" t="s">
        <v>1901</v>
      </c>
      <c r="AFY69" t="s">
        <v>1900</v>
      </c>
      <c r="AFZ69">
        <v>352.427</v>
      </c>
      <c r="AGA69" t="s">
        <v>1900</v>
      </c>
      <c r="AGB69">
        <v>0</v>
      </c>
      <c r="AGC69">
        <v>0</v>
      </c>
      <c r="AGD69" t="s">
        <v>1900</v>
      </c>
      <c r="AGE69">
        <v>0</v>
      </c>
      <c r="AGF69" t="s">
        <v>1900</v>
      </c>
      <c r="AGG69" t="s">
        <v>1900</v>
      </c>
      <c r="AGH69" t="s">
        <v>1900</v>
      </c>
      <c r="AGI69" t="s">
        <v>1900</v>
      </c>
      <c r="AGJ69" t="s">
        <v>1900</v>
      </c>
      <c r="AGK69" t="s">
        <v>1900</v>
      </c>
      <c r="AGL69" t="s">
        <v>1900</v>
      </c>
      <c r="AGM69" t="s">
        <v>1900</v>
      </c>
      <c r="AGN69" t="s">
        <v>1900</v>
      </c>
      <c r="AGO69" t="s">
        <v>1900</v>
      </c>
      <c r="AGP69" t="s">
        <v>1900</v>
      </c>
      <c r="AGQ69" t="s">
        <v>1900</v>
      </c>
      <c r="AGR69" t="s">
        <v>1900</v>
      </c>
      <c r="AGS69" t="s">
        <v>1900</v>
      </c>
      <c r="AGT69" t="s">
        <v>1900</v>
      </c>
      <c r="AGU69">
        <v>0</v>
      </c>
      <c r="AGV69">
        <v>0</v>
      </c>
      <c r="AGW69">
        <v>0</v>
      </c>
      <c r="AGX69">
        <v>0</v>
      </c>
      <c r="AGY69">
        <v>0</v>
      </c>
      <c r="AGZ69" t="s">
        <v>1900</v>
      </c>
      <c r="AHA69">
        <v>47.638</v>
      </c>
      <c r="AHB69">
        <v>1.662</v>
      </c>
      <c r="AHC69" t="s">
        <v>1900</v>
      </c>
      <c r="AHD69" t="s">
        <v>1901</v>
      </c>
      <c r="AHE69" t="s">
        <v>1900</v>
      </c>
      <c r="AHF69">
        <v>47.638</v>
      </c>
      <c r="AHG69">
        <v>1.662</v>
      </c>
      <c r="AHH69" t="s">
        <v>1900</v>
      </c>
      <c r="AHI69" t="s">
        <v>1901</v>
      </c>
      <c r="AHJ69" t="s">
        <v>1900</v>
      </c>
      <c r="AHK69" t="s">
        <v>1901</v>
      </c>
      <c r="AHL69" t="s">
        <v>1901</v>
      </c>
      <c r="AHM69" t="s">
        <v>1900</v>
      </c>
      <c r="AHN69" t="s">
        <v>1901</v>
      </c>
      <c r="AHO69" t="s">
        <v>1900</v>
      </c>
      <c r="AHP69">
        <v>99.947</v>
      </c>
      <c r="AHQ69">
        <v>92.349</v>
      </c>
      <c r="AHR69" t="s">
        <v>1900</v>
      </c>
      <c r="AHS69">
        <v>99.857</v>
      </c>
      <c r="AHT69" t="s">
        <v>1900</v>
      </c>
      <c r="AHU69" t="s">
        <v>1901</v>
      </c>
      <c r="AHV69" t="s">
        <v>1901</v>
      </c>
      <c r="AHW69" t="s">
        <v>1900</v>
      </c>
      <c r="AHX69" t="s">
        <v>1901</v>
      </c>
      <c r="AHY69" t="s">
        <v>1900</v>
      </c>
      <c r="AHZ69">
        <v>0</v>
      </c>
      <c r="AIA69">
        <v>0</v>
      </c>
      <c r="AIB69" t="s">
        <v>1900</v>
      </c>
      <c r="AIC69">
        <v>0</v>
      </c>
      <c r="AID69" t="s">
        <v>1900</v>
      </c>
      <c r="AIE69">
        <v>97.45416706</v>
      </c>
      <c r="AIF69">
        <v>87.286042247</v>
      </c>
      <c r="AIG69" t="s">
        <v>1900</v>
      </c>
      <c r="AIH69" t="s">
        <v>1900</v>
      </c>
      <c r="AII69" t="s">
        <v>1900</v>
      </c>
      <c r="AIJ69">
        <v>2.53710069</v>
      </c>
      <c r="AIK69">
        <v>12.545023252</v>
      </c>
      <c r="AIL69" t="s">
        <v>1900</v>
      </c>
      <c r="AIM69">
        <v>99.991259742</v>
      </c>
      <c r="AIN69" t="s">
        <v>1900</v>
      </c>
      <c r="AIO69">
        <v>0.053441037</v>
      </c>
      <c r="AIP69">
        <v>7.651496228</v>
      </c>
      <c r="AIQ69" t="s">
        <v>1900</v>
      </c>
      <c r="AIR69">
        <v>0.142534603</v>
      </c>
      <c r="AIS69" t="s">
        <v>1900</v>
      </c>
      <c r="AIT69" t="s">
        <v>1900</v>
      </c>
      <c r="AIU69" t="s">
        <v>1900</v>
      </c>
      <c r="AIV69" t="s">
        <v>1900</v>
      </c>
      <c r="AIW69" t="s">
        <v>1900</v>
      </c>
      <c r="AIX69" t="s">
        <v>1900</v>
      </c>
      <c r="AIY69" t="s">
        <v>1900</v>
      </c>
      <c r="AIZ69" t="s">
        <v>1900</v>
      </c>
      <c r="AJA69" t="s">
        <v>1900</v>
      </c>
      <c r="AJB69" t="s">
        <v>1900</v>
      </c>
      <c r="AJC69" t="s">
        <v>1900</v>
      </c>
      <c r="AJD69" t="s">
        <v>1900</v>
      </c>
      <c r="AJE69" t="s">
        <v>1900</v>
      </c>
      <c r="AJF69" t="s">
        <v>1900</v>
      </c>
      <c r="AJG69" t="s">
        <v>1900</v>
      </c>
      <c r="AJH69" t="s">
        <v>1900</v>
      </c>
      <c r="AJI69" t="s">
        <v>1901</v>
      </c>
      <c r="AJJ69">
        <v>92.426</v>
      </c>
      <c r="AJK69" t="s">
        <v>1900</v>
      </c>
      <c r="AJL69" t="s">
        <v>1900</v>
      </c>
      <c r="AJM69" t="s">
        <v>1900</v>
      </c>
      <c r="AJN69" t="s">
        <v>1900</v>
      </c>
      <c r="AJO69" t="s">
        <v>1900</v>
      </c>
      <c r="AJP69" t="s">
        <v>1900</v>
      </c>
      <c r="AJQ69" t="s">
        <v>1900</v>
      </c>
      <c r="AJR69" t="s">
        <v>1900</v>
      </c>
      <c r="AJS69" t="s">
        <v>1900</v>
      </c>
      <c r="AJT69" t="s">
        <v>1900</v>
      </c>
      <c r="AJU69" t="s">
        <v>1900</v>
      </c>
      <c r="AJV69" t="s">
        <v>1900</v>
      </c>
      <c r="AJW69" t="s">
        <v>1900</v>
      </c>
      <c r="AJX69" t="s">
        <v>1900</v>
      </c>
      <c r="AJY69" t="s">
        <v>1900</v>
      </c>
      <c r="AJZ69" t="s">
        <v>1900</v>
      </c>
      <c r="AKA69" t="s">
        <v>1900</v>
      </c>
      <c r="AKB69" t="s">
        <v>1900</v>
      </c>
      <c r="AKC69" t="s">
        <v>1900</v>
      </c>
      <c r="AKD69" t="s">
        <v>1900</v>
      </c>
      <c r="AKE69" t="s">
        <v>1900</v>
      </c>
      <c r="AKF69" t="s">
        <v>1900</v>
      </c>
      <c r="AKG69" t="s">
        <v>1900</v>
      </c>
      <c r="AKH69" t="s">
        <v>1900</v>
      </c>
      <c r="AKI69" t="s">
        <v>1900</v>
      </c>
      <c r="AKJ69" t="s">
        <v>1900</v>
      </c>
      <c r="AKK69" t="s">
        <v>1900</v>
      </c>
      <c r="AKL69" t="s">
        <v>1900</v>
      </c>
      <c r="AKM69">
        <v>0</v>
      </c>
      <c r="AKN69">
        <v>0</v>
      </c>
      <c r="AKO69" t="s">
        <v>1900</v>
      </c>
      <c r="AKP69">
        <v>0</v>
      </c>
      <c r="AKQ69" t="s">
        <v>1900</v>
      </c>
      <c r="AKR69">
        <v>0</v>
      </c>
      <c r="AKS69">
        <v>0</v>
      </c>
      <c r="AKT69" t="s">
        <v>1900</v>
      </c>
      <c r="AKU69">
        <v>0</v>
      </c>
      <c r="AKV69" t="s">
        <v>1900</v>
      </c>
      <c r="AKW69">
        <v>0</v>
      </c>
      <c r="AKX69">
        <v>0</v>
      </c>
      <c r="AKY69" t="s">
        <v>1900</v>
      </c>
      <c r="AKZ69" t="s">
        <v>1900</v>
      </c>
      <c r="ALA69" t="s">
        <v>1900</v>
      </c>
      <c r="ALB69">
        <v>0</v>
      </c>
      <c r="ALC69">
        <v>0</v>
      </c>
      <c r="ALD69" t="s">
        <v>1900</v>
      </c>
      <c r="ALE69" t="s">
        <v>1900</v>
      </c>
      <c r="ALF69" t="s">
        <v>1900</v>
      </c>
      <c r="ALG69">
        <v>0</v>
      </c>
      <c r="ALH69">
        <v>0</v>
      </c>
      <c r="ALI69" t="s">
        <v>1900</v>
      </c>
      <c r="ALJ69" t="s">
        <v>1900</v>
      </c>
      <c r="ALK69" t="s">
        <v>1900</v>
      </c>
      <c r="ALL69">
        <v>0</v>
      </c>
      <c r="ALM69">
        <v>0</v>
      </c>
      <c r="ALN69" t="s">
        <v>1900</v>
      </c>
      <c r="ALO69" t="s">
        <v>1900</v>
      </c>
      <c r="ALP69" t="s">
        <v>1900</v>
      </c>
      <c r="ALQ69">
        <v>5.4812</v>
      </c>
      <c r="ALR69">
        <v>286.654286185</v>
      </c>
      <c r="ALS69" t="s">
        <v>1900</v>
      </c>
      <c r="ALT69">
        <v>97.896293774</v>
      </c>
      <c r="ALU69" t="s">
        <v>1900</v>
      </c>
      <c r="ALV69">
        <v>0</v>
      </c>
      <c r="ALW69">
        <v>0</v>
      </c>
      <c r="ALX69" t="s">
        <v>1900</v>
      </c>
      <c r="ALY69">
        <v>0</v>
      </c>
      <c r="ALZ69" t="s">
        <v>1900</v>
      </c>
      <c r="AMA69">
        <v>100</v>
      </c>
      <c r="AMB69">
        <v>100</v>
      </c>
      <c r="AMC69" t="s">
        <v>1900</v>
      </c>
      <c r="AMD69">
        <v>100</v>
      </c>
      <c r="AME69" t="s">
        <v>1900</v>
      </c>
      <c r="AMF69">
        <v>100</v>
      </c>
      <c r="AMG69" t="s">
        <v>1901</v>
      </c>
      <c r="AMH69" t="s">
        <v>1900</v>
      </c>
      <c r="AMI69" t="s">
        <v>1900</v>
      </c>
      <c r="AMJ69" t="s">
        <v>1900</v>
      </c>
      <c r="AMK69" t="s">
        <v>1900</v>
      </c>
      <c r="AML69" t="s">
        <v>1900</v>
      </c>
      <c r="AMM69" t="s">
        <v>1900</v>
      </c>
      <c r="AMN69" t="s">
        <v>1900</v>
      </c>
      <c r="AMO69" t="s">
        <v>1900</v>
      </c>
      <c r="AMP69">
        <v>0.251003764052446</v>
      </c>
      <c r="AMQ69">
        <v>0.0711586128770665</v>
      </c>
      <c r="AMR69" t="s">
        <v>1900</v>
      </c>
      <c r="AMS69">
        <v>0.0138293028708124</v>
      </c>
      <c r="AMT69" t="s">
        <v>1900</v>
      </c>
      <c r="AMU69">
        <v>0.251003764052446</v>
      </c>
      <c r="AMV69">
        <v>0.0711586128770664</v>
      </c>
      <c r="AMW69" t="s">
        <v>1900</v>
      </c>
      <c r="AMX69">
        <v>0.0138293028708125</v>
      </c>
      <c r="AMY69" t="s">
        <v>1900</v>
      </c>
      <c r="AMZ69" t="s">
        <v>1900</v>
      </c>
      <c r="ANA69" t="s">
        <v>1900</v>
      </c>
      <c r="ANB69" t="s">
        <v>1900</v>
      </c>
      <c r="ANC69" t="s">
        <v>1900</v>
      </c>
      <c r="AND69" t="s">
        <v>1900</v>
      </c>
      <c r="ANE69" t="s">
        <v>1901</v>
      </c>
      <c r="ANF69" t="s">
        <v>1901</v>
      </c>
      <c r="ANG69" t="s">
        <v>1900</v>
      </c>
      <c r="ANH69" t="s">
        <v>1901</v>
      </c>
      <c r="ANI69" t="s">
        <v>1900</v>
      </c>
      <c r="ANJ69" t="s">
        <v>1901</v>
      </c>
      <c r="ANK69" t="s">
        <v>1901</v>
      </c>
      <c r="ANL69" t="s">
        <v>1900</v>
      </c>
      <c r="ANM69" t="s">
        <v>1900</v>
      </c>
      <c r="ANN69" t="s">
        <v>1900</v>
      </c>
      <c r="ANO69">
        <v>-74.8996235947554</v>
      </c>
      <c r="ANP69">
        <v>-92.88413871229341</v>
      </c>
      <c r="ANQ69" t="s">
        <v>1900</v>
      </c>
      <c r="ANR69">
        <v>-98.61706971291871</v>
      </c>
      <c r="ANS69" t="s">
        <v>1900</v>
      </c>
      <c r="ANT69">
        <v>-0.475644073734156</v>
      </c>
      <c r="ANU69">
        <v>-0.832998339895388</v>
      </c>
      <c r="ANV69" t="s">
        <v>1900</v>
      </c>
      <c r="ANW69">
        <v>-0.637572029049713</v>
      </c>
      <c r="ANX69" t="s">
        <v>1900</v>
      </c>
      <c r="ANY69" t="s">
        <v>1900</v>
      </c>
      <c r="ANZ69" t="s">
        <v>1900</v>
      </c>
      <c r="AOA69" t="s">
        <v>1900</v>
      </c>
      <c r="AOB69" t="s">
        <v>1900</v>
      </c>
      <c r="AOC69" t="s">
        <v>1900</v>
      </c>
      <c r="AOD69">
        <v>25.1003764052446</v>
      </c>
      <c r="AOE69">
        <v>7.11586128770665</v>
      </c>
      <c r="AOF69" t="s">
        <v>1900</v>
      </c>
      <c r="AOG69">
        <v>1.38293028708124</v>
      </c>
      <c r="AOH69" t="s">
        <v>1900</v>
      </c>
      <c r="AOI69">
        <v>0.159312750454513</v>
      </c>
      <c r="AOJ69">
        <v>0.0589331852308658</v>
      </c>
      <c r="AOK69" t="s">
        <v>1900</v>
      </c>
      <c r="AOL69">
        <v>0.008928078262243721</v>
      </c>
      <c r="AOM69" t="s">
        <v>1900</v>
      </c>
      <c r="AON69" t="s">
        <v>1900</v>
      </c>
      <c r="AOO69" t="s">
        <v>1900</v>
      </c>
      <c r="AOP69" t="s">
        <v>1900</v>
      </c>
      <c r="AOQ69" t="s">
        <v>1900</v>
      </c>
      <c r="AOR69" t="s">
        <v>1900</v>
      </c>
      <c r="AOS69">
        <v>-74.8996235947554</v>
      </c>
      <c r="AOT69">
        <v>-92.88413871229341</v>
      </c>
      <c r="AOU69" t="s">
        <v>1900</v>
      </c>
      <c r="AOV69">
        <v>-98.61706971291871</v>
      </c>
      <c r="AOW69" t="s">
        <v>1900</v>
      </c>
      <c r="AOX69">
        <v>-0.475389884607268</v>
      </c>
      <c r="AOY69">
        <v>-0.769261503340125</v>
      </c>
      <c r="AOZ69" t="s">
        <v>1900</v>
      </c>
      <c r="APA69">
        <v>-0.636663268289792</v>
      </c>
      <c r="APB69" t="s">
        <v>1900</v>
      </c>
      <c r="APC69">
        <v>1813.4838</v>
      </c>
      <c r="APD69">
        <v>-16458.0383794944</v>
      </c>
      <c r="APE69" t="s">
        <v>1900</v>
      </c>
      <c r="APF69">
        <v>70089.3974057482</v>
      </c>
      <c r="APG69" t="s">
        <v>1900</v>
      </c>
      <c r="APH69">
        <v>1813.4838</v>
      </c>
      <c r="API69">
        <v>-17806.7605866365</v>
      </c>
      <c r="APJ69" t="s">
        <v>1900</v>
      </c>
      <c r="APK69" t="s">
        <v>1900</v>
      </c>
      <c r="APL69" t="s">
        <v>1900</v>
      </c>
      <c r="APM69" t="s">
        <v>1900</v>
      </c>
      <c r="APN69" t="s">
        <v>1900</v>
      </c>
      <c r="APO69" t="s">
        <v>1900</v>
      </c>
      <c r="APP69" t="s">
        <v>1900</v>
      </c>
      <c r="APQ69" t="s">
        <v>1900</v>
      </c>
      <c r="APR69">
        <v>455.191259848133</v>
      </c>
      <c r="APS69">
        <v>-1171.13118176234</v>
      </c>
      <c r="APT69" t="s">
        <v>1900</v>
      </c>
      <c r="APU69">
        <v>969.287504756826</v>
      </c>
      <c r="APV69" t="s">
        <v>1900</v>
      </c>
      <c r="APW69">
        <v>455.191259848133</v>
      </c>
      <c r="APX69">
        <v>-1171.13118176234</v>
      </c>
      <c r="APY69" t="s">
        <v>1900</v>
      </c>
      <c r="APZ69">
        <v>969.287504756826</v>
      </c>
      <c r="AQA69" t="s">
        <v>1900</v>
      </c>
      <c r="AQB69">
        <v>2.88911092082702</v>
      </c>
      <c r="AQC69">
        <v>-9.699246243554381</v>
      </c>
      <c r="AQD69" t="s">
        <v>1900</v>
      </c>
      <c r="AQE69">
        <v>6.25763625392022</v>
      </c>
      <c r="AQF69" t="s">
        <v>1900</v>
      </c>
      <c r="AQG69" t="s">
        <v>1900</v>
      </c>
      <c r="AQH69" t="s">
        <v>1900</v>
      </c>
      <c r="AQI69" t="s">
        <v>1900</v>
      </c>
      <c r="AQJ69" t="s">
        <v>1900</v>
      </c>
      <c r="AQK69">
        <v>2</v>
      </c>
      <c r="AQO69" t="s">
        <v>1903</v>
      </c>
      <c r="AQP69">
        <v>14</v>
      </c>
      <c r="AQQ69">
        <v>0</v>
      </c>
      <c r="AQS69" t="s">
        <v>1905</v>
      </c>
      <c r="AQU69" t="s">
        <v>1906</v>
      </c>
      <c r="AQV69" t="s">
        <v>1900</v>
      </c>
      <c r="AQW69">
        <v>16575.0074386597</v>
      </c>
      <c r="AQX69">
        <v>6220.15223164558</v>
      </c>
      <c r="AQY69" t="s">
        <v>1900</v>
      </c>
      <c r="AQZ69">
        <v>-49459.8884969902</v>
      </c>
      <c r="ARA69">
        <v>-81192.3475368857</v>
      </c>
      <c r="ARB69">
        <v>22795.15967030528</v>
      </c>
      <c r="ARC69">
        <v>-130652.2360338759</v>
      </c>
      <c r="ARD69">
        <v>-0.8514464219761003</v>
      </c>
      <c r="ARE69">
        <v>-0.8514464219761003</v>
      </c>
      <c r="ARF69">
        <v>-0.8514464219761003</v>
      </c>
      <c r="ARG69" t="s">
        <v>1907</v>
      </c>
      <c r="ARH69" t="s">
        <v>1907</v>
      </c>
      <c r="ARI69" t="s">
        <v>1907</v>
      </c>
      <c r="ARJ69" t="s">
        <v>1230</v>
      </c>
      <c r="ARK69" t="s">
        <v>1568</v>
      </c>
      <c r="ARL69" t="s">
        <v>1908</v>
      </c>
      <c r="ARM69" t="s">
        <v>1908</v>
      </c>
      <c r="ARN69" t="s">
        <v>1909</v>
      </c>
      <c r="ARO69" t="s">
        <v>1908</v>
      </c>
      <c r="ARP69" t="s">
        <v>1907</v>
      </c>
      <c r="ARQ69" t="s">
        <v>1964</v>
      </c>
      <c r="ARR69">
        <f>HYPERLINK("C:\Users\Usuario\Documents\Proyectos\llmthon\evidence\gestefin_com_234858.png", "Ver Evidencia")</f>
        <v>0</v>
      </c>
      <c r="ARS69">
        <v>100</v>
      </c>
    </row>
    <row r="70" spans="1:1163">
      <c r="A70">
        <v>670</v>
      </c>
      <c r="B70" t="s">
        <v>1231</v>
      </c>
      <c r="C70" t="s">
        <v>1354</v>
      </c>
      <c r="E70" s="2">
        <v>42495</v>
      </c>
      <c r="F70" t="s">
        <v>1431</v>
      </c>
      <c r="G70" t="s">
        <v>1433</v>
      </c>
      <c r="H70" t="s">
        <v>1434</v>
      </c>
      <c r="I70" t="s">
        <v>1435</v>
      </c>
      <c r="J70" t="s">
        <v>1451</v>
      </c>
      <c r="L70" t="s">
        <v>1569</v>
      </c>
      <c r="N70" t="s">
        <v>1624</v>
      </c>
      <c r="O70" t="s">
        <v>1648</v>
      </c>
      <c r="P70">
        <v>6209</v>
      </c>
      <c r="Q70">
        <v>6209</v>
      </c>
      <c r="R70" t="s">
        <v>1739</v>
      </c>
      <c r="S70" t="s">
        <v>1819</v>
      </c>
      <c r="Z70" t="s">
        <v>1899</v>
      </c>
      <c r="AA70" s="2">
        <v>45291</v>
      </c>
      <c r="AB70">
        <v>2023</v>
      </c>
      <c r="AC70" t="s">
        <v>1900</v>
      </c>
      <c r="AD70">
        <v>572360.399768314</v>
      </c>
      <c r="AE70">
        <v>543865.8946336691</v>
      </c>
      <c r="AF70">
        <v>386815.091565871</v>
      </c>
      <c r="AG70">
        <v>101075.445305532</v>
      </c>
      <c r="AH70" t="s">
        <v>1900</v>
      </c>
      <c r="AI70">
        <v>429053.316403856</v>
      </c>
      <c r="AJ70">
        <v>500655.325529581</v>
      </c>
      <c r="AK70">
        <v>371815.703262019</v>
      </c>
      <c r="AL70">
        <v>92990.3211704493</v>
      </c>
      <c r="AM70" t="s">
        <v>1900</v>
      </c>
      <c r="AN70" t="s">
        <v>1900</v>
      </c>
      <c r="AO70" t="s">
        <v>1900</v>
      </c>
      <c r="AP70">
        <v>30771.6177535057</v>
      </c>
      <c r="AQ70" t="s">
        <v>1900</v>
      </c>
      <c r="AR70" t="s">
        <v>1900</v>
      </c>
      <c r="AS70">
        <v>572360.399768314</v>
      </c>
      <c r="AT70">
        <v>543865.8946336691</v>
      </c>
      <c r="AU70">
        <v>356043.473812366</v>
      </c>
      <c r="AV70">
        <v>101075.445305532</v>
      </c>
      <c r="AW70" t="s">
        <v>1900</v>
      </c>
      <c r="AX70">
        <v>3178089.59473756</v>
      </c>
      <c r="AY70">
        <v>1354080.52723181</v>
      </c>
      <c r="AZ70">
        <v>919387.2349401</v>
      </c>
      <c r="BA70">
        <v>504376.673073792</v>
      </c>
      <c r="BB70" t="s">
        <v>1900</v>
      </c>
      <c r="BC70">
        <v>-2605729.19496924</v>
      </c>
      <c r="BD70">
        <v>-810214.633664739</v>
      </c>
      <c r="BE70">
        <v>-563343.761127734</v>
      </c>
      <c r="BF70">
        <v>-403301.228995359</v>
      </c>
      <c r="BG70" t="s">
        <v>1900</v>
      </c>
      <c r="BH70">
        <v>-52972.6408734703</v>
      </c>
      <c r="BI70">
        <v>-72943.5764085471</v>
      </c>
      <c r="BJ70">
        <v>-15974.387278533</v>
      </c>
      <c r="BK70">
        <v>-7161.79326722622</v>
      </c>
      <c r="BL70" t="s">
        <v>1900</v>
      </c>
      <c r="BM70" t="s">
        <v>1900</v>
      </c>
      <c r="BN70" t="s">
        <v>1900</v>
      </c>
      <c r="BO70" t="s">
        <v>1900</v>
      </c>
      <c r="BP70">
        <v>350.619082826376</v>
      </c>
      <c r="BQ70" t="s">
        <v>1900</v>
      </c>
      <c r="BR70">
        <v>52972.6408734703</v>
      </c>
      <c r="BS70">
        <v>72943.5764085471</v>
      </c>
      <c r="BT70">
        <v>15974.387278533</v>
      </c>
      <c r="BU70">
        <v>7512.4123500526</v>
      </c>
      <c r="BV70" t="s">
        <v>1900</v>
      </c>
      <c r="BW70">
        <v>-2658701.83584271</v>
      </c>
      <c r="BX70">
        <v>-883158.210073286</v>
      </c>
      <c r="BY70">
        <v>-579318.148406267</v>
      </c>
      <c r="BZ70">
        <v>-410463.022262585</v>
      </c>
      <c r="CA70" t="s">
        <v>1900</v>
      </c>
      <c r="CB70" t="s">
        <v>1900</v>
      </c>
      <c r="CC70" t="s">
        <v>1900</v>
      </c>
      <c r="CD70" t="s">
        <v>1900</v>
      </c>
      <c r="CE70" t="s">
        <v>1900</v>
      </c>
      <c r="CF70" t="s">
        <v>1900</v>
      </c>
      <c r="CG70">
        <v>-2658701.83584271</v>
      </c>
      <c r="CH70">
        <v>-883158.210073286</v>
      </c>
      <c r="CI70">
        <v>-579318.148406267</v>
      </c>
      <c r="CJ70">
        <v>-410463.022262585</v>
      </c>
      <c r="CK70" t="s">
        <v>1900</v>
      </c>
      <c r="CL70" t="s">
        <v>1900</v>
      </c>
      <c r="CM70" t="s">
        <v>1900</v>
      </c>
      <c r="CN70" t="s">
        <v>1900</v>
      </c>
      <c r="CO70" t="s">
        <v>1900</v>
      </c>
      <c r="CP70" t="s">
        <v>1900</v>
      </c>
      <c r="CQ70" t="s">
        <v>1900</v>
      </c>
      <c r="CR70" t="s">
        <v>1900</v>
      </c>
      <c r="CS70" t="s">
        <v>1900</v>
      </c>
      <c r="CT70" t="s">
        <v>1900</v>
      </c>
      <c r="CU70" t="s">
        <v>1900</v>
      </c>
      <c r="CV70" t="s">
        <v>1900</v>
      </c>
      <c r="CW70" t="s">
        <v>1900</v>
      </c>
      <c r="CX70" t="s">
        <v>1900</v>
      </c>
      <c r="CY70" t="s">
        <v>1900</v>
      </c>
      <c r="CZ70" t="s">
        <v>1900</v>
      </c>
      <c r="DA70">
        <v>-2658701.83584271</v>
      </c>
      <c r="DB70">
        <v>-883158.210073286</v>
      </c>
      <c r="DC70">
        <v>-579318.148406267</v>
      </c>
      <c r="DD70">
        <v>-410463.022262585</v>
      </c>
      <c r="DE70" t="s">
        <v>1900</v>
      </c>
      <c r="DF70" t="s">
        <v>1900</v>
      </c>
      <c r="DG70" t="s">
        <v>1900</v>
      </c>
      <c r="DH70" t="s">
        <v>1900</v>
      </c>
      <c r="DI70" t="s">
        <v>1900</v>
      </c>
      <c r="DJ70" t="s">
        <v>1900</v>
      </c>
      <c r="DK70" t="s">
        <v>1900</v>
      </c>
      <c r="DL70" t="s">
        <v>1900</v>
      </c>
      <c r="DM70">
        <v>30771.6177535057</v>
      </c>
      <c r="DN70" t="s">
        <v>1900</v>
      </c>
      <c r="DO70" t="s">
        <v>1900</v>
      </c>
      <c r="DP70">
        <v>2651868.9547762</v>
      </c>
      <c r="DQ70">
        <v>1706375.43811954</v>
      </c>
      <c r="DR70">
        <v>1245772.0859951</v>
      </c>
      <c r="DS70">
        <v>650274.975768291</v>
      </c>
      <c r="DT70" t="s">
        <v>1900</v>
      </c>
      <c r="DU70">
        <v>775838.0198865701</v>
      </c>
      <c r="DV70">
        <v>472834.64577961</v>
      </c>
      <c r="DW70">
        <v>255871.149288797</v>
      </c>
      <c r="DX70">
        <v>127595.58899079</v>
      </c>
      <c r="DY70" t="s">
        <v>1900</v>
      </c>
      <c r="DZ70">
        <v>-249617.379925213</v>
      </c>
      <c r="EA70">
        <v>-825129.554534139</v>
      </c>
      <c r="EB70">
        <v>-582256.0003438001</v>
      </c>
      <c r="EC70">
        <v>-273493.891685289</v>
      </c>
      <c r="ED70" t="s">
        <v>1900</v>
      </c>
      <c r="EE70">
        <v>52242.0918956089</v>
      </c>
      <c r="EF70">
        <v>72028.6686995089</v>
      </c>
      <c r="EG70">
        <v>15323.8443139315</v>
      </c>
      <c r="EH70">
        <v>6712.76082058549</v>
      </c>
      <c r="EI70" t="s">
        <v>1900</v>
      </c>
      <c r="EJ70" t="s">
        <v>1900</v>
      </c>
      <c r="EK70" t="s">
        <v>1900</v>
      </c>
      <c r="EL70" t="s">
        <v>1900</v>
      </c>
      <c r="EM70" t="s">
        <v>1900</v>
      </c>
      <c r="EN70" t="s">
        <v>1900</v>
      </c>
      <c r="EO70">
        <v>-1882863.81595614</v>
      </c>
      <c r="EP70">
        <v>-410323.563227077</v>
      </c>
      <c r="EQ70">
        <v>-323446.99911747</v>
      </c>
      <c r="ER70">
        <v>-282867.433271796</v>
      </c>
      <c r="ES70" t="s">
        <v>1900</v>
      </c>
      <c r="ET70">
        <v>821247.230715666</v>
      </c>
      <c r="EU70">
        <v>1368080.54252537</v>
      </c>
      <c r="EV70">
        <v>937648.931191564</v>
      </c>
      <c r="EW70">
        <v>374120.303317081</v>
      </c>
      <c r="EX70" t="s">
        <v>1900</v>
      </c>
      <c r="EY70">
        <v>-1829891.17508267</v>
      </c>
      <c r="EZ70">
        <v>-337379.987885129</v>
      </c>
      <c r="FA70">
        <v>-307472.610706337</v>
      </c>
      <c r="FB70">
        <v>-275705.640004569</v>
      </c>
      <c r="FC70" t="s">
        <v>1900</v>
      </c>
      <c r="FD70">
        <v>3355593.95719934</v>
      </c>
      <c r="FE70">
        <v>2236807.18155275</v>
      </c>
      <c r="FF70">
        <v>1517947.07333987</v>
      </c>
      <c r="FG70">
        <v>830855.106235522</v>
      </c>
      <c r="FH70" t="s">
        <v>1900</v>
      </c>
      <c r="FI70">
        <v>3180842.427223</v>
      </c>
      <c r="FJ70">
        <v>2162101.50812764</v>
      </c>
      <c r="FK70">
        <v>1428909.98802116</v>
      </c>
      <c r="FL70">
        <v>745653.257944518</v>
      </c>
      <c r="FM70" t="s">
        <v>1900</v>
      </c>
      <c r="FN70">
        <v>92924.9725035858</v>
      </c>
      <c r="FO70">
        <v>15340.9751015842</v>
      </c>
      <c r="FP70">
        <v>25998.9193398714</v>
      </c>
      <c r="FQ70">
        <v>30654.5234578788</v>
      </c>
      <c r="FR70" t="s">
        <v>1900</v>
      </c>
      <c r="FS70">
        <v>81826.5574727535</v>
      </c>
      <c r="FT70">
        <v>59364.6972569305</v>
      </c>
      <c r="FU70">
        <v>63038.1648462367</v>
      </c>
      <c r="FV70">
        <v>54547.3248331249</v>
      </c>
      <c r="FW70" t="s">
        <v>1900</v>
      </c>
      <c r="FX70">
        <v>3180842.427223</v>
      </c>
      <c r="FY70">
        <v>2162101.50812764</v>
      </c>
      <c r="FZ70">
        <v>1428909.98802116</v>
      </c>
      <c r="GA70">
        <v>745653.257944518</v>
      </c>
      <c r="GB70" t="s">
        <v>1900</v>
      </c>
      <c r="GC70">
        <v>92924.9725035858</v>
      </c>
      <c r="GD70">
        <v>15340.9751015842</v>
      </c>
      <c r="GE70">
        <v>25998.9193398714</v>
      </c>
      <c r="GF70">
        <v>30654.5234578788</v>
      </c>
      <c r="GG70" t="s">
        <v>1900</v>
      </c>
      <c r="GH70">
        <v>81826.5574727535</v>
      </c>
      <c r="GI70">
        <v>59364.6972569305</v>
      </c>
      <c r="GJ70">
        <v>63038.1648462367</v>
      </c>
      <c r="GK70">
        <v>54547.3248331249</v>
      </c>
      <c r="GL70" t="s">
        <v>1900</v>
      </c>
      <c r="GM70">
        <v>5550964.41095462</v>
      </c>
      <c r="GN70">
        <v>1562789.08972254</v>
      </c>
      <c r="GO70">
        <v>644909.4673022029</v>
      </c>
      <c r="GP70">
        <v>1654614.92798585</v>
      </c>
      <c r="GQ70" t="s">
        <v>1900</v>
      </c>
      <c r="GR70">
        <v>0</v>
      </c>
      <c r="GS70">
        <v>0</v>
      </c>
      <c r="GT70">
        <v>1131.09394905567</v>
      </c>
      <c r="GU70">
        <v>368.129789829254</v>
      </c>
      <c r="GV70" t="s">
        <v>1900</v>
      </c>
      <c r="GW70">
        <v>557557.647375021</v>
      </c>
      <c r="GX70">
        <v>463647.512419486</v>
      </c>
      <c r="GY70">
        <v>185703.366308498</v>
      </c>
      <c r="GZ70">
        <v>153271.831945843</v>
      </c>
      <c r="HA70" t="s">
        <v>1900</v>
      </c>
      <c r="HB70">
        <v>4993406.7624746</v>
      </c>
      <c r="HC70">
        <v>1099141.57730306</v>
      </c>
      <c r="HD70">
        <v>458075.007044649</v>
      </c>
      <c r="HE70">
        <v>1500974.96625018</v>
      </c>
      <c r="HF70" t="s">
        <v>1900</v>
      </c>
      <c r="HG70">
        <v>4957966.24842433</v>
      </c>
      <c r="HH70">
        <v>1071739.64451218</v>
      </c>
      <c r="HI70">
        <v>455270.801943398</v>
      </c>
      <c r="HJ70">
        <v>1500729.5341193</v>
      </c>
      <c r="HK70" t="s">
        <v>1900</v>
      </c>
      <c r="HL70">
        <v>8906558.36815395</v>
      </c>
      <c r="HM70">
        <v>3799596.27127529</v>
      </c>
      <c r="HN70">
        <v>2162856.54064207</v>
      </c>
      <c r="HO70">
        <v>2485470.03422137</v>
      </c>
      <c r="HP70" t="s">
        <v>1900</v>
      </c>
      <c r="HQ70">
        <v>7976100.98807612</v>
      </c>
      <c r="HR70">
        <v>400566.429501033</v>
      </c>
      <c r="HS70">
        <v>1378009.93351543</v>
      </c>
      <c r="HT70">
        <v>2126984.33683216</v>
      </c>
      <c r="HU70" t="s">
        <v>1900</v>
      </c>
      <c r="HV70">
        <v>12977.4683741283</v>
      </c>
      <c r="HW70">
        <v>6639.5818144083</v>
      </c>
      <c r="HX70">
        <v>7342.647793293</v>
      </c>
      <c r="HY70">
        <v>7955.28475821018</v>
      </c>
      <c r="HZ70" t="s">
        <v>1900</v>
      </c>
      <c r="IA70">
        <v>7963123.51970199</v>
      </c>
      <c r="IB70">
        <v>393926.846620025</v>
      </c>
      <c r="IC70">
        <v>1370667.28458954</v>
      </c>
      <c r="ID70">
        <v>2119029.05207395</v>
      </c>
      <c r="IE70" t="s">
        <v>1900</v>
      </c>
      <c r="IF70">
        <v>361491.751783056</v>
      </c>
      <c r="IG70">
        <v>1970068.80306262</v>
      </c>
      <c r="IH70">
        <v>538176.204391551</v>
      </c>
      <c r="II70">
        <v>146580.68034392</v>
      </c>
      <c r="IJ70" t="s">
        <v>1900</v>
      </c>
      <c r="IK70">
        <v>253419.465631542</v>
      </c>
      <c r="IL70">
        <v>1962728.3267265</v>
      </c>
      <c r="IM70">
        <v>519507.043853474</v>
      </c>
      <c r="IN70">
        <v>124241.153532886</v>
      </c>
      <c r="IO70" t="s">
        <v>1900</v>
      </c>
      <c r="IP70">
        <v>108072.286151514</v>
      </c>
      <c r="IQ70">
        <v>7340.47633612752</v>
      </c>
      <c r="IR70">
        <v>18669.1605380774</v>
      </c>
      <c r="IS70">
        <v>22339.5268110335</v>
      </c>
      <c r="IT70" t="s">
        <v>1900</v>
      </c>
      <c r="IU70" t="s">
        <v>1900</v>
      </c>
      <c r="IV70" t="s">
        <v>1900</v>
      </c>
      <c r="IW70" t="s">
        <v>1900</v>
      </c>
      <c r="IX70" t="s">
        <v>1900</v>
      </c>
      <c r="IY70" t="s">
        <v>1900</v>
      </c>
      <c r="IZ70">
        <v>568965.6282947829</v>
      </c>
      <c r="JA70">
        <v>1428961.03871164</v>
      </c>
      <c r="JB70">
        <v>246670.40273509</v>
      </c>
      <c r="JC70">
        <v>211905.017045289</v>
      </c>
      <c r="JD70" t="s">
        <v>1900</v>
      </c>
      <c r="JE70">
        <v>33150.0148773193</v>
      </c>
      <c r="JF70">
        <v>18438.5506714046</v>
      </c>
      <c r="JG70">
        <v>23305.4485706806</v>
      </c>
      <c r="JH70">
        <v>23681.3967079401</v>
      </c>
      <c r="JI70" t="s">
        <v>1900</v>
      </c>
      <c r="JJ70">
        <v>0</v>
      </c>
      <c r="JK70">
        <v>0</v>
      </c>
      <c r="JL70">
        <v>522.083437728882</v>
      </c>
      <c r="JM70">
        <v>0</v>
      </c>
      <c r="JN70" t="s">
        <v>1900</v>
      </c>
      <c r="JO70">
        <v>535815.613417463</v>
      </c>
      <c r="JP70">
        <v>1410522.48804023</v>
      </c>
      <c r="JQ70">
        <v>222842.870726681</v>
      </c>
      <c r="JR70">
        <v>188223.620337349</v>
      </c>
      <c r="JS70" t="s">
        <v>1900</v>
      </c>
      <c r="JT70">
        <v>8906558.36815395</v>
      </c>
      <c r="JU70">
        <v>3799596.27127529</v>
      </c>
      <c r="JV70">
        <v>2162856.54064207</v>
      </c>
      <c r="JW70">
        <v>2485470.03422137</v>
      </c>
      <c r="JX70" t="s">
        <v>1900</v>
      </c>
      <c r="JY70">
        <v>557557.647375021</v>
      </c>
      <c r="JZ70">
        <v>463647.512419486</v>
      </c>
      <c r="KA70">
        <v>186312.376819825</v>
      </c>
      <c r="KB70">
        <v>153639.961735672</v>
      </c>
      <c r="KC70" t="s">
        <v>1900</v>
      </c>
      <c r="KD70" t="s">
        <v>1900</v>
      </c>
      <c r="KE70" t="s">
        <v>1900</v>
      </c>
      <c r="KF70" t="s">
        <v>1900</v>
      </c>
      <c r="KG70" t="s">
        <v>1900</v>
      </c>
      <c r="KH70" t="s">
        <v>1900</v>
      </c>
      <c r="KI70" t="s">
        <v>1900</v>
      </c>
      <c r="KJ70" t="s">
        <v>1900</v>
      </c>
      <c r="KK70" t="s">
        <v>1900</v>
      </c>
      <c r="KL70" t="s">
        <v>1900</v>
      </c>
      <c r="KM70" t="s">
        <v>1900</v>
      </c>
      <c r="KN70">
        <v>45</v>
      </c>
      <c r="KO70">
        <v>63</v>
      </c>
      <c r="KP70">
        <v>37</v>
      </c>
      <c r="KQ70">
        <v>12</v>
      </c>
      <c r="KR70" t="s">
        <v>1900</v>
      </c>
      <c r="KS70" t="s">
        <v>1900</v>
      </c>
      <c r="KT70" t="s">
        <v>1900</v>
      </c>
      <c r="KU70" t="s">
        <v>1900</v>
      </c>
      <c r="KV70" t="s">
        <v>1900</v>
      </c>
      <c r="KW70" t="s">
        <v>1900</v>
      </c>
      <c r="KX70" t="s">
        <v>1900</v>
      </c>
      <c r="KY70" t="s">
        <v>1900</v>
      </c>
      <c r="KZ70" t="s">
        <v>1900</v>
      </c>
      <c r="LA70" t="s">
        <v>1900</v>
      </c>
      <c r="LB70" t="s">
        <v>1900</v>
      </c>
      <c r="LC70" t="s">
        <v>1900</v>
      </c>
      <c r="LD70" t="s">
        <v>1900</v>
      </c>
      <c r="LE70" t="s">
        <v>1900</v>
      </c>
      <c r="LF70" t="s">
        <v>1900</v>
      </c>
      <c r="LG70" t="s">
        <v>1900</v>
      </c>
      <c r="LH70" t="s">
        <v>1900</v>
      </c>
      <c r="LI70" t="s">
        <v>1900</v>
      </c>
      <c r="LJ70" t="s">
        <v>1900</v>
      </c>
      <c r="LK70" t="s">
        <v>1900</v>
      </c>
      <c r="LL70" t="s">
        <v>1900</v>
      </c>
      <c r="LM70" t="s">
        <v>1900</v>
      </c>
      <c r="LN70" t="s">
        <v>1900</v>
      </c>
      <c r="LO70" t="s">
        <v>1900</v>
      </c>
      <c r="LP70" t="s">
        <v>1900</v>
      </c>
      <c r="LQ70" t="s">
        <v>1900</v>
      </c>
      <c r="LR70" t="s">
        <v>1900</v>
      </c>
      <c r="LS70" t="s">
        <v>1900</v>
      </c>
      <c r="LT70" t="s">
        <v>1900</v>
      </c>
      <c r="LU70" t="s">
        <v>1900</v>
      </c>
      <c r="LV70" t="s">
        <v>1900</v>
      </c>
      <c r="LW70" t="s">
        <v>1900</v>
      </c>
      <c r="LX70" t="s">
        <v>1900</v>
      </c>
      <c r="LY70" t="s">
        <v>1900</v>
      </c>
      <c r="LZ70" t="s">
        <v>1900</v>
      </c>
      <c r="MA70" t="s">
        <v>1900</v>
      </c>
      <c r="MB70" t="s">
        <v>1900</v>
      </c>
      <c r="MC70" t="s">
        <v>1900</v>
      </c>
      <c r="MD70" t="s">
        <v>1900</v>
      </c>
      <c r="ME70" t="s">
        <v>1900</v>
      </c>
      <c r="MF70" t="s">
        <v>1900</v>
      </c>
      <c r="MG70" t="s">
        <v>1900</v>
      </c>
      <c r="MH70" t="s">
        <v>1900</v>
      </c>
      <c r="MI70" t="s">
        <v>1900</v>
      </c>
      <c r="MJ70" t="s">
        <v>1900</v>
      </c>
      <c r="MK70" t="s">
        <v>1900</v>
      </c>
      <c r="ML70" t="s">
        <v>1900</v>
      </c>
      <c r="MM70" t="s">
        <v>1900</v>
      </c>
      <c r="MN70" t="s">
        <v>1900</v>
      </c>
      <c r="MO70" t="s">
        <v>1900</v>
      </c>
      <c r="MP70" t="s">
        <v>1900</v>
      </c>
      <c r="MQ70">
        <v>4993406.7624746</v>
      </c>
      <c r="MR70">
        <v>1099141.57730306</v>
      </c>
      <c r="MS70">
        <v>458075.007044649</v>
      </c>
      <c r="MT70">
        <v>1500974.96625018</v>
      </c>
      <c r="MU70" t="s">
        <v>1900</v>
      </c>
      <c r="MV70" t="s">
        <v>1900</v>
      </c>
      <c r="MW70" t="s">
        <v>1900</v>
      </c>
      <c r="MX70" t="s">
        <v>1900</v>
      </c>
      <c r="MY70" t="s">
        <v>1900</v>
      </c>
      <c r="MZ70" t="s">
        <v>1900</v>
      </c>
      <c r="NA70" t="s">
        <v>1900</v>
      </c>
      <c r="NB70" t="s">
        <v>1900</v>
      </c>
      <c r="NC70" t="s">
        <v>1900</v>
      </c>
      <c r="ND70" t="s">
        <v>1900</v>
      </c>
      <c r="NE70" t="s">
        <v>1900</v>
      </c>
      <c r="NF70" t="s">
        <v>1900</v>
      </c>
      <c r="NG70" t="s">
        <v>1900</v>
      </c>
      <c r="NH70" t="s">
        <v>1900</v>
      </c>
      <c r="NI70" t="s">
        <v>1900</v>
      </c>
      <c r="NJ70" t="s">
        <v>1900</v>
      </c>
      <c r="NK70" t="s">
        <v>1900</v>
      </c>
      <c r="NL70" t="s">
        <v>1900</v>
      </c>
      <c r="NM70" t="s">
        <v>1900</v>
      </c>
      <c r="NN70" t="s">
        <v>1900</v>
      </c>
      <c r="NO70" t="s">
        <v>1900</v>
      </c>
      <c r="NP70" t="s">
        <v>1900</v>
      </c>
      <c r="NQ70" t="s">
        <v>1900</v>
      </c>
      <c r="NR70" t="s">
        <v>1900</v>
      </c>
      <c r="NS70" t="s">
        <v>1900</v>
      </c>
      <c r="NT70" t="s">
        <v>1900</v>
      </c>
      <c r="NU70">
        <v>3355593.95719934</v>
      </c>
      <c r="NV70">
        <v>2236807.18155275</v>
      </c>
      <c r="NW70">
        <v>1517947.07333987</v>
      </c>
      <c r="NX70">
        <v>830855.106235522</v>
      </c>
      <c r="NY70" t="s">
        <v>1900</v>
      </c>
      <c r="NZ70" t="s">
        <v>1900</v>
      </c>
      <c r="OA70" t="s">
        <v>1900</v>
      </c>
      <c r="OB70" t="s">
        <v>1900</v>
      </c>
      <c r="OC70" t="s">
        <v>1900</v>
      </c>
      <c r="OD70" t="s">
        <v>1900</v>
      </c>
      <c r="OE70" t="s">
        <v>1900</v>
      </c>
      <c r="OF70" t="s">
        <v>1900</v>
      </c>
      <c r="OG70" t="s">
        <v>1900</v>
      </c>
      <c r="OH70" t="s">
        <v>1900</v>
      </c>
      <c r="OI70" t="s">
        <v>1900</v>
      </c>
      <c r="OJ70" t="s">
        <v>1900</v>
      </c>
      <c r="OK70" t="s">
        <v>1900</v>
      </c>
      <c r="OL70" t="s">
        <v>1900</v>
      </c>
      <c r="OM70" t="s">
        <v>1900</v>
      </c>
      <c r="ON70" t="s">
        <v>1900</v>
      </c>
      <c r="OO70" t="s">
        <v>1900</v>
      </c>
      <c r="OP70" t="s">
        <v>1900</v>
      </c>
      <c r="OQ70" t="s">
        <v>1900</v>
      </c>
      <c r="OR70" t="s">
        <v>1900</v>
      </c>
      <c r="OS70" t="s">
        <v>1900</v>
      </c>
      <c r="OT70" t="s">
        <v>1900</v>
      </c>
      <c r="OU70" t="s">
        <v>1900</v>
      </c>
      <c r="OV70" t="s">
        <v>1900</v>
      </c>
      <c r="OW70" t="s">
        <v>1900</v>
      </c>
      <c r="OX70" t="s">
        <v>1900</v>
      </c>
      <c r="OY70" t="s">
        <v>1900</v>
      </c>
      <c r="OZ70" t="s">
        <v>1900</v>
      </c>
      <c r="PA70" t="s">
        <v>1900</v>
      </c>
      <c r="PB70" t="s">
        <v>1900</v>
      </c>
      <c r="PC70" t="s">
        <v>1900</v>
      </c>
      <c r="PD70" t="s">
        <v>1900</v>
      </c>
      <c r="PE70" t="s">
        <v>1900</v>
      </c>
      <c r="PF70" t="s">
        <v>1900</v>
      </c>
      <c r="PG70" t="s">
        <v>1900</v>
      </c>
      <c r="PH70" t="s">
        <v>1900</v>
      </c>
      <c r="PI70" t="s">
        <v>1900</v>
      </c>
      <c r="PJ70" t="s">
        <v>1900</v>
      </c>
      <c r="PK70" t="s">
        <v>1900</v>
      </c>
      <c r="PL70" t="s">
        <v>1900</v>
      </c>
      <c r="PM70" t="s">
        <v>1900</v>
      </c>
      <c r="PN70" t="s">
        <v>1900</v>
      </c>
      <c r="PO70" t="s">
        <v>1900</v>
      </c>
      <c r="PP70" t="s">
        <v>1900</v>
      </c>
      <c r="PQ70" t="s">
        <v>1900</v>
      </c>
      <c r="PR70" t="s">
        <v>1900</v>
      </c>
      <c r="PS70" t="s">
        <v>1900</v>
      </c>
      <c r="PT70" t="s">
        <v>1900</v>
      </c>
      <c r="PU70" t="s">
        <v>1900</v>
      </c>
      <c r="PV70" t="s">
        <v>1900</v>
      </c>
      <c r="PW70" t="s">
        <v>1900</v>
      </c>
      <c r="PX70" t="s">
        <v>1900</v>
      </c>
      <c r="PY70" t="s">
        <v>1900</v>
      </c>
      <c r="PZ70" t="s">
        <v>1900</v>
      </c>
      <c r="QA70" t="s">
        <v>1900</v>
      </c>
      <c r="QB70" t="s">
        <v>1900</v>
      </c>
      <c r="QC70" t="s">
        <v>1900</v>
      </c>
      <c r="QD70" t="s">
        <v>1900</v>
      </c>
      <c r="QE70" t="s">
        <v>1900</v>
      </c>
      <c r="QF70" t="s">
        <v>1900</v>
      </c>
      <c r="QG70" t="s">
        <v>1900</v>
      </c>
      <c r="QH70" t="s">
        <v>1900</v>
      </c>
      <c r="QI70" t="s">
        <v>1900</v>
      </c>
      <c r="QJ70" t="s">
        <v>1900</v>
      </c>
      <c r="QK70" t="s">
        <v>1900</v>
      </c>
      <c r="QL70" t="s">
        <v>1900</v>
      </c>
      <c r="QM70" t="s">
        <v>1900</v>
      </c>
      <c r="QN70" t="s">
        <v>1900</v>
      </c>
      <c r="QO70" t="s">
        <v>1900</v>
      </c>
      <c r="QP70" t="s">
        <v>1900</v>
      </c>
      <c r="QQ70" t="s">
        <v>1900</v>
      </c>
      <c r="QR70" t="s">
        <v>1900</v>
      </c>
      <c r="QS70" t="s">
        <v>1900</v>
      </c>
      <c r="QT70" t="s">
        <v>1900</v>
      </c>
      <c r="QU70" t="s">
        <v>1900</v>
      </c>
      <c r="QV70" t="s">
        <v>1900</v>
      </c>
      <c r="QW70" t="s">
        <v>1900</v>
      </c>
      <c r="QX70" t="s">
        <v>1900</v>
      </c>
      <c r="QY70" t="s">
        <v>1900</v>
      </c>
      <c r="QZ70" t="s">
        <v>1900</v>
      </c>
      <c r="RA70" t="s">
        <v>1900</v>
      </c>
      <c r="RB70" t="s">
        <v>1900</v>
      </c>
      <c r="RC70" t="s">
        <v>1900</v>
      </c>
      <c r="RD70" t="s">
        <v>1900</v>
      </c>
      <c r="RE70" t="s">
        <v>1900</v>
      </c>
      <c r="RF70" t="s">
        <v>1900</v>
      </c>
      <c r="RG70" t="s">
        <v>1900</v>
      </c>
      <c r="RH70" t="s">
        <v>1900</v>
      </c>
      <c r="RI70" t="s">
        <v>1900</v>
      </c>
      <c r="RJ70" t="s">
        <v>1900</v>
      </c>
      <c r="RK70" t="s">
        <v>1900</v>
      </c>
      <c r="RL70" t="s">
        <v>1900</v>
      </c>
      <c r="RM70" t="s">
        <v>1900</v>
      </c>
      <c r="RN70" t="s">
        <v>1900</v>
      </c>
      <c r="RO70" t="s">
        <v>1900</v>
      </c>
      <c r="RP70" t="s">
        <v>1900</v>
      </c>
      <c r="RQ70" t="s">
        <v>1900</v>
      </c>
      <c r="RR70" t="s">
        <v>1900</v>
      </c>
      <c r="RS70" t="s">
        <v>1900</v>
      </c>
      <c r="RT70" t="s">
        <v>1900</v>
      </c>
      <c r="RU70" t="s">
        <v>1900</v>
      </c>
      <c r="RV70" t="s">
        <v>1900</v>
      </c>
      <c r="RW70" t="s">
        <v>1900</v>
      </c>
      <c r="RX70" t="s">
        <v>1900</v>
      </c>
      <c r="RY70" t="s">
        <v>1900</v>
      </c>
      <c r="RZ70" t="s">
        <v>1900</v>
      </c>
      <c r="SA70" t="s">
        <v>1900</v>
      </c>
      <c r="SB70" t="s">
        <v>1900</v>
      </c>
      <c r="SC70" t="s">
        <v>1900</v>
      </c>
      <c r="SD70" t="s">
        <v>1900</v>
      </c>
      <c r="SE70" t="s">
        <v>1900</v>
      </c>
      <c r="SF70" t="s">
        <v>1900</v>
      </c>
      <c r="SG70" t="s">
        <v>1900</v>
      </c>
      <c r="SH70" t="s">
        <v>1900</v>
      </c>
      <c r="SI70" t="s">
        <v>1900</v>
      </c>
      <c r="SJ70" t="s">
        <v>1900</v>
      </c>
      <c r="SK70">
        <v>81826.5574727535</v>
      </c>
      <c r="SL70">
        <v>59364.6972569305</v>
      </c>
      <c r="SM70">
        <v>63038.1648462367</v>
      </c>
      <c r="SN70">
        <v>54547.3248331249</v>
      </c>
      <c r="SO70" t="s">
        <v>1900</v>
      </c>
      <c r="SP70" t="s">
        <v>1900</v>
      </c>
      <c r="SQ70" t="s">
        <v>1900</v>
      </c>
      <c r="SR70" t="s">
        <v>1900</v>
      </c>
      <c r="SS70" t="s">
        <v>1900</v>
      </c>
      <c r="ST70" t="s">
        <v>1900</v>
      </c>
      <c r="SU70" t="s">
        <v>1900</v>
      </c>
      <c r="SV70" t="s">
        <v>1900</v>
      </c>
      <c r="SW70" t="s">
        <v>1900</v>
      </c>
      <c r="SX70" t="s">
        <v>1900</v>
      </c>
      <c r="SY70" t="s">
        <v>1900</v>
      </c>
      <c r="SZ70" t="s">
        <v>1900</v>
      </c>
      <c r="TA70" t="s">
        <v>1900</v>
      </c>
      <c r="TB70" t="s">
        <v>1900</v>
      </c>
      <c r="TC70" t="s">
        <v>1900</v>
      </c>
      <c r="TD70" t="s">
        <v>1900</v>
      </c>
      <c r="TE70" t="s">
        <v>1900</v>
      </c>
      <c r="TF70" t="s">
        <v>1900</v>
      </c>
      <c r="TG70" t="s">
        <v>1900</v>
      </c>
      <c r="TH70" t="s">
        <v>1900</v>
      </c>
      <c r="TI70" t="s">
        <v>1900</v>
      </c>
      <c r="TJ70" t="s">
        <v>1900</v>
      </c>
      <c r="TK70" t="s">
        <v>1900</v>
      </c>
      <c r="TL70" t="s">
        <v>1900</v>
      </c>
      <c r="TM70" t="s">
        <v>1900</v>
      </c>
      <c r="TN70" t="s">
        <v>1900</v>
      </c>
      <c r="TO70" t="s">
        <v>1900</v>
      </c>
      <c r="TP70" t="s">
        <v>1900</v>
      </c>
      <c r="TQ70" t="s">
        <v>1900</v>
      </c>
      <c r="TR70" t="s">
        <v>1900</v>
      </c>
      <c r="TS70" t="s">
        <v>1900</v>
      </c>
      <c r="TT70">
        <v>8906558.36815395</v>
      </c>
      <c r="TU70">
        <v>3799596.27127529</v>
      </c>
      <c r="TV70">
        <v>2162856.54064207</v>
      </c>
      <c r="TW70">
        <v>2485470.03422137</v>
      </c>
      <c r="TX70" t="s">
        <v>1900</v>
      </c>
      <c r="TY70" t="s">
        <v>1900</v>
      </c>
      <c r="TZ70" t="s">
        <v>1900</v>
      </c>
      <c r="UA70" t="s">
        <v>1900</v>
      </c>
      <c r="UB70" t="s">
        <v>1900</v>
      </c>
      <c r="UC70" t="s">
        <v>1900</v>
      </c>
      <c r="UD70">
        <v>33150.0148773193</v>
      </c>
      <c r="UE70">
        <v>18438.5506714046</v>
      </c>
      <c r="UF70">
        <v>23305.4485706806</v>
      </c>
      <c r="UG70">
        <v>23681.3967079401</v>
      </c>
      <c r="UH70" t="s">
        <v>1900</v>
      </c>
      <c r="UI70" t="s">
        <v>1900</v>
      </c>
      <c r="UJ70" t="s">
        <v>1900</v>
      </c>
      <c r="UK70" t="s">
        <v>1900</v>
      </c>
      <c r="UL70" t="s">
        <v>1900</v>
      </c>
      <c r="UM70" t="s">
        <v>1900</v>
      </c>
      <c r="UN70" t="s">
        <v>1900</v>
      </c>
      <c r="UO70" t="s">
        <v>1900</v>
      </c>
      <c r="UP70" t="s">
        <v>1900</v>
      </c>
      <c r="UQ70" t="s">
        <v>1900</v>
      </c>
      <c r="UR70" t="s">
        <v>1900</v>
      </c>
      <c r="US70" t="s">
        <v>1900</v>
      </c>
      <c r="UT70" t="s">
        <v>1900</v>
      </c>
      <c r="UU70" t="s">
        <v>1900</v>
      </c>
      <c r="UV70" t="s">
        <v>1900</v>
      </c>
      <c r="UW70" t="s">
        <v>1900</v>
      </c>
      <c r="UX70" t="s">
        <v>1900</v>
      </c>
      <c r="UY70" t="s">
        <v>1900</v>
      </c>
      <c r="UZ70" t="s">
        <v>1900</v>
      </c>
      <c r="VA70" t="s">
        <v>1900</v>
      </c>
      <c r="VB70" t="s">
        <v>1900</v>
      </c>
      <c r="VC70" t="s">
        <v>1900</v>
      </c>
      <c r="VD70" t="s">
        <v>1900</v>
      </c>
      <c r="VE70" t="s">
        <v>1900</v>
      </c>
      <c r="VF70" t="s">
        <v>1900</v>
      </c>
      <c r="VG70" t="s">
        <v>1900</v>
      </c>
      <c r="VH70" t="s">
        <v>1900</v>
      </c>
      <c r="VI70" t="s">
        <v>1900</v>
      </c>
      <c r="VJ70" t="s">
        <v>1900</v>
      </c>
      <c r="VK70" t="s">
        <v>1900</v>
      </c>
      <c r="VL70" t="s">
        <v>1900</v>
      </c>
      <c r="VM70" t="s">
        <v>1900</v>
      </c>
      <c r="VN70" t="s">
        <v>1900</v>
      </c>
      <c r="VO70" t="s">
        <v>1900</v>
      </c>
      <c r="VP70" t="s">
        <v>1900</v>
      </c>
      <c r="VQ70" t="s">
        <v>1900</v>
      </c>
      <c r="VR70" t="s">
        <v>1900</v>
      </c>
      <c r="VS70" t="s">
        <v>1900</v>
      </c>
      <c r="VT70" t="s">
        <v>1900</v>
      </c>
      <c r="VU70" t="s">
        <v>1900</v>
      </c>
      <c r="VV70" t="s">
        <v>1900</v>
      </c>
      <c r="VW70" t="s">
        <v>1900</v>
      </c>
      <c r="VX70" t="s">
        <v>1900</v>
      </c>
      <c r="VY70" t="s">
        <v>1900</v>
      </c>
      <c r="VZ70" t="s">
        <v>1900</v>
      </c>
      <c r="WA70" t="s">
        <v>1900</v>
      </c>
      <c r="WB70">
        <v>535815.613417463</v>
      </c>
      <c r="WC70">
        <v>1410522.48804023</v>
      </c>
      <c r="WD70">
        <v>222842.870726681</v>
      </c>
      <c r="WE70">
        <v>188223.620337349</v>
      </c>
      <c r="WF70" t="s">
        <v>1900</v>
      </c>
      <c r="WG70" t="s">
        <v>1900</v>
      </c>
      <c r="WH70" t="s">
        <v>1900</v>
      </c>
      <c r="WI70" t="s">
        <v>1900</v>
      </c>
      <c r="WJ70" t="s">
        <v>1900</v>
      </c>
      <c r="WK70" t="s">
        <v>1900</v>
      </c>
      <c r="WL70" t="s">
        <v>1900</v>
      </c>
      <c r="WM70" t="s">
        <v>1900</v>
      </c>
      <c r="WN70" t="s">
        <v>1900</v>
      </c>
      <c r="WO70" t="s">
        <v>1900</v>
      </c>
      <c r="WP70" t="s">
        <v>1900</v>
      </c>
      <c r="WQ70" t="s">
        <v>1900</v>
      </c>
      <c r="WR70" t="s">
        <v>1900</v>
      </c>
      <c r="WS70" t="s">
        <v>1900</v>
      </c>
      <c r="WT70" t="s">
        <v>1900</v>
      </c>
      <c r="WU70" t="s">
        <v>1900</v>
      </c>
      <c r="WV70" t="s">
        <v>1900</v>
      </c>
      <c r="WW70" t="s">
        <v>1900</v>
      </c>
      <c r="WX70" t="s">
        <v>1900</v>
      </c>
      <c r="WY70" t="s">
        <v>1900</v>
      </c>
      <c r="WZ70" t="s">
        <v>1900</v>
      </c>
      <c r="XA70" t="s">
        <v>1900</v>
      </c>
      <c r="XB70" t="s">
        <v>1900</v>
      </c>
      <c r="XC70" t="s">
        <v>1900</v>
      </c>
      <c r="XD70" t="s">
        <v>1900</v>
      </c>
      <c r="XE70" t="s">
        <v>1900</v>
      </c>
      <c r="XF70" t="s">
        <v>1900</v>
      </c>
      <c r="XG70" t="s">
        <v>1900</v>
      </c>
      <c r="XH70" t="s">
        <v>1900</v>
      </c>
      <c r="XI70" t="s">
        <v>1900</v>
      </c>
      <c r="XJ70" t="s">
        <v>1900</v>
      </c>
      <c r="XK70">
        <v>108072.286151514</v>
      </c>
      <c r="XL70">
        <v>7340.47633612752</v>
      </c>
      <c r="XM70">
        <v>18669.1605380774</v>
      </c>
      <c r="XN70">
        <v>22339.5268110335</v>
      </c>
      <c r="XO70" t="s">
        <v>1900</v>
      </c>
      <c r="XP70" t="s">
        <v>1900</v>
      </c>
      <c r="XQ70" t="s">
        <v>1900</v>
      </c>
      <c r="XR70" t="s">
        <v>1900</v>
      </c>
      <c r="XS70" t="s">
        <v>1900</v>
      </c>
      <c r="XT70" t="s">
        <v>1900</v>
      </c>
      <c r="XU70" t="s">
        <v>1900</v>
      </c>
      <c r="XV70" t="s">
        <v>1900</v>
      </c>
      <c r="XW70" t="s">
        <v>1900</v>
      </c>
      <c r="XX70" t="s">
        <v>1900</v>
      </c>
      <c r="XY70" t="s">
        <v>1900</v>
      </c>
      <c r="XZ70" t="s">
        <v>1900</v>
      </c>
      <c r="YA70" t="s">
        <v>1900</v>
      </c>
      <c r="YB70" t="s">
        <v>1900</v>
      </c>
      <c r="YC70" t="s">
        <v>1900</v>
      </c>
      <c r="YD70" t="s">
        <v>1900</v>
      </c>
      <c r="YE70" t="s">
        <v>1900</v>
      </c>
      <c r="YF70" t="s">
        <v>1900</v>
      </c>
      <c r="YG70" t="s">
        <v>1900</v>
      </c>
      <c r="YH70" t="s">
        <v>1900</v>
      </c>
      <c r="YI70" t="s">
        <v>1900</v>
      </c>
      <c r="YJ70" t="s">
        <v>1900</v>
      </c>
      <c r="YK70" t="s">
        <v>1900</v>
      </c>
      <c r="YL70" t="s">
        <v>1900</v>
      </c>
      <c r="YM70" t="s">
        <v>1900</v>
      </c>
      <c r="YN70" t="s">
        <v>1900</v>
      </c>
      <c r="YO70" t="s">
        <v>1900</v>
      </c>
      <c r="YP70" t="s">
        <v>1900</v>
      </c>
      <c r="YQ70" t="s">
        <v>1900</v>
      </c>
      <c r="YR70" t="s">
        <v>1900</v>
      </c>
      <c r="YS70" t="s">
        <v>1900</v>
      </c>
      <c r="YT70" t="s">
        <v>1900</v>
      </c>
      <c r="YU70" t="s">
        <v>1900</v>
      </c>
      <c r="YV70" t="s">
        <v>1900</v>
      </c>
      <c r="YW70" t="s">
        <v>1900</v>
      </c>
      <c r="YX70" t="s">
        <v>1900</v>
      </c>
      <c r="YY70" t="s">
        <v>1900</v>
      </c>
      <c r="YZ70" t="s">
        <v>1900</v>
      </c>
      <c r="ZA70" t="s">
        <v>1900</v>
      </c>
      <c r="ZB70" t="s">
        <v>1900</v>
      </c>
      <c r="ZC70" t="s">
        <v>1900</v>
      </c>
      <c r="ZD70" t="s">
        <v>1900</v>
      </c>
      <c r="ZE70" t="s">
        <v>1900</v>
      </c>
      <c r="ZF70" t="s">
        <v>1900</v>
      </c>
      <c r="ZG70" t="s">
        <v>1900</v>
      </c>
      <c r="ZH70" t="s">
        <v>1900</v>
      </c>
      <c r="ZI70" t="s">
        <v>1900</v>
      </c>
      <c r="ZJ70" t="s">
        <v>1900</v>
      </c>
      <c r="ZK70" t="s">
        <v>1900</v>
      </c>
      <c r="ZL70" t="s">
        <v>1900</v>
      </c>
      <c r="ZM70" t="s">
        <v>1900</v>
      </c>
      <c r="ZN70" t="s">
        <v>1900</v>
      </c>
      <c r="ZO70" t="s">
        <v>1900</v>
      </c>
      <c r="ZP70" t="s">
        <v>1900</v>
      </c>
      <c r="ZQ70" t="s">
        <v>1900</v>
      </c>
      <c r="ZR70" t="s">
        <v>1900</v>
      </c>
      <c r="ZS70" t="s">
        <v>1900</v>
      </c>
      <c r="ZT70" t="s">
        <v>1900</v>
      </c>
      <c r="ZU70" t="s">
        <v>1900</v>
      </c>
      <c r="ZV70" t="s">
        <v>1900</v>
      </c>
      <c r="ZW70" t="s">
        <v>1900</v>
      </c>
      <c r="ZX70" t="s">
        <v>1900</v>
      </c>
      <c r="ZY70" t="s">
        <v>1900</v>
      </c>
      <c r="ZZ70" t="s">
        <v>1900</v>
      </c>
      <c r="AAA70" t="s">
        <v>1900</v>
      </c>
      <c r="AAB70" t="s">
        <v>1900</v>
      </c>
      <c r="AAC70" t="s">
        <v>1900</v>
      </c>
      <c r="AAD70" t="s">
        <v>1900</v>
      </c>
      <c r="AAE70" t="s">
        <v>1900</v>
      </c>
      <c r="AAF70" t="s">
        <v>1900</v>
      </c>
      <c r="AAG70" t="s">
        <v>1900</v>
      </c>
      <c r="AAH70" t="s">
        <v>1900</v>
      </c>
      <c r="AAI70" t="s">
        <v>1900</v>
      </c>
      <c r="AAJ70" t="s">
        <v>1900</v>
      </c>
      <c r="AAK70" t="s">
        <v>1900</v>
      </c>
      <c r="AAL70" t="s">
        <v>1900</v>
      </c>
      <c r="AAM70" t="s">
        <v>1900</v>
      </c>
      <c r="AAN70" t="s">
        <v>1900</v>
      </c>
      <c r="AAO70" t="s">
        <v>1900</v>
      </c>
      <c r="AAP70" t="s">
        <v>1900</v>
      </c>
      <c r="AAQ70" t="s">
        <v>1900</v>
      </c>
      <c r="AAR70" t="s">
        <v>1900</v>
      </c>
      <c r="AAS70" t="s">
        <v>1900</v>
      </c>
      <c r="AAT70" t="s">
        <v>1900</v>
      </c>
      <c r="AAU70" t="s">
        <v>1900</v>
      </c>
      <c r="AAV70" t="s">
        <v>1900</v>
      </c>
      <c r="AAW70" t="s">
        <v>1900</v>
      </c>
      <c r="AAX70" t="s">
        <v>1900</v>
      </c>
      <c r="AAY70" t="s">
        <v>1900</v>
      </c>
      <c r="AAZ70" t="s">
        <v>1900</v>
      </c>
      <c r="ABA70" t="s">
        <v>1900</v>
      </c>
      <c r="ABB70" t="s">
        <v>1900</v>
      </c>
      <c r="ABC70" t="s">
        <v>1900</v>
      </c>
      <c r="ABD70" t="s">
        <v>1900</v>
      </c>
      <c r="ABE70" t="s">
        <v>1900</v>
      </c>
      <c r="ABF70" t="s">
        <v>1900</v>
      </c>
      <c r="ABG70" t="s">
        <v>1900</v>
      </c>
      <c r="ABH70" t="s">
        <v>1900</v>
      </c>
      <c r="ABI70" t="s">
        <v>1900</v>
      </c>
      <c r="ABJ70" t="s">
        <v>1900</v>
      </c>
      <c r="ABK70" t="s">
        <v>1900</v>
      </c>
      <c r="ABL70" t="s">
        <v>1900</v>
      </c>
      <c r="ABM70" t="s">
        <v>1900</v>
      </c>
      <c r="ABN70" t="s">
        <v>1900</v>
      </c>
      <c r="ABO70" t="s">
        <v>1900</v>
      </c>
      <c r="ABP70" t="s">
        <v>1900</v>
      </c>
      <c r="ABQ70" t="s">
        <v>1900</v>
      </c>
      <c r="ABR70" t="s">
        <v>1900</v>
      </c>
      <c r="ABS70" t="s">
        <v>1900</v>
      </c>
      <c r="ABT70" t="s">
        <v>1900</v>
      </c>
      <c r="ABU70" t="s">
        <v>1900</v>
      </c>
      <c r="ABV70" t="s">
        <v>1900</v>
      </c>
      <c r="ABW70" t="s">
        <v>1900</v>
      </c>
      <c r="ABX70" t="s">
        <v>1900</v>
      </c>
      <c r="ABY70" t="s">
        <v>1900</v>
      </c>
      <c r="ABZ70" t="s">
        <v>1900</v>
      </c>
      <c r="ACA70" t="s">
        <v>1900</v>
      </c>
      <c r="ACB70" t="s">
        <v>1900</v>
      </c>
      <c r="ACC70" t="s">
        <v>1900</v>
      </c>
      <c r="ACD70" t="s">
        <v>1900</v>
      </c>
      <c r="ACE70" t="s">
        <v>1900</v>
      </c>
      <c r="ACF70">
        <v>-33.333</v>
      </c>
      <c r="ACG70">
        <v>-220.477</v>
      </c>
      <c r="ACH70">
        <v>-42.04</v>
      </c>
      <c r="ACI70">
        <v>-19.298</v>
      </c>
      <c r="ACJ70" t="s">
        <v>1900</v>
      </c>
      <c r="ACK70">
        <v>-31.262</v>
      </c>
      <c r="ACL70">
        <v>-34.216</v>
      </c>
      <c r="ACM70">
        <v>-29.433</v>
      </c>
      <c r="ACN70">
        <v>-17.758</v>
      </c>
      <c r="ACO70" t="s">
        <v>1900</v>
      </c>
      <c r="ACP70">
        <v>-29.851</v>
      </c>
      <c r="ACQ70">
        <v>-23.243</v>
      </c>
      <c r="ACR70">
        <v>-26.785</v>
      </c>
      <c r="ACS70">
        <v>-16.515</v>
      </c>
      <c r="ACT70" t="s">
        <v>1900</v>
      </c>
      <c r="ACU70">
        <v>-33.333</v>
      </c>
      <c r="ACV70">
        <v>-220.477</v>
      </c>
      <c r="ACW70">
        <v>-42.04</v>
      </c>
      <c r="ACX70">
        <v>-19.298</v>
      </c>
      <c r="ACY70" t="s">
        <v>1900</v>
      </c>
      <c r="ACZ70">
        <v>-31.262</v>
      </c>
      <c r="ADA70">
        <v>-34.216</v>
      </c>
      <c r="ADB70">
        <v>-29.433</v>
      </c>
      <c r="ADC70">
        <v>-17.758</v>
      </c>
      <c r="ADD70" t="s">
        <v>1900</v>
      </c>
      <c r="ADE70">
        <v>-29.851</v>
      </c>
      <c r="ADF70">
        <v>-23.243</v>
      </c>
      <c r="ADG70">
        <v>-26.785</v>
      </c>
      <c r="ADH70">
        <v>-16.515</v>
      </c>
      <c r="ADI70" t="s">
        <v>1900</v>
      </c>
      <c r="ADJ70" t="s">
        <v>1901</v>
      </c>
      <c r="ADK70" t="s">
        <v>1901</v>
      </c>
      <c r="ADL70" t="s">
        <v>1901</v>
      </c>
      <c r="ADM70" t="s">
        <v>1901</v>
      </c>
      <c r="ADN70" t="s">
        <v>1900</v>
      </c>
      <c r="ADO70">
        <v>100</v>
      </c>
      <c r="ADP70">
        <v>100</v>
      </c>
      <c r="ADQ70">
        <v>92.045</v>
      </c>
      <c r="ADR70">
        <v>100</v>
      </c>
      <c r="ADS70" t="s">
        <v>1900</v>
      </c>
      <c r="ADT70">
        <v>-455.260216469</v>
      </c>
      <c r="ADU70">
        <v>-148.973238009</v>
      </c>
      <c r="ADV70">
        <v>-145.636448373</v>
      </c>
      <c r="ADW70">
        <v>-399.010093674</v>
      </c>
      <c r="ADX70" t="s">
        <v>1900</v>
      </c>
      <c r="ADY70" t="s">
        <v>1901</v>
      </c>
      <c r="ADZ70">
        <v>-62.034</v>
      </c>
      <c r="AEA70">
        <v>-79.488</v>
      </c>
      <c r="AEB70" t="s">
        <v>1901</v>
      </c>
      <c r="AEC70" t="s">
        <v>1900</v>
      </c>
      <c r="AED70" t="s">
        <v>1901</v>
      </c>
      <c r="AEE70" t="s">
        <v>1901</v>
      </c>
      <c r="AEF70" t="s">
        <v>1901</v>
      </c>
      <c r="AEG70" t="s">
        <v>1901</v>
      </c>
      <c r="AEH70" t="s">
        <v>1900</v>
      </c>
      <c r="AEI70" t="s">
        <v>1901</v>
      </c>
      <c r="AEJ70">
        <v>-75.446</v>
      </c>
      <c r="AEK70">
        <v>-83.61799999999999</v>
      </c>
      <c r="AEL70" t="s">
        <v>1901</v>
      </c>
      <c r="AEM70" t="s">
        <v>1900</v>
      </c>
      <c r="AEN70">
        <v>-81.99042592399999</v>
      </c>
      <c r="AEO70">
        <v>-59.835040585</v>
      </c>
      <c r="AEP70">
        <v>-59.289429292</v>
      </c>
      <c r="AEQ70">
        <v>-79.96032519800001</v>
      </c>
      <c r="AER70" t="s">
        <v>1900</v>
      </c>
      <c r="AES70" t="s">
        <v>1900</v>
      </c>
      <c r="AET70" t="s">
        <v>1900</v>
      </c>
      <c r="AEU70">
        <v>0.387261711</v>
      </c>
      <c r="AEV70" t="s">
        <v>1900</v>
      </c>
      <c r="AEW70" t="s">
        <v>1900</v>
      </c>
      <c r="AEX70" t="s">
        <v>1900</v>
      </c>
      <c r="AEY70" t="s">
        <v>1900</v>
      </c>
      <c r="AEZ70" t="s">
        <v>1900</v>
      </c>
      <c r="AFA70" t="s">
        <v>1900</v>
      </c>
      <c r="AFB70" t="s">
        <v>1900</v>
      </c>
      <c r="AFC70" t="s">
        <v>1900</v>
      </c>
      <c r="AFD70" t="s">
        <v>1900</v>
      </c>
      <c r="AFE70" t="s">
        <v>1900</v>
      </c>
      <c r="AFF70" t="s">
        <v>1900</v>
      </c>
      <c r="AFG70" t="s">
        <v>1900</v>
      </c>
      <c r="AFH70">
        <v>0.06900000000000001</v>
      </c>
      <c r="AFI70">
        <v>0.229</v>
      </c>
      <c r="AFJ70">
        <v>0.202</v>
      </c>
      <c r="AFK70">
        <v>0.044</v>
      </c>
      <c r="AFL70" t="s">
        <v>1900</v>
      </c>
      <c r="AFM70">
        <v>-49.878</v>
      </c>
      <c r="AFN70">
        <v>-11.249</v>
      </c>
      <c r="AFO70">
        <v>-36.763</v>
      </c>
      <c r="AFP70">
        <v>-60.08</v>
      </c>
      <c r="AFQ70" t="s">
        <v>1900</v>
      </c>
      <c r="AFR70" t="s">
        <v>1901</v>
      </c>
      <c r="AFS70" t="s">
        <v>1901</v>
      </c>
      <c r="AFT70">
        <v>341.983</v>
      </c>
      <c r="AFU70">
        <v>274.565</v>
      </c>
      <c r="AFV70" t="s">
        <v>1900</v>
      </c>
      <c r="AFW70">
        <v>350.689</v>
      </c>
      <c r="AFX70">
        <v>306.901</v>
      </c>
      <c r="AFY70">
        <v>172.83</v>
      </c>
      <c r="AFZ70">
        <v>545.908</v>
      </c>
      <c r="AGA70" t="s">
        <v>1900</v>
      </c>
      <c r="AGB70">
        <v>0</v>
      </c>
      <c r="AGC70">
        <v>0</v>
      </c>
      <c r="AGD70">
        <v>0.486</v>
      </c>
      <c r="AGE70">
        <v>0</v>
      </c>
      <c r="AGF70" t="s">
        <v>1900</v>
      </c>
      <c r="AGG70" t="s">
        <v>1900</v>
      </c>
      <c r="AGH70" t="s">
        <v>1900</v>
      </c>
      <c r="AGI70" t="s">
        <v>1900</v>
      </c>
      <c r="AGJ70" t="s">
        <v>1900</v>
      </c>
      <c r="AGK70" t="s">
        <v>1900</v>
      </c>
      <c r="AGL70" t="s">
        <v>1900</v>
      </c>
      <c r="AGM70" t="s">
        <v>1900</v>
      </c>
      <c r="AGN70" t="s">
        <v>1900</v>
      </c>
      <c r="AGO70" t="s">
        <v>1900</v>
      </c>
      <c r="AGP70" t="s">
        <v>1900</v>
      </c>
      <c r="AGQ70" t="s">
        <v>1900</v>
      </c>
      <c r="AGR70" t="s">
        <v>1900</v>
      </c>
      <c r="AGS70" t="s">
        <v>1900</v>
      </c>
      <c r="AGT70" t="s">
        <v>1900</v>
      </c>
      <c r="AGU70">
        <v>0</v>
      </c>
      <c r="AGV70">
        <v>0</v>
      </c>
      <c r="AGW70">
        <v>0</v>
      </c>
      <c r="AGX70">
        <v>0</v>
      </c>
      <c r="AGY70">
        <v>0</v>
      </c>
      <c r="AGZ70" t="s">
        <v>1900</v>
      </c>
      <c r="AHA70">
        <v>9.756</v>
      </c>
      <c r="AHB70">
        <v>1.094</v>
      </c>
      <c r="AHC70">
        <v>2.614</v>
      </c>
      <c r="AHD70">
        <v>7.808</v>
      </c>
      <c r="AHE70" t="s">
        <v>1900</v>
      </c>
      <c r="AHF70">
        <v>9.756</v>
      </c>
      <c r="AHG70">
        <v>1.094</v>
      </c>
      <c r="AHH70">
        <v>2.61</v>
      </c>
      <c r="AHI70">
        <v>7.807</v>
      </c>
      <c r="AHJ70" t="s">
        <v>1900</v>
      </c>
      <c r="AHK70">
        <v>22.064</v>
      </c>
      <c r="AHL70">
        <v>0.203</v>
      </c>
      <c r="AHM70">
        <v>2.561</v>
      </c>
      <c r="AHN70">
        <v>14.511</v>
      </c>
      <c r="AHO70" t="s">
        <v>1900</v>
      </c>
      <c r="AHP70">
        <v>89.553</v>
      </c>
      <c r="AHQ70">
        <v>10.542</v>
      </c>
      <c r="AHR70">
        <v>63.712</v>
      </c>
      <c r="AHS70">
        <v>85.577</v>
      </c>
      <c r="AHT70" t="s">
        <v>1900</v>
      </c>
      <c r="AHU70" t="s">
        <v>1901</v>
      </c>
      <c r="AHV70">
        <v>11.785</v>
      </c>
      <c r="AHW70" t="s">
        <v>1901</v>
      </c>
      <c r="AHX70" t="s">
        <v>1901</v>
      </c>
      <c r="AHY70" t="s">
        <v>1900</v>
      </c>
      <c r="AHZ70">
        <v>4.948</v>
      </c>
      <c r="AIA70">
        <v>496.424</v>
      </c>
      <c r="AIB70">
        <v>40.746</v>
      </c>
      <c r="AIC70">
        <v>8.005000000000001</v>
      </c>
      <c r="AID70" t="s">
        <v>1900</v>
      </c>
      <c r="AIE70">
        <v>0.91872252</v>
      </c>
      <c r="AIF70">
        <v>1.562394871</v>
      </c>
      <c r="AIG70">
        <v>2.914579107</v>
      </c>
      <c r="AIH70">
        <v>2.194648259</v>
      </c>
      <c r="AII70" t="s">
        <v>1900</v>
      </c>
      <c r="AIJ70">
        <v>56.064380382</v>
      </c>
      <c r="AIK70">
        <v>28.927851772</v>
      </c>
      <c r="AIL70">
        <v>21.179167385</v>
      </c>
      <c r="AIM70">
        <v>60.389984413</v>
      </c>
      <c r="AIN70" t="s">
        <v>1900</v>
      </c>
      <c r="AIO70">
        <v>6.015967013</v>
      </c>
      <c r="AIP70">
        <v>37.122956949</v>
      </c>
      <c r="AIQ70">
        <v>10.303173906</v>
      </c>
      <c r="AIR70">
        <v>7.572958746</v>
      </c>
      <c r="AIS70" t="s">
        <v>1900</v>
      </c>
      <c r="AIT70" t="s">
        <v>1900</v>
      </c>
      <c r="AIU70" t="s">
        <v>1900</v>
      </c>
      <c r="AIV70">
        <v>3.675770179</v>
      </c>
      <c r="AIW70" t="s">
        <v>1900</v>
      </c>
      <c r="AIX70" t="s">
        <v>1900</v>
      </c>
      <c r="AIY70">
        <v>-59.0822626503935</v>
      </c>
      <c r="AIZ70">
        <v>-14.0183842699474</v>
      </c>
      <c r="AJA70">
        <v>-15.6572467338395</v>
      </c>
      <c r="AJB70">
        <v>-34.2052518552154</v>
      </c>
      <c r="AJC70" t="s">
        <v>1900</v>
      </c>
      <c r="AJD70">
        <v>12.7191203631849</v>
      </c>
      <c r="AJE70">
        <v>8.63279174129009</v>
      </c>
      <c r="AJF70">
        <v>10.4544614750504</v>
      </c>
      <c r="AJG70">
        <v>8.42295438901067</v>
      </c>
      <c r="AJH70" t="s">
        <v>1900</v>
      </c>
      <c r="AJI70" t="s">
        <v>1901</v>
      </c>
      <c r="AJJ70" t="s">
        <v>1901</v>
      </c>
      <c r="AJK70" t="s">
        <v>1901</v>
      </c>
      <c r="AJL70" t="s">
        <v>1901</v>
      </c>
      <c r="AJM70" t="s">
        <v>1900</v>
      </c>
      <c r="AJN70">
        <v>58.9304212172489</v>
      </c>
      <c r="AJO70">
        <v>27.0853244653863</v>
      </c>
      <c r="AJP70">
        <v>33.669516082592</v>
      </c>
      <c r="AJQ70">
        <v>54.189581211766</v>
      </c>
      <c r="AJR70" t="s">
        <v>1900</v>
      </c>
      <c r="AJS70">
        <v>177.246688501136</v>
      </c>
      <c r="AJT70">
        <v>6.35819687041342</v>
      </c>
      <c r="AJU70">
        <v>37.2435122370171</v>
      </c>
      <c r="AJV70">
        <v>177.248694531497</v>
      </c>
      <c r="AJW70" t="s">
        <v>1900</v>
      </c>
      <c r="AJX70">
        <v>12.3901694505558</v>
      </c>
      <c r="AJY70">
        <v>7.35948420560777</v>
      </c>
      <c r="AJZ70">
        <v>5.03546961316824</v>
      </c>
      <c r="AKA70">
        <v>12.803330758189</v>
      </c>
      <c r="AKB70" t="s">
        <v>1900</v>
      </c>
      <c r="AKC70">
        <v>197.923519660644</v>
      </c>
      <c r="AKD70">
        <v>60.311051518681</v>
      </c>
      <c r="AKE70">
        <v>58.4555824550128</v>
      </c>
      <c r="AKF70">
        <v>207.122503056297</v>
      </c>
      <c r="AKG70" t="s">
        <v>1900</v>
      </c>
      <c r="AKH70" t="s">
        <v>1900</v>
      </c>
      <c r="AKI70" t="s">
        <v>1900</v>
      </c>
      <c r="AKJ70">
        <v>3.675770179</v>
      </c>
      <c r="AKK70" t="s">
        <v>1900</v>
      </c>
      <c r="AKL70" t="s">
        <v>1900</v>
      </c>
      <c r="AKM70">
        <v>0</v>
      </c>
      <c r="AKN70">
        <v>0</v>
      </c>
      <c r="AKO70">
        <v>0.292412053</v>
      </c>
      <c r="AKP70">
        <v>0.36421288</v>
      </c>
      <c r="AKQ70" t="s">
        <v>1900</v>
      </c>
      <c r="AKR70">
        <v>0</v>
      </c>
      <c r="AKS70">
        <v>0</v>
      </c>
      <c r="AKT70">
        <v>0.0522963</v>
      </c>
      <c r="AKU70">
        <v>0.014811275</v>
      </c>
      <c r="AKV70" t="s">
        <v>1900</v>
      </c>
      <c r="AKW70">
        <v>555.741177851</v>
      </c>
      <c r="AKX70">
        <v>397.543131397</v>
      </c>
      <c r="AKY70">
        <v>369.403888105</v>
      </c>
      <c r="AKZ70">
        <v>737.719488339</v>
      </c>
      <c r="ALA70" t="s">
        <v>1900</v>
      </c>
      <c r="ALB70">
        <v>35.713485454</v>
      </c>
      <c r="ALC70">
        <v>56.903453782</v>
      </c>
      <c r="ALD70">
        <v>66.065869889</v>
      </c>
      <c r="ALE70">
        <v>30.000492771</v>
      </c>
      <c r="ALF70" t="s">
        <v>1900</v>
      </c>
      <c r="ALG70">
        <v>16.235395136</v>
      </c>
      <c r="ALH70">
        <v>2.820727546</v>
      </c>
      <c r="ALI70">
        <v>6.721278437</v>
      </c>
      <c r="ALJ70">
        <v>30.32835855</v>
      </c>
      <c r="ALK70" t="s">
        <v>1900</v>
      </c>
      <c r="ALL70">
        <v>1.043331988</v>
      </c>
      <c r="ALM70">
        <v>0.403752768</v>
      </c>
      <c r="ALN70">
        <v>1.202063977</v>
      </c>
      <c r="ALO70">
        <v>1.233349147</v>
      </c>
      <c r="ALP70" t="s">
        <v>1900</v>
      </c>
      <c r="ALQ70">
        <v>97.413735751</v>
      </c>
      <c r="ALR70">
        <v>85.250337812</v>
      </c>
      <c r="ALS70">
        <v>48.008304318</v>
      </c>
      <c r="ALT70">
        <v>151.641015761</v>
      </c>
      <c r="ALU70" t="s">
        <v>1900</v>
      </c>
      <c r="ALV70">
        <v>0</v>
      </c>
      <c r="ALW70">
        <v>0</v>
      </c>
      <c r="ALX70">
        <v>0.281138381</v>
      </c>
      <c r="ALY70">
        <v>0</v>
      </c>
      <c r="ALZ70" t="s">
        <v>1900</v>
      </c>
      <c r="AMA70">
        <v>100</v>
      </c>
      <c r="AMB70">
        <v>100</v>
      </c>
      <c r="AMC70">
        <v>92.0448766285362</v>
      </c>
      <c r="AMD70">
        <v>100</v>
      </c>
      <c r="AME70" t="s">
        <v>1900</v>
      </c>
      <c r="AMF70" t="s">
        <v>1901</v>
      </c>
      <c r="AMG70" t="s">
        <v>1901</v>
      </c>
      <c r="AMH70">
        <v>95.75805182210421</v>
      </c>
      <c r="AMI70" t="s">
        <v>1901</v>
      </c>
      <c r="AMJ70" t="s">
        <v>1900</v>
      </c>
      <c r="AMK70" t="s">
        <v>1900</v>
      </c>
      <c r="AML70" t="s">
        <v>1900</v>
      </c>
      <c r="AMM70">
        <v>1157.0515293165</v>
      </c>
      <c r="AMN70" t="s">
        <v>1900</v>
      </c>
      <c r="AMO70" t="s">
        <v>1900</v>
      </c>
      <c r="AMP70">
        <v>0.180095740760757</v>
      </c>
      <c r="AMQ70">
        <v>0.401649594463567</v>
      </c>
      <c r="AMR70">
        <v>0.387261711149995</v>
      </c>
      <c r="AMS70">
        <v>0.200396748504554</v>
      </c>
      <c r="AMT70" t="s">
        <v>1900</v>
      </c>
      <c r="AMU70">
        <v>0.180095740760757</v>
      </c>
      <c r="AMV70">
        <v>0.401649593675874</v>
      </c>
      <c r="AMW70">
        <v>0.387261711149995</v>
      </c>
      <c r="AMX70">
        <v>0.200396746071651</v>
      </c>
      <c r="AMY70" t="s">
        <v>1900</v>
      </c>
      <c r="AMZ70" t="s">
        <v>1900</v>
      </c>
      <c r="ANA70" t="s">
        <v>1900</v>
      </c>
      <c r="ANB70">
        <v>0.387261711149995</v>
      </c>
      <c r="ANC70" t="s">
        <v>1900</v>
      </c>
      <c r="AND70" t="s">
        <v>1900</v>
      </c>
      <c r="ANE70" t="s">
        <v>1901</v>
      </c>
      <c r="ANF70" t="s">
        <v>1901</v>
      </c>
      <c r="ANG70" t="s">
        <v>1901</v>
      </c>
      <c r="ANH70" t="s">
        <v>1901</v>
      </c>
      <c r="ANI70" t="s">
        <v>1900</v>
      </c>
      <c r="ANJ70" t="s">
        <v>1901</v>
      </c>
      <c r="ANK70" t="s">
        <v>1901</v>
      </c>
      <c r="ANL70" t="s">
        <v>1901</v>
      </c>
      <c r="ANM70" t="s">
        <v>1901</v>
      </c>
      <c r="ANN70" t="s">
        <v>1900</v>
      </c>
      <c r="ANO70">
        <v>-81.99042592392431</v>
      </c>
      <c r="ANP70">
        <v>-59.835040585281</v>
      </c>
      <c r="ANQ70">
        <v>-59.289429291819</v>
      </c>
      <c r="ANR70">
        <v>-79.9603251982992</v>
      </c>
      <c r="ANS70" t="s">
        <v>1900</v>
      </c>
      <c r="ANT70">
        <v>-31.2527761461908</v>
      </c>
      <c r="ANU70">
        <v>-34.1771109504922</v>
      </c>
      <c r="ANV70">
        <v>-29.399219104208</v>
      </c>
      <c r="ANW70">
        <v>-17.7387154512206</v>
      </c>
      <c r="ANX70" t="s">
        <v>1900</v>
      </c>
      <c r="ANY70" t="s">
        <v>1900</v>
      </c>
      <c r="ANZ70" t="s">
        <v>1900</v>
      </c>
      <c r="AOA70">
        <v>92.0448766285362</v>
      </c>
      <c r="AOB70" t="s">
        <v>1900</v>
      </c>
      <c r="AOC70" t="s">
        <v>1900</v>
      </c>
      <c r="AOD70">
        <v>18.0095740760757</v>
      </c>
      <c r="AOE70">
        <v>40.164959414719</v>
      </c>
      <c r="AOF70">
        <v>37.4719945831182</v>
      </c>
      <c r="AOG70">
        <v>20.0396748017008</v>
      </c>
      <c r="AOH70" t="s">
        <v>1900</v>
      </c>
      <c r="AOI70">
        <v>6.42628023204598</v>
      </c>
      <c r="AOJ70">
        <v>14.3137811442037</v>
      </c>
      <c r="AOK70">
        <v>16.4617239803926</v>
      </c>
      <c r="AOL70">
        <v>4.06665314463131</v>
      </c>
      <c r="AOM70" t="s">
        <v>1900</v>
      </c>
      <c r="AON70" t="s">
        <v>1900</v>
      </c>
      <c r="AOO70" t="s">
        <v>1900</v>
      </c>
      <c r="AOP70">
        <v>-1830.72520151643</v>
      </c>
      <c r="AOQ70" t="s">
        <v>1900</v>
      </c>
      <c r="AOR70" t="s">
        <v>1900</v>
      </c>
      <c r="AOS70">
        <v>-81.99042592392431</v>
      </c>
      <c r="AOT70">
        <v>-59.8350406324126</v>
      </c>
      <c r="AOU70">
        <v>-61.2738288850005</v>
      </c>
      <c r="AOV70">
        <v>-79.9603253928349</v>
      </c>
      <c r="AOW70" t="s">
        <v>1900</v>
      </c>
      <c r="AOX70">
        <v>-29.2562972953303</v>
      </c>
      <c r="AOY70">
        <v>-21.3237032521037</v>
      </c>
      <c r="AOZ70">
        <v>-26.0462841867681</v>
      </c>
      <c r="APA70">
        <v>-16.2263565218038</v>
      </c>
      <c r="APB70" t="s">
        <v>1900</v>
      </c>
      <c r="APC70">
        <v>-464.515336301905</v>
      </c>
      <c r="APD70">
        <v>-162.385289974499</v>
      </c>
      <c r="APE70">
        <v>-149.766170203216</v>
      </c>
      <c r="APF70">
        <v>-406.09568527928</v>
      </c>
      <c r="APG70" t="s">
        <v>1900</v>
      </c>
      <c r="APH70">
        <v>-619.667005053551</v>
      </c>
      <c r="API70">
        <v>-176.400442587743</v>
      </c>
      <c r="APJ70">
        <v>-155.807875601752</v>
      </c>
      <c r="APK70">
        <v>-441.404026888148</v>
      </c>
      <c r="APL70" t="s">
        <v>1900</v>
      </c>
      <c r="APM70" t="s">
        <v>1900</v>
      </c>
      <c r="APN70" t="s">
        <v>1900</v>
      </c>
      <c r="APO70">
        <v>-1882.63793293828</v>
      </c>
      <c r="APP70" t="s">
        <v>1900</v>
      </c>
      <c r="APQ70" t="s">
        <v>1900</v>
      </c>
      <c r="APR70">
        <v>-83.65723358602369</v>
      </c>
      <c r="APS70">
        <v>-65.2219858651063</v>
      </c>
      <c r="APT70">
        <v>-63.0113325908871</v>
      </c>
      <c r="APU70">
        <v>-81.3802549116964</v>
      </c>
      <c r="APV70" t="s">
        <v>1900</v>
      </c>
      <c r="APW70">
        <v>-83.65723358602369</v>
      </c>
      <c r="APX70">
        <v>-65.22198581373139</v>
      </c>
      <c r="APY70">
        <v>-60.9706626175147</v>
      </c>
      <c r="APZ70">
        <v>-81.38025471370609</v>
      </c>
      <c r="AQA70" t="s">
        <v>1900</v>
      </c>
      <c r="AQB70">
        <v>-29.8510572315912</v>
      </c>
      <c r="AQC70">
        <v>-23.2434750173303</v>
      </c>
      <c r="AQD70">
        <v>-26.7848624039711</v>
      </c>
      <c r="AQE70">
        <v>-16.5145029556219</v>
      </c>
      <c r="AQF70" t="s">
        <v>1900</v>
      </c>
      <c r="AQG70" t="s">
        <v>1900</v>
      </c>
      <c r="AQH70" t="s">
        <v>1900</v>
      </c>
      <c r="AQI70">
        <v>-0.612738288850005</v>
      </c>
      <c r="AQJ70" t="s">
        <v>1900</v>
      </c>
      <c r="AQK70">
        <v>7</v>
      </c>
      <c r="AQO70" t="s">
        <v>1902</v>
      </c>
      <c r="AQP70">
        <v>8</v>
      </c>
      <c r="AQQ70">
        <v>0</v>
      </c>
      <c r="AQS70" t="s">
        <v>1905</v>
      </c>
      <c r="AQU70" t="s">
        <v>1906</v>
      </c>
      <c r="AQV70" t="s">
        <v>1900</v>
      </c>
      <c r="AQW70">
        <v>572360.399768314</v>
      </c>
      <c r="AQX70">
        <v>543865.8946336691</v>
      </c>
      <c r="AQY70" t="s">
        <v>1900</v>
      </c>
      <c r="AQZ70">
        <v>-2605729.19496924</v>
      </c>
      <c r="ARA70">
        <v>-810214.633664739</v>
      </c>
      <c r="ARB70">
        <v>1116226.294401983</v>
      </c>
      <c r="ARC70">
        <v>-3415943.828633979</v>
      </c>
      <c r="ARD70">
        <v>-0.7537104159597926</v>
      </c>
      <c r="ARE70">
        <v>-0.7537104159597926</v>
      </c>
      <c r="ARF70">
        <v>-0.7537104159597926</v>
      </c>
      <c r="ARG70" t="s">
        <v>1907</v>
      </c>
      <c r="ARH70" t="s">
        <v>1907</v>
      </c>
      <c r="ARI70" t="s">
        <v>1907</v>
      </c>
      <c r="ARJ70" t="s">
        <v>1231</v>
      </c>
      <c r="ARK70" t="s">
        <v>1569</v>
      </c>
      <c r="ARL70" t="s">
        <v>1908</v>
      </c>
      <c r="ARM70" t="s">
        <v>1908</v>
      </c>
      <c r="ARN70" t="s">
        <v>1909</v>
      </c>
      <c r="ARO70" t="s">
        <v>1908</v>
      </c>
      <c r="ARP70" t="s">
        <v>1907</v>
      </c>
      <c r="ARQ70" t="s">
        <v>1965</v>
      </c>
      <c r="ARR70">
        <f>HYPERLINK("C:\Users\Usuario\Documents\Proyectos\llmthon\evidence\iomed_health_234913.png", "Ver Evidencia")</f>
        <v>0</v>
      </c>
      <c r="ARS70">
        <v>95</v>
      </c>
    </row>
    <row r="71" spans="1:1163">
      <c r="A71">
        <v>49</v>
      </c>
      <c r="B71" t="s">
        <v>1232</v>
      </c>
      <c r="C71" t="s">
        <v>1355</v>
      </c>
      <c r="E71" s="2">
        <v>41081</v>
      </c>
      <c r="F71" t="s">
        <v>1431</v>
      </c>
      <c r="G71" t="s">
        <v>1433</v>
      </c>
      <c r="H71" t="s">
        <v>1434</v>
      </c>
      <c r="I71" t="s">
        <v>1437</v>
      </c>
      <c r="J71" t="s">
        <v>1453</v>
      </c>
      <c r="L71" t="s">
        <v>1570</v>
      </c>
      <c r="N71" t="s">
        <v>1635</v>
      </c>
      <c r="O71" t="s">
        <v>1659</v>
      </c>
      <c r="P71">
        <v>6203</v>
      </c>
      <c r="Q71">
        <v>6203</v>
      </c>
      <c r="R71" t="s">
        <v>1740</v>
      </c>
      <c r="S71" t="s">
        <v>1820</v>
      </c>
      <c r="T71" t="s">
        <v>1861</v>
      </c>
      <c r="U71" t="s">
        <v>1873</v>
      </c>
      <c r="X71" t="s">
        <v>1888</v>
      </c>
      <c r="Z71" t="s">
        <v>1899</v>
      </c>
      <c r="AA71" s="2">
        <v>45657</v>
      </c>
      <c r="AB71">
        <v>2024</v>
      </c>
      <c r="AC71">
        <v>19723588.7454502</v>
      </c>
      <c r="AD71">
        <v>17382177.1288075</v>
      </c>
      <c r="AE71">
        <v>12940788.258291</v>
      </c>
      <c r="AF71">
        <v>7202522.67579553</v>
      </c>
      <c r="AG71">
        <v>5381517.44408904</v>
      </c>
      <c r="AH71">
        <v>19723588.7454502</v>
      </c>
      <c r="AI71">
        <v>17382177.1288075</v>
      </c>
      <c r="AJ71">
        <v>12940704.1249234</v>
      </c>
      <c r="AK71">
        <v>7103598.78261287</v>
      </c>
      <c r="AL71">
        <v>5298807.63813929</v>
      </c>
      <c r="AM71">
        <v>16218006.7844046</v>
      </c>
      <c r="AN71">
        <v>14794370.7545818</v>
      </c>
      <c r="AO71">
        <v>10870270.4858786</v>
      </c>
      <c r="AP71">
        <v>6024528.56347997</v>
      </c>
      <c r="AQ71">
        <v>4581112.05843832</v>
      </c>
      <c r="AR71">
        <v>3505581.9600067</v>
      </c>
      <c r="AS71">
        <v>2587806.3742257</v>
      </c>
      <c r="AT71">
        <v>2070517.77241241</v>
      </c>
      <c r="AU71">
        <v>1177994.11231556</v>
      </c>
      <c r="AV71">
        <v>800405.385650718</v>
      </c>
      <c r="AW71">
        <v>2843620.61623312</v>
      </c>
      <c r="AX71">
        <v>2100238.24165612</v>
      </c>
      <c r="AY71">
        <v>1548898.59393104</v>
      </c>
      <c r="AZ71">
        <v>1106777.08841043</v>
      </c>
      <c r="BA71">
        <v>1484571.38504822</v>
      </c>
      <c r="BB71">
        <v>661961.3448124781</v>
      </c>
      <c r="BC71">
        <v>487568.131464586</v>
      </c>
      <c r="BD71">
        <v>521619.178481376</v>
      </c>
      <c r="BE71">
        <v>71217.02390513421</v>
      </c>
      <c r="BF71">
        <v>-684165.999397504</v>
      </c>
      <c r="BG71">
        <v>-16553.8252847195</v>
      </c>
      <c r="BH71">
        <v>-18239.7901357937</v>
      </c>
      <c r="BI71">
        <v>-32443.2046061397</v>
      </c>
      <c r="BJ71">
        <v>-42868.2307513475</v>
      </c>
      <c r="BK71">
        <v>-40851.8290750861</v>
      </c>
      <c r="BL71">
        <v>9.10075997829437</v>
      </c>
      <c r="BM71" t="s">
        <v>1900</v>
      </c>
      <c r="BN71" t="s">
        <v>1900</v>
      </c>
      <c r="BO71" t="s">
        <v>1900</v>
      </c>
      <c r="BP71" t="s">
        <v>1900</v>
      </c>
      <c r="BQ71">
        <v>16562.9260446978</v>
      </c>
      <c r="BR71">
        <v>18239.7901357937</v>
      </c>
      <c r="BS71">
        <v>32443.2046061397</v>
      </c>
      <c r="BT71">
        <v>42868.2307513475</v>
      </c>
      <c r="BU71">
        <v>40851.8290750861</v>
      </c>
      <c r="BV71">
        <v>645407.519527758</v>
      </c>
      <c r="BW71">
        <v>469328.341328793</v>
      </c>
      <c r="BX71">
        <v>489175.973875237</v>
      </c>
      <c r="BY71">
        <v>28348.7931537867</v>
      </c>
      <c r="BZ71">
        <v>-725017.82847259</v>
      </c>
      <c r="CA71" t="s">
        <v>1900</v>
      </c>
      <c r="CB71" t="s">
        <v>1900</v>
      </c>
      <c r="CC71" t="s">
        <v>1900</v>
      </c>
      <c r="CD71" t="s">
        <v>1900</v>
      </c>
      <c r="CE71" t="s">
        <v>1900</v>
      </c>
      <c r="CF71">
        <v>645407.519527758</v>
      </c>
      <c r="CG71">
        <v>469328.341328793</v>
      </c>
      <c r="CH71">
        <v>489175.973875237</v>
      </c>
      <c r="CI71">
        <v>28348.7931537867</v>
      </c>
      <c r="CJ71">
        <v>-725017.82847259</v>
      </c>
      <c r="CK71" t="s">
        <v>1900</v>
      </c>
      <c r="CL71" t="s">
        <v>1900</v>
      </c>
      <c r="CM71" t="s">
        <v>1900</v>
      </c>
      <c r="CN71" t="s">
        <v>1900</v>
      </c>
      <c r="CO71" t="s">
        <v>1900</v>
      </c>
      <c r="CP71" t="s">
        <v>1900</v>
      </c>
      <c r="CQ71" t="s">
        <v>1900</v>
      </c>
      <c r="CR71" t="s">
        <v>1900</v>
      </c>
      <c r="CS71" t="s">
        <v>1900</v>
      </c>
      <c r="CT71" t="s">
        <v>1900</v>
      </c>
      <c r="CU71" t="s">
        <v>1900</v>
      </c>
      <c r="CV71" t="s">
        <v>1900</v>
      </c>
      <c r="CW71" t="s">
        <v>1900</v>
      </c>
      <c r="CX71" t="s">
        <v>1900</v>
      </c>
      <c r="CY71" t="s">
        <v>1900</v>
      </c>
      <c r="CZ71">
        <v>645407.519527758</v>
      </c>
      <c r="DA71">
        <v>469328.341328793</v>
      </c>
      <c r="DB71">
        <v>489175.973875237</v>
      </c>
      <c r="DC71">
        <v>28348.7931537867</v>
      </c>
      <c r="DD71">
        <v>-725017.82847259</v>
      </c>
      <c r="DE71" t="s">
        <v>1900</v>
      </c>
      <c r="DF71" t="s">
        <v>1900</v>
      </c>
      <c r="DG71" t="s">
        <v>1900</v>
      </c>
      <c r="DH71" t="s">
        <v>1900</v>
      </c>
      <c r="DI71" t="s">
        <v>1900</v>
      </c>
      <c r="DJ71">
        <v>16218006.7844046</v>
      </c>
      <c r="DK71">
        <v>14794370.7545818</v>
      </c>
      <c r="DL71">
        <v>10870270.4858786</v>
      </c>
      <c r="DM71">
        <v>6024528.56347997</v>
      </c>
      <c r="DN71">
        <v>4581112.05843832</v>
      </c>
      <c r="DO71">
        <v>1793052.9140852</v>
      </c>
      <c r="DP71">
        <v>1521467.690916</v>
      </c>
      <c r="DQ71">
        <v>1070103.53422716</v>
      </c>
      <c r="DR71">
        <v>777457.307526684</v>
      </c>
      <c r="DS71">
        <v>1107730.36820834</v>
      </c>
      <c r="DT71">
        <v>200393.46750137</v>
      </c>
      <c r="DU71">
        <v>232948.204344292</v>
      </c>
      <c r="DV71">
        <v>234708.011881912</v>
      </c>
      <c r="DW71">
        <v>256211.121923089</v>
      </c>
      <c r="DX71">
        <v>236769.570626748</v>
      </c>
      <c r="DY71">
        <v>850174.234646552</v>
      </c>
      <c r="DZ71">
        <v>345822.34750082</v>
      </c>
      <c r="EA71">
        <v>244087.047821963</v>
      </c>
      <c r="EB71">
        <v>73108.657828052</v>
      </c>
      <c r="EC71">
        <v>140071.444986039</v>
      </c>
      <c r="ED71">
        <v>16562.9260446978</v>
      </c>
      <c r="EE71">
        <v>18239.7901357937</v>
      </c>
      <c r="EF71">
        <v>32443.2046061397</v>
      </c>
      <c r="EG71">
        <v>42868.2307513475</v>
      </c>
      <c r="EH71">
        <v>40820.2680811048</v>
      </c>
      <c r="EI71" t="s">
        <v>1900</v>
      </c>
      <c r="EJ71" t="s">
        <v>1900</v>
      </c>
      <c r="EK71" t="s">
        <v>1900</v>
      </c>
      <c r="EL71" t="s">
        <v>1900</v>
      </c>
      <c r="EM71" t="s">
        <v>1900</v>
      </c>
      <c r="EN71">
        <v>845800.987029128</v>
      </c>
      <c r="EO71">
        <v>702276.545673084</v>
      </c>
      <c r="EP71">
        <v>723883.985757148</v>
      </c>
      <c r="EQ71">
        <v>284559.915076876</v>
      </c>
      <c r="ER71">
        <v>-488248.257845843</v>
      </c>
      <c r="ES71">
        <v>2655416.82612012</v>
      </c>
      <c r="ET71">
        <v>2241984.02672488</v>
      </c>
      <c r="EU71">
        <v>1826430.72459045</v>
      </c>
      <c r="EV71">
        <v>1104885.45335491</v>
      </c>
      <c r="EW71">
        <v>660302.378443599</v>
      </c>
      <c r="EX71">
        <v>862354.8123138479</v>
      </c>
      <c r="EY71">
        <v>720516.3358088779</v>
      </c>
      <c r="EZ71">
        <v>756327.190363288</v>
      </c>
      <c r="FA71">
        <v>327428.145828223</v>
      </c>
      <c r="FB71">
        <v>-447396.428770757</v>
      </c>
      <c r="FC71">
        <v>384195.917114456</v>
      </c>
      <c r="FD71">
        <v>534120.067506523</v>
      </c>
      <c r="FE71">
        <v>544835.113588649</v>
      </c>
      <c r="FF71">
        <v>635591.994960809</v>
      </c>
      <c r="FG71">
        <v>764130.133851796</v>
      </c>
      <c r="FH71">
        <v>345389.05066555</v>
      </c>
      <c r="FI71">
        <v>504657.251433973</v>
      </c>
      <c r="FJ71">
        <v>513000.617310458</v>
      </c>
      <c r="FK71">
        <v>594132.899075396</v>
      </c>
      <c r="FL71">
        <v>687661.0849771081</v>
      </c>
      <c r="FM71">
        <v>18271.250893774</v>
      </c>
      <c r="FN71">
        <v>15121.8544365025</v>
      </c>
      <c r="FO71">
        <v>21578.3102509856</v>
      </c>
      <c r="FP71">
        <v>37741.2198509288</v>
      </c>
      <c r="FQ71">
        <v>62685.7787037611</v>
      </c>
      <c r="FR71">
        <v>20535.6155551314</v>
      </c>
      <c r="FS71">
        <v>14340.9616360474</v>
      </c>
      <c r="FT71">
        <v>10256.186027205</v>
      </c>
      <c r="FU71">
        <v>3717.87376928329</v>
      </c>
      <c r="FV71">
        <v>13783.270170927</v>
      </c>
      <c r="FW71">
        <v>345389.05066555</v>
      </c>
      <c r="FX71">
        <v>504657.251433973</v>
      </c>
      <c r="FY71">
        <v>513000.617310458</v>
      </c>
      <c r="FZ71">
        <v>594132.899075396</v>
      </c>
      <c r="GA71">
        <v>687661.0849771081</v>
      </c>
      <c r="GB71">
        <v>18271.250893774</v>
      </c>
      <c r="GC71">
        <v>15121.8544365025</v>
      </c>
      <c r="GD71">
        <v>21578.3102509856</v>
      </c>
      <c r="GE71">
        <v>37741.2198509288</v>
      </c>
      <c r="GF71">
        <v>62685.7787037611</v>
      </c>
      <c r="GG71">
        <v>20535.6155551314</v>
      </c>
      <c r="GH71">
        <v>14340.9616360474</v>
      </c>
      <c r="GI71">
        <v>10256.186027205</v>
      </c>
      <c r="GJ71">
        <v>3717.87376928329</v>
      </c>
      <c r="GK71">
        <v>13783.270170927</v>
      </c>
      <c r="GL71">
        <v>3888543.56161551</v>
      </c>
      <c r="GM71">
        <v>3232536.20682253</v>
      </c>
      <c r="GN71">
        <v>2847917.11823953</v>
      </c>
      <c r="GO71">
        <v>2034683.94673133</v>
      </c>
      <c r="GP71">
        <v>788675.359382564</v>
      </c>
      <c r="GQ71">
        <v>5033.37477470756</v>
      </c>
      <c r="GR71">
        <v>3404.92642808914</v>
      </c>
      <c r="GS71">
        <v>4455.45271232724</v>
      </c>
      <c r="GT71">
        <v>4237.77128841877</v>
      </c>
      <c r="GU71">
        <v>184.064894914627</v>
      </c>
      <c r="GV71">
        <v>2474413.35991104</v>
      </c>
      <c r="GW71">
        <v>2311298.21053224</v>
      </c>
      <c r="GX71">
        <v>1950684.466627</v>
      </c>
      <c r="GY71">
        <v>1177705.32188916</v>
      </c>
      <c r="GZ71">
        <v>580578.620471072</v>
      </c>
      <c r="HA71">
        <v>1409096.82589086</v>
      </c>
      <c r="HB71">
        <v>917833.069862204</v>
      </c>
      <c r="HC71">
        <v>892777.198900211</v>
      </c>
      <c r="HD71">
        <v>852740.853553748</v>
      </c>
      <c r="HE71">
        <v>207912.674016577</v>
      </c>
      <c r="HF71">
        <v>1323664.20103018</v>
      </c>
      <c r="HG71">
        <v>859796.11226593</v>
      </c>
      <c r="HH71">
        <v>755635.71391505</v>
      </c>
      <c r="HI71">
        <v>818997.994805646</v>
      </c>
      <c r="HJ71">
        <v>155095.55919565</v>
      </c>
      <c r="HK71">
        <v>4272739.47872996</v>
      </c>
      <c r="HL71">
        <v>3766656.27432905</v>
      </c>
      <c r="HM71">
        <v>3392752.23182818</v>
      </c>
      <c r="HN71">
        <v>2670275.94169214</v>
      </c>
      <c r="HO71">
        <v>1552805.49323436</v>
      </c>
      <c r="HP71">
        <v>1012672.55315812</v>
      </c>
      <c r="HQ71">
        <v>390632.614911118</v>
      </c>
      <c r="HR71">
        <v>-75960.8903668761</v>
      </c>
      <c r="HS71">
        <v>-600107.344177866</v>
      </c>
      <c r="HT71">
        <v>-680891.644439882</v>
      </c>
      <c r="HU71">
        <v>50702.4531941414</v>
      </c>
      <c r="HV71">
        <v>53928.4442024231</v>
      </c>
      <c r="HW71">
        <v>52054.3214249611</v>
      </c>
      <c r="HX71">
        <v>55275.4254055023</v>
      </c>
      <c r="HY71">
        <v>59887.3542094231</v>
      </c>
      <c r="HZ71">
        <v>961970.099963979</v>
      </c>
      <c r="IA71">
        <v>336704.169603694</v>
      </c>
      <c r="IB71">
        <v>-128015.211791837</v>
      </c>
      <c r="IC71">
        <v>-655382.768450768</v>
      </c>
      <c r="ID71">
        <v>-740778.998649305</v>
      </c>
      <c r="IE71">
        <v>19685.4009488487</v>
      </c>
      <c r="IF71">
        <v>99863.5468675327</v>
      </c>
      <c r="IG71">
        <v>291291.146732002</v>
      </c>
      <c r="IH71">
        <v>546907.986461949</v>
      </c>
      <c r="II71">
        <v>941191.150908041</v>
      </c>
      <c r="IJ71">
        <v>19685.4009488487</v>
      </c>
      <c r="IK71">
        <v>99863.5468675327</v>
      </c>
      <c r="IL71">
        <v>291291.146732002</v>
      </c>
      <c r="IM71">
        <v>546907.986461949</v>
      </c>
      <c r="IN71">
        <v>941191.150908041</v>
      </c>
      <c r="IO71">
        <v>0</v>
      </c>
      <c r="IP71">
        <v>0</v>
      </c>
      <c r="IQ71">
        <v>0</v>
      </c>
      <c r="IR71">
        <v>0</v>
      </c>
      <c r="IS71">
        <v>0</v>
      </c>
      <c r="IT71">
        <v>0</v>
      </c>
      <c r="IU71">
        <v>0</v>
      </c>
      <c r="IV71">
        <v>0</v>
      </c>
      <c r="IW71">
        <v>0</v>
      </c>
      <c r="IX71">
        <v>0</v>
      </c>
      <c r="IY71">
        <v>3240381.52462299</v>
      </c>
      <c r="IZ71">
        <v>3276160.1125504</v>
      </c>
      <c r="JA71">
        <v>3177421.97546306</v>
      </c>
      <c r="JB71">
        <v>2723475.29940805</v>
      </c>
      <c r="JC71">
        <v>1292505.9867662</v>
      </c>
      <c r="JD71">
        <v>243888.866800371</v>
      </c>
      <c r="JE71">
        <v>299373.640605211</v>
      </c>
      <c r="JF71">
        <v>245995.588948268</v>
      </c>
      <c r="JG71">
        <v>470538.967626214</v>
      </c>
      <c r="JH71">
        <v>426516.094820648</v>
      </c>
      <c r="JI71">
        <v>2276692.79392649</v>
      </c>
      <c r="JJ71">
        <v>2405899.07098794</v>
      </c>
      <c r="JK71">
        <v>2402037.10542341</v>
      </c>
      <c r="JL71">
        <v>1869807.6276967</v>
      </c>
      <c r="JM71">
        <v>709794.324124914</v>
      </c>
      <c r="JN71">
        <v>719799.863896129</v>
      </c>
      <c r="JO71">
        <v>570887.400957251</v>
      </c>
      <c r="JP71">
        <v>529389.280024775</v>
      </c>
      <c r="JQ71">
        <v>383128.704085135</v>
      </c>
      <c r="JR71">
        <v>156195.567820638</v>
      </c>
      <c r="JS71">
        <v>4272739.47872996</v>
      </c>
      <c r="JT71">
        <v>3766656.27432905</v>
      </c>
      <c r="JU71">
        <v>3392752.23182818</v>
      </c>
      <c r="JV71">
        <v>2670275.94169214</v>
      </c>
      <c r="JW71">
        <v>1552805.49323436</v>
      </c>
      <c r="JX71">
        <v>202753.940759256</v>
      </c>
      <c r="JY71">
        <v>-91195.9340276146</v>
      </c>
      <c r="JZ71">
        <v>-446897.186084092</v>
      </c>
      <c r="KA71">
        <v>-687864.534519124</v>
      </c>
      <c r="KB71">
        <v>-129031.638758928</v>
      </c>
      <c r="KC71" t="s">
        <v>1900</v>
      </c>
      <c r="KD71" t="s">
        <v>1900</v>
      </c>
      <c r="KE71" t="s">
        <v>1900</v>
      </c>
      <c r="KF71" t="s">
        <v>1900</v>
      </c>
      <c r="KG71" t="s">
        <v>1900</v>
      </c>
      <c r="KH71" t="s">
        <v>1900</v>
      </c>
      <c r="KI71" t="s">
        <v>1900</v>
      </c>
      <c r="KJ71" t="s">
        <v>1900</v>
      </c>
      <c r="KK71" t="s">
        <v>1900</v>
      </c>
      <c r="KL71" t="s">
        <v>1900</v>
      </c>
      <c r="KM71">
        <v>45</v>
      </c>
      <c r="KN71">
        <v>41</v>
      </c>
      <c r="KO71">
        <v>41</v>
      </c>
      <c r="KP71">
        <v>32</v>
      </c>
      <c r="KQ71">
        <v>37</v>
      </c>
      <c r="KR71" t="s">
        <v>1900</v>
      </c>
      <c r="KS71" t="s">
        <v>1900</v>
      </c>
      <c r="KT71" t="s">
        <v>1900</v>
      </c>
      <c r="KU71" t="s">
        <v>1900</v>
      </c>
      <c r="KV71" t="s">
        <v>1900</v>
      </c>
      <c r="KW71" t="s">
        <v>1900</v>
      </c>
      <c r="KX71" t="s">
        <v>1900</v>
      </c>
      <c r="KY71" t="s">
        <v>1900</v>
      </c>
      <c r="KZ71" t="s">
        <v>1900</v>
      </c>
      <c r="LA71" t="s">
        <v>1900</v>
      </c>
      <c r="LB71" t="s">
        <v>1900</v>
      </c>
      <c r="LC71" t="s">
        <v>1900</v>
      </c>
      <c r="LD71" t="s">
        <v>1900</v>
      </c>
      <c r="LE71" t="s">
        <v>1900</v>
      </c>
      <c r="LF71" t="s">
        <v>1900</v>
      </c>
      <c r="LG71" t="s">
        <v>1900</v>
      </c>
      <c r="LH71" t="s">
        <v>1900</v>
      </c>
      <c r="LI71" t="s">
        <v>1900</v>
      </c>
      <c r="LJ71" t="s">
        <v>1900</v>
      </c>
      <c r="LK71" t="s">
        <v>1900</v>
      </c>
      <c r="LL71" t="s">
        <v>1900</v>
      </c>
      <c r="LM71" t="s">
        <v>1900</v>
      </c>
      <c r="LN71" t="s">
        <v>1900</v>
      </c>
      <c r="LO71" t="s">
        <v>1900</v>
      </c>
      <c r="LP71" t="s">
        <v>1900</v>
      </c>
      <c r="LQ71" t="s">
        <v>1900</v>
      </c>
      <c r="LR71" t="s">
        <v>1900</v>
      </c>
      <c r="LS71" t="s">
        <v>1900</v>
      </c>
      <c r="LT71" t="s">
        <v>1900</v>
      </c>
      <c r="LU71" t="s">
        <v>1900</v>
      </c>
      <c r="LV71" t="s">
        <v>1900</v>
      </c>
      <c r="LW71" t="s">
        <v>1900</v>
      </c>
      <c r="LX71" t="s">
        <v>1900</v>
      </c>
      <c r="LY71" t="s">
        <v>1900</v>
      </c>
      <c r="LZ71" t="s">
        <v>1900</v>
      </c>
      <c r="MA71" t="s">
        <v>1900</v>
      </c>
      <c r="MB71" t="s">
        <v>1900</v>
      </c>
      <c r="MC71" t="s">
        <v>1900</v>
      </c>
      <c r="MD71" t="s">
        <v>1900</v>
      </c>
      <c r="ME71" t="s">
        <v>1900</v>
      </c>
      <c r="MF71" t="s">
        <v>1900</v>
      </c>
      <c r="MG71" t="s">
        <v>1900</v>
      </c>
      <c r="MH71" t="s">
        <v>1900</v>
      </c>
      <c r="MI71" t="s">
        <v>1900</v>
      </c>
      <c r="MJ71" t="s">
        <v>1900</v>
      </c>
      <c r="MK71" t="s">
        <v>1900</v>
      </c>
      <c r="ML71" t="s">
        <v>1900</v>
      </c>
      <c r="MM71" t="s">
        <v>1900</v>
      </c>
      <c r="MN71" t="s">
        <v>1900</v>
      </c>
      <c r="MO71" t="s">
        <v>1900</v>
      </c>
      <c r="MP71">
        <v>1409096.82589086</v>
      </c>
      <c r="MQ71">
        <v>917833.069862204</v>
      </c>
      <c r="MR71">
        <v>892777.198900211</v>
      </c>
      <c r="MS71">
        <v>852740.853553748</v>
      </c>
      <c r="MT71">
        <v>207912.674016577</v>
      </c>
      <c r="MU71" t="s">
        <v>1900</v>
      </c>
      <c r="MV71" t="s">
        <v>1900</v>
      </c>
      <c r="MW71" t="s">
        <v>1900</v>
      </c>
      <c r="MX71" t="s">
        <v>1900</v>
      </c>
      <c r="MY71" t="s">
        <v>1900</v>
      </c>
      <c r="MZ71" t="s">
        <v>1900</v>
      </c>
      <c r="NA71" t="s">
        <v>1900</v>
      </c>
      <c r="NB71" t="s">
        <v>1900</v>
      </c>
      <c r="NC71" t="s">
        <v>1900</v>
      </c>
      <c r="ND71" t="s">
        <v>1900</v>
      </c>
      <c r="NE71" t="s">
        <v>1900</v>
      </c>
      <c r="NF71" t="s">
        <v>1900</v>
      </c>
      <c r="NG71" t="s">
        <v>1900</v>
      </c>
      <c r="NH71" t="s">
        <v>1900</v>
      </c>
      <c r="NI71" t="s">
        <v>1900</v>
      </c>
      <c r="NJ71" t="s">
        <v>1900</v>
      </c>
      <c r="NK71" t="s">
        <v>1900</v>
      </c>
      <c r="NL71" t="s">
        <v>1900</v>
      </c>
      <c r="NM71" t="s">
        <v>1900</v>
      </c>
      <c r="NN71" t="s">
        <v>1900</v>
      </c>
      <c r="NO71" t="s">
        <v>1900</v>
      </c>
      <c r="NP71" t="s">
        <v>1900</v>
      </c>
      <c r="NQ71" t="s">
        <v>1900</v>
      </c>
      <c r="NR71" t="s">
        <v>1900</v>
      </c>
      <c r="NS71" t="s">
        <v>1900</v>
      </c>
      <c r="NT71">
        <v>384195.917114456</v>
      </c>
      <c r="NU71">
        <v>534120.067506523</v>
      </c>
      <c r="NV71">
        <v>544835.113588649</v>
      </c>
      <c r="NW71">
        <v>635591.994960809</v>
      </c>
      <c r="NX71">
        <v>764130.133851796</v>
      </c>
      <c r="NY71" t="s">
        <v>1900</v>
      </c>
      <c r="NZ71" t="s">
        <v>1900</v>
      </c>
      <c r="OA71" t="s">
        <v>1900</v>
      </c>
      <c r="OB71" t="s">
        <v>1900</v>
      </c>
      <c r="OC71" t="s">
        <v>1900</v>
      </c>
      <c r="OD71" t="s">
        <v>1900</v>
      </c>
      <c r="OE71" t="s">
        <v>1900</v>
      </c>
      <c r="OF71" t="s">
        <v>1900</v>
      </c>
      <c r="OG71" t="s">
        <v>1900</v>
      </c>
      <c r="OH71" t="s">
        <v>1900</v>
      </c>
      <c r="OI71" t="s">
        <v>1900</v>
      </c>
      <c r="OJ71" t="s">
        <v>1900</v>
      </c>
      <c r="OK71" t="s">
        <v>1900</v>
      </c>
      <c r="OL71" t="s">
        <v>1900</v>
      </c>
      <c r="OM71" t="s">
        <v>1900</v>
      </c>
      <c r="ON71" t="s">
        <v>1900</v>
      </c>
      <c r="OO71" t="s">
        <v>1900</v>
      </c>
      <c r="OP71" t="s">
        <v>1900</v>
      </c>
      <c r="OQ71" t="s">
        <v>1900</v>
      </c>
      <c r="OR71" t="s">
        <v>1900</v>
      </c>
      <c r="OS71" t="s">
        <v>1900</v>
      </c>
      <c r="OT71" t="s">
        <v>1900</v>
      </c>
      <c r="OU71" t="s">
        <v>1900</v>
      </c>
      <c r="OV71" t="s">
        <v>1900</v>
      </c>
      <c r="OW71" t="s">
        <v>1900</v>
      </c>
      <c r="OX71" t="s">
        <v>1900</v>
      </c>
      <c r="OY71" t="s">
        <v>1900</v>
      </c>
      <c r="OZ71" t="s">
        <v>1900</v>
      </c>
      <c r="PA71" t="s">
        <v>1900</v>
      </c>
      <c r="PB71" t="s">
        <v>1900</v>
      </c>
      <c r="PC71" t="s">
        <v>1900</v>
      </c>
      <c r="PD71" t="s">
        <v>1900</v>
      </c>
      <c r="PE71" t="s">
        <v>1900</v>
      </c>
      <c r="PF71" t="s">
        <v>1900</v>
      </c>
      <c r="PG71" t="s">
        <v>1900</v>
      </c>
      <c r="PH71" t="s">
        <v>1900</v>
      </c>
      <c r="PI71" t="s">
        <v>1900</v>
      </c>
      <c r="PJ71" t="s">
        <v>1900</v>
      </c>
      <c r="PK71" t="s">
        <v>1900</v>
      </c>
      <c r="PL71" t="s">
        <v>1900</v>
      </c>
      <c r="PM71" t="s">
        <v>1900</v>
      </c>
      <c r="PN71" t="s">
        <v>1900</v>
      </c>
      <c r="PO71" t="s">
        <v>1900</v>
      </c>
      <c r="PP71" t="s">
        <v>1900</v>
      </c>
      <c r="PQ71" t="s">
        <v>1900</v>
      </c>
      <c r="PR71" t="s">
        <v>1900</v>
      </c>
      <c r="PS71" t="s">
        <v>1900</v>
      </c>
      <c r="PT71" t="s">
        <v>1900</v>
      </c>
      <c r="PU71" t="s">
        <v>1900</v>
      </c>
      <c r="PV71" t="s">
        <v>1900</v>
      </c>
      <c r="PW71" t="s">
        <v>1900</v>
      </c>
      <c r="PX71" t="s">
        <v>1900</v>
      </c>
      <c r="PY71" t="s">
        <v>1900</v>
      </c>
      <c r="PZ71" t="s">
        <v>1900</v>
      </c>
      <c r="QA71" t="s">
        <v>1900</v>
      </c>
      <c r="QB71" t="s">
        <v>1900</v>
      </c>
      <c r="QC71" t="s">
        <v>1900</v>
      </c>
      <c r="QD71" t="s">
        <v>1900</v>
      </c>
      <c r="QE71" t="s">
        <v>1900</v>
      </c>
      <c r="QF71" t="s">
        <v>1900</v>
      </c>
      <c r="QG71" t="s">
        <v>1900</v>
      </c>
      <c r="QH71" t="s">
        <v>1900</v>
      </c>
      <c r="QI71" t="s">
        <v>1900</v>
      </c>
      <c r="QJ71" t="s">
        <v>1900</v>
      </c>
      <c r="QK71" t="s">
        <v>1900</v>
      </c>
      <c r="QL71" t="s">
        <v>1900</v>
      </c>
      <c r="QM71" t="s">
        <v>1900</v>
      </c>
      <c r="QN71" t="s">
        <v>1900</v>
      </c>
      <c r="QO71" t="s">
        <v>1900</v>
      </c>
      <c r="QP71" t="s">
        <v>1900</v>
      </c>
      <c r="QQ71" t="s">
        <v>1900</v>
      </c>
      <c r="QR71" t="s">
        <v>1900</v>
      </c>
      <c r="QS71" t="s">
        <v>1900</v>
      </c>
      <c r="QT71" t="s">
        <v>1900</v>
      </c>
      <c r="QU71" t="s">
        <v>1900</v>
      </c>
      <c r="QV71" t="s">
        <v>1900</v>
      </c>
      <c r="QW71" t="s">
        <v>1900</v>
      </c>
      <c r="QX71" t="s">
        <v>1900</v>
      </c>
      <c r="QY71" t="s">
        <v>1900</v>
      </c>
      <c r="QZ71" t="s">
        <v>1900</v>
      </c>
      <c r="RA71" t="s">
        <v>1900</v>
      </c>
      <c r="RB71" t="s">
        <v>1900</v>
      </c>
      <c r="RC71" t="s">
        <v>1900</v>
      </c>
      <c r="RD71" t="s">
        <v>1900</v>
      </c>
      <c r="RE71" t="s">
        <v>1900</v>
      </c>
      <c r="RF71" t="s">
        <v>1900</v>
      </c>
      <c r="RG71" t="s">
        <v>1900</v>
      </c>
      <c r="RH71" t="s">
        <v>1900</v>
      </c>
      <c r="RI71" t="s">
        <v>1900</v>
      </c>
      <c r="RJ71" t="s">
        <v>1900</v>
      </c>
      <c r="RK71" t="s">
        <v>1900</v>
      </c>
      <c r="RL71" t="s">
        <v>1900</v>
      </c>
      <c r="RM71" t="s">
        <v>1900</v>
      </c>
      <c r="RN71" t="s">
        <v>1900</v>
      </c>
      <c r="RO71" t="s">
        <v>1900</v>
      </c>
      <c r="RP71" t="s">
        <v>1900</v>
      </c>
      <c r="RQ71" t="s">
        <v>1900</v>
      </c>
      <c r="RR71" t="s">
        <v>1900</v>
      </c>
      <c r="RS71" t="s">
        <v>1900</v>
      </c>
      <c r="RT71" t="s">
        <v>1900</v>
      </c>
      <c r="RU71" t="s">
        <v>1900</v>
      </c>
      <c r="RV71" t="s">
        <v>1900</v>
      </c>
      <c r="RW71" t="s">
        <v>1900</v>
      </c>
      <c r="RX71" t="s">
        <v>1900</v>
      </c>
      <c r="RY71" t="s">
        <v>1900</v>
      </c>
      <c r="RZ71" t="s">
        <v>1900</v>
      </c>
      <c r="SA71" t="s">
        <v>1900</v>
      </c>
      <c r="SB71" t="s">
        <v>1900</v>
      </c>
      <c r="SC71" t="s">
        <v>1900</v>
      </c>
      <c r="SD71" t="s">
        <v>1900</v>
      </c>
      <c r="SE71" t="s">
        <v>1900</v>
      </c>
      <c r="SF71" t="s">
        <v>1900</v>
      </c>
      <c r="SG71" t="s">
        <v>1900</v>
      </c>
      <c r="SH71" t="s">
        <v>1900</v>
      </c>
      <c r="SI71" t="s">
        <v>1900</v>
      </c>
      <c r="SJ71">
        <v>20535.6155551314</v>
      </c>
      <c r="SK71">
        <v>14340.9616360474</v>
      </c>
      <c r="SL71">
        <v>10256.186027205</v>
      </c>
      <c r="SM71">
        <v>3717.87376928329</v>
      </c>
      <c r="SN71">
        <v>13783.270170927</v>
      </c>
      <c r="SO71" t="s">
        <v>1900</v>
      </c>
      <c r="SP71" t="s">
        <v>1900</v>
      </c>
      <c r="SQ71" t="s">
        <v>1900</v>
      </c>
      <c r="SR71" t="s">
        <v>1900</v>
      </c>
      <c r="SS71" t="s">
        <v>1900</v>
      </c>
      <c r="ST71" t="s">
        <v>1900</v>
      </c>
      <c r="SU71" t="s">
        <v>1900</v>
      </c>
      <c r="SV71" t="s">
        <v>1900</v>
      </c>
      <c r="SW71" t="s">
        <v>1900</v>
      </c>
      <c r="SX71" t="s">
        <v>1900</v>
      </c>
      <c r="SY71" t="s">
        <v>1900</v>
      </c>
      <c r="SZ71" t="s">
        <v>1900</v>
      </c>
      <c r="TA71" t="s">
        <v>1900</v>
      </c>
      <c r="TB71" t="s">
        <v>1900</v>
      </c>
      <c r="TC71" t="s">
        <v>1900</v>
      </c>
      <c r="TD71" t="s">
        <v>1900</v>
      </c>
      <c r="TE71" t="s">
        <v>1900</v>
      </c>
      <c r="TF71" t="s">
        <v>1900</v>
      </c>
      <c r="TG71" t="s">
        <v>1900</v>
      </c>
      <c r="TH71" t="s">
        <v>1900</v>
      </c>
      <c r="TI71" t="s">
        <v>1900</v>
      </c>
      <c r="TJ71" t="s">
        <v>1900</v>
      </c>
      <c r="TK71" t="s">
        <v>1900</v>
      </c>
      <c r="TL71" t="s">
        <v>1900</v>
      </c>
      <c r="TM71" t="s">
        <v>1900</v>
      </c>
      <c r="TN71" t="s">
        <v>1900</v>
      </c>
      <c r="TO71" t="s">
        <v>1900</v>
      </c>
      <c r="TP71" t="s">
        <v>1900</v>
      </c>
      <c r="TQ71" t="s">
        <v>1900</v>
      </c>
      <c r="TR71" t="s">
        <v>1900</v>
      </c>
      <c r="TS71">
        <v>4272739.47872996</v>
      </c>
      <c r="TT71">
        <v>3766656.27432905</v>
      </c>
      <c r="TU71">
        <v>3392752.23182818</v>
      </c>
      <c r="TV71">
        <v>2670275.94169214</v>
      </c>
      <c r="TW71">
        <v>1552805.49323436</v>
      </c>
      <c r="TX71" t="s">
        <v>1900</v>
      </c>
      <c r="TY71" t="s">
        <v>1900</v>
      </c>
      <c r="TZ71" t="s">
        <v>1900</v>
      </c>
      <c r="UA71" t="s">
        <v>1900</v>
      </c>
      <c r="UB71" t="s">
        <v>1900</v>
      </c>
      <c r="UC71">
        <v>243888.866800371</v>
      </c>
      <c r="UD71">
        <v>299373.640605211</v>
      </c>
      <c r="UE71">
        <v>245995.588948268</v>
      </c>
      <c r="UF71">
        <v>470538.967626214</v>
      </c>
      <c r="UG71">
        <v>426516.094820648</v>
      </c>
      <c r="UH71" t="s">
        <v>1900</v>
      </c>
      <c r="UI71" t="s">
        <v>1900</v>
      </c>
      <c r="UJ71" t="s">
        <v>1900</v>
      </c>
      <c r="UK71" t="s">
        <v>1900</v>
      </c>
      <c r="UL71" t="s">
        <v>1900</v>
      </c>
      <c r="UM71" t="s">
        <v>1900</v>
      </c>
      <c r="UN71" t="s">
        <v>1900</v>
      </c>
      <c r="UO71" t="s">
        <v>1900</v>
      </c>
      <c r="UP71" t="s">
        <v>1900</v>
      </c>
      <c r="UQ71" t="s">
        <v>1900</v>
      </c>
      <c r="UR71" t="s">
        <v>1900</v>
      </c>
      <c r="US71" t="s">
        <v>1900</v>
      </c>
      <c r="UT71" t="s">
        <v>1900</v>
      </c>
      <c r="UU71" t="s">
        <v>1900</v>
      </c>
      <c r="UV71" t="s">
        <v>1900</v>
      </c>
      <c r="UW71" t="s">
        <v>1900</v>
      </c>
      <c r="UX71" t="s">
        <v>1900</v>
      </c>
      <c r="UY71" t="s">
        <v>1900</v>
      </c>
      <c r="UZ71" t="s">
        <v>1900</v>
      </c>
      <c r="VA71" t="s">
        <v>1900</v>
      </c>
      <c r="VB71" t="s">
        <v>1900</v>
      </c>
      <c r="VC71" t="s">
        <v>1900</v>
      </c>
      <c r="VD71" t="s">
        <v>1900</v>
      </c>
      <c r="VE71" t="s">
        <v>1900</v>
      </c>
      <c r="VF71" t="s">
        <v>1900</v>
      </c>
      <c r="VG71" t="s">
        <v>1900</v>
      </c>
      <c r="VH71" t="s">
        <v>1900</v>
      </c>
      <c r="VI71" t="s">
        <v>1900</v>
      </c>
      <c r="VJ71" t="s">
        <v>1900</v>
      </c>
      <c r="VK71" t="s">
        <v>1900</v>
      </c>
      <c r="VL71" t="s">
        <v>1900</v>
      </c>
      <c r="VM71" t="s">
        <v>1900</v>
      </c>
      <c r="VN71" t="s">
        <v>1900</v>
      </c>
      <c r="VO71" t="s">
        <v>1900</v>
      </c>
      <c r="VP71" t="s">
        <v>1900</v>
      </c>
      <c r="VQ71" t="s">
        <v>1900</v>
      </c>
      <c r="VR71" t="s">
        <v>1900</v>
      </c>
      <c r="VS71" t="s">
        <v>1900</v>
      </c>
      <c r="VT71" t="s">
        <v>1900</v>
      </c>
      <c r="VU71" t="s">
        <v>1900</v>
      </c>
      <c r="VV71" t="s">
        <v>1900</v>
      </c>
      <c r="VW71" t="s">
        <v>1900</v>
      </c>
      <c r="VX71" t="s">
        <v>1900</v>
      </c>
      <c r="VY71" t="s">
        <v>1900</v>
      </c>
      <c r="VZ71" t="s">
        <v>1900</v>
      </c>
      <c r="WA71">
        <v>719799.863896129</v>
      </c>
      <c r="WB71">
        <v>570887.400957251</v>
      </c>
      <c r="WC71">
        <v>529389.280024775</v>
      </c>
      <c r="WD71">
        <v>383128.704085135</v>
      </c>
      <c r="WE71">
        <v>156195.567820638</v>
      </c>
      <c r="WF71" t="s">
        <v>1900</v>
      </c>
      <c r="WG71" t="s">
        <v>1900</v>
      </c>
      <c r="WH71" t="s">
        <v>1900</v>
      </c>
      <c r="WI71" t="s">
        <v>1900</v>
      </c>
      <c r="WJ71" t="s">
        <v>1900</v>
      </c>
      <c r="WK71" t="s">
        <v>1900</v>
      </c>
      <c r="WL71" t="s">
        <v>1900</v>
      </c>
      <c r="WM71" t="s">
        <v>1900</v>
      </c>
      <c r="WN71" t="s">
        <v>1900</v>
      </c>
      <c r="WO71" t="s">
        <v>1900</v>
      </c>
      <c r="WP71" t="s">
        <v>1900</v>
      </c>
      <c r="WQ71" t="s">
        <v>1900</v>
      </c>
      <c r="WR71" t="s">
        <v>1900</v>
      </c>
      <c r="WS71" t="s">
        <v>1900</v>
      </c>
      <c r="WT71" t="s">
        <v>1900</v>
      </c>
      <c r="WU71" t="s">
        <v>1900</v>
      </c>
      <c r="WV71" t="s">
        <v>1900</v>
      </c>
      <c r="WW71" t="s">
        <v>1900</v>
      </c>
      <c r="WX71" t="s">
        <v>1900</v>
      </c>
      <c r="WY71" t="s">
        <v>1900</v>
      </c>
      <c r="WZ71" t="s">
        <v>1900</v>
      </c>
      <c r="XA71" t="s">
        <v>1900</v>
      </c>
      <c r="XB71" t="s">
        <v>1900</v>
      </c>
      <c r="XC71" t="s">
        <v>1900</v>
      </c>
      <c r="XD71" t="s">
        <v>1900</v>
      </c>
      <c r="XE71" t="s">
        <v>1900</v>
      </c>
      <c r="XF71" t="s">
        <v>1900</v>
      </c>
      <c r="XG71" t="s">
        <v>1900</v>
      </c>
      <c r="XH71" t="s">
        <v>1900</v>
      </c>
      <c r="XI71" t="s">
        <v>1900</v>
      </c>
      <c r="XJ71">
        <v>0</v>
      </c>
      <c r="XK71">
        <v>0</v>
      </c>
      <c r="XL71">
        <v>0</v>
      </c>
      <c r="XM71">
        <v>0</v>
      </c>
      <c r="XN71">
        <v>0</v>
      </c>
      <c r="XO71" t="s">
        <v>1900</v>
      </c>
      <c r="XP71" t="s">
        <v>1900</v>
      </c>
      <c r="XQ71" t="s">
        <v>1900</v>
      </c>
      <c r="XR71" t="s">
        <v>1900</v>
      </c>
      <c r="XS71" t="s">
        <v>1900</v>
      </c>
      <c r="XT71" t="s">
        <v>1900</v>
      </c>
      <c r="XU71" t="s">
        <v>1900</v>
      </c>
      <c r="XV71" t="s">
        <v>1900</v>
      </c>
      <c r="XW71" t="s">
        <v>1900</v>
      </c>
      <c r="XX71" t="s">
        <v>1900</v>
      </c>
      <c r="XY71">
        <v>0</v>
      </c>
      <c r="XZ71">
        <v>0</v>
      </c>
      <c r="YA71">
        <v>0</v>
      </c>
      <c r="YB71">
        <v>0</v>
      </c>
      <c r="YC71">
        <v>0</v>
      </c>
      <c r="YD71" t="s">
        <v>1900</v>
      </c>
      <c r="YE71" t="s">
        <v>1900</v>
      </c>
      <c r="YF71" t="s">
        <v>1900</v>
      </c>
      <c r="YG71" t="s">
        <v>1900</v>
      </c>
      <c r="YH71" t="s">
        <v>1900</v>
      </c>
      <c r="YI71" t="s">
        <v>1900</v>
      </c>
      <c r="YJ71" t="s">
        <v>1900</v>
      </c>
      <c r="YK71" t="s">
        <v>1900</v>
      </c>
      <c r="YL71" t="s">
        <v>1900</v>
      </c>
      <c r="YM71" t="s">
        <v>1900</v>
      </c>
      <c r="YN71" t="s">
        <v>1900</v>
      </c>
      <c r="YO71" t="s">
        <v>1900</v>
      </c>
      <c r="YP71" t="s">
        <v>1900</v>
      </c>
      <c r="YQ71" t="s">
        <v>1900</v>
      </c>
      <c r="YR71" t="s">
        <v>1900</v>
      </c>
      <c r="YS71" t="s">
        <v>1900</v>
      </c>
      <c r="YT71" t="s">
        <v>1900</v>
      </c>
      <c r="YU71" t="s">
        <v>1900</v>
      </c>
      <c r="YV71" t="s">
        <v>1900</v>
      </c>
      <c r="YW71" t="s">
        <v>1900</v>
      </c>
      <c r="YX71" t="s">
        <v>1900</v>
      </c>
      <c r="YY71" t="s">
        <v>1900</v>
      </c>
      <c r="YZ71" t="s">
        <v>1900</v>
      </c>
      <c r="ZA71" t="s">
        <v>1900</v>
      </c>
      <c r="ZB71" t="s">
        <v>1900</v>
      </c>
      <c r="ZC71" t="s">
        <v>1900</v>
      </c>
      <c r="ZD71" t="s">
        <v>1900</v>
      </c>
      <c r="ZE71" t="s">
        <v>1900</v>
      </c>
      <c r="ZF71" t="s">
        <v>1900</v>
      </c>
      <c r="ZG71" t="s">
        <v>1900</v>
      </c>
      <c r="ZH71" t="s">
        <v>1900</v>
      </c>
      <c r="ZI71" t="s">
        <v>1900</v>
      </c>
      <c r="ZJ71" t="s">
        <v>1900</v>
      </c>
      <c r="ZK71" t="s">
        <v>1900</v>
      </c>
      <c r="ZL71" t="s">
        <v>1900</v>
      </c>
      <c r="ZM71" t="s">
        <v>1900</v>
      </c>
      <c r="ZN71" t="s">
        <v>1900</v>
      </c>
      <c r="ZO71" t="s">
        <v>1900</v>
      </c>
      <c r="ZP71" t="s">
        <v>1900</v>
      </c>
      <c r="ZQ71" t="s">
        <v>1900</v>
      </c>
      <c r="ZR71" t="s">
        <v>1900</v>
      </c>
      <c r="ZS71" t="s">
        <v>1900</v>
      </c>
      <c r="ZT71" t="s">
        <v>1900</v>
      </c>
      <c r="ZU71" t="s">
        <v>1900</v>
      </c>
      <c r="ZV71" t="s">
        <v>1900</v>
      </c>
      <c r="ZW71" t="s">
        <v>1900</v>
      </c>
      <c r="ZX71" t="s">
        <v>1900</v>
      </c>
      <c r="ZY71" t="s">
        <v>1900</v>
      </c>
      <c r="ZZ71" t="s">
        <v>1900</v>
      </c>
      <c r="AAA71" t="s">
        <v>1900</v>
      </c>
      <c r="AAB71" t="s">
        <v>1900</v>
      </c>
      <c r="AAC71" t="s">
        <v>1900</v>
      </c>
      <c r="AAD71" t="s">
        <v>1900</v>
      </c>
      <c r="AAE71" t="s">
        <v>1900</v>
      </c>
      <c r="AAF71" t="s">
        <v>1900</v>
      </c>
      <c r="AAG71" t="s">
        <v>1900</v>
      </c>
      <c r="AAH71" t="s">
        <v>1900</v>
      </c>
      <c r="AAI71" t="s">
        <v>1900</v>
      </c>
      <c r="AAJ71" t="s">
        <v>1900</v>
      </c>
      <c r="AAK71" t="s">
        <v>1900</v>
      </c>
      <c r="AAL71" t="s">
        <v>1900</v>
      </c>
      <c r="AAM71" t="s">
        <v>1900</v>
      </c>
      <c r="AAN71" t="s">
        <v>1900</v>
      </c>
      <c r="AAO71" t="s">
        <v>1900</v>
      </c>
      <c r="AAP71" t="s">
        <v>1900</v>
      </c>
      <c r="AAQ71" t="s">
        <v>1900</v>
      </c>
      <c r="AAR71" t="s">
        <v>1900</v>
      </c>
      <c r="AAS71" t="s">
        <v>1900</v>
      </c>
      <c r="AAT71" t="s">
        <v>1900</v>
      </c>
      <c r="AAU71" t="s">
        <v>1900</v>
      </c>
      <c r="AAV71" t="s">
        <v>1900</v>
      </c>
      <c r="AAW71" t="s">
        <v>1900</v>
      </c>
      <c r="AAX71" t="s">
        <v>1900</v>
      </c>
      <c r="AAY71" t="s">
        <v>1900</v>
      </c>
      <c r="AAZ71" t="s">
        <v>1900</v>
      </c>
      <c r="ABA71" t="s">
        <v>1900</v>
      </c>
      <c r="ABB71" t="s">
        <v>1900</v>
      </c>
      <c r="ABC71" t="s">
        <v>1900</v>
      </c>
      <c r="ABD71" t="s">
        <v>1900</v>
      </c>
      <c r="ABE71" t="s">
        <v>1900</v>
      </c>
      <c r="ABF71" t="s">
        <v>1900</v>
      </c>
      <c r="ABG71" t="s">
        <v>1900</v>
      </c>
      <c r="ABH71" t="s">
        <v>1900</v>
      </c>
      <c r="ABI71" t="s">
        <v>1900</v>
      </c>
      <c r="ABJ71" t="s">
        <v>1900</v>
      </c>
      <c r="ABK71" t="s">
        <v>1900</v>
      </c>
      <c r="ABL71" t="s">
        <v>1900</v>
      </c>
      <c r="ABM71" t="s">
        <v>1900</v>
      </c>
      <c r="ABN71" t="s">
        <v>1900</v>
      </c>
      <c r="ABO71" t="s">
        <v>1900</v>
      </c>
      <c r="ABP71" t="s">
        <v>1900</v>
      </c>
      <c r="ABQ71" t="s">
        <v>1900</v>
      </c>
      <c r="ABR71" t="s">
        <v>1900</v>
      </c>
      <c r="ABS71" t="s">
        <v>1900</v>
      </c>
      <c r="ABT71" t="s">
        <v>1900</v>
      </c>
      <c r="ABU71" t="s">
        <v>1900</v>
      </c>
      <c r="ABV71" t="s">
        <v>1900</v>
      </c>
      <c r="ABW71" t="s">
        <v>1900</v>
      </c>
      <c r="ABX71" t="s">
        <v>1900</v>
      </c>
      <c r="ABY71" t="s">
        <v>1900</v>
      </c>
      <c r="ABZ71" t="s">
        <v>1900</v>
      </c>
      <c r="ACA71" t="s">
        <v>1900</v>
      </c>
      <c r="ACB71" t="s">
        <v>1900</v>
      </c>
      <c r="ACC71" t="s">
        <v>1900</v>
      </c>
      <c r="ACD71" t="s">
        <v>1900</v>
      </c>
      <c r="ACE71">
        <v>63.733</v>
      </c>
      <c r="ACF71">
        <v>120.146</v>
      </c>
      <c r="ACG71" t="s">
        <v>1901</v>
      </c>
      <c r="ACH71" t="s">
        <v>1901</v>
      </c>
      <c r="ACI71" t="s">
        <v>1901</v>
      </c>
      <c r="ACJ71">
        <v>64.122</v>
      </c>
      <c r="ACK71">
        <v>99.40300000000001</v>
      </c>
      <c r="ACL71">
        <v>242.241</v>
      </c>
      <c r="ACM71" t="s">
        <v>1901</v>
      </c>
      <c r="ACN71">
        <v>-262.85</v>
      </c>
      <c r="ACO71">
        <v>15.105</v>
      </c>
      <c r="ACP71">
        <v>12.46</v>
      </c>
      <c r="ACQ71">
        <v>14.418</v>
      </c>
      <c r="ACR71">
        <v>1.062</v>
      </c>
      <c r="ACS71">
        <v>-46.691</v>
      </c>
      <c r="ACT71">
        <v>63.733</v>
      </c>
      <c r="ACU71">
        <v>120.146</v>
      </c>
      <c r="ACV71" t="s">
        <v>1901</v>
      </c>
      <c r="ACW71" t="s">
        <v>1901</v>
      </c>
      <c r="ACX71" t="s">
        <v>1901</v>
      </c>
      <c r="ACY71">
        <v>64.122</v>
      </c>
      <c r="ACZ71">
        <v>99.40300000000001</v>
      </c>
      <c r="ADA71">
        <v>242.241</v>
      </c>
      <c r="ADB71" t="s">
        <v>1901</v>
      </c>
      <c r="ADC71">
        <v>-262.85</v>
      </c>
      <c r="ADD71">
        <v>15.105</v>
      </c>
      <c r="ADE71">
        <v>12.46</v>
      </c>
      <c r="ADF71">
        <v>14.418</v>
      </c>
      <c r="ADG71">
        <v>1.062</v>
      </c>
      <c r="ADH71">
        <v>-46.691</v>
      </c>
      <c r="ADI71">
        <v>3.272</v>
      </c>
      <c r="ADJ71">
        <v>2.7</v>
      </c>
      <c r="ADK71">
        <v>3.78</v>
      </c>
      <c r="ADL71">
        <v>0.394</v>
      </c>
      <c r="ADM71">
        <v>-13.472</v>
      </c>
      <c r="ADN71">
        <v>17.774</v>
      </c>
      <c r="ADO71">
        <v>14.888</v>
      </c>
      <c r="ADP71">
        <v>16</v>
      </c>
      <c r="ADQ71">
        <v>16.355</v>
      </c>
      <c r="ADR71">
        <v>14.873</v>
      </c>
      <c r="ADS71">
        <v>3.356191175</v>
      </c>
      <c r="ADT71">
        <v>2.804988856</v>
      </c>
      <c r="ADU71">
        <v>4.030814569</v>
      </c>
      <c r="ADV71">
        <v>0.988778892</v>
      </c>
      <c r="ADW71">
        <v>-12.713254328</v>
      </c>
      <c r="ADX71">
        <v>4.372</v>
      </c>
      <c r="ADY71">
        <v>4.145</v>
      </c>
      <c r="ADZ71">
        <v>5.845</v>
      </c>
      <c r="AEA71">
        <v>4.546</v>
      </c>
      <c r="AEB71">
        <v>-8.314</v>
      </c>
      <c r="AEC71">
        <v>3.356</v>
      </c>
      <c r="AED71">
        <v>2.805</v>
      </c>
      <c r="AEE71">
        <v>4.031</v>
      </c>
      <c r="AEF71">
        <v>0.989</v>
      </c>
      <c r="AEG71">
        <v>-12.713</v>
      </c>
      <c r="AEH71">
        <v>4.288</v>
      </c>
      <c r="AEI71">
        <v>4.04</v>
      </c>
      <c r="AEJ71">
        <v>5.594</v>
      </c>
      <c r="AEK71">
        <v>3.951</v>
      </c>
      <c r="AEL71">
        <v>-9.073</v>
      </c>
      <c r="AEM71">
        <v>3.472743071</v>
      </c>
      <c r="AEN71">
        <v>2.885939127</v>
      </c>
      <c r="AEO71">
        <v>4.20011335</v>
      </c>
      <c r="AEP71">
        <v>0.998653366</v>
      </c>
      <c r="AEQ71">
        <v>-11.27928956</v>
      </c>
      <c r="AER71">
        <v>1.232788207</v>
      </c>
      <c r="AES71">
        <v>1.232148964</v>
      </c>
      <c r="AET71">
        <v>1.336767804</v>
      </c>
      <c r="AEU71">
        <v>1.064346312</v>
      </c>
      <c r="AEV71">
        <v>0.53914914</v>
      </c>
      <c r="AEW71" t="s">
        <v>1900</v>
      </c>
      <c r="AEX71" t="s">
        <v>1900</v>
      </c>
      <c r="AEY71" t="s">
        <v>1900</v>
      </c>
      <c r="AEZ71" t="s">
        <v>1900</v>
      </c>
      <c r="AFA71" t="s">
        <v>1900</v>
      </c>
      <c r="AFB71" t="s">
        <v>1900</v>
      </c>
      <c r="AFC71" t="s">
        <v>1900</v>
      </c>
      <c r="AFD71" t="s">
        <v>1900</v>
      </c>
      <c r="AFE71" t="s">
        <v>1900</v>
      </c>
      <c r="AFF71" t="s">
        <v>1900</v>
      </c>
      <c r="AFG71">
        <v>19.105</v>
      </c>
      <c r="AFH71">
        <v>35.438</v>
      </c>
      <c r="AFI71">
        <v>60.097</v>
      </c>
      <c r="AFJ71" t="s">
        <v>1901</v>
      </c>
      <c r="AFK71">
        <v>20.674</v>
      </c>
      <c r="AFL71">
        <v>39.966</v>
      </c>
      <c r="AFM71">
        <v>26.731</v>
      </c>
      <c r="AFN71">
        <v>16.078</v>
      </c>
      <c r="AFO71">
        <v>1.661</v>
      </c>
      <c r="AFP71">
        <v>-16.76</v>
      </c>
      <c r="AFQ71" t="s">
        <v>1901</v>
      </c>
      <c r="AFR71" t="s">
        <v>1901</v>
      </c>
      <c r="AFS71" t="s">
        <v>1901</v>
      </c>
      <c r="AFT71" t="s">
        <v>1901</v>
      </c>
      <c r="AFU71" t="s">
        <v>1901</v>
      </c>
      <c r="AFV71">
        <v>45.164</v>
      </c>
      <c r="AFW71">
        <v>47.869</v>
      </c>
      <c r="AFX71">
        <v>54.266</v>
      </c>
      <c r="AFY71">
        <v>58.865</v>
      </c>
      <c r="AFZ71">
        <v>38.838</v>
      </c>
      <c r="AGA71">
        <v>41.555</v>
      </c>
      <c r="AGB71">
        <v>49.828</v>
      </c>
      <c r="AGC71">
        <v>66.822</v>
      </c>
      <c r="AGD71">
        <v>93.458</v>
      </c>
      <c r="AGE71">
        <v>47.482</v>
      </c>
      <c r="AGF71" t="s">
        <v>1900</v>
      </c>
      <c r="AGG71" t="s">
        <v>1900</v>
      </c>
      <c r="AGH71" t="s">
        <v>1900</v>
      </c>
      <c r="AGI71" t="s">
        <v>1900</v>
      </c>
      <c r="AGJ71" t="s">
        <v>1900</v>
      </c>
      <c r="AGK71" t="s">
        <v>1900</v>
      </c>
      <c r="AGL71" t="s">
        <v>1900</v>
      </c>
      <c r="AGM71" t="s">
        <v>1900</v>
      </c>
      <c r="AGN71" t="s">
        <v>1900</v>
      </c>
      <c r="AGO71" t="s">
        <v>1900</v>
      </c>
      <c r="AGP71" t="s">
        <v>1900</v>
      </c>
      <c r="AGQ71" t="s">
        <v>1900</v>
      </c>
      <c r="AGR71" t="s">
        <v>1900</v>
      </c>
      <c r="AGS71" t="s">
        <v>1900</v>
      </c>
      <c r="AGT71" t="s">
        <v>1900</v>
      </c>
      <c r="AGU71">
        <v>0</v>
      </c>
      <c r="AGV71">
        <v>0</v>
      </c>
      <c r="AGW71">
        <v>0</v>
      </c>
      <c r="AGX71">
        <v>0</v>
      </c>
      <c r="AGY71">
        <v>0</v>
      </c>
      <c r="AGZ71">
        <v>1.2</v>
      </c>
      <c r="AHA71">
        <v>0.987</v>
      </c>
      <c r="AHB71">
        <v>0.896</v>
      </c>
      <c r="AHC71">
        <v>0.747</v>
      </c>
      <c r="AHD71">
        <v>0.61</v>
      </c>
      <c r="AHE71">
        <v>1.198</v>
      </c>
      <c r="AHF71">
        <v>0.986</v>
      </c>
      <c r="AHG71">
        <v>0.895</v>
      </c>
      <c r="AHH71">
        <v>0.746</v>
      </c>
      <c r="AHI71">
        <v>0.61</v>
      </c>
      <c r="AHJ71">
        <v>51.443</v>
      </c>
      <c r="AHK71">
        <v>3.912</v>
      </c>
      <c r="AHL71">
        <v>-0.261</v>
      </c>
      <c r="AHM71">
        <v>-1.097</v>
      </c>
      <c r="AHN71">
        <v>-0.723</v>
      </c>
      <c r="AHO71">
        <v>23.701</v>
      </c>
      <c r="AHP71">
        <v>10.371</v>
      </c>
      <c r="AHQ71">
        <v>-2.239</v>
      </c>
      <c r="AHR71">
        <v>-22.474</v>
      </c>
      <c r="AHS71">
        <v>-43.849</v>
      </c>
      <c r="AHT71">
        <v>31.063</v>
      </c>
      <c r="AHU71">
        <v>11.571</v>
      </c>
      <c r="AHV71" t="s">
        <v>1901</v>
      </c>
      <c r="AHW71" t="s">
        <v>1901</v>
      </c>
      <c r="AHX71" t="s">
        <v>1901</v>
      </c>
      <c r="AHY71">
        <v>26.028</v>
      </c>
      <c r="AHZ71">
        <v>102.203</v>
      </c>
      <c r="AIA71" t="s">
        <v>1901</v>
      </c>
      <c r="AIB71" t="s">
        <v>1901</v>
      </c>
      <c r="AIC71" t="s">
        <v>1901</v>
      </c>
      <c r="AID71">
        <v>0.480619417</v>
      </c>
      <c r="AIE71">
        <v>0.380734545</v>
      </c>
      <c r="AIF71">
        <v>0.302296936</v>
      </c>
      <c r="AIG71">
        <v>0.139231819</v>
      </c>
      <c r="AIH71">
        <v>0.887636618</v>
      </c>
      <c r="AII71">
        <v>32.978767671</v>
      </c>
      <c r="AIJ71">
        <v>24.367316872</v>
      </c>
      <c r="AIK71">
        <v>26.314246897</v>
      </c>
      <c r="AIL71">
        <v>31.934559281</v>
      </c>
      <c r="AIM71">
        <v>13.389485993</v>
      </c>
      <c r="AIN71">
        <v>16.846331668</v>
      </c>
      <c r="AIO71">
        <v>15.156344497</v>
      </c>
      <c r="AIP71">
        <v>15.603534943</v>
      </c>
      <c r="AIQ71">
        <v>14.347906825</v>
      </c>
      <c r="AIR71">
        <v>10.058926794</v>
      </c>
      <c r="AIS71">
        <v>0.031035718</v>
      </c>
      <c r="AIT71">
        <v>0.023015014</v>
      </c>
      <c r="AIU71">
        <v>0.040987505</v>
      </c>
      <c r="AIV71">
        <v>0.070341957</v>
      </c>
      <c r="AIW71">
        <v>0.004017909</v>
      </c>
      <c r="AIX71">
        <v>14.3423894382724</v>
      </c>
      <c r="AIY71">
        <v>11.4470327422876</v>
      </c>
      <c r="AIZ71">
        <v>11.931121600191</v>
      </c>
      <c r="AJA71">
        <v>0.885899573693275</v>
      </c>
      <c r="AJB71">
        <v>-19.5950762793809</v>
      </c>
      <c r="AJC71">
        <v>438.301972467415</v>
      </c>
      <c r="AJD71">
        <v>423.955540266037</v>
      </c>
      <c r="AJE71">
        <v>315.628982377801</v>
      </c>
      <c r="AJF71">
        <v>225.078833264673</v>
      </c>
      <c r="AJG71">
        <v>145.446417241988</v>
      </c>
      <c r="AJH71">
        <v>9.090999999999999</v>
      </c>
      <c r="AJI71">
        <v>8.753</v>
      </c>
      <c r="AJJ71">
        <v>8.269</v>
      </c>
      <c r="AJK71">
        <v>10.794</v>
      </c>
      <c r="AJL71">
        <v>20.584</v>
      </c>
      <c r="AJM71">
        <v>39.8456205438709</v>
      </c>
      <c r="AJN71">
        <v>37.1089675590486</v>
      </c>
      <c r="AJO71">
        <v>26.1000862526917</v>
      </c>
      <c r="AJP71">
        <v>24.2955405770588</v>
      </c>
      <c r="AJQ71">
        <v>29.9386582685769</v>
      </c>
      <c r="AJR71">
        <v>22.5038346300582</v>
      </c>
      <c r="AJS71">
        <v>9.527624780880929</v>
      </c>
      <c r="AJT71" t="s">
        <v>1901</v>
      </c>
      <c r="AJU71" t="s">
        <v>1901</v>
      </c>
      <c r="AJV71" t="s">
        <v>1901</v>
      </c>
      <c r="AJW71">
        <v>4.5056428971169</v>
      </c>
      <c r="AJX71">
        <v>-2.22429085823441</v>
      </c>
      <c r="AJY71">
        <v>-10.8999310817438</v>
      </c>
      <c r="AJZ71">
        <v>-21.49576620821</v>
      </c>
      <c r="AKA71">
        <v>-3.4873413559252</v>
      </c>
      <c r="AKB71">
        <v>94.9497664248657</v>
      </c>
      <c r="AKC71">
        <v>91.86966498497679</v>
      </c>
      <c r="AKD71">
        <v>82.7500542267167</v>
      </c>
      <c r="AKE71">
        <v>83.44612282394171</v>
      </c>
      <c r="AKF71">
        <v>41.9677163650095</v>
      </c>
      <c r="AKG71">
        <v>0.031035718</v>
      </c>
      <c r="AKH71">
        <v>0.023015014</v>
      </c>
      <c r="AKI71">
        <v>0.040987505</v>
      </c>
      <c r="AKJ71">
        <v>0.070341957</v>
      </c>
      <c r="AKK71">
        <v>0.004017909</v>
      </c>
      <c r="AKL71">
        <v>0.025519569</v>
      </c>
      <c r="AKM71">
        <v>0.019588607</v>
      </c>
      <c r="AKN71">
        <v>0.034429531</v>
      </c>
      <c r="AKO71">
        <v>0.05883732</v>
      </c>
      <c r="AKP71">
        <v>0.003420316</v>
      </c>
      <c r="AKQ71">
        <v>0.117802052</v>
      </c>
      <c r="AKR71">
        <v>0.090396526</v>
      </c>
      <c r="AKS71">
        <v>0.131322667</v>
      </c>
      <c r="AKT71">
        <v>0.158701624</v>
      </c>
      <c r="AKU71">
        <v>0.011853699</v>
      </c>
      <c r="AKV71">
        <v>1.751147092</v>
      </c>
      <c r="AKW71">
        <v>2.903302893</v>
      </c>
      <c r="AKX71">
        <v>3.964214599</v>
      </c>
      <c r="AKY71">
        <v>8.24895562</v>
      </c>
      <c r="AKZ71">
        <v>12.778200426</v>
      </c>
      <c r="ALA71">
        <v>8.083550433999999</v>
      </c>
      <c r="ALB71">
        <v>13.398017092</v>
      </c>
      <c r="ALC71">
        <v>15.120485737</v>
      </c>
      <c r="ALD71">
        <v>22.249869004</v>
      </c>
      <c r="ALE71">
        <v>44.285075496</v>
      </c>
      <c r="ALF71">
        <v>0.092636544</v>
      </c>
      <c r="ALG71">
        <v>0.08699632</v>
      </c>
      <c r="ALH71">
        <v>0.16674649</v>
      </c>
      <c r="ALI71">
        <v>0.524000014</v>
      </c>
      <c r="ALJ71">
        <v>1.164834628</v>
      </c>
      <c r="ALK71">
        <v>0.427623799</v>
      </c>
      <c r="ALL71">
        <v>0.40146627</v>
      </c>
      <c r="ALM71">
        <v>0.636011968</v>
      </c>
      <c r="ALN71">
        <v>1.413382762</v>
      </c>
      <c r="ALO71">
        <v>4.036936949</v>
      </c>
      <c r="ALP71">
        <v>12.545452006</v>
      </c>
      <c r="ALQ71">
        <v>13.296943147</v>
      </c>
      <c r="ALR71">
        <v>15.073923069</v>
      </c>
      <c r="ALS71">
        <v>16.351289332</v>
      </c>
      <c r="ALT71">
        <v>10.788381279</v>
      </c>
      <c r="ALU71">
        <v>92.00939628</v>
      </c>
      <c r="ALV71">
        <v>104.092975109</v>
      </c>
      <c r="ALW71">
        <v>123.138167475</v>
      </c>
      <c r="ALX71">
        <v>158.76701862</v>
      </c>
      <c r="ALY71">
        <v>122.256366166</v>
      </c>
      <c r="ALZ71">
        <v>17.7735502663802</v>
      </c>
      <c r="AMA71">
        <v>14.8876999414356</v>
      </c>
      <c r="AMB71">
        <v>15.999935483728</v>
      </c>
      <c r="AMC71">
        <v>16.3552989048444</v>
      </c>
      <c r="AMD71">
        <v>14.8732284892966</v>
      </c>
      <c r="AME71">
        <v>17.7735502663802</v>
      </c>
      <c r="AMF71">
        <v>14.8876999414356</v>
      </c>
      <c r="AMG71">
        <v>16.0000395065417</v>
      </c>
      <c r="AMH71">
        <v>16.5830609014529</v>
      </c>
      <c r="AMI71">
        <v>15.1053867268106</v>
      </c>
      <c r="AMJ71">
        <v>21.615368686229</v>
      </c>
      <c r="AMK71">
        <v>17.491831299579</v>
      </c>
      <c r="AML71">
        <v>19.0475276130634</v>
      </c>
      <c r="AMM71">
        <v>19.5532994806669</v>
      </c>
      <c r="AMN71">
        <v>17.4718578249224</v>
      </c>
      <c r="AMO71">
        <v>1.23278820669491</v>
      </c>
      <c r="AMP71">
        <v>1.23214896429327</v>
      </c>
      <c r="AMQ71">
        <v>1.33676780424826</v>
      </c>
      <c r="AMR71">
        <v>1.06434631205405</v>
      </c>
      <c r="AMS71">
        <v>0.5391491400898309</v>
      </c>
      <c r="AMT71">
        <v>1.23278820706025</v>
      </c>
      <c r="AMU71">
        <v>1.23214896376714</v>
      </c>
      <c r="AMV71">
        <v>1.33676780424826</v>
      </c>
      <c r="AMW71">
        <v>1.06434631205405</v>
      </c>
      <c r="AMX71">
        <v>0.5391491400898309</v>
      </c>
      <c r="AMY71">
        <v>1.23278820706025</v>
      </c>
      <c r="AMZ71">
        <v>1.232148963645</v>
      </c>
      <c r="ANA71">
        <v>1.33676780424826</v>
      </c>
      <c r="ANB71">
        <v>1.06434631205405</v>
      </c>
      <c r="ANC71">
        <v>0.5391491400898309</v>
      </c>
      <c r="AND71">
        <v>3.35619117471803</v>
      </c>
      <c r="ANE71">
        <v>2.80498885641051</v>
      </c>
      <c r="ANF71">
        <v>4.03081456917572</v>
      </c>
      <c r="ANG71">
        <v>0.9887788919354999</v>
      </c>
      <c r="ANH71">
        <v>-12.7132543284605</v>
      </c>
      <c r="ANI71">
        <v>3.35619117471803</v>
      </c>
      <c r="ANJ71">
        <v>2.80498885641051</v>
      </c>
      <c r="ANK71">
        <v>4.03084077532345</v>
      </c>
      <c r="ANL71">
        <v>1.00254851216328</v>
      </c>
      <c r="ANM71">
        <v>-12.9116972368099</v>
      </c>
      <c r="ANN71">
        <v>3.47274307119408</v>
      </c>
      <c r="ANO71">
        <v>2.88593912733505</v>
      </c>
      <c r="ANP71">
        <v>4.20011335000981</v>
      </c>
      <c r="ANQ71">
        <v>0.998653365618338</v>
      </c>
      <c r="ANR71">
        <v>-11.2792895602255</v>
      </c>
      <c r="ANS71">
        <v>64.121300386076</v>
      </c>
      <c r="ANT71">
        <v>99.4030472525113</v>
      </c>
      <c r="ANU71">
        <v>242.241470050029</v>
      </c>
      <c r="ANV71" t="s">
        <v>1901</v>
      </c>
      <c r="ANW71">
        <v>-262.837993310293</v>
      </c>
      <c r="ANX71">
        <v>17.7735502716475</v>
      </c>
      <c r="ANY71">
        <v>14.8876999414356</v>
      </c>
      <c r="ANZ71">
        <v>15.999935483728</v>
      </c>
      <c r="AOA71">
        <v>16.3552989048444</v>
      </c>
      <c r="AOB71">
        <v>14.8732284892966</v>
      </c>
      <c r="AOC71">
        <v>18.3907800017611</v>
      </c>
      <c r="AOD71">
        <v>15.3173498992057</v>
      </c>
      <c r="AOE71">
        <v>16.671950909973</v>
      </c>
      <c r="AOF71">
        <v>16.5186316478146</v>
      </c>
      <c r="AOG71">
        <v>13.1956339810349</v>
      </c>
      <c r="AOH71">
        <v>82.04530085341651</v>
      </c>
      <c r="AOI71">
        <v>68.7030136480044</v>
      </c>
      <c r="AOJ71">
        <v>61.0276740219464</v>
      </c>
      <c r="AOK71">
        <v>44.1150704286042</v>
      </c>
      <c r="AOL71">
        <v>51.545759538984</v>
      </c>
      <c r="AOM71">
        <v>4.081644271163</v>
      </c>
      <c r="AON71">
        <v>3.29563277514582</v>
      </c>
      <c r="AOO71">
        <v>4.79858508727085</v>
      </c>
      <c r="AOP71">
        <v>1.18211778987727</v>
      </c>
      <c r="AOQ71">
        <v>-14.9344960496499</v>
      </c>
      <c r="AOR71">
        <v>23.2788207060253</v>
      </c>
      <c r="AOS71">
        <v>23.2148963767139</v>
      </c>
      <c r="AOT71">
        <v>33.6767804248262</v>
      </c>
      <c r="AOU71">
        <v>6.43463120540537</v>
      </c>
      <c r="AOV71">
        <v>-46.0850859910169</v>
      </c>
      <c r="AOW71">
        <v>15.4926680671212</v>
      </c>
      <c r="AOX71">
        <v>12.9443223897948</v>
      </c>
      <c r="AOY71">
        <v>15.3745143423073</v>
      </c>
      <c r="AOZ71">
        <v>2.66702863150557</v>
      </c>
      <c r="APA71">
        <v>-44.0599935006957</v>
      </c>
      <c r="APB71">
        <v>3.27226210127018</v>
      </c>
      <c r="APC71">
        <v>2.70005499225396</v>
      </c>
      <c r="APD71">
        <v>3.78010955833255</v>
      </c>
      <c r="APE71">
        <v>0.393595333605187</v>
      </c>
      <c r="APF71">
        <v>-13.4723678963252</v>
      </c>
      <c r="APG71">
        <v>3.27226210127018</v>
      </c>
      <c r="APH71">
        <v>2.70005499225396</v>
      </c>
      <c r="API71">
        <v>3.78013413453367</v>
      </c>
      <c r="APJ71">
        <v>0.39907649659458</v>
      </c>
      <c r="APK71">
        <v>-13.6826599111491</v>
      </c>
      <c r="APL71">
        <v>3.9795736190491</v>
      </c>
      <c r="APM71">
        <v>3.17234405649488</v>
      </c>
      <c r="APN71">
        <v>4.50012697025999</v>
      </c>
      <c r="APO71">
        <v>0.470556207926939</v>
      </c>
      <c r="APP71">
        <v>-15.8262408608216</v>
      </c>
      <c r="APQ71">
        <v>22.696681682619</v>
      </c>
      <c r="APR71">
        <v>22.3464334674103</v>
      </c>
      <c r="APS71">
        <v>31.5821820609785</v>
      </c>
      <c r="APT71">
        <v>2.5613823642213</v>
      </c>
      <c r="APU71">
        <v>-48.836845151036</v>
      </c>
      <c r="APV71">
        <v>3.38589935666336</v>
      </c>
      <c r="APW71">
        <v>2.77797693573498</v>
      </c>
      <c r="APX71">
        <v>3.93887844453707</v>
      </c>
      <c r="APY71">
        <v>0.397525986651152</v>
      </c>
      <c r="APZ71">
        <v>-11.9527805106798</v>
      </c>
      <c r="AQA71">
        <v>15.1052392204263</v>
      </c>
      <c r="AQB71">
        <v>12.4600788377589</v>
      </c>
      <c r="AQC71">
        <v>14.4182640066128</v>
      </c>
      <c r="AQD71">
        <v>1.06164283290596</v>
      </c>
      <c r="AQE71">
        <v>-46.6908335674702</v>
      </c>
      <c r="AQF71">
        <v>0.232788207060253</v>
      </c>
      <c r="AQG71">
        <v>0.232148963644999</v>
      </c>
      <c r="AQH71">
        <v>0.336767804248262</v>
      </c>
      <c r="AQI71">
        <v>0.06434631205405369</v>
      </c>
      <c r="AQJ71">
        <v>-0.460850859910169</v>
      </c>
      <c r="AQK71">
        <v>8</v>
      </c>
      <c r="AQO71" t="s">
        <v>1902</v>
      </c>
      <c r="AQP71">
        <v>7</v>
      </c>
      <c r="AQQ71">
        <v>0</v>
      </c>
      <c r="AQS71" t="s">
        <v>1905</v>
      </c>
      <c r="AQU71" t="s">
        <v>1906</v>
      </c>
      <c r="AQV71">
        <v>19723588.7454502</v>
      </c>
      <c r="AQW71">
        <v>17382177.1288075</v>
      </c>
      <c r="AQX71">
        <v>12940788.258291</v>
      </c>
      <c r="AQY71">
        <v>661961.3448124781</v>
      </c>
      <c r="AQZ71">
        <v>487568.131464586</v>
      </c>
      <c r="ARA71">
        <v>521619.178481376</v>
      </c>
      <c r="ARB71">
        <v>50046554.1325487</v>
      </c>
      <c r="ARC71">
        <v>1671148.65475844</v>
      </c>
      <c r="ARD71">
        <v>0.03454541906683728</v>
      </c>
      <c r="ARE71">
        <v>0.03454541906683728</v>
      </c>
      <c r="ARF71">
        <v>0.03454541906683728</v>
      </c>
      <c r="ARG71">
        <v>0.03454541906683728</v>
      </c>
      <c r="ARH71">
        <v>0.03454541906683728</v>
      </c>
      <c r="ARI71">
        <v>0.03454541906683728</v>
      </c>
      <c r="ARJ71" t="s">
        <v>1232</v>
      </c>
      <c r="ARK71" t="s">
        <v>1570</v>
      </c>
      <c r="ARL71" t="s">
        <v>1909</v>
      </c>
      <c r="ARP71" t="s">
        <v>1907</v>
      </c>
      <c r="ARQ71" t="s">
        <v>1926</v>
      </c>
    </row>
    <row r="72" spans="1:1163">
      <c r="A72">
        <v>613</v>
      </c>
      <c r="B72" t="s">
        <v>1233</v>
      </c>
      <c r="C72" t="s">
        <v>1356</v>
      </c>
      <c r="E72" s="2">
        <v>33959</v>
      </c>
      <c r="F72" t="s">
        <v>1431</v>
      </c>
      <c r="G72" t="s">
        <v>1433</v>
      </c>
      <c r="H72" t="s">
        <v>1434</v>
      </c>
      <c r="I72" t="s">
        <v>1448</v>
      </c>
      <c r="J72" t="s">
        <v>1485</v>
      </c>
      <c r="L72" t="s">
        <v>1571</v>
      </c>
      <c r="N72" t="s">
        <v>1626</v>
      </c>
      <c r="O72" t="s">
        <v>1650</v>
      </c>
      <c r="P72">
        <v>6920</v>
      </c>
      <c r="Q72">
        <v>6920</v>
      </c>
      <c r="R72" t="s">
        <v>1741</v>
      </c>
      <c r="Z72" t="s">
        <v>1899</v>
      </c>
      <c r="AA72" s="2">
        <v>45657</v>
      </c>
      <c r="AB72">
        <v>2024</v>
      </c>
      <c r="AC72">
        <v>1050126.62695884</v>
      </c>
      <c r="AD72">
        <v>1133972.87961309</v>
      </c>
      <c r="AE72">
        <v>1216307.42442829</v>
      </c>
      <c r="AF72" t="s">
        <v>1900</v>
      </c>
      <c r="AG72">
        <v>1346683.15709565</v>
      </c>
      <c r="AH72">
        <v>1050126.62695884</v>
      </c>
      <c r="AI72">
        <v>1133972.87961309</v>
      </c>
      <c r="AJ72">
        <v>1203881.54039008</v>
      </c>
      <c r="AK72" t="s">
        <v>1900</v>
      </c>
      <c r="AL72">
        <v>1344171.03940986</v>
      </c>
      <c r="AM72">
        <v>5626.15007475495</v>
      </c>
      <c r="AN72">
        <v>8167.88741564751</v>
      </c>
      <c r="AO72">
        <v>9318.99705485702</v>
      </c>
      <c r="AP72" t="s">
        <v>1900</v>
      </c>
      <c r="AQ72">
        <v>7978.56283192038</v>
      </c>
      <c r="AR72">
        <v>1044500.47688408</v>
      </c>
      <c r="AS72">
        <v>1125804.99219745</v>
      </c>
      <c r="AT72">
        <v>1206988.42737343</v>
      </c>
      <c r="AU72" t="s">
        <v>1900</v>
      </c>
      <c r="AV72">
        <v>1338704.59426373</v>
      </c>
      <c r="AW72">
        <v>967182.653742505</v>
      </c>
      <c r="AX72">
        <v>993531.847084885</v>
      </c>
      <c r="AY72">
        <v>1072834.85979811</v>
      </c>
      <c r="AZ72" t="s">
        <v>1900</v>
      </c>
      <c r="BA72">
        <v>1187111.90045725</v>
      </c>
      <c r="BB72">
        <v>77317.8231415761</v>
      </c>
      <c r="BC72">
        <v>132273.145112562</v>
      </c>
      <c r="BD72">
        <v>134153.566508728</v>
      </c>
      <c r="BE72" t="s">
        <v>1900</v>
      </c>
      <c r="BF72">
        <v>151592.693806487</v>
      </c>
      <c r="BG72">
        <v>2206.96546172261</v>
      </c>
      <c r="BH72">
        <v>-5675.73559720039</v>
      </c>
      <c r="BI72">
        <v>-2583.81592831612</v>
      </c>
      <c r="BJ72" t="s">
        <v>1900</v>
      </c>
      <c r="BK72">
        <v>-450.664488708973</v>
      </c>
      <c r="BL72">
        <v>3183.31286126614</v>
      </c>
      <c r="BM72" t="s">
        <v>1900</v>
      </c>
      <c r="BN72">
        <v>160.875200814009</v>
      </c>
      <c r="BO72" t="s">
        <v>1900</v>
      </c>
      <c r="BP72">
        <v>22.7258790254593</v>
      </c>
      <c r="BQ72">
        <v>976.347399543524</v>
      </c>
      <c r="BR72">
        <v>5675.73559720039</v>
      </c>
      <c r="BS72">
        <v>2744.69112913013</v>
      </c>
      <c r="BT72" t="s">
        <v>1900</v>
      </c>
      <c r="BU72">
        <v>473.390367734432</v>
      </c>
      <c r="BV72">
        <v>79524.7886032987</v>
      </c>
      <c r="BW72">
        <v>126597.409515362</v>
      </c>
      <c r="BX72">
        <v>131569.750580412</v>
      </c>
      <c r="BY72" t="s">
        <v>1900</v>
      </c>
      <c r="BZ72">
        <v>151142.029317778</v>
      </c>
      <c r="CA72">
        <v>28294.054992609</v>
      </c>
      <c r="CB72">
        <v>29017.4235226631</v>
      </c>
      <c r="CC72">
        <v>29951.1802297831</v>
      </c>
      <c r="CD72" t="s">
        <v>1900</v>
      </c>
      <c r="CE72">
        <v>36264.8459968626</v>
      </c>
      <c r="CF72">
        <v>51230.7336106896</v>
      </c>
      <c r="CG72">
        <v>97579.9859926987</v>
      </c>
      <c r="CH72">
        <v>101618.570350629</v>
      </c>
      <c r="CI72" t="s">
        <v>1900</v>
      </c>
      <c r="CJ72">
        <v>114877.183320916</v>
      </c>
      <c r="CK72" t="s">
        <v>1900</v>
      </c>
      <c r="CL72" t="s">
        <v>1900</v>
      </c>
      <c r="CM72" t="s">
        <v>1900</v>
      </c>
      <c r="CN72" t="s">
        <v>1900</v>
      </c>
      <c r="CO72" t="s">
        <v>1900</v>
      </c>
      <c r="CP72" t="s">
        <v>1900</v>
      </c>
      <c r="CQ72" t="s">
        <v>1900</v>
      </c>
      <c r="CR72" t="s">
        <v>1900</v>
      </c>
      <c r="CS72" t="s">
        <v>1900</v>
      </c>
      <c r="CT72" t="s">
        <v>1900</v>
      </c>
      <c r="CU72" t="s">
        <v>1900</v>
      </c>
      <c r="CV72" t="s">
        <v>1900</v>
      </c>
      <c r="CW72" t="s">
        <v>1900</v>
      </c>
      <c r="CX72" t="s">
        <v>1900</v>
      </c>
      <c r="CY72" t="s">
        <v>1900</v>
      </c>
      <c r="CZ72">
        <v>51230.7336106896</v>
      </c>
      <c r="DA72">
        <v>97579.9859926987</v>
      </c>
      <c r="DB72">
        <v>101618.570350629</v>
      </c>
      <c r="DC72" t="s">
        <v>1900</v>
      </c>
      <c r="DD72">
        <v>114877.183320916</v>
      </c>
      <c r="DE72" t="s">
        <v>1900</v>
      </c>
      <c r="DF72" t="s">
        <v>1900</v>
      </c>
      <c r="DG72" t="s">
        <v>1900</v>
      </c>
      <c r="DH72" t="s">
        <v>1900</v>
      </c>
      <c r="DI72" t="s">
        <v>1900</v>
      </c>
      <c r="DJ72">
        <v>5626.15007475495</v>
      </c>
      <c r="DK72">
        <v>8167.88741564751</v>
      </c>
      <c r="DL72">
        <v>9318.99705485702</v>
      </c>
      <c r="DM72" t="s">
        <v>1900</v>
      </c>
      <c r="DN72">
        <v>7978.56283192038</v>
      </c>
      <c r="DO72">
        <v>787156.9052414621</v>
      </c>
      <c r="DP72">
        <v>798307.398320551</v>
      </c>
      <c r="DQ72">
        <v>653186.55054493</v>
      </c>
      <c r="DR72" t="s">
        <v>1900</v>
      </c>
      <c r="DS72">
        <v>642515.512743384</v>
      </c>
      <c r="DT72">
        <v>22493.9827457118</v>
      </c>
      <c r="DU72">
        <v>26603.0195391083</v>
      </c>
      <c r="DV72">
        <v>24555.3920766175</v>
      </c>
      <c r="DW72" t="s">
        <v>1900</v>
      </c>
      <c r="DX72">
        <v>19438.1609564662</v>
      </c>
      <c r="DY72">
        <v>157531.765755331</v>
      </c>
      <c r="DZ72">
        <v>168621.429225225</v>
      </c>
      <c r="EA72">
        <v>395092.918243158</v>
      </c>
      <c r="EB72" t="s">
        <v>1900</v>
      </c>
      <c r="EC72">
        <v>525158.226757395</v>
      </c>
      <c r="ED72">
        <v>976.347399543524</v>
      </c>
      <c r="EE72">
        <v>5675.73559720039</v>
      </c>
      <c r="EF72">
        <v>2744.69112913013</v>
      </c>
      <c r="EG72" t="s">
        <v>1900</v>
      </c>
      <c r="EH72">
        <v>473.390367734432</v>
      </c>
      <c r="EI72" t="s">
        <v>1900</v>
      </c>
      <c r="EJ72" t="s">
        <v>1900</v>
      </c>
      <c r="EK72" t="s">
        <v>1900</v>
      </c>
      <c r="EL72" t="s">
        <v>1900</v>
      </c>
      <c r="EM72" t="s">
        <v>1900</v>
      </c>
      <c r="EN72">
        <v>73724.7163564014</v>
      </c>
      <c r="EO72">
        <v>124183.005531807</v>
      </c>
      <c r="EP72">
        <v>126173.962427247</v>
      </c>
      <c r="EQ72" t="s">
        <v>1900</v>
      </c>
      <c r="ER72">
        <v>134315.344277382</v>
      </c>
      <c r="ES72">
        <v>890152.023990016</v>
      </c>
      <c r="ET72">
        <v>957183.5629722211</v>
      </c>
      <c r="EU72">
        <v>812056.384331089</v>
      </c>
      <c r="EV72" t="s">
        <v>1900</v>
      </c>
      <c r="EW72">
        <v>813569.093385363</v>
      </c>
      <c r="EX72">
        <v>99811.8058872879</v>
      </c>
      <c r="EY72">
        <v>158876.16465167</v>
      </c>
      <c r="EZ72">
        <v>158708.958585346</v>
      </c>
      <c r="FA72" t="s">
        <v>1900</v>
      </c>
      <c r="FB72">
        <v>171030.853535854</v>
      </c>
      <c r="FC72">
        <v>473372.124008708</v>
      </c>
      <c r="FD72">
        <v>748832.73596693</v>
      </c>
      <c r="FE72">
        <v>741627.337548101</v>
      </c>
      <c r="FF72" t="s">
        <v>1900</v>
      </c>
      <c r="FG72">
        <v>835936.671686381</v>
      </c>
      <c r="FH72">
        <v>15003.3196649015</v>
      </c>
      <c r="FI72">
        <v>28753.2952541256</v>
      </c>
      <c r="FJ72">
        <v>35508.2702235579</v>
      </c>
      <c r="FK72" t="s">
        <v>1900</v>
      </c>
      <c r="FL72">
        <v>69269.92724677319</v>
      </c>
      <c r="FM72">
        <v>255482.289614136</v>
      </c>
      <c r="FN72">
        <v>282867.397347412</v>
      </c>
      <c r="FO72">
        <v>284101.028925735</v>
      </c>
      <c r="FP72" t="s">
        <v>1900</v>
      </c>
      <c r="FQ72">
        <v>255988.718900251</v>
      </c>
      <c r="FR72">
        <v>202886.51472967</v>
      </c>
      <c r="FS72">
        <v>437212.043365393</v>
      </c>
      <c r="FT72">
        <v>422018.038398808</v>
      </c>
      <c r="FU72" t="s">
        <v>1900</v>
      </c>
      <c r="FV72">
        <v>510678.025539357</v>
      </c>
      <c r="FW72">
        <v>15003.3196649015</v>
      </c>
      <c r="FX72">
        <v>28753.2952541256</v>
      </c>
      <c r="FY72">
        <v>35508.2702235579</v>
      </c>
      <c r="FZ72" t="s">
        <v>1900</v>
      </c>
      <c r="GA72">
        <v>69269.92724677319</v>
      </c>
      <c r="GB72">
        <v>255482.289614136</v>
      </c>
      <c r="GC72">
        <v>282867.397347412</v>
      </c>
      <c r="GD72">
        <v>284101.028925735</v>
      </c>
      <c r="GE72" t="s">
        <v>1900</v>
      </c>
      <c r="GF72">
        <v>255988.718900251</v>
      </c>
      <c r="GG72">
        <v>202886.51472967</v>
      </c>
      <c r="GH72">
        <v>437212.043365393</v>
      </c>
      <c r="GI72">
        <v>422018.038398808</v>
      </c>
      <c r="GJ72" t="s">
        <v>1900</v>
      </c>
      <c r="GK72">
        <v>510678.025539357</v>
      </c>
      <c r="GL72">
        <v>841405.880965364</v>
      </c>
      <c r="GM72">
        <v>846719.657947378</v>
      </c>
      <c r="GN72">
        <v>839927.780886728</v>
      </c>
      <c r="GO72" t="s">
        <v>1900</v>
      </c>
      <c r="GP72">
        <v>819414.7612989841</v>
      </c>
      <c r="GQ72">
        <v>3902.01317466617</v>
      </c>
      <c r="GR72">
        <v>4686.60545329094</v>
      </c>
      <c r="GS72">
        <v>4081.34294182062</v>
      </c>
      <c r="GT72" t="s">
        <v>1900</v>
      </c>
      <c r="GU72">
        <v>5036.84995238781</v>
      </c>
      <c r="GV72">
        <v>441224.780229901</v>
      </c>
      <c r="GW72">
        <v>448873.909199095</v>
      </c>
      <c r="GX72">
        <v>424550.070921969</v>
      </c>
      <c r="GY72" t="s">
        <v>1900</v>
      </c>
      <c r="GZ72">
        <v>568333.016161269</v>
      </c>
      <c r="HA72">
        <v>396279.086521897</v>
      </c>
      <c r="HB72">
        <v>393159.143294993</v>
      </c>
      <c r="HC72">
        <v>411296.367022938</v>
      </c>
      <c r="HD72" t="s">
        <v>1900</v>
      </c>
      <c r="HE72">
        <v>246044.895185328</v>
      </c>
      <c r="HF72">
        <v>357827.815646751</v>
      </c>
      <c r="HG72">
        <v>349684.456834087</v>
      </c>
      <c r="HH72">
        <v>362505.221404344</v>
      </c>
      <c r="HI72" t="s">
        <v>1900</v>
      </c>
      <c r="HJ72">
        <v>238454.942430544</v>
      </c>
      <c r="HK72">
        <v>1314778.00497407</v>
      </c>
      <c r="HL72">
        <v>1595552.39391431</v>
      </c>
      <c r="HM72">
        <v>1581555.11843483</v>
      </c>
      <c r="HN72" t="s">
        <v>1900</v>
      </c>
      <c r="HO72">
        <v>1655351.43298537</v>
      </c>
      <c r="HP72">
        <v>1121065.3264164</v>
      </c>
      <c r="HQ72">
        <v>1355607.19382985</v>
      </c>
      <c r="HR72">
        <v>1295186.45633308</v>
      </c>
      <c r="HS72" t="s">
        <v>1900</v>
      </c>
      <c r="HT72">
        <v>1416730.41493564</v>
      </c>
      <c r="HU72">
        <v>37462.7174448967</v>
      </c>
      <c r="HV72">
        <v>39846.3178825378</v>
      </c>
      <c r="HW72">
        <v>38461.5775465965</v>
      </c>
      <c r="HX72" t="s">
        <v>1900</v>
      </c>
      <c r="HY72">
        <v>44249.2007374763</v>
      </c>
      <c r="HZ72">
        <v>1083602.60897151</v>
      </c>
      <c r="IA72">
        <v>1315760.87484231</v>
      </c>
      <c r="IB72">
        <v>1256724.87878648</v>
      </c>
      <c r="IC72" t="s">
        <v>1900</v>
      </c>
      <c r="ID72">
        <v>1372481.21419816</v>
      </c>
      <c r="IE72">
        <v>0</v>
      </c>
      <c r="IF72">
        <v>0</v>
      </c>
      <c r="IG72">
        <v>0</v>
      </c>
      <c r="IH72" t="s">
        <v>1900</v>
      </c>
      <c r="II72">
        <v>0</v>
      </c>
      <c r="IJ72" t="s">
        <v>1900</v>
      </c>
      <c r="IK72" t="s">
        <v>1900</v>
      </c>
      <c r="IL72" t="s">
        <v>1900</v>
      </c>
      <c r="IM72" t="s">
        <v>1900</v>
      </c>
      <c r="IN72" t="s">
        <v>1900</v>
      </c>
      <c r="IO72" t="s">
        <v>1900</v>
      </c>
      <c r="IP72" t="s">
        <v>1900</v>
      </c>
      <c r="IQ72" t="s">
        <v>1900</v>
      </c>
      <c r="IR72" t="s">
        <v>1900</v>
      </c>
      <c r="IS72" t="s">
        <v>1900</v>
      </c>
      <c r="IT72" t="s">
        <v>1900</v>
      </c>
      <c r="IU72" t="s">
        <v>1900</v>
      </c>
      <c r="IV72" t="s">
        <v>1900</v>
      </c>
      <c r="IW72" t="s">
        <v>1900</v>
      </c>
      <c r="IX72" t="s">
        <v>1900</v>
      </c>
      <c r="IY72">
        <v>193712.678557669</v>
      </c>
      <c r="IZ72">
        <v>239945.200084457</v>
      </c>
      <c r="JA72">
        <v>286368.662101752</v>
      </c>
      <c r="JB72" t="s">
        <v>1900</v>
      </c>
      <c r="JC72">
        <v>238621.018049729</v>
      </c>
      <c r="JD72">
        <v>0</v>
      </c>
      <c r="JE72">
        <v>30417.9122011852</v>
      </c>
      <c r="JF72">
        <v>124761.315401018</v>
      </c>
      <c r="JG72" t="s">
        <v>1900</v>
      </c>
      <c r="JH72">
        <v>45829.8150740802</v>
      </c>
      <c r="JI72">
        <v>0</v>
      </c>
      <c r="JJ72">
        <v>0</v>
      </c>
      <c r="JK72">
        <v>0</v>
      </c>
      <c r="JL72" t="s">
        <v>1900</v>
      </c>
      <c r="JM72">
        <v>38195.5394926012</v>
      </c>
      <c r="JN72">
        <v>193712.678557669</v>
      </c>
      <c r="JO72">
        <v>209527.287883272</v>
      </c>
      <c r="JP72">
        <v>161607.346700734</v>
      </c>
      <c r="JQ72" t="s">
        <v>1900</v>
      </c>
      <c r="JR72">
        <v>154595.663483047</v>
      </c>
      <c r="JS72">
        <v>1314778.00497407</v>
      </c>
      <c r="JT72">
        <v>1595552.39391431</v>
      </c>
      <c r="JU72">
        <v>1581555.11843483</v>
      </c>
      <c r="JV72" t="s">
        <v>1900</v>
      </c>
      <c r="JW72">
        <v>1655351.43298537</v>
      </c>
      <c r="JX72">
        <v>445126.792365668</v>
      </c>
      <c r="JY72">
        <v>453560.514652386</v>
      </c>
      <c r="JZ72">
        <v>428631.41386379</v>
      </c>
      <c r="KA72" t="s">
        <v>1900</v>
      </c>
      <c r="KB72">
        <v>535174.326621056</v>
      </c>
      <c r="KC72" t="s">
        <v>1900</v>
      </c>
      <c r="KD72" t="s">
        <v>1900</v>
      </c>
      <c r="KE72" t="s">
        <v>1900</v>
      </c>
      <c r="KF72" t="s">
        <v>1900</v>
      </c>
      <c r="KG72" t="s">
        <v>1900</v>
      </c>
      <c r="KH72" t="s">
        <v>1900</v>
      </c>
      <c r="KI72" t="s">
        <v>1900</v>
      </c>
      <c r="KJ72" t="s">
        <v>1900</v>
      </c>
      <c r="KK72" t="s">
        <v>1900</v>
      </c>
      <c r="KL72" t="s">
        <v>1900</v>
      </c>
      <c r="KM72">
        <v>17</v>
      </c>
      <c r="KN72">
        <v>19</v>
      </c>
      <c r="KO72">
        <v>19</v>
      </c>
      <c r="KP72" t="s">
        <v>1900</v>
      </c>
      <c r="KQ72">
        <v>17</v>
      </c>
      <c r="KR72" t="s">
        <v>1900</v>
      </c>
      <c r="KS72" t="s">
        <v>1900</v>
      </c>
      <c r="KT72" t="s">
        <v>1900</v>
      </c>
      <c r="KU72" t="s">
        <v>1900</v>
      </c>
      <c r="KV72" t="s">
        <v>1900</v>
      </c>
      <c r="KW72" t="s">
        <v>1900</v>
      </c>
      <c r="KX72" t="s">
        <v>1900</v>
      </c>
      <c r="KY72" t="s">
        <v>1900</v>
      </c>
      <c r="KZ72" t="s">
        <v>1900</v>
      </c>
      <c r="LA72" t="s">
        <v>1900</v>
      </c>
      <c r="LB72" t="s">
        <v>1900</v>
      </c>
      <c r="LC72" t="s">
        <v>1900</v>
      </c>
      <c r="LD72" t="s">
        <v>1900</v>
      </c>
      <c r="LE72" t="s">
        <v>1900</v>
      </c>
      <c r="LF72" t="s">
        <v>1900</v>
      </c>
      <c r="LG72" t="s">
        <v>1900</v>
      </c>
      <c r="LH72" t="s">
        <v>1900</v>
      </c>
      <c r="LI72" t="s">
        <v>1900</v>
      </c>
      <c r="LJ72" t="s">
        <v>1900</v>
      </c>
      <c r="LK72" t="s">
        <v>1900</v>
      </c>
      <c r="LL72" t="s">
        <v>1900</v>
      </c>
      <c r="LM72" t="s">
        <v>1900</v>
      </c>
      <c r="LN72" t="s">
        <v>1900</v>
      </c>
      <c r="LO72" t="s">
        <v>1900</v>
      </c>
      <c r="LP72" t="s">
        <v>1900</v>
      </c>
      <c r="LQ72" t="s">
        <v>1900</v>
      </c>
      <c r="LR72" t="s">
        <v>1900</v>
      </c>
      <c r="LS72" t="s">
        <v>1900</v>
      </c>
      <c r="LT72" t="s">
        <v>1900</v>
      </c>
      <c r="LU72" t="s">
        <v>1900</v>
      </c>
      <c r="LV72" t="s">
        <v>1900</v>
      </c>
      <c r="LW72" t="s">
        <v>1900</v>
      </c>
      <c r="LX72" t="s">
        <v>1900</v>
      </c>
      <c r="LY72" t="s">
        <v>1900</v>
      </c>
      <c r="LZ72" t="s">
        <v>1900</v>
      </c>
      <c r="MA72" t="s">
        <v>1900</v>
      </c>
      <c r="MB72" t="s">
        <v>1900</v>
      </c>
      <c r="MC72" t="s">
        <v>1900</v>
      </c>
      <c r="MD72" t="s">
        <v>1900</v>
      </c>
      <c r="ME72" t="s">
        <v>1900</v>
      </c>
      <c r="MF72" t="s">
        <v>1900</v>
      </c>
      <c r="MG72" t="s">
        <v>1900</v>
      </c>
      <c r="MH72" t="s">
        <v>1900</v>
      </c>
      <c r="MI72" t="s">
        <v>1900</v>
      </c>
      <c r="MJ72" t="s">
        <v>1900</v>
      </c>
      <c r="MK72" t="s">
        <v>1900</v>
      </c>
      <c r="ML72" t="s">
        <v>1900</v>
      </c>
      <c r="MM72" t="s">
        <v>1900</v>
      </c>
      <c r="MN72" t="s">
        <v>1900</v>
      </c>
      <c r="MO72" t="s">
        <v>1900</v>
      </c>
      <c r="MP72">
        <v>396279.086521897</v>
      </c>
      <c r="MQ72">
        <v>393159.143294993</v>
      </c>
      <c r="MR72">
        <v>411296.367022938</v>
      </c>
      <c r="MS72" t="s">
        <v>1900</v>
      </c>
      <c r="MT72">
        <v>246044.895185328</v>
      </c>
      <c r="MU72" t="s">
        <v>1900</v>
      </c>
      <c r="MV72" t="s">
        <v>1900</v>
      </c>
      <c r="MW72" t="s">
        <v>1900</v>
      </c>
      <c r="MX72" t="s">
        <v>1900</v>
      </c>
      <c r="MY72" t="s">
        <v>1900</v>
      </c>
      <c r="MZ72" t="s">
        <v>1900</v>
      </c>
      <c r="NA72" t="s">
        <v>1900</v>
      </c>
      <c r="NB72" t="s">
        <v>1900</v>
      </c>
      <c r="NC72" t="s">
        <v>1900</v>
      </c>
      <c r="ND72" t="s">
        <v>1900</v>
      </c>
      <c r="NE72" t="s">
        <v>1900</v>
      </c>
      <c r="NF72" t="s">
        <v>1900</v>
      </c>
      <c r="NG72" t="s">
        <v>1900</v>
      </c>
      <c r="NH72" t="s">
        <v>1900</v>
      </c>
      <c r="NI72" t="s">
        <v>1900</v>
      </c>
      <c r="NJ72" t="s">
        <v>1900</v>
      </c>
      <c r="NK72" t="s">
        <v>1900</v>
      </c>
      <c r="NL72" t="s">
        <v>1900</v>
      </c>
      <c r="NM72" t="s">
        <v>1900</v>
      </c>
      <c r="NN72" t="s">
        <v>1900</v>
      </c>
      <c r="NO72" t="s">
        <v>1900</v>
      </c>
      <c r="NP72" t="s">
        <v>1900</v>
      </c>
      <c r="NQ72" t="s">
        <v>1900</v>
      </c>
      <c r="NR72" t="s">
        <v>1900</v>
      </c>
      <c r="NS72" t="s">
        <v>1900</v>
      </c>
      <c r="NT72">
        <v>473372.124008708</v>
      </c>
      <c r="NU72">
        <v>748832.73596693</v>
      </c>
      <c r="NV72">
        <v>741627.337548101</v>
      </c>
      <c r="NW72" t="s">
        <v>1900</v>
      </c>
      <c r="NX72">
        <v>835936.671686381</v>
      </c>
      <c r="NY72" t="s">
        <v>1900</v>
      </c>
      <c r="NZ72" t="s">
        <v>1900</v>
      </c>
      <c r="OA72" t="s">
        <v>1900</v>
      </c>
      <c r="OB72" t="s">
        <v>1900</v>
      </c>
      <c r="OC72" t="s">
        <v>1900</v>
      </c>
      <c r="OD72" t="s">
        <v>1900</v>
      </c>
      <c r="OE72" t="s">
        <v>1900</v>
      </c>
      <c r="OF72" t="s">
        <v>1900</v>
      </c>
      <c r="OG72" t="s">
        <v>1900</v>
      </c>
      <c r="OH72" t="s">
        <v>1900</v>
      </c>
      <c r="OI72" t="s">
        <v>1900</v>
      </c>
      <c r="OJ72" t="s">
        <v>1900</v>
      </c>
      <c r="OK72" t="s">
        <v>1900</v>
      </c>
      <c r="OL72" t="s">
        <v>1900</v>
      </c>
      <c r="OM72" t="s">
        <v>1900</v>
      </c>
      <c r="ON72" t="s">
        <v>1900</v>
      </c>
      <c r="OO72" t="s">
        <v>1900</v>
      </c>
      <c r="OP72" t="s">
        <v>1900</v>
      </c>
      <c r="OQ72" t="s">
        <v>1900</v>
      </c>
      <c r="OR72" t="s">
        <v>1900</v>
      </c>
      <c r="OS72" t="s">
        <v>1900</v>
      </c>
      <c r="OT72" t="s">
        <v>1900</v>
      </c>
      <c r="OU72" t="s">
        <v>1900</v>
      </c>
      <c r="OV72" t="s">
        <v>1900</v>
      </c>
      <c r="OW72" t="s">
        <v>1900</v>
      </c>
      <c r="OX72" t="s">
        <v>1900</v>
      </c>
      <c r="OY72" t="s">
        <v>1900</v>
      </c>
      <c r="OZ72" t="s">
        <v>1900</v>
      </c>
      <c r="PA72" t="s">
        <v>1900</v>
      </c>
      <c r="PB72" t="s">
        <v>1900</v>
      </c>
      <c r="PC72" t="s">
        <v>1900</v>
      </c>
      <c r="PD72" t="s">
        <v>1900</v>
      </c>
      <c r="PE72" t="s">
        <v>1900</v>
      </c>
      <c r="PF72" t="s">
        <v>1900</v>
      </c>
      <c r="PG72" t="s">
        <v>1900</v>
      </c>
      <c r="PH72" t="s">
        <v>1900</v>
      </c>
      <c r="PI72" t="s">
        <v>1900</v>
      </c>
      <c r="PJ72" t="s">
        <v>1900</v>
      </c>
      <c r="PK72" t="s">
        <v>1900</v>
      </c>
      <c r="PL72" t="s">
        <v>1900</v>
      </c>
      <c r="PM72" t="s">
        <v>1900</v>
      </c>
      <c r="PN72" t="s">
        <v>1900</v>
      </c>
      <c r="PO72" t="s">
        <v>1900</v>
      </c>
      <c r="PP72" t="s">
        <v>1900</v>
      </c>
      <c r="PQ72" t="s">
        <v>1900</v>
      </c>
      <c r="PR72" t="s">
        <v>1900</v>
      </c>
      <c r="PS72" t="s">
        <v>1900</v>
      </c>
      <c r="PT72" t="s">
        <v>1900</v>
      </c>
      <c r="PU72" t="s">
        <v>1900</v>
      </c>
      <c r="PV72" t="s">
        <v>1900</v>
      </c>
      <c r="PW72" t="s">
        <v>1900</v>
      </c>
      <c r="PX72" t="s">
        <v>1900</v>
      </c>
      <c r="PY72" t="s">
        <v>1900</v>
      </c>
      <c r="PZ72" t="s">
        <v>1900</v>
      </c>
      <c r="QA72" t="s">
        <v>1900</v>
      </c>
      <c r="QB72" t="s">
        <v>1900</v>
      </c>
      <c r="QC72" t="s">
        <v>1900</v>
      </c>
      <c r="QD72" t="s">
        <v>1900</v>
      </c>
      <c r="QE72" t="s">
        <v>1900</v>
      </c>
      <c r="QF72" t="s">
        <v>1900</v>
      </c>
      <c r="QG72" t="s">
        <v>1900</v>
      </c>
      <c r="QH72" t="s">
        <v>1900</v>
      </c>
      <c r="QI72" t="s">
        <v>1900</v>
      </c>
      <c r="QJ72" t="s">
        <v>1900</v>
      </c>
      <c r="QK72" t="s">
        <v>1900</v>
      </c>
      <c r="QL72" t="s">
        <v>1900</v>
      </c>
      <c r="QM72" t="s">
        <v>1900</v>
      </c>
      <c r="QN72" t="s">
        <v>1900</v>
      </c>
      <c r="QO72" t="s">
        <v>1900</v>
      </c>
      <c r="QP72" t="s">
        <v>1900</v>
      </c>
      <c r="QQ72" t="s">
        <v>1900</v>
      </c>
      <c r="QR72" t="s">
        <v>1900</v>
      </c>
      <c r="QS72" t="s">
        <v>1900</v>
      </c>
      <c r="QT72" t="s">
        <v>1900</v>
      </c>
      <c r="QU72" t="s">
        <v>1900</v>
      </c>
      <c r="QV72" t="s">
        <v>1900</v>
      </c>
      <c r="QW72" t="s">
        <v>1900</v>
      </c>
      <c r="QX72" t="s">
        <v>1900</v>
      </c>
      <c r="QY72" t="s">
        <v>1900</v>
      </c>
      <c r="QZ72" t="s">
        <v>1900</v>
      </c>
      <c r="RA72" t="s">
        <v>1900</v>
      </c>
      <c r="RB72" t="s">
        <v>1900</v>
      </c>
      <c r="RC72" t="s">
        <v>1900</v>
      </c>
      <c r="RD72" t="s">
        <v>1900</v>
      </c>
      <c r="RE72" t="s">
        <v>1900</v>
      </c>
      <c r="RF72" t="s">
        <v>1900</v>
      </c>
      <c r="RG72" t="s">
        <v>1900</v>
      </c>
      <c r="RH72" t="s">
        <v>1900</v>
      </c>
      <c r="RI72" t="s">
        <v>1900</v>
      </c>
      <c r="RJ72" t="s">
        <v>1900</v>
      </c>
      <c r="RK72" t="s">
        <v>1900</v>
      </c>
      <c r="RL72" t="s">
        <v>1900</v>
      </c>
      <c r="RM72" t="s">
        <v>1900</v>
      </c>
      <c r="RN72" t="s">
        <v>1900</v>
      </c>
      <c r="RO72" t="s">
        <v>1900</v>
      </c>
      <c r="RP72" t="s">
        <v>1900</v>
      </c>
      <c r="RQ72" t="s">
        <v>1900</v>
      </c>
      <c r="RR72" t="s">
        <v>1900</v>
      </c>
      <c r="RS72" t="s">
        <v>1900</v>
      </c>
      <c r="RT72" t="s">
        <v>1900</v>
      </c>
      <c r="RU72" t="s">
        <v>1900</v>
      </c>
      <c r="RV72" t="s">
        <v>1900</v>
      </c>
      <c r="RW72" t="s">
        <v>1900</v>
      </c>
      <c r="RX72" t="s">
        <v>1900</v>
      </c>
      <c r="RY72" t="s">
        <v>1900</v>
      </c>
      <c r="RZ72" t="s">
        <v>1900</v>
      </c>
      <c r="SA72" t="s">
        <v>1900</v>
      </c>
      <c r="SB72" t="s">
        <v>1900</v>
      </c>
      <c r="SC72" t="s">
        <v>1900</v>
      </c>
      <c r="SD72" t="s">
        <v>1900</v>
      </c>
      <c r="SE72" t="s">
        <v>1900</v>
      </c>
      <c r="SF72" t="s">
        <v>1900</v>
      </c>
      <c r="SG72" t="s">
        <v>1900</v>
      </c>
      <c r="SH72" t="s">
        <v>1900</v>
      </c>
      <c r="SI72" t="s">
        <v>1900</v>
      </c>
      <c r="SJ72">
        <v>202886.51472967</v>
      </c>
      <c r="SK72">
        <v>437212.043365393</v>
      </c>
      <c r="SL72">
        <v>422018.038398808</v>
      </c>
      <c r="SM72" t="s">
        <v>1900</v>
      </c>
      <c r="SN72">
        <v>510678.025539357</v>
      </c>
      <c r="SO72" t="s">
        <v>1900</v>
      </c>
      <c r="SP72" t="s">
        <v>1900</v>
      </c>
      <c r="SQ72" t="s">
        <v>1900</v>
      </c>
      <c r="SR72" t="s">
        <v>1900</v>
      </c>
      <c r="SS72" t="s">
        <v>1900</v>
      </c>
      <c r="ST72" t="s">
        <v>1900</v>
      </c>
      <c r="SU72" t="s">
        <v>1900</v>
      </c>
      <c r="SV72" t="s">
        <v>1900</v>
      </c>
      <c r="SW72" t="s">
        <v>1900</v>
      </c>
      <c r="SX72" t="s">
        <v>1900</v>
      </c>
      <c r="SY72" t="s">
        <v>1900</v>
      </c>
      <c r="SZ72" t="s">
        <v>1900</v>
      </c>
      <c r="TA72" t="s">
        <v>1900</v>
      </c>
      <c r="TB72" t="s">
        <v>1900</v>
      </c>
      <c r="TC72" t="s">
        <v>1900</v>
      </c>
      <c r="TD72" t="s">
        <v>1900</v>
      </c>
      <c r="TE72" t="s">
        <v>1900</v>
      </c>
      <c r="TF72" t="s">
        <v>1900</v>
      </c>
      <c r="TG72" t="s">
        <v>1900</v>
      </c>
      <c r="TH72" t="s">
        <v>1900</v>
      </c>
      <c r="TI72" t="s">
        <v>1900</v>
      </c>
      <c r="TJ72" t="s">
        <v>1900</v>
      </c>
      <c r="TK72" t="s">
        <v>1900</v>
      </c>
      <c r="TL72" t="s">
        <v>1900</v>
      </c>
      <c r="TM72" t="s">
        <v>1900</v>
      </c>
      <c r="TN72" t="s">
        <v>1900</v>
      </c>
      <c r="TO72" t="s">
        <v>1900</v>
      </c>
      <c r="TP72" t="s">
        <v>1900</v>
      </c>
      <c r="TQ72" t="s">
        <v>1900</v>
      </c>
      <c r="TR72" t="s">
        <v>1900</v>
      </c>
      <c r="TS72">
        <v>1314778.00497407</v>
      </c>
      <c r="TT72">
        <v>1595552.39391431</v>
      </c>
      <c r="TU72">
        <v>1581555.11843483</v>
      </c>
      <c r="TV72" t="s">
        <v>1900</v>
      </c>
      <c r="TW72">
        <v>1655351.43298537</v>
      </c>
      <c r="TX72" t="s">
        <v>1900</v>
      </c>
      <c r="TY72" t="s">
        <v>1900</v>
      </c>
      <c r="TZ72" t="s">
        <v>1900</v>
      </c>
      <c r="UA72" t="s">
        <v>1900</v>
      </c>
      <c r="UB72" t="s">
        <v>1900</v>
      </c>
      <c r="UC72">
        <v>0</v>
      </c>
      <c r="UD72">
        <v>30417.9122011852</v>
      </c>
      <c r="UE72">
        <v>124761.315401018</v>
      </c>
      <c r="UF72" t="s">
        <v>1900</v>
      </c>
      <c r="UG72">
        <v>45829.8150740802</v>
      </c>
      <c r="UH72" t="s">
        <v>1900</v>
      </c>
      <c r="UI72" t="s">
        <v>1900</v>
      </c>
      <c r="UJ72" t="s">
        <v>1900</v>
      </c>
      <c r="UK72" t="s">
        <v>1900</v>
      </c>
      <c r="UL72" t="s">
        <v>1900</v>
      </c>
      <c r="UM72" t="s">
        <v>1900</v>
      </c>
      <c r="UN72" t="s">
        <v>1900</v>
      </c>
      <c r="UO72" t="s">
        <v>1900</v>
      </c>
      <c r="UP72" t="s">
        <v>1900</v>
      </c>
      <c r="UQ72" t="s">
        <v>1900</v>
      </c>
      <c r="UR72" t="s">
        <v>1900</v>
      </c>
      <c r="US72" t="s">
        <v>1900</v>
      </c>
      <c r="UT72" t="s">
        <v>1900</v>
      </c>
      <c r="UU72" t="s">
        <v>1900</v>
      </c>
      <c r="UV72" t="s">
        <v>1900</v>
      </c>
      <c r="UW72" t="s">
        <v>1900</v>
      </c>
      <c r="UX72" t="s">
        <v>1900</v>
      </c>
      <c r="UY72" t="s">
        <v>1900</v>
      </c>
      <c r="UZ72" t="s">
        <v>1900</v>
      </c>
      <c r="VA72" t="s">
        <v>1900</v>
      </c>
      <c r="VB72" t="s">
        <v>1900</v>
      </c>
      <c r="VC72" t="s">
        <v>1900</v>
      </c>
      <c r="VD72" t="s">
        <v>1900</v>
      </c>
      <c r="VE72" t="s">
        <v>1900</v>
      </c>
      <c r="VF72" t="s">
        <v>1900</v>
      </c>
      <c r="VG72" t="s">
        <v>1900</v>
      </c>
      <c r="VH72" t="s">
        <v>1900</v>
      </c>
      <c r="VI72" t="s">
        <v>1900</v>
      </c>
      <c r="VJ72" t="s">
        <v>1900</v>
      </c>
      <c r="VK72" t="s">
        <v>1900</v>
      </c>
      <c r="VL72" t="s">
        <v>1900</v>
      </c>
      <c r="VM72" t="s">
        <v>1900</v>
      </c>
      <c r="VN72" t="s">
        <v>1900</v>
      </c>
      <c r="VO72" t="s">
        <v>1900</v>
      </c>
      <c r="VP72" t="s">
        <v>1900</v>
      </c>
      <c r="VQ72" t="s">
        <v>1900</v>
      </c>
      <c r="VR72" t="s">
        <v>1900</v>
      </c>
      <c r="VS72" t="s">
        <v>1900</v>
      </c>
      <c r="VT72" t="s">
        <v>1900</v>
      </c>
      <c r="VU72" t="s">
        <v>1900</v>
      </c>
      <c r="VV72" t="s">
        <v>1900</v>
      </c>
      <c r="VW72" t="s">
        <v>1900</v>
      </c>
      <c r="VX72" t="s">
        <v>1900</v>
      </c>
      <c r="VY72" t="s">
        <v>1900</v>
      </c>
      <c r="VZ72" t="s">
        <v>1900</v>
      </c>
      <c r="WA72">
        <v>193712.678557669</v>
      </c>
      <c r="WB72">
        <v>209527.287883272</v>
      </c>
      <c r="WC72">
        <v>161607.346700734</v>
      </c>
      <c r="WD72" t="s">
        <v>1900</v>
      </c>
      <c r="WE72">
        <v>154595.663483047</v>
      </c>
      <c r="WF72" t="s">
        <v>1900</v>
      </c>
      <c r="WG72" t="s">
        <v>1900</v>
      </c>
      <c r="WH72" t="s">
        <v>1900</v>
      </c>
      <c r="WI72" t="s">
        <v>1900</v>
      </c>
      <c r="WJ72" t="s">
        <v>1900</v>
      </c>
      <c r="WK72" t="s">
        <v>1900</v>
      </c>
      <c r="WL72" t="s">
        <v>1900</v>
      </c>
      <c r="WM72" t="s">
        <v>1900</v>
      </c>
      <c r="WN72" t="s">
        <v>1900</v>
      </c>
      <c r="WO72" t="s">
        <v>1900</v>
      </c>
      <c r="WP72" t="s">
        <v>1900</v>
      </c>
      <c r="WQ72" t="s">
        <v>1900</v>
      </c>
      <c r="WR72" t="s">
        <v>1900</v>
      </c>
      <c r="WS72" t="s">
        <v>1900</v>
      </c>
      <c r="WT72" t="s">
        <v>1900</v>
      </c>
      <c r="WU72" t="s">
        <v>1900</v>
      </c>
      <c r="WV72" t="s">
        <v>1900</v>
      </c>
      <c r="WW72" t="s">
        <v>1900</v>
      </c>
      <c r="WX72" t="s">
        <v>1900</v>
      </c>
      <c r="WY72" t="s">
        <v>1900</v>
      </c>
      <c r="WZ72" t="s">
        <v>1900</v>
      </c>
      <c r="XA72" t="s">
        <v>1900</v>
      </c>
      <c r="XB72" t="s">
        <v>1900</v>
      </c>
      <c r="XC72" t="s">
        <v>1900</v>
      </c>
      <c r="XD72" t="s">
        <v>1900</v>
      </c>
      <c r="XE72" t="s">
        <v>1900</v>
      </c>
      <c r="XF72" t="s">
        <v>1900</v>
      </c>
      <c r="XG72" t="s">
        <v>1900</v>
      </c>
      <c r="XH72" t="s">
        <v>1900</v>
      </c>
      <c r="XI72" t="s">
        <v>1900</v>
      </c>
      <c r="XJ72" t="s">
        <v>1900</v>
      </c>
      <c r="XK72" t="s">
        <v>1900</v>
      </c>
      <c r="XL72" t="s">
        <v>1900</v>
      </c>
      <c r="XM72" t="s">
        <v>1900</v>
      </c>
      <c r="XN72" t="s">
        <v>1900</v>
      </c>
      <c r="XO72" t="s">
        <v>1900</v>
      </c>
      <c r="XP72" t="s">
        <v>1900</v>
      </c>
      <c r="XQ72" t="s">
        <v>1900</v>
      </c>
      <c r="XR72" t="s">
        <v>1900</v>
      </c>
      <c r="XS72" t="s">
        <v>1900</v>
      </c>
      <c r="XT72" t="s">
        <v>1900</v>
      </c>
      <c r="XU72" t="s">
        <v>1900</v>
      </c>
      <c r="XV72" t="s">
        <v>1900</v>
      </c>
      <c r="XW72" t="s">
        <v>1900</v>
      </c>
      <c r="XX72" t="s">
        <v>1900</v>
      </c>
      <c r="XY72" t="s">
        <v>1900</v>
      </c>
      <c r="XZ72" t="s">
        <v>1900</v>
      </c>
      <c r="YA72" t="s">
        <v>1900</v>
      </c>
      <c r="YB72" t="s">
        <v>1900</v>
      </c>
      <c r="YC72" t="s">
        <v>1900</v>
      </c>
      <c r="YD72" t="s">
        <v>1900</v>
      </c>
      <c r="YE72" t="s">
        <v>1900</v>
      </c>
      <c r="YF72" t="s">
        <v>1900</v>
      </c>
      <c r="YG72" t="s">
        <v>1900</v>
      </c>
      <c r="YH72" t="s">
        <v>1900</v>
      </c>
      <c r="YI72" t="s">
        <v>1900</v>
      </c>
      <c r="YJ72" t="s">
        <v>1900</v>
      </c>
      <c r="YK72" t="s">
        <v>1900</v>
      </c>
      <c r="YL72" t="s">
        <v>1900</v>
      </c>
      <c r="YM72" t="s">
        <v>1900</v>
      </c>
      <c r="YN72" t="s">
        <v>1900</v>
      </c>
      <c r="YO72" t="s">
        <v>1900</v>
      </c>
      <c r="YP72" t="s">
        <v>1900</v>
      </c>
      <c r="YQ72" t="s">
        <v>1900</v>
      </c>
      <c r="YR72" t="s">
        <v>1900</v>
      </c>
      <c r="YS72" t="s">
        <v>1900</v>
      </c>
      <c r="YT72" t="s">
        <v>1900</v>
      </c>
      <c r="YU72" t="s">
        <v>1900</v>
      </c>
      <c r="YV72" t="s">
        <v>1900</v>
      </c>
      <c r="YW72" t="s">
        <v>1900</v>
      </c>
      <c r="YX72" t="s">
        <v>1900</v>
      </c>
      <c r="YY72" t="s">
        <v>1900</v>
      </c>
      <c r="YZ72" t="s">
        <v>1900</v>
      </c>
      <c r="ZA72" t="s">
        <v>1900</v>
      </c>
      <c r="ZB72" t="s">
        <v>1900</v>
      </c>
      <c r="ZC72" t="s">
        <v>1900</v>
      </c>
      <c r="ZD72" t="s">
        <v>1900</v>
      </c>
      <c r="ZE72" t="s">
        <v>1900</v>
      </c>
      <c r="ZF72" t="s">
        <v>1900</v>
      </c>
      <c r="ZG72" t="s">
        <v>1900</v>
      </c>
      <c r="ZH72" t="s">
        <v>1900</v>
      </c>
      <c r="ZI72" t="s">
        <v>1900</v>
      </c>
      <c r="ZJ72" t="s">
        <v>1900</v>
      </c>
      <c r="ZK72" t="s">
        <v>1900</v>
      </c>
      <c r="ZL72" t="s">
        <v>1900</v>
      </c>
      <c r="ZM72" t="s">
        <v>1900</v>
      </c>
      <c r="ZN72" t="s">
        <v>1900</v>
      </c>
      <c r="ZO72" t="s">
        <v>1900</v>
      </c>
      <c r="ZP72" t="s">
        <v>1900</v>
      </c>
      <c r="ZQ72" t="s">
        <v>1900</v>
      </c>
      <c r="ZR72" t="s">
        <v>1900</v>
      </c>
      <c r="ZS72" t="s">
        <v>1900</v>
      </c>
      <c r="ZT72" t="s">
        <v>1900</v>
      </c>
      <c r="ZU72" t="s">
        <v>1900</v>
      </c>
      <c r="ZV72" t="s">
        <v>1900</v>
      </c>
      <c r="ZW72" t="s">
        <v>1900</v>
      </c>
      <c r="ZX72" t="s">
        <v>1900</v>
      </c>
      <c r="ZY72" t="s">
        <v>1900</v>
      </c>
      <c r="ZZ72" t="s">
        <v>1900</v>
      </c>
      <c r="AAA72" t="s">
        <v>1900</v>
      </c>
      <c r="AAB72" t="s">
        <v>1900</v>
      </c>
      <c r="AAC72" t="s">
        <v>1900</v>
      </c>
      <c r="AAD72" t="s">
        <v>1900</v>
      </c>
      <c r="AAE72" t="s">
        <v>1900</v>
      </c>
      <c r="AAF72" t="s">
        <v>1900</v>
      </c>
      <c r="AAG72" t="s">
        <v>1900</v>
      </c>
      <c r="AAH72" t="s">
        <v>1900</v>
      </c>
      <c r="AAI72" t="s">
        <v>1900</v>
      </c>
      <c r="AAJ72" t="s">
        <v>1900</v>
      </c>
      <c r="AAK72" t="s">
        <v>1900</v>
      </c>
      <c r="AAL72" t="s">
        <v>1900</v>
      </c>
      <c r="AAM72" t="s">
        <v>1900</v>
      </c>
      <c r="AAN72" t="s">
        <v>1900</v>
      </c>
      <c r="AAO72" t="s">
        <v>1900</v>
      </c>
      <c r="AAP72" t="s">
        <v>1900</v>
      </c>
      <c r="AAQ72" t="s">
        <v>1900</v>
      </c>
      <c r="AAR72" t="s">
        <v>1900</v>
      </c>
      <c r="AAS72" t="s">
        <v>1900</v>
      </c>
      <c r="AAT72" t="s">
        <v>1900</v>
      </c>
      <c r="AAU72" t="s">
        <v>1900</v>
      </c>
      <c r="AAV72" t="s">
        <v>1900</v>
      </c>
      <c r="AAW72" t="s">
        <v>1900</v>
      </c>
      <c r="AAX72" t="s">
        <v>1900</v>
      </c>
      <c r="AAY72" t="s">
        <v>1900</v>
      </c>
      <c r="AAZ72" t="s">
        <v>1900</v>
      </c>
      <c r="ABA72" t="s">
        <v>1900</v>
      </c>
      <c r="ABB72" t="s">
        <v>1900</v>
      </c>
      <c r="ABC72" t="s">
        <v>1900</v>
      </c>
      <c r="ABD72" t="s">
        <v>1900</v>
      </c>
      <c r="ABE72" t="s">
        <v>1900</v>
      </c>
      <c r="ABF72" t="s">
        <v>1900</v>
      </c>
      <c r="ABG72" t="s">
        <v>1900</v>
      </c>
      <c r="ABH72" t="s">
        <v>1900</v>
      </c>
      <c r="ABI72" t="s">
        <v>1900</v>
      </c>
      <c r="ABJ72" t="s">
        <v>1900</v>
      </c>
      <c r="ABK72" t="s">
        <v>1900</v>
      </c>
      <c r="ABL72" t="s">
        <v>1900</v>
      </c>
      <c r="ABM72" t="s">
        <v>1900</v>
      </c>
      <c r="ABN72" t="s">
        <v>1900</v>
      </c>
      <c r="ABO72" t="s">
        <v>1900</v>
      </c>
      <c r="ABP72" t="s">
        <v>1900</v>
      </c>
      <c r="ABQ72" t="s">
        <v>1900</v>
      </c>
      <c r="ABR72" t="s">
        <v>1900</v>
      </c>
      <c r="ABS72" t="s">
        <v>1900</v>
      </c>
      <c r="ABT72" t="s">
        <v>1900</v>
      </c>
      <c r="ABU72" t="s">
        <v>1900</v>
      </c>
      <c r="ABV72" t="s">
        <v>1900</v>
      </c>
      <c r="ABW72" t="s">
        <v>1900</v>
      </c>
      <c r="ABX72" t="s">
        <v>1900</v>
      </c>
      <c r="ABY72" t="s">
        <v>1900</v>
      </c>
      <c r="ABZ72" t="s">
        <v>1900</v>
      </c>
      <c r="ACA72" t="s">
        <v>1900</v>
      </c>
      <c r="ACB72" t="s">
        <v>1900</v>
      </c>
      <c r="ACC72" t="s">
        <v>1900</v>
      </c>
      <c r="ACD72" t="s">
        <v>1900</v>
      </c>
      <c r="ACE72">
        <v>7.094</v>
      </c>
      <c r="ACF72">
        <v>9.339</v>
      </c>
      <c r="ACG72">
        <v>10.158</v>
      </c>
      <c r="ACH72" t="s">
        <v>1900</v>
      </c>
      <c r="ACI72">
        <v>10.668</v>
      </c>
      <c r="ACJ72">
        <v>7.181</v>
      </c>
      <c r="ACK72">
        <v>9.757</v>
      </c>
      <c r="ACL72">
        <v>10.37</v>
      </c>
      <c r="ACM72" t="s">
        <v>1900</v>
      </c>
      <c r="ACN72">
        <v>10.702</v>
      </c>
      <c r="ACO72">
        <v>6.049</v>
      </c>
      <c r="ACP72">
        <v>7.934</v>
      </c>
      <c r="ACQ72">
        <v>8.319000000000001</v>
      </c>
      <c r="ACR72" t="s">
        <v>1900</v>
      </c>
      <c r="ACS72">
        <v>9.131</v>
      </c>
      <c r="ACT72">
        <v>4.57</v>
      </c>
      <c r="ACU72">
        <v>7.198</v>
      </c>
      <c r="ACV72">
        <v>7.846</v>
      </c>
      <c r="ACW72" t="s">
        <v>1900</v>
      </c>
      <c r="ACX72">
        <v>8.109</v>
      </c>
      <c r="ACY72">
        <v>4.657</v>
      </c>
      <c r="ACZ72">
        <v>7.617</v>
      </c>
      <c r="ADA72">
        <v>8.058</v>
      </c>
      <c r="ADB72" t="s">
        <v>1900</v>
      </c>
      <c r="ADC72">
        <v>8.141999999999999</v>
      </c>
      <c r="ADD72">
        <v>3.897</v>
      </c>
      <c r="ADE72">
        <v>6.116</v>
      </c>
      <c r="ADF72">
        <v>6.425</v>
      </c>
      <c r="ADG72" t="s">
        <v>1900</v>
      </c>
      <c r="ADH72">
        <v>6.94</v>
      </c>
      <c r="ADI72">
        <v>7.573</v>
      </c>
      <c r="ADJ72">
        <v>11.164</v>
      </c>
      <c r="ADK72">
        <v>10.817</v>
      </c>
      <c r="ADL72" t="s">
        <v>1900</v>
      </c>
      <c r="ADM72">
        <v>11.223</v>
      </c>
      <c r="ADN72">
        <v>99.464</v>
      </c>
      <c r="ADO72">
        <v>99.28</v>
      </c>
      <c r="ADP72">
        <v>99.23399999999999</v>
      </c>
      <c r="ADQ72" t="s">
        <v>1900</v>
      </c>
      <c r="ADR72">
        <v>99.408</v>
      </c>
      <c r="ADS72">
        <v>7.362714282</v>
      </c>
      <c r="ADT72">
        <v>11.664577477</v>
      </c>
      <c r="ADU72">
        <v>11.029577212</v>
      </c>
      <c r="ADV72" t="s">
        <v>1900</v>
      </c>
      <c r="ADW72">
        <v>11.25674536</v>
      </c>
      <c r="ADX72">
        <v>9.505000000000001</v>
      </c>
      <c r="ADY72">
        <v>14.011</v>
      </c>
      <c r="ADZ72">
        <v>13.048</v>
      </c>
      <c r="AEA72" t="s">
        <v>1900</v>
      </c>
      <c r="AEB72">
        <v>12.7</v>
      </c>
      <c r="AEC72">
        <v>7.363</v>
      </c>
      <c r="AED72">
        <v>11.665</v>
      </c>
      <c r="AEE72">
        <v>11.03</v>
      </c>
      <c r="AEF72" t="s">
        <v>1900</v>
      </c>
      <c r="AEG72">
        <v>11.257</v>
      </c>
      <c r="AEH72">
        <v>7.021</v>
      </c>
      <c r="AEI72">
        <v>10.951</v>
      </c>
      <c r="AEJ72">
        <v>10.374</v>
      </c>
      <c r="AEK72" t="s">
        <v>1900</v>
      </c>
      <c r="AEL72">
        <v>9.974</v>
      </c>
      <c r="AEM72">
        <v>7.947895089</v>
      </c>
      <c r="AEN72">
        <v>13.204869739</v>
      </c>
      <c r="AEO72">
        <v>12.396903225</v>
      </c>
      <c r="AEP72" t="s">
        <v>1900</v>
      </c>
      <c r="AEQ72">
        <v>12.684620827</v>
      </c>
      <c r="AER72">
        <v>1.079941284</v>
      </c>
      <c r="AES72">
        <v>1.133134278</v>
      </c>
      <c r="AET72">
        <v>1.125045868</v>
      </c>
      <c r="AEU72" t="s">
        <v>1900</v>
      </c>
      <c r="AEV72">
        <v>1.12769874</v>
      </c>
      <c r="AEW72" t="s">
        <v>1900</v>
      </c>
      <c r="AEX72" t="s">
        <v>1900</v>
      </c>
      <c r="AEY72" t="s">
        <v>1900</v>
      </c>
      <c r="AEZ72" t="s">
        <v>1900</v>
      </c>
      <c r="AFA72" t="s">
        <v>1900</v>
      </c>
      <c r="AFB72" t="s">
        <v>1900</v>
      </c>
      <c r="AFC72" t="s">
        <v>1900</v>
      </c>
      <c r="AFD72" t="s">
        <v>1900</v>
      </c>
      <c r="AFE72" t="s">
        <v>1900</v>
      </c>
      <c r="AFF72" t="s">
        <v>1900</v>
      </c>
      <c r="AFG72">
        <v>0.9370000000000001</v>
      </c>
      <c r="AFH72">
        <v>0.837</v>
      </c>
      <c r="AFI72">
        <v>0.9389999999999999</v>
      </c>
      <c r="AFJ72" t="s">
        <v>1900</v>
      </c>
      <c r="AFK72">
        <v>0.951</v>
      </c>
      <c r="AFL72">
        <v>79.191</v>
      </c>
      <c r="AFM72">
        <v>23.305</v>
      </c>
      <c r="AFN72">
        <v>48.877</v>
      </c>
      <c r="AFO72" t="s">
        <v>1900</v>
      </c>
      <c r="AFP72">
        <v>320.228</v>
      </c>
      <c r="AFQ72">
        <v>269.124</v>
      </c>
      <c r="AFR72">
        <v>241.96</v>
      </c>
      <c r="AFS72">
        <v>298.016</v>
      </c>
      <c r="AFT72" t="s">
        <v>1900</v>
      </c>
      <c r="AFU72">
        <v>267.366</v>
      </c>
      <c r="AFV72">
        <v>151.259</v>
      </c>
      <c r="AFW72">
        <v>142.503</v>
      </c>
      <c r="AFX72">
        <v>125.657</v>
      </c>
      <c r="AFY72" t="s">
        <v>1900</v>
      </c>
      <c r="AFZ72">
        <v>151.929</v>
      </c>
      <c r="AGA72">
        <v>0</v>
      </c>
      <c r="AGB72">
        <v>0</v>
      </c>
      <c r="AGC72">
        <v>0</v>
      </c>
      <c r="AGD72" t="s">
        <v>1900</v>
      </c>
      <c r="AGE72">
        <v>10.211</v>
      </c>
      <c r="AGF72" t="s">
        <v>1900</v>
      </c>
      <c r="AGG72" t="s">
        <v>1900</v>
      </c>
      <c r="AGH72" t="s">
        <v>1900</v>
      </c>
      <c r="AGI72" t="s">
        <v>1900</v>
      </c>
      <c r="AGJ72" t="s">
        <v>1900</v>
      </c>
      <c r="AGK72" t="s">
        <v>1900</v>
      </c>
      <c r="AGL72" t="s">
        <v>1900</v>
      </c>
      <c r="AGM72" t="s">
        <v>1900</v>
      </c>
      <c r="AGN72" t="s">
        <v>1900</v>
      </c>
      <c r="AGO72" t="s">
        <v>1900</v>
      </c>
      <c r="AGP72" t="s">
        <v>1900</v>
      </c>
      <c r="AGQ72" t="s">
        <v>1900</v>
      </c>
      <c r="AGR72" t="s">
        <v>1900</v>
      </c>
      <c r="AGS72" t="s">
        <v>1900</v>
      </c>
      <c r="AGT72" t="s">
        <v>1900</v>
      </c>
      <c r="AGU72">
        <v>0</v>
      </c>
      <c r="AGV72">
        <v>0</v>
      </c>
      <c r="AGW72">
        <v>0</v>
      </c>
      <c r="AGX72">
        <v>0</v>
      </c>
      <c r="AGY72">
        <v>0</v>
      </c>
      <c r="AGZ72">
        <v>4.344</v>
      </c>
      <c r="AHA72">
        <v>3.529</v>
      </c>
      <c r="AHB72">
        <v>2.933</v>
      </c>
      <c r="AHC72" t="s">
        <v>1900</v>
      </c>
      <c r="AHD72">
        <v>3.434</v>
      </c>
      <c r="AHE72">
        <v>4.323</v>
      </c>
      <c r="AHF72">
        <v>3.509</v>
      </c>
      <c r="AHG72">
        <v>2.919</v>
      </c>
      <c r="AHH72" t="s">
        <v>1900</v>
      </c>
      <c r="AHI72">
        <v>3.413</v>
      </c>
      <c r="AHJ72" t="s">
        <v>1901</v>
      </c>
      <c r="AHK72" t="s">
        <v>1901</v>
      </c>
      <c r="AHL72" t="s">
        <v>1901</v>
      </c>
      <c r="AHM72" t="s">
        <v>1900</v>
      </c>
      <c r="AHN72" t="s">
        <v>1901</v>
      </c>
      <c r="AHO72">
        <v>85.267</v>
      </c>
      <c r="AHP72">
        <v>84.962</v>
      </c>
      <c r="AHQ72">
        <v>81.893</v>
      </c>
      <c r="AHR72" t="s">
        <v>1900</v>
      </c>
      <c r="AHS72">
        <v>85.58499999999999</v>
      </c>
      <c r="AHT72" t="s">
        <v>1901</v>
      </c>
      <c r="AHU72" t="s">
        <v>1901</v>
      </c>
      <c r="AHV72" t="s">
        <v>1901</v>
      </c>
      <c r="AHW72" t="s">
        <v>1900</v>
      </c>
      <c r="AHX72" t="s">
        <v>1901</v>
      </c>
      <c r="AHY72">
        <v>0</v>
      </c>
      <c r="AHZ72">
        <v>2.244</v>
      </c>
      <c r="AIA72">
        <v>9.632999999999999</v>
      </c>
      <c r="AIB72" t="s">
        <v>1900</v>
      </c>
      <c r="AIC72">
        <v>3.235</v>
      </c>
      <c r="AID72">
        <v>15.431237362</v>
      </c>
      <c r="AIE72">
        <v>27.401923311</v>
      </c>
      <c r="AIF72">
        <v>26.683738902</v>
      </c>
      <c r="AIG72" t="s">
        <v>1900</v>
      </c>
      <c r="AIH72">
        <v>30.850127373</v>
      </c>
      <c r="AII72">
        <v>30.140379975</v>
      </c>
      <c r="AIJ72">
        <v>24.640942209</v>
      </c>
      <c r="AIK72">
        <v>26.00581935</v>
      </c>
      <c r="AIL72" t="s">
        <v>1900</v>
      </c>
      <c r="AIM72">
        <v>14.863604808</v>
      </c>
      <c r="AIN72">
        <v>14.733489443</v>
      </c>
      <c r="AIO72">
        <v>13.131959106</v>
      </c>
      <c r="AIP72">
        <v>10.218255742</v>
      </c>
      <c r="AIQ72" t="s">
        <v>1900</v>
      </c>
      <c r="AIR72">
        <v>9.339144571</v>
      </c>
      <c r="AIS72">
        <v>69.354942951</v>
      </c>
      <c r="AIT72">
        <v>57.378428654</v>
      </c>
      <c r="AIU72">
        <v>43.795946257</v>
      </c>
      <c r="AIV72" t="s">
        <v>1900</v>
      </c>
      <c r="AIW72">
        <v>63.129789894</v>
      </c>
      <c r="AIX72">
        <v>4.67792880248225</v>
      </c>
      <c r="AIY72">
        <v>6.66302149528217</v>
      </c>
      <c r="AIZ72">
        <v>6.92472332180083</v>
      </c>
      <c r="AJA72" t="s">
        <v>1900</v>
      </c>
      <c r="AJB72">
        <v>8.89070746256351</v>
      </c>
      <c r="AJC72">
        <v>61.7721542825434</v>
      </c>
      <c r="AJD72">
        <v>59.6827829048996</v>
      </c>
      <c r="AJE72">
        <v>64.0161802892047</v>
      </c>
      <c r="AJF72" t="s">
        <v>1900</v>
      </c>
      <c r="AJG72">
        <v>79.2166567328381</v>
      </c>
      <c r="AJH72">
        <v>74.958</v>
      </c>
      <c r="AJI72">
        <v>70.399</v>
      </c>
      <c r="AJJ72">
        <v>53.702</v>
      </c>
      <c r="AJK72" t="s">
        <v>1900</v>
      </c>
      <c r="AJL72">
        <v>47.711</v>
      </c>
      <c r="AJM72">
        <v>46.3033473671448</v>
      </c>
      <c r="AJN72">
        <v>42.0161786263447</v>
      </c>
      <c r="AJO72">
        <v>34.3782389971334</v>
      </c>
      <c r="AJP72" t="s">
        <v>1900</v>
      </c>
      <c r="AJQ72">
        <v>37.7950302335578</v>
      </c>
      <c r="AJR72">
        <v>65.9450189565179</v>
      </c>
      <c r="AJS72">
        <v>71.3477471599922</v>
      </c>
      <c r="AJT72">
        <v>68.1677086771512</v>
      </c>
      <c r="AJU72" t="s">
        <v>1900</v>
      </c>
      <c r="AJV72">
        <v>83.3370831593257</v>
      </c>
      <c r="AJW72">
        <v>26.1839284737924</v>
      </c>
      <c r="AJX72">
        <v>23.8716063832836</v>
      </c>
      <c r="AJY72">
        <v>22.5595476489997</v>
      </c>
      <c r="AJZ72" t="s">
        <v>1900</v>
      </c>
      <c r="AKA72">
        <v>31.4808423093212</v>
      </c>
      <c r="AKB72">
        <v>77.3398831344275</v>
      </c>
      <c r="AKC72">
        <v>83.9764420175953</v>
      </c>
      <c r="AKD72">
        <v>83.23974285097</v>
      </c>
      <c r="AKE72" t="s">
        <v>1900</v>
      </c>
      <c r="AKF72">
        <v>97.373613127563</v>
      </c>
      <c r="AKG72">
        <v>69.354942951</v>
      </c>
      <c r="AKH72">
        <v>57.378428654</v>
      </c>
      <c r="AKI72">
        <v>43.795946257</v>
      </c>
      <c r="AKJ72" t="s">
        <v>1900</v>
      </c>
      <c r="AKK72">
        <v>63.129789894</v>
      </c>
      <c r="AKL72">
        <v>0.371575491</v>
      </c>
      <c r="AKM72">
        <v>0.413290788</v>
      </c>
      <c r="AKN72">
        <v>0.335551922</v>
      </c>
      <c r="AKO72" t="s">
        <v>1900</v>
      </c>
      <c r="AKP72">
        <v>0.374018931</v>
      </c>
      <c r="AKQ72">
        <v>0.296781142</v>
      </c>
      <c r="AKR72">
        <v>0.293729336</v>
      </c>
      <c r="AKS72">
        <v>0.258058849</v>
      </c>
      <c r="AKT72" t="s">
        <v>1900</v>
      </c>
      <c r="AKU72">
        <v>0.304276775</v>
      </c>
      <c r="AKV72">
        <v>1.428715288</v>
      </c>
      <c r="AKW72">
        <v>2.535624597</v>
      </c>
      <c r="AKX72">
        <v>2.919349953</v>
      </c>
      <c r="AKY72" t="s">
        <v>1900</v>
      </c>
      <c r="AKZ72">
        <v>5.143743492</v>
      </c>
      <c r="ALA72">
        <v>1.141129499</v>
      </c>
      <c r="ALB72">
        <v>1.802090321</v>
      </c>
      <c r="ALC72">
        <v>2.245149082</v>
      </c>
      <c r="ALD72" t="s">
        <v>1900</v>
      </c>
      <c r="ALE72">
        <v>4.184605508</v>
      </c>
      <c r="ALF72">
        <v>24.328712658</v>
      </c>
      <c r="ALG72">
        <v>24.944811506</v>
      </c>
      <c r="ALH72">
        <v>23.357666263</v>
      </c>
      <c r="ALI72" t="s">
        <v>1900</v>
      </c>
      <c r="ALJ72">
        <v>19.008830515</v>
      </c>
      <c r="ALK72">
        <v>19.43159139</v>
      </c>
      <c r="ALL72">
        <v>17.728493181</v>
      </c>
      <c r="ALM72">
        <v>17.963397267</v>
      </c>
      <c r="ALN72" t="s">
        <v>1900</v>
      </c>
      <c r="ALO72">
        <v>15.46431252</v>
      </c>
      <c r="ALP72">
        <v>42.016340592</v>
      </c>
      <c r="ALQ72">
        <v>39.584183826</v>
      </c>
      <c r="ALR72">
        <v>34.904832643</v>
      </c>
      <c r="ALS72" t="s">
        <v>1900</v>
      </c>
      <c r="ALT72">
        <v>42.20242996</v>
      </c>
      <c r="ALU72">
        <v>0</v>
      </c>
      <c r="ALV72">
        <v>0</v>
      </c>
      <c r="ALW72">
        <v>0</v>
      </c>
      <c r="ALX72" t="s">
        <v>1900</v>
      </c>
      <c r="ALY72">
        <v>6.720626535</v>
      </c>
      <c r="ALZ72">
        <v>99.4642407943651</v>
      </c>
      <c r="AMA72">
        <v>99.279710514908</v>
      </c>
      <c r="AMB72">
        <v>99.2338288110642</v>
      </c>
      <c r="AMC72" t="s">
        <v>1900</v>
      </c>
      <c r="AMD72">
        <v>99.40753971787041</v>
      </c>
      <c r="AME72">
        <v>99.4642407943651</v>
      </c>
      <c r="AMF72">
        <v>99.279710514908</v>
      </c>
      <c r="AMG72" t="s">
        <v>1901</v>
      </c>
      <c r="AMH72" t="s">
        <v>1900</v>
      </c>
      <c r="AMI72">
        <v>99.5933222048494</v>
      </c>
      <c r="AMJ72">
        <v>18565.1015882219</v>
      </c>
      <c r="AMK72">
        <v>13783.3069300233</v>
      </c>
      <c r="AML72">
        <v>12951.9133901256</v>
      </c>
      <c r="AMM72" t="s">
        <v>1900</v>
      </c>
      <c r="AMN72">
        <v>16778.768588597</v>
      </c>
      <c r="AMO72">
        <v>1.0799412839368</v>
      </c>
      <c r="AMP72">
        <v>1.13313427798079</v>
      </c>
      <c r="AMQ72">
        <v>1.1250458692222</v>
      </c>
      <c r="AMR72" t="s">
        <v>1900</v>
      </c>
      <c r="AMS72">
        <v>1.12769873989815</v>
      </c>
      <c r="AMT72">
        <v>1.0799412839368</v>
      </c>
      <c r="AMU72">
        <v>1.13313427798079</v>
      </c>
      <c r="AMV72">
        <v>1.12504586822801</v>
      </c>
      <c r="AMW72" t="s">
        <v>1900</v>
      </c>
      <c r="AMX72">
        <v>1.12769873989815</v>
      </c>
      <c r="AMY72">
        <v>1.0799412839368</v>
      </c>
      <c r="AMZ72">
        <v>1.13313427798079</v>
      </c>
      <c r="ANA72">
        <v>1.12504586810369</v>
      </c>
      <c r="ANB72" t="s">
        <v>1900</v>
      </c>
      <c r="ANC72">
        <v>1.12769873989815</v>
      </c>
      <c r="AND72">
        <v>7.36271428194219</v>
      </c>
      <c r="ANE72">
        <v>11.6645774771697</v>
      </c>
      <c r="ANF72">
        <v>11.0295772116811</v>
      </c>
      <c r="ANG72" t="s">
        <v>1900</v>
      </c>
      <c r="ANH72">
        <v>11.2567453604619</v>
      </c>
      <c r="ANI72">
        <v>7.36271428194219</v>
      </c>
      <c r="ANJ72">
        <v>11.6645774771697</v>
      </c>
      <c r="ANK72">
        <v>11.143419182693</v>
      </c>
      <c r="ANL72" t="s">
        <v>1900</v>
      </c>
      <c r="ANM72">
        <v>11.2777830619712</v>
      </c>
      <c r="ANN72">
        <v>7.9478950887558</v>
      </c>
      <c r="ANO72">
        <v>13.2048697385865</v>
      </c>
      <c r="ANP72">
        <v>12.3969032247076</v>
      </c>
      <c r="ANQ72" t="s">
        <v>1900</v>
      </c>
      <c r="ANR72">
        <v>12.6846208268844</v>
      </c>
      <c r="ANS72">
        <v>6.89681692223326</v>
      </c>
      <c r="ANT72">
        <v>9.75748326761715</v>
      </c>
      <c r="ANU72">
        <v>10.3578574229801</v>
      </c>
      <c r="ANV72" t="s">
        <v>1900</v>
      </c>
      <c r="ANW72">
        <v>10.7001792442901</v>
      </c>
      <c r="ANX72">
        <v>99.4642407943651</v>
      </c>
      <c r="ANY72">
        <v>99.279710514908</v>
      </c>
      <c r="ANZ72">
        <v>99.2338288110642</v>
      </c>
      <c r="AOA72" t="s">
        <v>1900</v>
      </c>
      <c r="AOB72">
        <v>99.40753971787041</v>
      </c>
      <c r="AOC72">
        <v>107.369554303529</v>
      </c>
      <c r="AOD72">
        <v>112.389466965247</v>
      </c>
      <c r="AOE72">
        <v>111.535750534944</v>
      </c>
      <c r="AOF72" t="s">
        <v>1900</v>
      </c>
      <c r="AOG72">
        <v>112.017009204417</v>
      </c>
      <c r="AOH72">
        <v>79.443105446891</v>
      </c>
      <c r="AOI72">
        <v>70.5589485178579</v>
      </c>
      <c r="AOJ72">
        <v>76.31655788057</v>
      </c>
      <c r="AOK72" t="s">
        <v>1900</v>
      </c>
      <c r="AOL72">
        <v>80.8713224024839</v>
      </c>
      <c r="AOM72">
        <v>1374.25810037504</v>
      </c>
      <c r="AON72">
        <v>1619.42909324585</v>
      </c>
      <c r="AOO72">
        <v>1439.57086496565</v>
      </c>
      <c r="AOP72" t="s">
        <v>1900</v>
      </c>
      <c r="AOQ72">
        <v>1900</v>
      </c>
      <c r="AOR72">
        <v>7.99412839367987</v>
      </c>
      <c r="AOS72">
        <v>13.3134277980785</v>
      </c>
      <c r="AOT72">
        <v>12.5045868228009</v>
      </c>
      <c r="AOU72" t="s">
        <v>1900</v>
      </c>
      <c r="AOV72">
        <v>12.7698739898149</v>
      </c>
      <c r="AOW72">
        <v>5.88067512911435</v>
      </c>
      <c r="AOX72">
        <v>8.290116051160281</v>
      </c>
      <c r="AOY72">
        <v>8.482383253357121</v>
      </c>
      <c r="AOZ72" t="s">
        <v>1900</v>
      </c>
      <c r="APA72">
        <v>9.15773477376314</v>
      </c>
      <c r="APB72">
        <v>4.87852915024674</v>
      </c>
      <c r="APC72">
        <v>8.60514283427946</v>
      </c>
      <c r="APD72">
        <v>8.35467812739806</v>
      </c>
      <c r="APE72" t="s">
        <v>1900</v>
      </c>
      <c r="APF72">
        <v>8.530379452332911</v>
      </c>
      <c r="APG72">
        <v>4.87852915024674</v>
      </c>
      <c r="APH72">
        <v>8.60514283427946</v>
      </c>
      <c r="API72">
        <v>8.4409110814759</v>
      </c>
      <c r="APJ72" t="s">
        <v>1900</v>
      </c>
      <c r="APK72">
        <v>8.54632185583697</v>
      </c>
      <c r="APL72">
        <v>910.5824219045739</v>
      </c>
      <c r="APM72">
        <v>1194.67839144993</v>
      </c>
      <c r="APN72">
        <v>1090.44535321176</v>
      </c>
      <c r="APO72" t="s">
        <v>1900</v>
      </c>
      <c r="APP72">
        <v>1439.8230074885</v>
      </c>
      <c r="APQ72">
        <v>5.29690368333765</v>
      </c>
      <c r="APR72">
        <v>9.82152572954833</v>
      </c>
      <c r="APS72">
        <v>9.47196760270751</v>
      </c>
      <c r="APT72" t="s">
        <v>1900</v>
      </c>
      <c r="APU72">
        <v>9.67703072277078</v>
      </c>
      <c r="APV72">
        <v>5.26626952898272</v>
      </c>
      <c r="APW72">
        <v>9.74144073636538</v>
      </c>
      <c r="APX72">
        <v>9.39039948958742</v>
      </c>
      <c r="APY72" t="s">
        <v>1900</v>
      </c>
      <c r="APZ72">
        <v>9.6124257409558</v>
      </c>
      <c r="AQA72">
        <v>3.89653108105501</v>
      </c>
      <c r="AQB72">
        <v>6.11574940220605</v>
      </c>
      <c r="AQC72">
        <v>6.42523103786575</v>
      </c>
      <c r="AQD72" t="s">
        <v>1900</v>
      </c>
      <c r="AQE72">
        <v>6.93974590723246</v>
      </c>
      <c r="AQF72">
        <v>0.0799412839367987</v>
      </c>
      <c r="AQG72">
        <v>0.133134277980785</v>
      </c>
      <c r="AQH72">
        <v>0.12504586810369</v>
      </c>
      <c r="AQI72" t="s">
        <v>1900</v>
      </c>
      <c r="AQJ72">
        <v>0.127698739898149</v>
      </c>
      <c r="AQK72">
        <v>3</v>
      </c>
      <c r="AQO72" t="s">
        <v>1904</v>
      </c>
      <c r="AQP72">
        <v>4</v>
      </c>
      <c r="AQQ72">
        <v>0</v>
      </c>
      <c r="AQS72" t="s">
        <v>1905</v>
      </c>
      <c r="AQU72" t="s">
        <v>1906</v>
      </c>
      <c r="AQV72">
        <v>1050126.62695884</v>
      </c>
      <c r="AQW72">
        <v>1133972.87961309</v>
      </c>
      <c r="AQX72">
        <v>1216307.42442829</v>
      </c>
      <c r="AQY72">
        <v>77317.8231415761</v>
      </c>
      <c r="AQZ72">
        <v>132273.145112562</v>
      </c>
      <c r="ARA72">
        <v>134153.566508728</v>
      </c>
      <c r="ARB72">
        <v>3400406.93100022</v>
      </c>
      <c r="ARC72">
        <v>343744.5347628661</v>
      </c>
      <c r="ARD72">
        <v>0.1124574749197045</v>
      </c>
      <c r="ARE72">
        <v>0.1124574749197045</v>
      </c>
      <c r="ARF72">
        <v>0.1124574749197045</v>
      </c>
      <c r="ARG72">
        <v>0.1124574749197045</v>
      </c>
      <c r="ARH72">
        <v>0.1124574749197045</v>
      </c>
      <c r="ARI72">
        <v>0.1124574749197045</v>
      </c>
      <c r="ARJ72" t="s">
        <v>1233</v>
      </c>
      <c r="ARK72" t="s">
        <v>1571</v>
      </c>
      <c r="ARL72" t="s">
        <v>1908</v>
      </c>
      <c r="ARM72" t="s">
        <v>1908</v>
      </c>
      <c r="ARN72" t="s">
        <v>1908</v>
      </c>
      <c r="ARO72" t="s">
        <v>1908</v>
      </c>
      <c r="ARP72" t="s">
        <v>1904</v>
      </c>
      <c r="ARQ72" t="s">
        <v>1966</v>
      </c>
      <c r="ARR72">
        <f>HYPERLINK("C:\Users\Usuario\Documents\Proyectos\llmthon\evidence\justogallardoasesores_com_234938.png", "Ver Evidencia")</f>
        <v>0</v>
      </c>
      <c r="ARS72">
        <v>85</v>
      </c>
    </row>
    <row r="73" spans="1:1163">
      <c r="A73">
        <v>333</v>
      </c>
      <c r="B73" t="s">
        <v>1234</v>
      </c>
      <c r="C73" t="s">
        <v>1357</v>
      </c>
      <c r="E73" s="2">
        <v>35074</v>
      </c>
      <c r="F73" t="s">
        <v>1431</v>
      </c>
      <c r="G73" t="s">
        <v>1433</v>
      </c>
      <c r="H73" t="s">
        <v>1434</v>
      </c>
      <c r="I73" t="s">
        <v>1437</v>
      </c>
      <c r="J73" t="s">
        <v>1453</v>
      </c>
      <c r="L73" t="s">
        <v>1572</v>
      </c>
      <c r="N73" t="s">
        <v>1626</v>
      </c>
      <c r="O73" t="s">
        <v>1650</v>
      </c>
      <c r="P73">
        <v>6920</v>
      </c>
      <c r="Q73">
        <v>6920</v>
      </c>
      <c r="R73" t="s">
        <v>1742</v>
      </c>
      <c r="S73" t="s">
        <v>1821</v>
      </c>
      <c r="Z73" t="s">
        <v>1899</v>
      </c>
      <c r="AA73" s="2">
        <v>45657</v>
      </c>
      <c r="AB73">
        <v>2024</v>
      </c>
      <c r="AC73">
        <v>2173269.07717234</v>
      </c>
      <c r="AD73">
        <v>2172012.03501731</v>
      </c>
      <c r="AE73">
        <v>2077066.7252683</v>
      </c>
      <c r="AF73">
        <v>2095697.44242253</v>
      </c>
      <c r="AG73">
        <v>2165150.74498739</v>
      </c>
      <c r="AH73">
        <v>2173269.07717234</v>
      </c>
      <c r="AI73">
        <v>2160952.660759</v>
      </c>
      <c r="AJ73">
        <v>2077066.7252683</v>
      </c>
      <c r="AK73">
        <v>2095697.44242253</v>
      </c>
      <c r="AL73">
        <v>2163336.40504723</v>
      </c>
      <c r="AM73" t="s">
        <v>1900</v>
      </c>
      <c r="AN73" t="s">
        <v>1900</v>
      </c>
      <c r="AO73" t="s">
        <v>1900</v>
      </c>
      <c r="AP73" t="s">
        <v>1900</v>
      </c>
      <c r="AQ73" t="s">
        <v>1900</v>
      </c>
      <c r="AR73">
        <v>2173269.07717234</v>
      </c>
      <c r="AS73">
        <v>2172012.03501731</v>
      </c>
      <c r="AT73">
        <v>2077066.7252683</v>
      </c>
      <c r="AU73">
        <v>2095697.44242253</v>
      </c>
      <c r="AV73">
        <v>2165150.74498739</v>
      </c>
      <c r="AW73">
        <v>1825323.64796248</v>
      </c>
      <c r="AX73">
        <v>1779962.70007539</v>
      </c>
      <c r="AY73">
        <v>1691478.26439902</v>
      </c>
      <c r="AZ73">
        <v>1688027.91730735</v>
      </c>
      <c r="BA73">
        <v>1776925.70706881</v>
      </c>
      <c r="BB73">
        <v>347945.429209864</v>
      </c>
      <c r="BC73">
        <v>392049.336046925</v>
      </c>
      <c r="BD73">
        <v>385588.460869282</v>
      </c>
      <c r="BE73">
        <v>407669.52511518</v>
      </c>
      <c r="BF73">
        <v>388225.03791858</v>
      </c>
      <c r="BG73">
        <v>11306.5930395174</v>
      </c>
      <c r="BH73">
        <v>-867.855234482765</v>
      </c>
      <c r="BI73">
        <v>-2017.21694816351</v>
      </c>
      <c r="BJ73">
        <v>-4543.01839728355</v>
      </c>
      <c r="BK73">
        <v>689.64207727313</v>
      </c>
      <c r="BL73">
        <v>15508.6507905912</v>
      </c>
      <c r="BM73">
        <v>2635.53668279648</v>
      </c>
      <c r="BN73">
        <v>1414.17226349711</v>
      </c>
      <c r="BO73">
        <v>15.9356863260269</v>
      </c>
      <c r="BP73">
        <v>10150.1972751021</v>
      </c>
      <c r="BQ73">
        <v>4202.05775107384</v>
      </c>
      <c r="BR73">
        <v>3503.39302227974</v>
      </c>
      <c r="BS73">
        <v>3431.38921166062</v>
      </c>
      <c r="BT73">
        <v>4558.95408360958</v>
      </c>
      <c r="BU73">
        <v>9460.55519782901</v>
      </c>
      <c r="BV73">
        <v>359252.022249382</v>
      </c>
      <c r="BW73">
        <v>391181.479707441</v>
      </c>
      <c r="BX73">
        <v>383571.243921119</v>
      </c>
      <c r="BY73">
        <v>403126.506717896</v>
      </c>
      <c r="BZ73">
        <v>388914.679995853</v>
      </c>
      <c r="CA73">
        <v>89727.5924365902</v>
      </c>
      <c r="CB73">
        <v>103131.453234129</v>
      </c>
      <c r="CC73">
        <v>96909.117636168</v>
      </c>
      <c r="CD73">
        <v>101143.121551108</v>
      </c>
      <c r="CE73">
        <v>91943.2986932099</v>
      </c>
      <c r="CF73">
        <v>269524.429812791</v>
      </c>
      <c r="CG73">
        <v>288050.025368312</v>
      </c>
      <c r="CH73">
        <v>286662.126284951</v>
      </c>
      <c r="CI73">
        <v>301983.385166788</v>
      </c>
      <c r="CJ73">
        <v>296971.380075543</v>
      </c>
      <c r="CK73" t="s">
        <v>1900</v>
      </c>
      <c r="CL73" t="s">
        <v>1900</v>
      </c>
      <c r="CM73" t="s">
        <v>1900</v>
      </c>
      <c r="CN73" t="s">
        <v>1900</v>
      </c>
      <c r="CO73" t="s">
        <v>1900</v>
      </c>
      <c r="CP73" t="s">
        <v>1900</v>
      </c>
      <c r="CQ73" t="s">
        <v>1900</v>
      </c>
      <c r="CR73" t="s">
        <v>1900</v>
      </c>
      <c r="CS73" t="s">
        <v>1900</v>
      </c>
      <c r="CT73" t="s">
        <v>1900</v>
      </c>
      <c r="CU73" t="s">
        <v>1900</v>
      </c>
      <c r="CV73" t="s">
        <v>1900</v>
      </c>
      <c r="CW73" t="s">
        <v>1900</v>
      </c>
      <c r="CX73" t="s">
        <v>1900</v>
      </c>
      <c r="CY73" t="s">
        <v>1900</v>
      </c>
      <c r="CZ73">
        <v>269524.429812791</v>
      </c>
      <c r="DA73">
        <v>288050.025368312</v>
      </c>
      <c r="DB73">
        <v>286662.126284951</v>
      </c>
      <c r="DC73">
        <v>301983.385166788</v>
      </c>
      <c r="DD73">
        <v>296971.380075543</v>
      </c>
      <c r="DE73" t="s">
        <v>1900</v>
      </c>
      <c r="DF73" t="s">
        <v>1900</v>
      </c>
      <c r="DG73" t="s">
        <v>1900</v>
      </c>
      <c r="DH73" t="s">
        <v>1900</v>
      </c>
      <c r="DI73" t="s">
        <v>1900</v>
      </c>
      <c r="DJ73" t="s">
        <v>1900</v>
      </c>
      <c r="DK73" t="s">
        <v>1900</v>
      </c>
      <c r="DL73" t="s">
        <v>1900</v>
      </c>
      <c r="DM73" t="s">
        <v>1900</v>
      </c>
      <c r="DN73" t="s">
        <v>1900</v>
      </c>
      <c r="DO73">
        <v>1345937.24101053</v>
      </c>
      <c r="DP73">
        <v>1323445.94444628</v>
      </c>
      <c r="DQ73">
        <v>1246103.97973026</v>
      </c>
      <c r="DR73">
        <v>1326452.16668515</v>
      </c>
      <c r="DS73">
        <v>1355629.80310688</v>
      </c>
      <c r="DT73">
        <v>29901.9598120618</v>
      </c>
      <c r="DU73">
        <v>33009.3041141701</v>
      </c>
      <c r="DV73">
        <v>32632.0140475512</v>
      </c>
      <c r="DW73">
        <v>34737.2478400469</v>
      </c>
      <c r="DX73">
        <v>37684.86984815</v>
      </c>
      <c r="DY73">
        <v>449484.446100982</v>
      </c>
      <c r="DZ73">
        <v>423507.45151494</v>
      </c>
      <c r="EA73">
        <v>412742.27062121</v>
      </c>
      <c r="EB73">
        <v>326838.502782154</v>
      </c>
      <c r="EC73">
        <v>383611.034113783</v>
      </c>
      <c r="ED73">
        <v>4202.05775107384</v>
      </c>
      <c r="EE73">
        <v>3503.39302227974</v>
      </c>
      <c r="EF73">
        <v>3431.38921166062</v>
      </c>
      <c r="EG73">
        <v>4558.95408360958</v>
      </c>
      <c r="EH73">
        <v>9460.55519782901</v>
      </c>
      <c r="EI73" t="s">
        <v>1900</v>
      </c>
      <c r="EJ73" t="s">
        <v>1900</v>
      </c>
      <c r="EK73" t="s">
        <v>1900</v>
      </c>
      <c r="EL73" t="s">
        <v>1900</v>
      </c>
      <c r="EM73" t="s">
        <v>1900</v>
      </c>
      <c r="EN73">
        <v>299426.389624853</v>
      </c>
      <c r="EO73">
        <v>321059.330587482</v>
      </c>
      <c r="EP73">
        <v>319294.140332502</v>
      </c>
      <c r="EQ73">
        <v>336720.633006835</v>
      </c>
      <c r="ER73">
        <v>334656.251150793</v>
      </c>
      <c r="ES73">
        <v>1739293.28082305</v>
      </c>
      <c r="ET73">
        <v>1751140.12129017</v>
      </c>
      <c r="EU73">
        <v>1665738.62584399</v>
      </c>
      <c r="EV73">
        <v>1768874.87532671</v>
      </c>
      <c r="EW73">
        <v>1791689.90814871</v>
      </c>
      <c r="EX73">
        <v>377847.389021926</v>
      </c>
      <c r="EY73">
        <v>425058.639056094</v>
      </c>
      <c r="EZ73">
        <v>418220.474916834</v>
      </c>
      <c r="FA73">
        <v>442406.772955227</v>
      </c>
      <c r="FB73">
        <v>425909.90776673</v>
      </c>
      <c r="FC73">
        <v>671312.4484131431</v>
      </c>
      <c r="FD73">
        <v>634728.572558384</v>
      </c>
      <c r="FE73">
        <v>639632.737547886</v>
      </c>
      <c r="FF73">
        <v>710654.763209939</v>
      </c>
      <c r="FG73">
        <v>560369.12943697</v>
      </c>
      <c r="FH73">
        <v>0</v>
      </c>
      <c r="FI73">
        <v>0</v>
      </c>
      <c r="FJ73">
        <v>0</v>
      </c>
      <c r="FK73">
        <v>0</v>
      </c>
      <c r="FL73">
        <v>0</v>
      </c>
      <c r="FM73">
        <v>26145.1536262274</v>
      </c>
      <c r="FN73">
        <v>57277.5460054588</v>
      </c>
      <c r="FO73">
        <v>86429.7350000501</v>
      </c>
      <c r="FP73">
        <v>123219.744092202</v>
      </c>
      <c r="FQ73">
        <v>169341.077672672</v>
      </c>
      <c r="FR73">
        <v>645167.294786916</v>
      </c>
      <c r="FS73">
        <v>577451.026552925</v>
      </c>
      <c r="FT73">
        <v>553203.002547836</v>
      </c>
      <c r="FU73">
        <v>587435.019117737</v>
      </c>
      <c r="FV73">
        <v>391028.051764298</v>
      </c>
      <c r="FW73">
        <v>0</v>
      </c>
      <c r="FX73">
        <v>0</v>
      </c>
      <c r="FY73">
        <v>0</v>
      </c>
      <c r="FZ73">
        <v>0</v>
      </c>
      <c r="GA73">
        <v>0</v>
      </c>
      <c r="GB73">
        <v>26145.1536262274</v>
      </c>
      <c r="GC73">
        <v>57277.5460054588</v>
      </c>
      <c r="GD73">
        <v>86429.7350000501</v>
      </c>
      <c r="GE73">
        <v>123219.744092202</v>
      </c>
      <c r="GF73">
        <v>169341.077672672</v>
      </c>
      <c r="GG73">
        <v>645167.294786916</v>
      </c>
      <c r="GH73">
        <v>577451.026552925</v>
      </c>
      <c r="GI73">
        <v>553203.002547836</v>
      </c>
      <c r="GJ73">
        <v>587435.019117737</v>
      </c>
      <c r="GK73">
        <v>391028.051764298</v>
      </c>
      <c r="GL73">
        <v>695598.086140107</v>
      </c>
      <c r="GM73">
        <v>792213.751535797</v>
      </c>
      <c r="GN73">
        <v>748060.031059772</v>
      </c>
      <c r="GO73">
        <v>760103.481029677</v>
      </c>
      <c r="GP73">
        <v>937125.341444272</v>
      </c>
      <c r="GQ73">
        <v>0</v>
      </c>
      <c r="GR73">
        <v>0</v>
      </c>
      <c r="GS73">
        <v>0</v>
      </c>
      <c r="GT73">
        <v>0</v>
      </c>
      <c r="GU73">
        <v>0</v>
      </c>
      <c r="GV73">
        <v>211594.60184849</v>
      </c>
      <c r="GW73">
        <v>238188.359796009</v>
      </c>
      <c r="GX73">
        <v>182642.757812196</v>
      </c>
      <c r="GY73">
        <v>218545.116925979</v>
      </c>
      <c r="GZ73">
        <v>304757.436796469</v>
      </c>
      <c r="HA73">
        <v>484003.484291617</v>
      </c>
      <c r="HB73">
        <v>554025.391739788</v>
      </c>
      <c r="HC73">
        <v>565417.272180976</v>
      </c>
      <c r="HD73">
        <v>541558.364103699</v>
      </c>
      <c r="HE73">
        <v>632367.9046478031</v>
      </c>
      <c r="HF73">
        <v>313318.917900623</v>
      </c>
      <c r="HG73">
        <v>264778.970179548</v>
      </c>
      <c r="HH73">
        <v>218059.737785554</v>
      </c>
      <c r="HI73">
        <v>160310.603327179</v>
      </c>
      <c r="HJ73">
        <v>201064.183742481</v>
      </c>
      <c r="HK73">
        <v>1366910.53455325</v>
      </c>
      <c r="HL73">
        <v>1426942.32409418</v>
      </c>
      <c r="HM73">
        <v>1387692.76860766</v>
      </c>
      <c r="HN73">
        <v>1470758.24423962</v>
      </c>
      <c r="HO73">
        <v>1497494.47088124</v>
      </c>
      <c r="HP73">
        <v>1050462.16034356</v>
      </c>
      <c r="HQ73">
        <v>1117925.76406135</v>
      </c>
      <c r="HR73">
        <v>1083684.72683307</v>
      </c>
      <c r="HS73">
        <v>1140818.18347149</v>
      </c>
      <c r="HT73">
        <v>1154243.21129447</v>
      </c>
      <c r="HU73">
        <v>3319.28403317928</v>
      </c>
      <c r="HV73">
        <v>3530.47658443451</v>
      </c>
      <c r="HW73">
        <v>3407.78536498547</v>
      </c>
      <c r="HX73">
        <v>3618.6579823494</v>
      </c>
      <c r="HY73">
        <v>3920.58226168156</v>
      </c>
      <c r="HZ73">
        <v>1047142.87631038</v>
      </c>
      <c r="IA73">
        <v>1114395.28747691</v>
      </c>
      <c r="IB73">
        <v>1080276.94040148</v>
      </c>
      <c r="IC73">
        <v>1137199.52548914</v>
      </c>
      <c r="ID73">
        <v>1150322.62903278</v>
      </c>
      <c r="IE73">
        <v>3686.16101705313</v>
      </c>
      <c r="IF73">
        <v>9148.25380062389</v>
      </c>
      <c r="IG73">
        <v>8830.333432711959</v>
      </c>
      <c r="IH73">
        <v>14734.8808280468</v>
      </c>
      <c r="II73">
        <v>21769.4778314829</v>
      </c>
      <c r="IJ73">
        <v>0</v>
      </c>
      <c r="IK73">
        <v>0</v>
      </c>
      <c r="IL73">
        <v>0</v>
      </c>
      <c r="IM73">
        <v>0</v>
      </c>
      <c r="IN73">
        <v>0</v>
      </c>
      <c r="IO73">
        <v>3686.16101705313</v>
      </c>
      <c r="IP73">
        <v>9148.25380062389</v>
      </c>
      <c r="IQ73">
        <v>8830.333432711959</v>
      </c>
      <c r="IR73">
        <v>14734.8808280468</v>
      </c>
      <c r="IS73">
        <v>21769.4778314829</v>
      </c>
      <c r="IT73" t="s">
        <v>1900</v>
      </c>
      <c r="IU73" t="s">
        <v>1900</v>
      </c>
      <c r="IV73" t="s">
        <v>1900</v>
      </c>
      <c r="IW73" t="s">
        <v>1900</v>
      </c>
      <c r="IX73" t="s">
        <v>1900</v>
      </c>
      <c r="IY73">
        <v>312762.213192636</v>
      </c>
      <c r="IZ73">
        <v>299868.305127211</v>
      </c>
      <c r="JA73">
        <v>295177.707275277</v>
      </c>
      <c r="JB73">
        <v>315205.179940081</v>
      </c>
      <c r="JC73">
        <v>321481.781755292</v>
      </c>
      <c r="JD73">
        <v>0</v>
      </c>
      <c r="JE73">
        <v>0</v>
      </c>
      <c r="JF73">
        <v>0</v>
      </c>
      <c r="JG73">
        <v>0</v>
      </c>
      <c r="JH73">
        <v>0</v>
      </c>
      <c r="JI73">
        <v>0</v>
      </c>
      <c r="JJ73">
        <v>0</v>
      </c>
      <c r="JK73">
        <v>0</v>
      </c>
      <c r="JL73">
        <v>0</v>
      </c>
      <c r="JM73">
        <v>187.648024868965</v>
      </c>
      <c r="JN73">
        <v>312762.213192636</v>
      </c>
      <c r="JO73">
        <v>299868.305127211</v>
      </c>
      <c r="JP73">
        <v>295177.707275277</v>
      </c>
      <c r="JQ73">
        <v>315205.179940081</v>
      </c>
      <c r="JR73">
        <v>321294.133730423</v>
      </c>
      <c r="JS73">
        <v>1366910.53455325</v>
      </c>
      <c r="JT73">
        <v>1426942.32409418</v>
      </c>
      <c r="JU73">
        <v>1387692.76860766</v>
      </c>
      <c r="JV73">
        <v>1470758.24423962</v>
      </c>
      <c r="JW73">
        <v>1497494.47088124</v>
      </c>
      <c r="JX73">
        <v>211594.60184849</v>
      </c>
      <c r="JY73">
        <v>238188.359796009</v>
      </c>
      <c r="JZ73">
        <v>182642.757812196</v>
      </c>
      <c r="KA73">
        <v>218545.116925979</v>
      </c>
      <c r="KB73">
        <v>304569.7887716</v>
      </c>
      <c r="KC73" t="s">
        <v>1900</v>
      </c>
      <c r="KD73" t="s">
        <v>1900</v>
      </c>
      <c r="KE73" t="s">
        <v>1900</v>
      </c>
      <c r="KF73" t="s">
        <v>1900</v>
      </c>
      <c r="KG73" t="s">
        <v>1900</v>
      </c>
      <c r="KH73" t="s">
        <v>1900</v>
      </c>
      <c r="KI73" t="s">
        <v>1900</v>
      </c>
      <c r="KJ73" t="s">
        <v>1900</v>
      </c>
      <c r="KK73" t="s">
        <v>1900</v>
      </c>
      <c r="KL73" t="s">
        <v>1900</v>
      </c>
      <c r="KM73">
        <v>20</v>
      </c>
      <c r="KN73">
        <v>20</v>
      </c>
      <c r="KO73">
        <v>21</v>
      </c>
      <c r="KP73">
        <v>21</v>
      </c>
      <c r="KQ73">
        <v>20</v>
      </c>
      <c r="KR73" t="s">
        <v>1900</v>
      </c>
      <c r="KS73" t="s">
        <v>1900</v>
      </c>
      <c r="KT73" t="s">
        <v>1900</v>
      </c>
      <c r="KU73" t="s">
        <v>1900</v>
      </c>
      <c r="KV73" t="s">
        <v>1900</v>
      </c>
      <c r="KW73" t="s">
        <v>1900</v>
      </c>
      <c r="KX73" t="s">
        <v>1900</v>
      </c>
      <c r="KY73" t="s">
        <v>1900</v>
      </c>
      <c r="KZ73" t="s">
        <v>1900</v>
      </c>
      <c r="LA73" t="s">
        <v>1900</v>
      </c>
      <c r="LB73" t="s">
        <v>1900</v>
      </c>
      <c r="LC73" t="s">
        <v>1900</v>
      </c>
      <c r="LD73" t="s">
        <v>1900</v>
      </c>
      <c r="LE73" t="s">
        <v>1900</v>
      </c>
      <c r="LF73" t="s">
        <v>1900</v>
      </c>
      <c r="LG73" t="s">
        <v>1900</v>
      </c>
      <c r="LH73" t="s">
        <v>1900</v>
      </c>
      <c r="LI73" t="s">
        <v>1900</v>
      </c>
      <c r="LJ73" t="s">
        <v>1900</v>
      </c>
      <c r="LK73" t="s">
        <v>1900</v>
      </c>
      <c r="LL73" t="s">
        <v>1900</v>
      </c>
      <c r="LM73" t="s">
        <v>1900</v>
      </c>
      <c r="LN73" t="s">
        <v>1900</v>
      </c>
      <c r="LO73" t="s">
        <v>1900</v>
      </c>
      <c r="LP73" t="s">
        <v>1900</v>
      </c>
      <c r="LQ73" t="s">
        <v>1900</v>
      </c>
      <c r="LR73" t="s">
        <v>1900</v>
      </c>
      <c r="LS73" t="s">
        <v>1900</v>
      </c>
      <c r="LT73" t="s">
        <v>1900</v>
      </c>
      <c r="LU73" t="s">
        <v>1900</v>
      </c>
      <c r="LV73" t="s">
        <v>1900</v>
      </c>
      <c r="LW73" t="s">
        <v>1900</v>
      </c>
      <c r="LX73" t="s">
        <v>1900</v>
      </c>
      <c r="LY73" t="s">
        <v>1900</v>
      </c>
      <c r="LZ73" t="s">
        <v>1900</v>
      </c>
      <c r="MA73" t="s">
        <v>1900</v>
      </c>
      <c r="MB73" t="s">
        <v>1900</v>
      </c>
      <c r="MC73" t="s">
        <v>1900</v>
      </c>
      <c r="MD73" t="s">
        <v>1900</v>
      </c>
      <c r="ME73" t="s">
        <v>1900</v>
      </c>
      <c r="MF73" t="s">
        <v>1900</v>
      </c>
      <c r="MG73" t="s">
        <v>1900</v>
      </c>
      <c r="MH73" t="s">
        <v>1900</v>
      </c>
      <c r="MI73" t="s">
        <v>1900</v>
      </c>
      <c r="MJ73" t="s">
        <v>1900</v>
      </c>
      <c r="MK73" t="s">
        <v>1900</v>
      </c>
      <c r="ML73" t="s">
        <v>1900</v>
      </c>
      <c r="MM73" t="s">
        <v>1900</v>
      </c>
      <c r="MN73" t="s">
        <v>1900</v>
      </c>
      <c r="MO73" t="s">
        <v>1900</v>
      </c>
      <c r="MP73">
        <v>484003.484291617</v>
      </c>
      <c r="MQ73">
        <v>554025.391739788</v>
      </c>
      <c r="MR73">
        <v>565417.272180976</v>
      </c>
      <c r="MS73">
        <v>541558.364103699</v>
      </c>
      <c r="MT73">
        <v>632367.9046478031</v>
      </c>
      <c r="MU73" t="s">
        <v>1900</v>
      </c>
      <c r="MV73" t="s">
        <v>1900</v>
      </c>
      <c r="MW73" t="s">
        <v>1900</v>
      </c>
      <c r="MX73" t="s">
        <v>1900</v>
      </c>
      <c r="MY73" t="s">
        <v>1900</v>
      </c>
      <c r="MZ73" t="s">
        <v>1900</v>
      </c>
      <c r="NA73" t="s">
        <v>1900</v>
      </c>
      <c r="NB73" t="s">
        <v>1900</v>
      </c>
      <c r="NC73" t="s">
        <v>1900</v>
      </c>
      <c r="ND73" t="s">
        <v>1900</v>
      </c>
      <c r="NE73" t="s">
        <v>1900</v>
      </c>
      <c r="NF73" t="s">
        <v>1900</v>
      </c>
      <c r="NG73" t="s">
        <v>1900</v>
      </c>
      <c r="NH73" t="s">
        <v>1900</v>
      </c>
      <c r="NI73" t="s">
        <v>1900</v>
      </c>
      <c r="NJ73" t="s">
        <v>1900</v>
      </c>
      <c r="NK73" t="s">
        <v>1900</v>
      </c>
      <c r="NL73" t="s">
        <v>1900</v>
      </c>
      <c r="NM73" t="s">
        <v>1900</v>
      </c>
      <c r="NN73" t="s">
        <v>1900</v>
      </c>
      <c r="NO73" t="s">
        <v>1900</v>
      </c>
      <c r="NP73" t="s">
        <v>1900</v>
      </c>
      <c r="NQ73" t="s">
        <v>1900</v>
      </c>
      <c r="NR73" t="s">
        <v>1900</v>
      </c>
      <c r="NS73" t="s">
        <v>1900</v>
      </c>
      <c r="NT73">
        <v>671312.4484131431</v>
      </c>
      <c r="NU73">
        <v>634728.572558384</v>
      </c>
      <c r="NV73">
        <v>639632.737547886</v>
      </c>
      <c r="NW73">
        <v>710654.763209939</v>
      </c>
      <c r="NX73">
        <v>560369.12943697</v>
      </c>
      <c r="NY73" t="s">
        <v>1900</v>
      </c>
      <c r="NZ73" t="s">
        <v>1900</v>
      </c>
      <c r="OA73" t="s">
        <v>1900</v>
      </c>
      <c r="OB73" t="s">
        <v>1900</v>
      </c>
      <c r="OC73" t="s">
        <v>1900</v>
      </c>
      <c r="OD73" t="s">
        <v>1900</v>
      </c>
      <c r="OE73" t="s">
        <v>1900</v>
      </c>
      <c r="OF73" t="s">
        <v>1900</v>
      </c>
      <c r="OG73" t="s">
        <v>1900</v>
      </c>
      <c r="OH73" t="s">
        <v>1900</v>
      </c>
      <c r="OI73" t="s">
        <v>1900</v>
      </c>
      <c r="OJ73" t="s">
        <v>1900</v>
      </c>
      <c r="OK73" t="s">
        <v>1900</v>
      </c>
      <c r="OL73" t="s">
        <v>1900</v>
      </c>
      <c r="OM73" t="s">
        <v>1900</v>
      </c>
      <c r="ON73" t="s">
        <v>1900</v>
      </c>
      <c r="OO73" t="s">
        <v>1900</v>
      </c>
      <c r="OP73" t="s">
        <v>1900</v>
      </c>
      <c r="OQ73" t="s">
        <v>1900</v>
      </c>
      <c r="OR73" t="s">
        <v>1900</v>
      </c>
      <c r="OS73" t="s">
        <v>1900</v>
      </c>
      <c r="OT73" t="s">
        <v>1900</v>
      </c>
      <c r="OU73" t="s">
        <v>1900</v>
      </c>
      <c r="OV73" t="s">
        <v>1900</v>
      </c>
      <c r="OW73" t="s">
        <v>1900</v>
      </c>
      <c r="OX73" t="s">
        <v>1900</v>
      </c>
      <c r="OY73" t="s">
        <v>1900</v>
      </c>
      <c r="OZ73" t="s">
        <v>1900</v>
      </c>
      <c r="PA73" t="s">
        <v>1900</v>
      </c>
      <c r="PB73" t="s">
        <v>1900</v>
      </c>
      <c r="PC73" t="s">
        <v>1900</v>
      </c>
      <c r="PD73" t="s">
        <v>1900</v>
      </c>
      <c r="PE73" t="s">
        <v>1900</v>
      </c>
      <c r="PF73" t="s">
        <v>1900</v>
      </c>
      <c r="PG73" t="s">
        <v>1900</v>
      </c>
      <c r="PH73" t="s">
        <v>1900</v>
      </c>
      <c r="PI73" t="s">
        <v>1900</v>
      </c>
      <c r="PJ73" t="s">
        <v>1900</v>
      </c>
      <c r="PK73" t="s">
        <v>1900</v>
      </c>
      <c r="PL73" t="s">
        <v>1900</v>
      </c>
      <c r="PM73" t="s">
        <v>1900</v>
      </c>
      <c r="PN73" t="s">
        <v>1900</v>
      </c>
      <c r="PO73" t="s">
        <v>1900</v>
      </c>
      <c r="PP73" t="s">
        <v>1900</v>
      </c>
      <c r="PQ73" t="s">
        <v>1900</v>
      </c>
      <c r="PR73" t="s">
        <v>1900</v>
      </c>
      <c r="PS73" t="s">
        <v>1900</v>
      </c>
      <c r="PT73" t="s">
        <v>1900</v>
      </c>
      <c r="PU73" t="s">
        <v>1900</v>
      </c>
      <c r="PV73" t="s">
        <v>1900</v>
      </c>
      <c r="PW73" t="s">
        <v>1900</v>
      </c>
      <c r="PX73" t="s">
        <v>1900</v>
      </c>
      <c r="PY73" t="s">
        <v>1900</v>
      </c>
      <c r="PZ73" t="s">
        <v>1900</v>
      </c>
      <c r="QA73" t="s">
        <v>1900</v>
      </c>
      <c r="QB73" t="s">
        <v>1900</v>
      </c>
      <c r="QC73" t="s">
        <v>1900</v>
      </c>
      <c r="QD73" t="s">
        <v>1900</v>
      </c>
      <c r="QE73" t="s">
        <v>1900</v>
      </c>
      <c r="QF73" t="s">
        <v>1900</v>
      </c>
      <c r="QG73" t="s">
        <v>1900</v>
      </c>
      <c r="QH73" t="s">
        <v>1900</v>
      </c>
      <c r="QI73" t="s">
        <v>1900</v>
      </c>
      <c r="QJ73" t="s">
        <v>1900</v>
      </c>
      <c r="QK73" t="s">
        <v>1900</v>
      </c>
      <c r="QL73" t="s">
        <v>1900</v>
      </c>
      <c r="QM73" t="s">
        <v>1900</v>
      </c>
      <c r="QN73" t="s">
        <v>1900</v>
      </c>
      <c r="QO73" t="s">
        <v>1900</v>
      </c>
      <c r="QP73" t="s">
        <v>1900</v>
      </c>
      <c r="QQ73" t="s">
        <v>1900</v>
      </c>
      <c r="QR73" t="s">
        <v>1900</v>
      </c>
      <c r="QS73" t="s">
        <v>1900</v>
      </c>
      <c r="QT73" t="s">
        <v>1900</v>
      </c>
      <c r="QU73" t="s">
        <v>1900</v>
      </c>
      <c r="QV73" t="s">
        <v>1900</v>
      </c>
      <c r="QW73" t="s">
        <v>1900</v>
      </c>
      <c r="QX73" t="s">
        <v>1900</v>
      </c>
      <c r="QY73" t="s">
        <v>1900</v>
      </c>
      <c r="QZ73" t="s">
        <v>1900</v>
      </c>
      <c r="RA73" t="s">
        <v>1900</v>
      </c>
      <c r="RB73" t="s">
        <v>1900</v>
      </c>
      <c r="RC73" t="s">
        <v>1900</v>
      </c>
      <c r="RD73" t="s">
        <v>1900</v>
      </c>
      <c r="RE73" t="s">
        <v>1900</v>
      </c>
      <c r="RF73" t="s">
        <v>1900</v>
      </c>
      <c r="RG73" t="s">
        <v>1900</v>
      </c>
      <c r="RH73" t="s">
        <v>1900</v>
      </c>
      <c r="RI73" t="s">
        <v>1900</v>
      </c>
      <c r="RJ73" t="s">
        <v>1900</v>
      </c>
      <c r="RK73" t="s">
        <v>1900</v>
      </c>
      <c r="RL73" t="s">
        <v>1900</v>
      </c>
      <c r="RM73" t="s">
        <v>1900</v>
      </c>
      <c r="RN73" t="s">
        <v>1900</v>
      </c>
      <c r="RO73" t="s">
        <v>1900</v>
      </c>
      <c r="RP73" t="s">
        <v>1900</v>
      </c>
      <c r="RQ73" t="s">
        <v>1900</v>
      </c>
      <c r="RR73" t="s">
        <v>1900</v>
      </c>
      <c r="RS73" t="s">
        <v>1900</v>
      </c>
      <c r="RT73" t="s">
        <v>1900</v>
      </c>
      <c r="RU73" t="s">
        <v>1900</v>
      </c>
      <c r="RV73" t="s">
        <v>1900</v>
      </c>
      <c r="RW73" t="s">
        <v>1900</v>
      </c>
      <c r="RX73" t="s">
        <v>1900</v>
      </c>
      <c r="RY73" t="s">
        <v>1900</v>
      </c>
      <c r="RZ73" t="s">
        <v>1900</v>
      </c>
      <c r="SA73" t="s">
        <v>1900</v>
      </c>
      <c r="SB73" t="s">
        <v>1900</v>
      </c>
      <c r="SC73" t="s">
        <v>1900</v>
      </c>
      <c r="SD73" t="s">
        <v>1900</v>
      </c>
      <c r="SE73" t="s">
        <v>1900</v>
      </c>
      <c r="SF73" t="s">
        <v>1900</v>
      </c>
      <c r="SG73" t="s">
        <v>1900</v>
      </c>
      <c r="SH73" t="s">
        <v>1900</v>
      </c>
      <c r="SI73" t="s">
        <v>1900</v>
      </c>
      <c r="SJ73">
        <v>645167.294786916</v>
      </c>
      <c r="SK73">
        <v>577451.026552925</v>
      </c>
      <c r="SL73">
        <v>553203.002547836</v>
      </c>
      <c r="SM73">
        <v>587435.019117737</v>
      </c>
      <c r="SN73">
        <v>391028.051764298</v>
      </c>
      <c r="SO73" t="s">
        <v>1900</v>
      </c>
      <c r="SP73" t="s">
        <v>1900</v>
      </c>
      <c r="SQ73" t="s">
        <v>1900</v>
      </c>
      <c r="SR73" t="s">
        <v>1900</v>
      </c>
      <c r="SS73" t="s">
        <v>1900</v>
      </c>
      <c r="ST73" t="s">
        <v>1900</v>
      </c>
      <c r="SU73" t="s">
        <v>1900</v>
      </c>
      <c r="SV73" t="s">
        <v>1900</v>
      </c>
      <c r="SW73" t="s">
        <v>1900</v>
      </c>
      <c r="SX73" t="s">
        <v>1900</v>
      </c>
      <c r="SY73" t="s">
        <v>1900</v>
      </c>
      <c r="SZ73" t="s">
        <v>1900</v>
      </c>
      <c r="TA73" t="s">
        <v>1900</v>
      </c>
      <c r="TB73" t="s">
        <v>1900</v>
      </c>
      <c r="TC73" t="s">
        <v>1900</v>
      </c>
      <c r="TD73" t="s">
        <v>1900</v>
      </c>
      <c r="TE73" t="s">
        <v>1900</v>
      </c>
      <c r="TF73" t="s">
        <v>1900</v>
      </c>
      <c r="TG73" t="s">
        <v>1900</v>
      </c>
      <c r="TH73" t="s">
        <v>1900</v>
      </c>
      <c r="TI73" t="s">
        <v>1900</v>
      </c>
      <c r="TJ73" t="s">
        <v>1900</v>
      </c>
      <c r="TK73" t="s">
        <v>1900</v>
      </c>
      <c r="TL73" t="s">
        <v>1900</v>
      </c>
      <c r="TM73" t="s">
        <v>1900</v>
      </c>
      <c r="TN73" t="s">
        <v>1900</v>
      </c>
      <c r="TO73" t="s">
        <v>1900</v>
      </c>
      <c r="TP73" t="s">
        <v>1900</v>
      </c>
      <c r="TQ73" t="s">
        <v>1900</v>
      </c>
      <c r="TR73" t="s">
        <v>1900</v>
      </c>
      <c r="TS73">
        <v>1366910.53455325</v>
      </c>
      <c r="TT73">
        <v>1426942.32409418</v>
      </c>
      <c r="TU73">
        <v>1387692.76860766</v>
      </c>
      <c r="TV73">
        <v>1470758.24423962</v>
      </c>
      <c r="TW73">
        <v>1497494.47088124</v>
      </c>
      <c r="TX73" t="s">
        <v>1900</v>
      </c>
      <c r="TY73" t="s">
        <v>1900</v>
      </c>
      <c r="TZ73" t="s">
        <v>1900</v>
      </c>
      <c r="UA73" t="s">
        <v>1900</v>
      </c>
      <c r="UB73" t="s">
        <v>1900</v>
      </c>
      <c r="UC73">
        <v>0</v>
      </c>
      <c r="UD73">
        <v>0</v>
      </c>
      <c r="UE73">
        <v>0</v>
      </c>
      <c r="UF73">
        <v>0</v>
      </c>
      <c r="UG73">
        <v>0</v>
      </c>
      <c r="UH73" t="s">
        <v>1900</v>
      </c>
      <c r="UI73" t="s">
        <v>1900</v>
      </c>
      <c r="UJ73" t="s">
        <v>1900</v>
      </c>
      <c r="UK73" t="s">
        <v>1900</v>
      </c>
      <c r="UL73" t="s">
        <v>1900</v>
      </c>
      <c r="UM73" t="s">
        <v>1900</v>
      </c>
      <c r="UN73" t="s">
        <v>1900</v>
      </c>
      <c r="UO73" t="s">
        <v>1900</v>
      </c>
      <c r="UP73" t="s">
        <v>1900</v>
      </c>
      <c r="UQ73" t="s">
        <v>1900</v>
      </c>
      <c r="UR73" t="s">
        <v>1900</v>
      </c>
      <c r="US73" t="s">
        <v>1900</v>
      </c>
      <c r="UT73" t="s">
        <v>1900</v>
      </c>
      <c r="UU73" t="s">
        <v>1900</v>
      </c>
      <c r="UV73" t="s">
        <v>1900</v>
      </c>
      <c r="UW73" t="s">
        <v>1900</v>
      </c>
      <c r="UX73" t="s">
        <v>1900</v>
      </c>
      <c r="UY73" t="s">
        <v>1900</v>
      </c>
      <c r="UZ73" t="s">
        <v>1900</v>
      </c>
      <c r="VA73" t="s">
        <v>1900</v>
      </c>
      <c r="VB73" t="s">
        <v>1900</v>
      </c>
      <c r="VC73" t="s">
        <v>1900</v>
      </c>
      <c r="VD73" t="s">
        <v>1900</v>
      </c>
      <c r="VE73" t="s">
        <v>1900</v>
      </c>
      <c r="VF73" t="s">
        <v>1900</v>
      </c>
      <c r="VG73" t="s">
        <v>1900</v>
      </c>
      <c r="VH73" t="s">
        <v>1900</v>
      </c>
      <c r="VI73" t="s">
        <v>1900</v>
      </c>
      <c r="VJ73" t="s">
        <v>1900</v>
      </c>
      <c r="VK73" t="s">
        <v>1900</v>
      </c>
      <c r="VL73" t="s">
        <v>1900</v>
      </c>
      <c r="VM73" t="s">
        <v>1900</v>
      </c>
      <c r="VN73" t="s">
        <v>1900</v>
      </c>
      <c r="VO73" t="s">
        <v>1900</v>
      </c>
      <c r="VP73" t="s">
        <v>1900</v>
      </c>
      <c r="VQ73" t="s">
        <v>1900</v>
      </c>
      <c r="VR73" t="s">
        <v>1900</v>
      </c>
      <c r="VS73" t="s">
        <v>1900</v>
      </c>
      <c r="VT73" t="s">
        <v>1900</v>
      </c>
      <c r="VU73" t="s">
        <v>1900</v>
      </c>
      <c r="VV73" t="s">
        <v>1900</v>
      </c>
      <c r="VW73" t="s">
        <v>1900</v>
      </c>
      <c r="VX73" t="s">
        <v>1900</v>
      </c>
      <c r="VY73" t="s">
        <v>1900</v>
      </c>
      <c r="VZ73" t="s">
        <v>1900</v>
      </c>
      <c r="WA73">
        <v>312762.213192636</v>
      </c>
      <c r="WB73">
        <v>299868.305127211</v>
      </c>
      <c r="WC73">
        <v>295177.707275277</v>
      </c>
      <c r="WD73">
        <v>315205.179940081</v>
      </c>
      <c r="WE73">
        <v>321294.133730423</v>
      </c>
      <c r="WF73" t="s">
        <v>1900</v>
      </c>
      <c r="WG73" t="s">
        <v>1900</v>
      </c>
      <c r="WH73" t="s">
        <v>1900</v>
      </c>
      <c r="WI73" t="s">
        <v>1900</v>
      </c>
      <c r="WJ73" t="s">
        <v>1900</v>
      </c>
      <c r="WK73" t="s">
        <v>1900</v>
      </c>
      <c r="WL73" t="s">
        <v>1900</v>
      </c>
      <c r="WM73" t="s">
        <v>1900</v>
      </c>
      <c r="WN73" t="s">
        <v>1900</v>
      </c>
      <c r="WO73" t="s">
        <v>1900</v>
      </c>
      <c r="WP73" t="s">
        <v>1900</v>
      </c>
      <c r="WQ73" t="s">
        <v>1900</v>
      </c>
      <c r="WR73" t="s">
        <v>1900</v>
      </c>
      <c r="WS73" t="s">
        <v>1900</v>
      </c>
      <c r="WT73" t="s">
        <v>1900</v>
      </c>
      <c r="WU73" t="s">
        <v>1900</v>
      </c>
      <c r="WV73" t="s">
        <v>1900</v>
      </c>
      <c r="WW73" t="s">
        <v>1900</v>
      </c>
      <c r="WX73" t="s">
        <v>1900</v>
      </c>
      <c r="WY73" t="s">
        <v>1900</v>
      </c>
      <c r="WZ73" t="s">
        <v>1900</v>
      </c>
      <c r="XA73" t="s">
        <v>1900</v>
      </c>
      <c r="XB73" t="s">
        <v>1900</v>
      </c>
      <c r="XC73" t="s">
        <v>1900</v>
      </c>
      <c r="XD73" t="s">
        <v>1900</v>
      </c>
      <c r="XE73" t="s">
        <v>1900</v>
      </c>
      <c r="XF73" t="s">
        <v>1900</v>
      </c>
      <c r="XG73" t="s">
        <v>1900</v>
      </c>
      <c r="XH73" t="s">
        <v>1900</v>
      </c>
      <c r="XI73" t="s">
        <v>1900</v>
      </c>
      <c r="XJ73">
        <v>3686.16101705313</v>
      </c>
      <c r="XK73">
        <v>9148.25380062389</v>
      </c>
      <c r="XL73">
        <v>8830.333432711959</v>
      </c>
      <c r="XM73">
        <v>14734.8808280468</v>
      </c>
      <c r="XN73">
        <v>21769.4778314829</v>
      </c>
      <c r="XO73" t="s">
        <v>1900</v>
      </c>
      <c r="XP73" t="s">
        <v>1900</v>
      </c>
      <c r="XQ73" t="s">
        <v>1900</v>
      </c>
      <c r="XR73" t="s">
        <v>1900</v>
      </c>
      <c r="XS73" t="s">
        <v>1900</v>
      </c>
      <c r="XT73" t="s">
        <v>1900</v>
      </c>
      <c r="XU73" t="s">
        <v>1900</v>
      </c>
      <c r="XV73" t="s">
        <v>1900</v>
      </c>
      <c r="XW73" t="s">
        <v>1900</v>
      </c>
      <c r="XX73" t="s">
        <v>1900</v>
      </c>
      <c r="XY73" t="s">
        <v>1900</v>
      </c>
      <c r="XZ73" t="s">
        <v>1900</v>
      </c>
      <c r="YA73" t="s">
        <v>1900</v>
      </c>
      <c r="YB73" t="s">
        <v>1900</v>
      </c>
      <c r="YC73" t="s">
        <v>1900</v>
      </c>
      <c r="YD73" t="s">
        <v>1900</v>
      </c>
      <c r="YE73" t="s">
        <v>1900</v>
      </c>
      <c r="YF73" t="s">
        <v>1900</v>
      </c>
      <c r="YG73" t="s">
        <v>1900</v>
      </c>
      <c r="YH73" t="s">
        <v>1900</v>
      </c>
      <c r="YI73" t="s">
        <v>1900</v>
      </c>
      <c r="YJ73" t="s">
        <v>1900</v>
      </c>
      <c r="YK73" t="s">
        <v>1900</v>
      </c>
      <c r="YL73" t="s">
        <v>1900</v>
      </c>
      <c r="YM73" t="s">
        <v>1900</v>
      </c>
      <c r="YN73" t="s">
        <v>1900</v>
      </c>
      <c r="YO73" t="s">
        <v>1900</v>
      </c>
      <c r="YP73" t="s">
        <v>1900</v>
      </c>
      <c r="YQ73" t="s">
        <v>1900</v>
      </c>
      <c r="YR73" t="s">
        <v>1900</v>
      </c>
      <c r="YS73" t="s">
        <v>1900</v>
      </c>
      <c r="YT73" t="s">
        <v>1900</v>
      </c>
      <c r="YU73" t="s">
        <v>1900</v>
      </c>
      <c r="YV73" t="s">
        <v>1900</v>
      </c>
      <c r="YW73" t="s">
        <v>1900</v>
      </c>
      <c r="YX73" t="s">
        <v>1900</v>
      </c>
      <c r="YY73" t="s">
        <v>1900</v>
      </c>
      <c r="YZ73" t="s">
        <v>1900</v>
      </c>
      <c r="ZA73" t="s">
        <v>1900</v>
      </c>
      <c r="ZB73" t="s">
        <v>1900</v>
      </c>
      <c r="ZC73" t="s">
        <v>1900</v>
      </c>
      <c r="ZD73" t="s">
        <v>1900</v>
      </c>
      <c r="ZE73" t="s">
        <v>1900</v>
      </c>
      <c r="ZF73" t="s">
        <v>1900</v>
      </c>
      <c r="ZG73" t="s">
        <v>1900</v>
      </c>
      <c r="ZH73" t="s">
        <v>1900</v>
      </c>
      <c r="ZI73" t="s">
        <v>1900</v>
      </c>
      <c r="ZJ73" t="s">
        <v>1900</v>
      </c>
      <c r="ZK73" t="s">
        <v>1900</v>
      </c>
      <c r="ZL73" t="s">
        <v>1900</v>
      </c>
      <c r="ZM73" t="s">
        <v>1900</v>
      </c>
      <c r="ZN73" t="s">
        <v>1900</v>
      </c>
      <c r="ZO73" t="s">
        <v>1900</v>
      </c>
      <c r="ZP73" t="s">
        <v>1900</v>
      </c>
      <c r="ZQ73" t="s">
        <v>1900</v>
      </c>
      <c r="ZR73" t="s">
        <v>1900</v>
      </c>
      <c r="ZS73" t="s">
        <v>1900</v>
      </c>
      <c r="ZT73" t="s">
        <v>1900</v>
      </c>
      <c r="ZU73" t="s">
        <v>1900</v>
      </c>
      <c r="ZV73" t="s">
        <v>1900</v>
      </c>
      <c r="ZW73" t="s">
        <v>1900</v>
      </c>
      <c r="ZX73" t="s">
        <v>1900</v>
      </c>
      <c r="ZY73" t="s">
        <v>1900</v>
      </c>
      <c r="ZZ73" t="s">
        <v>1900</v>
      </c>
      <c r="AAA73" t="s">
        <v>1900</v>
      </c>
      <c r="AAB73" t="s">
        <v>1900</v>
      </c>
      <c r="AAC73" t="s">
        <v>1900</v>
      </c>
      <c r="AAD73" t="s">
        <v>1900</v>
      </c>
      <c r="AAE73" t="s">
        <v>1900</v>
      </c>
      <c r="AAF73" t="s">
        <v>1900</v>
      </c>
      <c r="AAG73" t="s">
        <v>1900</v>
      </c>
      <c r="AAH73" t="s">
        <v>1900</v>
      </c>
      <c r="AAI73" t="s">
        <v>1900</v>
      </c>
      <c r="AAJ73" t="s">
        <v>1900</v>
      </c>
      <c r="AAK73" t="s">
        <v>1900</v>
      </c>
      <c r="AAL73" t="s">
        <v>1900</v>
      </c>
      <c r="AAM73" t="s">
        <v>1900</v>
      </c>
      <c r="AAN73" t="s">
        <v>1900</v>
      </c>
      <c r="AAO73" t="s">
        <v>1900</v>
      </c>
      <c r="AAP73" t="s">
        <v>1900</v>
      </c>
      <c r="AAQ73" t="s">
        <v>1900</v>
      </c>
      <c r="AAR73" t="s">
        <v>1900</v>
      </c>
      <c r="AAS73" t="s">
        <v>1900</v>
      </c>
      <c r="AAT73" t="s">
        <v>1900</v>
      </c>
      <c r="AAU73" t="s">
        <v>1900</v>
      </c>
      <c r="AAV73" t="s">
        <v>1900</v>
      </c>
      <c r="AAW73" t="s">
        <v>1900</v>
      </c>
      <c r="AAX73" t="s">
        <v>1900</v>
      </c>
      <c r="AAY73" t="s">
        <v>1900</v>
      </c>
      <c r="AAZ73" t="s">
        <v>1900</v>
      </c>
      <c r="ABA73" t="s">
        <v>1900</v>
      </c>
      <c r="ABB73" t="s">
        <v>1900</v>
      </c>
      <c r="ABC73" t="s">
        <v>1900</v>
      </c>
      <c r="ABD73" t="s">
        <v>1900</v>
      </c>
      <c r="ABE73" t="s">
        <v>1900</v>
      </c>
      <c r="ABF73" t="s">
        <v>1900</v>
      </c>
      <c r="ABG73" t="s">
        <v>1900</v>
      </c>
      <c r="ABH73" t="s">
        <v>1900</v>
      </c>
      <c r="ABI73" t="s">
        <v>1900</v>
      </c>
      <c r="ABJ73" t="s">
        <v>1900</v>
      </c>
      <c r="ABK73" t="s">
        <v>1900</v>
      </c>
      <c r="ABL73" t="s">
        <v>1900</v>
      </c>
      <c r="ABM73" t="s">
        <v>1900</v>
      </c>
      <c r="ABN73" t="s">
        <v>1900</v>
      </c>
      <c r="ABO73" t="s">
        <v>1900</v>
      </c>
      <c r="ABP73" t="s">
        <v>1900</v>
      </c>
      <c r="ABQ73" t="s">
        <v>1900</v>
      </c>
      <c r="ABR73" t="s">
        <v>1900</v>
      </c>
      <c r="ABS73" t="s">
        <v>1900</v>
      </c>
      <c r="ABT73" t="s">
        <v>1900</v>
      </c>
      <c r="ABU73" t="s">
        <v>1900</v>
      </c>
      <c r="ABV73" t="s">
        <v>1900</v>
      </c>
      <c r="ABW73" t="s">
        <v>1900</v>
      </c>
      <c r="ABX73" t="s">
        <v>1900</v>
      </c>
      <c r="ABY73" t="s">
        <v>1900</v>
      </c>
      <c r="ABZ73" t="s">
        <v>1900</v>
      </c>
      <c r="ACA73" t="s">
        <v>1900</v>
      </c>
      <c r="ACB73" t="s">
        <v>1900</v>
      </c>
      <c r="ACC73" t="s">
        <v>1900</v>
      </c>
      <c r="ACD73" t="s">
        <v>1900</v>
      </c>
      <c r="ACE73">
        <v>34.199</v>
      </c>
      <c r="ACF73">
        <v>34.992</v>
      </c>
      <c r="ACG73">
        <v>35.395</v>
      </c>
      <c r="ACH73">
        <v>35.337</v>
      </c>
      <c r="ACI73">
        <v>33.694</v>
      </c>
      <c r="ACJ73">
        <v>34.478</v>
      </c>
      <c r="ACK73">
        <v>35.019</v>
      </c>
      <c r="ACL73">
        <v>35.423</v>
      </c>
      <c r="ACM73">
        <v>35.281</v>
      </c>
      <c r="ACN73">
        <v>33.875</v>
      </c>
      <c r="ACO73">
        <v>26.282</v>
      </c>
      <c r="ACP73">
        <v>27.414</v>
      </c>
      <c r="ACQ73">
        <v>27.641</v>
      </c>
      <c r="ACR73">
        <v>27.409</v>
      </c>
      <c r="ACS73">
        <v>25.971</v>
      </c>
      <c r="ACT73">
        <v>25.658</v>
      </c>
      <c r="ACU73">
        <v>25.766</v>
      </c>
      <c r="ACV73">
        <v>26.453</v>
      </c>
      <c r="ACW73">
        <v>26.471</v>
      </c>
      <c r="ACX73">
        <v>25.729</v>
      </c>
      <c r="ACY73">
        <v>25.967</v>
      </c>
      <c r="ACZ73">
        <v>25.868</v>
      </c>
      <c r="ADA73">
        <v>26.553</v>
      </c>
      <c r="ADB73">
        <v>26.528</v>
      </c>
      <c r="ADC73">
        <v>26.057</v>
      </c>
      <c r="ADD73">
        <v>19.718</v>
      </c>
      <c r="ADE73">
        <v>20.187</v>
      </c>
      <c r="ADF73">
        <v>20.657</v>
      </c>
      <c r="ADG73">
        <v>20.532</v>
      </c>
      <c r="ADH73">
        <v>19.831</v>
      </c>
      <c r="ADI73">
        <v>16.53</v>
      </c>
      <c r="ADJ73">
        <v>18.01</v>
      </c>
      <c r="ADK73">
        <v>18.467</v>
      </c>
      <c r="ADL73">
        <v>19.236</v>
      </c>
      <c r="ADM73">
        <v>17.962</v>
      </c>
      <c r="ADN73">
        <v>100</v>
      </c>
      <c r="ADO73">
        <v>100</v>
      </c>
      <c r="ADP73">
        <v>100</v>
      </c>
      <c r="ADQ73">
        <v>100</v>
      </c>
      <c r="ADR73">
        <v>100</v>
      </c>
      <c r="ADS73">
        <v>16.010232367</v>
      </c>
      <c r="ADT73">
        <v>18.050053578</v>
      </c>
      <c r="ADU73">
        <v>18.564086371</v>
      </c>
      <c r="ADV73">
        <v>19.452689919</v>
      </c>
      <c r="ADW73">
        <v>17.930623945</v>
      </c>
      <c r="ADX73">
        <v>17.386</v>
      </c>
      <c r="ADY73">
        <v>19.57</v>
      </c>
      <c r="ADZ73">
        <v>20.135</v>
      </c>
      <c r="AEA73">
        <v>21.11</v>
      </c>
      <c r="AEB73">
        <v>19.671</v>
      </c>
      <c r="AEC73">
        <v>16.01</v>
      </c>
      <c r="AED73">
        <v>18.05</v>
      </c>
      <c r="AEE73">
        <v>18.564</v>
      </c>
      <c r="AEF73">
        <v>19.453</v>
      </c>
      <c r="AEG73">
        <v>17.931</v>
      </c>
      <c r="AEH73">
        <v>13.778</v>
      </c>
      <c r="AEI73">
        <v>14.782</v>
      </c>
      <c r="AEJ73">
        <v>15.372</v>
      </c>
      <c r="AEK73">
        <v>16.067</v>
      </c>
      <c r="AEL73">
        <v>15.456</v>
      </c>
      <c r="AEM73">
        <v>19.062122468</v>
      </c>
      <c r="AEN73">
        <v>22.025705161</v>
      </c>
      <c r="AEO73">
        <v>22.795945356</v>
      </c>
      <c r="AEP73">
        <v>24.150638798</v>
      </c>
      <c r="AEQ73">
        <v>21.848129968</v>
      </c>
      <c r="AER73" t="s">
        <v>1900</v>
      </c>
      <c r="AES73" t="s">
        <v>1900</v>
      </c>
      <c r="AET73" t="s">
        <v>1900</v>
      </c>
      <c r="AEU73" t="s">
        <v>1900</v>
      </c>
      <c r="AEV73" t="s">
        <v>1900</v>
      </c>
      <c r="AEW73" t="s">
        <v>1900</v>
      </c>
      <c r="AEX73" t="s">
        <v>1900</v>
      </c>
      <c r="AEY73" t="s">
        <v>1900</v>
      </c>
      <c r="AEZ73" t="s">
        <v>1900</v>
      </c>
      <c r="AFA73" t="s">
        <v>1900</v>
      </c>
      <c r="AFB73" t="s">
        <v>1900</v>
      </c>
      <c r="AFC73" t="s">
        <v>1900</v>
      </c>
      <c r="AFD73" t="s">
        <v>1900</v>
      </c>
      <c r="AFE73" t="s">
        <v>1900</v>
      </c>
      <c r="AFF73" t="s">
        <v>1900</v>
      </c>
      <c r="AFG73">
        <v>2.062</v>
      </c>
      <c r="AFH73">
        <v>1.927</v>
      </c>
      <c r="AFI73">
        <v>1.901</v>
      </c>
      <c r="AFJ73">
        <v>1.814</v>
      </c>
      <c r="AFK73">
        <v>1.841</v>
      </c>
      <c r="AFL73">
        <v>82.804</v>
      </c>
      <c r="AFM73">
        <v>111.906</v>
      </c>
      <c r="AFN73">
        <v>112.371</v>
      </c>
      <c r="AFO73">
        <v>89.422</v>
      </c>
      <c r="AFP73">
        <v>41.036</v>
      </c>
      <c r="AFQ73" t="s">
        <v>1901</v>
      </c>
      <c r="AFR73" t="s">
        <v>1901</v>
      </c>
      <c r="AFS73" t="s">
        <v>1901</v>
      </c>
      <c r="AFT73" t="s">
        <v>1901</v>
      </c>
      <c r="AFU73" t="s">
        <v>1901</v>
      </c>
      <c r="AFV73">
        <v>35.05</v>
      </c>
      <c r="AFW73">
        <v>39.479</v>
      </c>
      <c r="AFX73">
        <v>31.656</v>
      </c>
      <c r="AFY73">
        <v>37.542</v>
      </c>
      <c r="AFZ73">
        <v>50.672</v>
      </c>
      <c r="AGA73">
        <v>0</v>
      </c>
      <c r="AGB73">
        <v>0</v>
      </c>
      <c r="AGC73">
        <v>0</v>
      </c>
      <c r="AGD73">
        <v>0</v>
      </c>
      <c r="AGE73">
        <v>0.031</v>
      </c>
      <c r="AGF73" t="s">
        <v>1900</v>
      </c>
      <c r="AGG73" t="s">
        <v>1900</v>
      </c>
      <c r="AGH73" t="s">
        <v>1900</v>
      </c>
      <c r="AGI73" t="s">
        <v>1900</v>
      </c>
      <c r="AGJ73" t="s">
        <v>1900</v>
      </c>
      <c r="AGK73" t="s">
        <v>1900</v>
      </c>
      <c r="AGL73" t="s">
        <v>1900</v>
      </c>
      <c r="AGM73" t="s">
        <v>1900</v>
      </c>
      <c r="AGN73" t="s">
        <v>1900</v>
      </c>
      <c r="AGO73" t="s">
        <v>1900</v>
      </c>
      <c r="AGP73" t="s">
        <v>1900</v>
      </c>
      <c r="AGQ73" t="s">
        <v>1900</v>
      </c>
      <c r="AGR73" t="s">
        <v>1900</v>
      </c>
      <c r="AGS73" t="s">
        <v>1900</v>
      </c>
      <c r="AGT73" t="s">
        <v>1900</v>
      </c>
      <c r="AGU73">
        <v>0</v>
      </c>
      <c r="AGV73">
        <v>0</v>
      </c>
      <c r="AGW73">
        <v>0</v>
      </c>
      <c r="AGX73">
        <v>0</v>
      </c>
      <c r="AGY73">
        <v>0</v>
      </c>
      <c r="AGZ73">
        <v>2.224</v>
      </c>
      <c r="AHA73">
        <v>2.642</v>
      </c>
      <c r="AHB73">
        <v>2.534</v>
      </c>
      <c r="AHC73">
        <v>2.411</v>
      </c>
      <c r="AHD73">
        <v>2.915</v>
      </c>
      <c r="AHE73">
        <v>2.224</v>
      </c>
      <c r="AHF73">
        <v>2.642</v>
      </c>
      <c r="AHG73">
        <v>2.534</v>
      </c>
      <c r="AHH73">
        <v>2.411</v>
      </c>
      <c r="AHI73">
        <v>2.915</v>
      </c>
      <c r="AHJ73">
        <v>284.975</v>
      </c>
      <c r="AHK73">
        <v>122.201</v>
      </c>
      <c r="AHL73">
        <v>122.723</v>
      </c>
      <c r="AHM73">
        <v>77.423</v>
      </c>
      <c r="AHN73">
        <v>53.021</v>
      </c>
      <c r="AHO73">
        <v>76.849</v>
      </c>
      <c r="AHP73">
        <v>78.34399999999999</v>
      </c>
      <c r="AHQ73">
        <v>78.093</v>
      </c>
      <c r="AHR73">
        <v>77.56699999999999</v>
      </c>
      <c r="AHS73">
        <v>77.078</v>
      </c>
      <c r="AHT73" t="s">
        <v>1901</v>
      </c>
      <c r="AHU73" t="s">
        <v>1901</v>
      </c>
      <c r="AHV73" t="s">
        <v>1901</v>
      </c>
      <c r="AHW73" t="s">
        <v>1901</v>
      </c>
      <c r="AHX73" t="s">
        <v>1901</v>
      </c>
      <c r="AHY73">
        <v>0.351</v>
      </c>
      <c r="AHZ73">
        <v>0.8179999999999999</v>
      </c>
      <c r="AIA73">
        <v>0.8149999999999999</v>
      </c>
      <c r="AIB73">
        <v>1.292</v>
      </c>
      <c r="AIC73">
        <v>1.886</v>
      </c>
      <c r="AID73">
        <v>47.198940858</v>
      </c>
      <c r="AIE73">
        <v>40.46772016</v>
      </c>
      <c r="AIF73">
        <v>39.86494814</v>
      </c>
      <c r="AIG73">
        <v>39.940963882</v>
      </c>
      <c r="AIH73">
        <v>26.112153291</v>
      </c>
      <c r="AII73">
        <v>35.408570792</v>
      </c>
      <c r="AIJ73">
        <v>38.82605361</v>
      </c>
      <c r="AIK73">
        <v>40.745133575</v>
      </c>
      <c r="AIL73">
        <v>36.821711945</v>
      </c>
      <c r="AIM73">
        <v>42.228396628</v>
      </c>
      <c r="AIN73">
        <v>22.880957114</v>
      </c>
      <c r="AIO73">
        <v>21.014746011</v>
      </c>
      <c r="AIP73">
        <v>21.271113747</v>
      </c>
      <c r="AIQ73">
        <v>21.431474627</v>
      </c>
      <c r="AIR73">
        <v>21.45544708</v>
      </c>
      <c r="AIS73" t="s">
        <v>1900</v>
      </c>
      <c r="AIT73" t="s">
        <v>1900</v>
      </c>
      <c r="AIU73" t="s">
        <v>1900</v>
      </c>
      <c r="AIV73" t="s">
        <v>1900</v>
      </c>
      <c r="AIW73" t="s">
        <v>1900</v>
      </c>
      <c r="AIX73">
        <v>17.9626011124691</v>
      </c>
      <c r="AIY73">
        <v>19.5590745378723</v>
      </c>
      <c r="AIZ73">
        <v>18.2652975835294</v>
      </c>
      <c r="AJA73">
        <v>19.1965003738332</v>
      </c>
      <c r="AJB73">
        <v>19.445733386243</v>
      </c>
      <c r="AJC73">
        <v>108.663454378067</v>
      </c>
      <c r="AJD73">
        <v>108.600601253615</v>
      </c>
      <c r="AJE73">
        <v>98.9079389429575</v>
      </c>
      <c r="AJF73">
        <v>99.7951165215683</v>
      </c>
      <c r="AJG73">
        <v>108.25753724937</v>
      </c>
      <c r="AJH73">
        <v>61.931</v>
      </c>
      <c r="AJI73">
        <v>60.932</v>
      </c>
      <c r="AJJ73">
        <v>59.993</v>
      </c>
      <c r="AJK73">
        <v>63.294</v>
      </c>
      <c r="AJL73">
        <v>62.611</v>
      </c>
      <c r="AJM73">
        <v>67.2968620505266</v>
      </c>
      <c r="AJN73">
        <v>66.1722972223139</v>
      </c>
      <c r="AJO73">
        <v>59.3382850538027</v>
      </c>
      <c r="AJP73">
        <v>63.1643886201024</v>
      </c>
      <c r="AJQ73">
        <v>67.781490155344</v>
      </c>
      <c r="AJR73">
        <v>52.5231080171781</v>
      </c>
      <c r="AJS73">
        <v>55.8962887555676</v>
      </c>
      <c r="AJT73">
        <v>51.6040351190031</v>
      </c>
      <c r="AJU73">
        <v>54.3246754034042</v>
      </c>
      <c r="AJV73">
        <v>57.712161178273</v>
      </c>
      <c r="AJW73">
        <v>10.5797300924245</v>
      </c>
      <c r="AJX73">
        <v>11.9094179898005</v>
      </c>
      <c r="AJY73">
        <v>8.697274079952241</v>
      </c>
      <c r="AJZ73">
        <v>10.4069103837419</v>
      </c>
      <c r="AKA73">
        <v>15.2284900521296</v>
      </c>
      <c r="AKB73">
        <v>68.3455272471123</v>
      </c>
      <c r="AKC73">
        <v>71.3471162047091</v>
      </c>
      <c r="AKD73">
        <v>66.08060813051701</v>
      </c>
      <c r="AKE73">
        <v>70.0361068685532</v>
      </c>
      <c r="AKF73">
        <v>74.87472415761169</v>
      </c>
      <c r="AKG73" t="s">
        <v>1900</v>
      </c>
      <c r="AKH73" t="s">
        <v>1900</v>
      </c>
      <c r="AKI73" t="s">
        <v>1900</v>
      </c>
      <c r="AKJ73" t="s">
        <v>1900</v>
      </c>
      <c r="AKK73" t="s">
        <v>1900</v>
      </c>
      <c r="AKL73">
        <v>0</v>
      </c>
      <c r="AKM73">
        <v>0</v>
      </c>
      <c r="AKN73">
        <v>0</v>
      </c>
      <c r="AKO73">
        <v>0</v>
      </c>
      <c r="AKP73">
        <v>0</v>
      </c>
      <c r="AKQ73">
        <v>0</v>
      </c>
      <c r="AKR73">
        <v>0</v>
      </c>
      <c r="AKS73">
        <v>0</v>
      </c>
      <c r="AKT73">
        <v>0</v>
      </c>
      <c r="AKU73">
        <v>0</v>
      </c>
      <c r="AKV73">
        <v>0</v>
      </c>
      <c r="AKW73">
        <v>0</v>
      </c>
      <c r="AKX73">
        <v>0</v>
      </c>
      <c r="AKY73">
        <v>0</v>
      </c>
      <c r="AKZ73">
        <v>0</v>
      </c>
      <c r="ALA73">
        <v>0</v>
      </c>
      <c r="ALB73">
        <v>0</v>
      </c>
      <c r="ALC73">
        <v>0</v>
      </c>
      <c r="ALD73">
        <v>0</v>
      </c>
      <c r="ALE73">
        <v>0</v>
      </c>
      <c r="ALF73">
        <v>1.203033435</v>
      </c>
      <c r="ALG73">
        <v>2.637073141</v>
      </c>
      <c r="ALH73">
        <v>4.161143884</v>
      </c>
      <c r="ALI73">
        <v>5.879653312</v>
      </c>
      <c r="ALJ73">
        <v>7.821214207</v>
      </c>
      <c r="ALK73">
        <v>1.912718716</v>
      </c>
      <c r="ALL73">
        <v>4.014005685</v>
      </c>
      <c r="ALM73">
        <v>6.228304777</v>
      </c>
      <c r="ALN73">
        <v>8.377974053999999</v>
      </c>
      <c r="ALO73">
        <v>11.308294018</v>
      </c>
      <c r="ALP73">
        <v>9.736235797000001</v>
      </c>
      <c r="ALQ73">
        <v>10.966254144</v>
      </c>
      <c r="ALR73">
        <v>8.793302381</v>
      </c>
      <c r="ALS73">
        <v>10.428276167</v>
      </c>
      <c r="ALT73">
        <v>14.075575916</v>
      </c>
      <c r="ALU73">
        <v>0</v>
      </c>
      <c r="ALV73">
        <v>0</v>
      </c>
      <c r="ALW73">
        <v>0</v>
      </c>
      <c r="ALX73">
        <v>0</v>
      </c>
      <c r="ALY73">
        <v>0.061572911</v>
      </c>
      <c r="ALZ73">
        <v>100</v>
      </c>
      <c r="AMA73">
        <v>100</v>
      </c>
      <c r="AMB73">
        <v>100</v>
      </c>
      <c r="AMC73">
        <v>100</v>
      </c>
      <c r="AMD73">
        <v>100</v>
      </c>
      <c r="AME73">
        <v>100</v>
      </c>
      <c r="AMF73" t="s">
        <v>1901</v>
      </c>
      <c r="AMG73">
        <v>100</v>
      </c>
      <c r="AMH73">
        <v>100</v>
      </c>
      <c r="AMI73" t="s">
        <v>1901</v>
      </c>
      <c r="AMJ73" t="s">
        <v>1900</v>
      </c>
      <c r="AMK73" t="s">
        <v>1900</v>
      </c>
      <c r="AML73" t="s">
        <v>1900</v>
      </c>
      <c r="AMM73" t="s">
        <v>1900</v>
      </c>
      <c r="AMN73" t="s">
        <v>1900</v>
      </c>
      <c r="AMO73">
        <v>1.19062122467885</v>
      </c>
      <c r="AMP73">
        <v>1.22025705085018</v>
      </c>
      <c r="AMQ73">
        <v>1.22795945356489</v>
      </c>
      <c r="AMR73">
        <v>1.24150638797815</v>
      </c>
      <c r="AMS73">
        <v>1.2184812996819</v>
      </c>
      <c r="AMT73">
        <v>1.19062122467885</v>
      </c>
      <c r="AMU73">
        <v>1.22025705147098</v>
      </c>
      <c r="AMV73">
        <v>1.22795945356489</v>
      </c>
      <c r="AMW73">
        <v>1.24150638797815</v>
      </c>
      <c r="AMX73">
        <v>1.2184812996819</v>
      </c>
      <c r="AMY73" t="s">
        <v>1900</v>
      </c>
      <c r="AMZ73" t="s">
        <v>1900</v>
      </c>
      <c r="ANA73" t="s">
        <v>1900</v>
      </c>
      <c r="ANB73" t="s">
        <v>1900</v>
      </c>
      <c r="ANC73" t="s">
        <v>1900</v>
      </c>
      <c r="AND73">
        <v>16.0102323667431</v>
      </c>
      <c r="ANE73">
        <v>18.050053578262</v>
      </c>
      <c r="ANF73">
        <v>18.5640863713454</v>
      </c>
      <c r="ANG73">
        <v>19.4526899190148</v>
      </c>
      <c r="ANH73">
        <v>17.9306239446547</v>
      </c>
      <c r="ANI73">
        <v>16.0102323667431</v>
      </c>
      <c r="ANJ73">
        <v>18.1424305662126</v>
      </c>
      <c r="ANK73">
        <v>18.5640863713454</v>
      </c>
      <c r="ANL73">
        <v>19.4526899190148</v>
      </c>
      <c r="ANM73">
        <v>17.9456619420272</v>
      </c>
      <c r="ANN73">
        <v>19.0621224678845</v>
      </c>
      <c r="ANO73">
        <v>22.0257051607713</v>
      </c>
      <c r="ANP73">
        <v>22.7959453564886</v>
      </c>
      <c r="ANQ73">
        <v>24.1506387978151</v>
      </c>
      <c r="ANR73">
        <v>21.8481299681904</v>
      </c>
      <c r="ANS73">
        <v>33.0072554458715</v>
      </c>
      <c r="ANT73">
        <v>34.7847017542167</v>
      </c>
      <c r="ANU73">
        <v>35.2936517322733</v>
      </c>
      <c r="ANV73">
        <v>35.2791695777552</v>
      </c>
      <c r="ANW73">
        <v>33.0119769546977</v>
      </c>
      <c r="ANX73" t="s">
        <v>1900</v>
      </c>
      <c r="ANY73" t="s">
        <v>1900</v>
      </c>
      <c r="ANZ73" t="s">
        <v>1900</v>
      </c>
      <c r="AOA73" t="s">
        <v>1900</v>
      </c>
      <c r="AOB73" t="s">
        <v>1900</v>
      </c>
      <c r="AOC73">
        <v>119.062122467885</v>
      </c>
      <c r="AOD73">
        <v>122.025705160771</v>
      </c>
      <c r="AOE73">
        <v>122.795945356489</v>
      </c>
      <c r="AOF73">
        <v>124.150638797815</v>
      </c>
      <c r="AOG73">
        <v>121.84812996819</v>
      </c>
      <c r="AOH73" t="s">
        <v>1901</v>
      </c>
      <c r="AOI73" t="s">
        <v>1901</v>
      </c>
      <c r="AOJ73" t="s">
        <v>1901</v>
      </c>
      <c r="AOK73" t="s">
        <v>1901</v>
      </c>
      <c r="AOL73" t="s">
        <v>1901</v>
      </c>
      <c r="AOM73" t="s">
        <v>1900</v>
      </c>
      <c r="AON73" t="s">
        <v>1900</v>
      </c>
      <c r="AOO73" t="s">
        <v>1900</v>
      </c>
      <c r="AOP73" t="s">
        <v>1900</v>
      </c>
      <c r="AOQ73" t="s">
        <v>1900</v>
      </c>
      <c r="AOR73">
        <v>19.0621224678845</v>
      </c>
      <c r="AOS73">
        <v>22.0257051470977</v>
      </c>
      <c r="AOT73">
        <v>22.7959453564886</v>
      </c>
      <c r="AOU73">
        <v>24.1506387978151</v>
      </c>
      <c r="AOV73">
        <v>21.8481299681904</v>
      </c>
      <c r="AOW73">
        <v>25.4548794829198</v>
      </c>
      <c r="AOX73">
        <v>27.4747850299974</v>
      </c>
      <c r="AOY73">
        <v>27.7862989266827</v>
      </c>
      <c r="AOZ73">
        <v>27.7183233010498</v>
      </c>
      <c r="APA73">
        <v>25.9249730444826</v>
      </c>
      <c r="APB73">
        <v>12.4017974876573</v>
      </c>
      <c r="APC73">
        <v>13.2618982180739</v>
      </c>
      <c r="APD73">
        <v>13.801295971747</v>
      </c>
      <c r="APE73">
        <v>14.4096842919133</v>
      </c>
      <c r="APF73">
        <v>13.7159678494937</v>
      </c>
      <c r="APG73">
        <v>12.4017974876573</v>
      </c>
      <c r="APH73">
        <v>13.3297702721141</v>
      </c>
      <c r="API73">
        <v>13.801295971747</v>
      </c>
      <c r="APJ73">
        <v>14.4096842919133</v>
      </c>
      <c r="APK73">
        <v>13.7274711128</v>
      </c>
      <c r="APL73" t="s">
        <v>1900</v>
      </c>
      <c r="APM73" t="s">
        <v>1900</v>
      </c>
      <c r="APN73" t="s">
        <v>1900</v>
      </c>
      <c r="APO73" t="s">
        <v>1900</v>
      </c>
      <c r="APP73" t="s">
        <v>1900</v>
      </c>
      <c r="APQ73">
        <v>14.7658433129735</v>
      </c>
      <c r="APR73">
        <v>16.1829248082621</v>
      </c>
      <c r="APS73">
        <v>16.9474318599537</v>
      </c>
      <c r="APT73">
        <v>17.8897150971588</v>
      </c>
      <c r="APU73">
        <v>16.7126503316463</v>
      </c>
      <c r="APV73">
        <v>14.7658433129735</v>
      </c>
      <c r="APW73">
        <v>16.1829248183085</v>
      </c>
      <c r="APX73">
        <v>16.9474318599537</v>
      </c>
      <c r="APY73">
        <v>17.8897150971588</v>
      </c>
      <c r="APZ73">
        <v>16.7126503316463</v>
      </c>
      <c r="AQA73">
        <v>19.71778130314</v>
      </c>
      <c r="AQB73">
        <v>20.1865219430761</v>
      </c>
      <c r="AQC73">
        <v>20.6574634364185</v>
      </c>
      <c r="AQD73">
        <v>20.5324965098471</v>
      </c>
      <c r="AQE73">
        <v>19.8312171330277</v>
      </c>
      <c r="AQF73" t="s">
        <v>1900</v>
      </c>
      <c r="AQG73" t="s">
        <v>1900</v>
      </c>
      <c r="AQH73" t="s">
        <v>1900</v>
      </c>
      <c r="AQI73" t="s">
        <v>1900</v>
      </c>
      <c r="AQJ73" t="s">
        <v>1900</v>
      </c>
      <c r="AQK73">
        <v>4</v>
      </c>
      <c r="AQO73" t="s">
        <v>1902</v>
      </c>
      <c r="AQP73">
        <v>1</v>
      </c>
      <c r="AQQ73">
        <v>0</v>
      </c>
      <c r="AQS73" t="s">
        <v>1905</v>
      </c>
      <c r="AQU73" t="s">
        <v>1906</v>
      </c>
      <c r="AQV73">
        <v>2173269.07717234</v>
      </c>
      <c r="AQW73">
        <v>2172012.03501731</v>
      </c>
      <c r="AQX73">
        <v>2077066.7252683</v>
      </c>
      <c r="AQY73">
        <v>347945.429209864</v>
      </c>
      <c r="AQZ73">
        <v>392049.336046925</v>
      </c>
      <c r="ARA73">
        <v>385588.460869282</v>
      </c>
      <c r="ARB73">
        <v>6422347.83745795</v>
      </c>
      <c r="ARC73">
        <v>1125583.226126071</v>
      </c>
      <c r="ARD73">
        <v>0.2125039167717596</v>
      </c>
      <c r="ARE73">
        <v>0.2125039167717596</v>
      </c>
      <c r="ARF73">
        <v>0.2125039167717596</v>
      </c>
      <c r="ARG73">
        <v>0.2125039167717596</v>
      </c>
      <c r="ARH73">
        <v>0.2125039167717596</v>
      </c>
      <c r="ARI73">
        <v>0.2125039167717596</v>
      </c>
      <c r="ARJ73" t="s">
        <v>1234</v>
      </c>
      <c r="ARK73" t="s">
        <v>1572</v>
      </c>
      <c r="ARL73" t="s">
        <v>1908</v>
      </c>
      <c r="ARM73" t="s">
        <v>1908</v>
      </c>
      <c r="ARN73" t="s">
        <v>1909</v>
      </c>
      <c r="ARO73" t="s">
        <v>1908</v>
      </c>
      <c r="ARP73" t="s">
        <v>1907</v>
      </c>
      <c r="ARQ73" t="s">
        <v>1967</v>
      </c>
      <c r="ARR73">
        <f>HYPERLINK("C:\Users\Usuario\Documents\Proyectos\llmthon\evidence\pedrosalagos_com_234955.png", "Ver Evidencia")</f>
        <v>0</v>
      </c>
      <c r="ARS73">
        <v>95</v>
      </c>
    </row>
    <row r="74" spans="1:1163">
      <c r="A74">
        <v>256</v>
      </c>
      <c r="B74" t="s">
        <v>1235</v>
      </c>
      <c r="C74" t="s">
        <v>1358</v>
      </c>
      <c r="E74" s="2">
        <v>43656</v>
      </c>
      <c r="F74" t="s">
        <v>1431</v>
      </c>
      <c r="G74" t="s">
        <v>1433</v>
      </c>
      <c r="H74" t="s">
        <v>1434</v>
      </c>
      <c r="I74" t="s">
        <v>1435</v>
      </c>
      <c r="J74" t="s">
        <v>1451</v>
      </c>
      <c r="L74" t="s">
        <v>1573</v>
      </c>
      <c r="N74" t="s">
        <v>1635</v>
      </c>
      <c r="O74" t="s">
        <v>1659</v>
      </c>
      <c r="P74">
        <v>6203</v>
      </c>
      <c r="Q74">
        <v>6203</v>
      </c>
      <c r="R74" t="s">
        <v>1743</v>
      </c>
      <c r="S74" t="s">
        <v>1822</v>
      </c>
      <c r="Z74" t="s">
        <v>1899</v>
      </c>
      <c r="AA74" s="2">
        <v>45657</v>
      </c>
      <c r="AB74">
        <v>2024</v>
      </c>
      <c r="AC74">
        <v>3014715.32977386</v>
      </c>
      <c r="AD74">
        <v>2013144.82197466</v>
      </c>
      <c r="AE74">
        <v>1214676.56181276</v>
      </c>
      <c r="AF74">
        <v>418398.976281881</v>
      </c>
      <c r="AG74">
        <v>130111.792917252</v>
      </c>
      <c r="AH74">
        <v>3014715.32977386</v>
      </c>
      <c r="AI74">
        <v>2013144.82197466</v>
      </c>
      <c r="AJ74">
        <v>1214676.56181276</v>
      </c>
      <c r="AK74">
        <v>418398.976281881</v>
      </c>
      <c r="AL74">
        <v>130111.792917252</v>
      </c>
      <c r="AM74">
        <v>8.872202079296111</v>
      </c>
      <c r="AN74">
        <v>10.9174048995972</v>
      </c>
      <c r="AO74" t="s">
        <v>1900</v>
      </c>
      <c r="AP74" t="s">
        <v>1900</v>
      </c>
      <c r="AQ74" t="s">
        <v>1900</v>
      </c>
      <c r="AR74">
        <v>3014706.45757178</v>
      </c>
      <c r="AS74">
        <v>2013133.90456976</v>
      </c>
      <c r="AT74">
        <v>1214676.56181276</v>
      </c>
      <c r="AU74">
        <v>418398.976281881</v>
      </c>
      <c r="AV74">
        <v>130111.792917252</v>
      </c>
      <c r="AW74">
        <v>2879242.85041834</v>
      </c>
      <c r="AX74">
        <v>1909185.61286904</v>
      </c>
      <c r="AY74">
        <v>1249904.92433261</v>
      </c>
      <c r="AZ74">
        <v>477103.711550331</v>
      </c>
      <c r="BA74">
        <v>151377.447091275</v>
      </c>
      <c r="BB74">
        <v>135463.607153444</v>
      </c>
      <c r="BC74">
        <v>103948.291700716</v>
      </c>
      <c r="BD74">
        <v>-35228.3625198543</v>
      </c>
      <c r="BE74">
        <v>-58704.7352684498</v>
      </c>
      <c r="BF74">
        <v>-21265.6554011226</v>
      </c>
      <c r="BG74">
        <v>-5093.53744712114</v>
      </c>
      <c r="BH74">
        <v>-5204.72913581848</v>
      </c>
      <c r="BI74">
        <v>-2450.22434241176</v>
      </c>
      <c r="BJ74">
        <v>-1013.77920920849</v>
      </c>
      <c r="BK74">
        <v>-1636.25101884007</v>
      </c>
      <c r="BL74">
        <v>0.706451687812805</v>
      </c>
      <c r="BM74">
        <v>4.21005188941955</v>
      </c>
      <c r="BN74" t="s">
        <v>1900</v>
      </c>
      <c r="BO74" t="s">
        <v>1900</v>
      </c>
      <c r="BP74" t="s">
        <v>1900</v>
      </c>
      <c r="BQ74">
        <v>5094.24389880896</v>
      </c>
      <c r="BR74">
        <v>5208.9391877079</v>
      </c>
      <c r="BS74">
        <v>2450.22434241176</v>
      </c>
      <c r="BT74">
        <v>1013.77920920849</v>
      </c>
      <c r="BU74">
        <v>1636.25101884007</v>
      </c>
      <c r="BV74">
        <v>130370.069706323</v>
      </c>
      <c r="BW74">
        <v>98743.5625648975</v>
      </c>
      <c r="BX74">
        <v>-37678.5868622661</v>
      </c>
      <c r="BY74">
        <v>-59718.5144776583</v>
      </c>
      <c r="BZ74">
        <v>-22901.9064199626</v>
      </c>
      <c r="CA74">
        <v>32592.5122320831</v>
      </c>
      <c r="CB74">
        <v>17829.6802517414</v>
      </c>
      <c r="CC74">
        <v>-4729.79276670217</v>
      </c>
      <c r="CD74">
        <v>-8300.080137205119</v>
      </c>
      <c r="CE74">
        <v>-3419.79076659083</v>
      </c>
      <c r="CF74">
        <v>97777.55747424009</v>
      </c>
      <c r="CG74">
        <v>80913.88231315609</v>
      </c>
      <c r="CH74">
        <v>-32948.7940955639</v>
      </c>
      <c r="CI74">
        <v>-51418.4343404531</v>
      </c>
      <c r="CJ74">
        <v>-19482.1156533718</v>
      </c>
      <c r="CK74" t="s">
        <v>1900</v>
      </c>
      <c r="CL74" t="s">
        <v>1900</v>
      </c>
      <c r="CM74" t="s">
        <v>1900</v>
      </c>
      <c r="CN74" t="s">
        <v>1900</v>
      </c>
      <c r="CO74" t="s">
        <v>1900</v>
      </c>
      <c r="CP74" t="s">
        <v>1900</v>
      </c>
      <c r="CQ74" t="s">
        <v>1900</v>
      </c>
      <c r="CR74" t="s">
        <v>1900</v>
      </c>
      <c r="CS74" t="s">
        <v>1900</v>
      </c>
      <c r="CT74" t="s">
        <v>1900</v>
      </c>
      <c r="CU74" t="s">
        <v>1900</v>
      </c>
      <c r="CV74" t="s">
        <v>1900</v>
      </c>
      <c r="CW74" t="s">
        <v>1900</v>
      </c>
      <c r="CX74" t="s">
        <v>1900</v>
      </c>
      <c r="CY74" t="s">
        <v>1900</v>
      </c>
      <c r="CZ74">
        <v>97777.55747424009</v>
      </c>
      <c r="DA74">
        <v>80913.88231315609</v>
      </c>
      <c r="DB74">
        <v>-32948.7940955639</v>
      </c>
      <c r="DC74">
        <v>-51418.4343404531</v>
      </c>
      <c r="DD74">
        <v>-19482.1156533718</v>
      </c>
      <c r="DE74" t="s">
        <v>1900</v>
      </c>
      <c r="DF74" t="s">
        <v>1900</v>
      </c>
      <c r="DG74" t="s">
        <v>1900</v>
      </c>
      <c r="DH74" t="s">
        <v>1900</v>
      </c>
      <c r="DI74" t="s">
        <v>1900</v>
      </c>
      <c r="DJ74">
        <v>8.872202079296111</v>
      </c>
      <c r="DK74">
        <v>10.9174048995972</v>
      </c>
      <c r="DL74" t="s">
        <v>1900</v>
      </c>
      <c r="DM74" t="s">
        <v>1900</v>
      </c>
      <c r="DN74" t="s">
        <v>1900</v>
      </c>
      <c r="DO74">
        <v>528733.719584933</v>
      </c>
      <c r="DP74">
        <v>381677.867692337</v>
      </c>
      <c r="DQ74">
        <v>136091.716436827</v>
      </c>
      <c r="DR74">
        <v>63562.7637892485</v>
      </c>
      <c r="DS74" t="s">
        <v>1900</v>
      </c>
      <c r="DT74" t="s">
        <v>1900</v>
      </c>
      <c r="DU74">
        <v>11094.8569292355</v>
      </c>
      <c r="DV74">
        <v>1335.93719103336</v>
      </c>
      <c r="DW74">
        <v>468.239619112015</v>
      </c>
      <c r="DX74" t="s">
        <v>1900</v>
      </c>
      <c r="DY74">
        <v>2350509.13083341</v>
      </c>
      <c r="DZ74">
        <v>1516412.88824747</v>
      </c>
      <c r="EA74">
        <v>1112477.27070475</v>
      </c>
      <c r="EB74">
        <v>413072.708141971</v>
      </c>
      <c r="EC74">
        <v>151377.447091275</v>
      </c>
      <c r="ED74">
        <v>5094.24389880896</v>
      </c>
      <c r="EE74">
        <v>5184.71757683754</v>
      </c>
      <c r="EF74">
        <v>2384.57514390945</v>
      </c>
      <c r="EG74">
        <v>977.366109323502</v>
      </c>
      <c r="EH74">
        <v>1636.25101884007</v>
      </c>
      <c r="EI74" t="s">
        <v>1900</v>
      </c>
      <c r="EJ74" t="s">
        <v>1900</v>
      </c>
      <c r="EK74" t="s">
        <v>1900</v>
      </c>
      <c r="EL74" t="s">
        <v>1900</v>
      </c>
      <c r="EM74" t="s">
        <v>1900</v>
      </c>
      <c r="EN74" t="s">
        <v>1900</v>
      </c>
      <c r="EO74">
        <v>92008.7392423916</v>
      </c>
      <c r="EP74">
        <v>-31612.8569045305</v>
      </c>
      <c r="EQ74">
        <v>-50950.1947213411</v>
      </c>
      <c r="ER74" t="s">
        <v>1900</v>
      </c>
      <c r="ES74">
        <v>664198.033190066</v>
      </c>
      <c r="ET74">
        <v>496701.004763308</v>
      </c>
      <c r="EU74">
        <v>102133.640842904</v>
      </c>
      <c r="EV74">
        <v>5289.8539074254</v>
      </c>
      <c r="EW74">
        <v>-21265.6554011226</v>
      </c>
      <c r="EX74">
        <v>135463.607153444</v>
      </c>
      <c r="EY74">
        <v>115043.148629951</v>
      </c>
      <c r="EZ74">
        <v>-33892.4242622215</v>
      </c>
      <c r="FA74">
        <v>-58236.4956493378</v>
      </c>
      <c r="FB74">
        <v>-21265.6554011226</v>
      </c>
      <c r="FC74">
        <v>295021.320514492</v>
      </c>
      <c r="FD74">
        <v>152539.627707911</v>
      </c>
      <c r="FE74">
        <v>119208.662461114</v>
      </c>
      <c r="FF74">
        <v>13850.3086619139</v>
      </c>
      <c r="FG74">
        <v>3419.79076659083</v>
      </c>
      <c r="FH74">
        <v>268176.384935504</v>
      </c>
      <c r="FI74">
        <v>135589.16320075</v>
      </c>
      <c r="FJ74">
        <v>86933.8632481754</v>
      </c>
      <c r="FK74">
        <v>0</v>
      </c>
      <c r="FL74">
        <v>0</v>
      </c>
      <c r="FM74">
        <v>5531.91149739981</v>
      </c>
      <c r="FN74">
        <v>5883.88454061508</v>
      </c>
      <c r="FO74">
        <v>6074.11342971325</v>
      </c>
      <c r="FP74">
        <v>2393.79605383873</v>
      </c>
      <c r="FQ74">
        <v>0</v>
      </c>
      <c r="FR74">
        <v>21313.0240815878</v>
      </c>
      <c r="FS74">
        <v>11066.5799665451</v>
      </c>
      <c r="FT74">
        <v>26200.6857832253</v>
      </c>
      <c r="FU74">
        <v>11456.5126080751</v>
      </c>
      <c r="FV74">
        <v>3419.79076659083</v>
      </c>
      <c r="FW74">
        <v>268176.384935504</v>
      </c>
      <c r="FX74">
        <v>135589.16320075</v>
      </c>
      <c r="FY74">
        <v>86933.8632481754</v>
      </c>
      <c r="FZ74">
        <v>0</v>
      </c>
      <c r="GA74">
        <v>0</v>
      </c>
      <c r="GB74">
        <v>5531.91149739981</v>
      </c>
      <c r="GC74">
        <v>5883.88454061508</v>
      </c>
      <c r="GD74">
        <v>6074.11342971325</v>
      </c>
      <c r="GE74">
        <v>2393.79605383873</v>
      </c>
      <c r="GF74">
        <v>0</v>
      </c>
      <c r="GG74">
        <v>21313.0240815878</v>
      </c>
      <c r="GH74">
        <v>11066.5799665451</v>
      </c>
      <c r="GI74">
        <v>26200.6857832253</v>
      </c>
      <c r="GJ74">
        <v>11456.5126080751</v>
      </c>
      <c r="GK74">
        <v>3419.79076659083</v>
      </c>
      <c r="GL74">
        <v>627982.369198085</v>
      </c>
      <c r="GM74">
        <v>485582.191423321</v>
      </c>
      <c r="GN74">
        <v>231485.686835945</v>
      </c>
      <c r="GO74">
        <v>198964.281096411</v>
      </c>
      <c r="GP74">
        <v>57731.500263232</v>
      </c>
      <c r="GQ74">
        <v>0</v>
      </c>
      <c r="GR74">
        <v>435.42544541359</v>
      </c>
      <c r="GS74">
        <v>420.293528348207</v>
      </c>
      <c r="GT74">
        <v>0</v>
      </c>
      <c r="GU74">
        <v>0</v>
      </c>
      <c r="GV74">
        <v>523324.39823336</v>
      </c>
      <c r="GW74">
        <v>440849.627647896</v>
      </c>
      <c r="GX74">
        <v>203065.7274975</v>
      </c>
      <c r="GY74">
        <v>113996.775920463</v>
      </c>
      <c r="GZ74">
        <v>47284.4799385905</v>
      </c>
      <c r="HA74">
        <v>104657.970964725</v>
      </c>
      <c r="HB74">
        <v>44297.1383300114</v>
      </c>
      <c r="HC74">
        <v>27999.6658100963</v>
      </c>
      <c r="HD74">
        <v>84967.5040433478</v>
      </c>
      <c r="HE74">
        <v>10447.0203246415</v>
      </c>
      <c r="HF74" t="s">
        <v>1900</v>
      </c>
      <c r="HG74" t="s">
        <v>1900</v>
      </c>
      <c r="HH74" t="s">
        <v>1900</v>
      </c>
      <c r="HI74">
        <v>76987.577167654</v>
      </c>
      <c r="HJ74">
        <v>768.9004210233689</v>
      </c>
      <c r="HK74">
        <v>923003.689712577</v>
      </c>
      <c r="HL74">
        <v>638121.8191312311</v>
      </c>
      <c r="HM74">
        <v>350694.349297059</v>
      </c>
      <c r="HN74">
        <v>212814.589758325</v>
      </c>
      <c r="HO74">
        <v>61151.2910298228</v>
      </c>
      <c r="HP74">
        <v>283338.780898108</v>
      </c>
      <c r="HQ74">
        <v>197367.729826212</v>
      </c>
      <c r="HR74">
        <v>113276.73740918</v>
      </c>
      <c r="HS74">
        <v>155273.918433881</v>
      </c>
      <c r="HT74">
        <v>-15346.54559443</v>
      </c>
      <c r="HU74">
        <v>4178.45395350456</v>
      </c>
      <c r="HV74">
        <v>4444.31199455261</v>
      </c>
      <c r="HW74">
        <v>4289.86314177513</v>
      </c>
      <c r="HX74">
        <v>4555.31843662262</v>
      </c>
      <c r="HY74">
        <v>4294.84754800797</v>
      </c>
      <c r="HZ74">
        <v>279160.326944604</v>
      </c>
      <c r="IA74">
        <v>192923.417831659</v>
      </c>
      <c r="IB74">
        <v>108986.874267405</v>
      </c>
      <c r="IC74">
        <v>150718.599997258</v>
      </c>
      <c r="ID74">
        <v>-19641.3919153386</v>
      </c>
      <c r="IE74">
        <v>0</v>
      </c>
      <c r="IF74">
        <v>12105.1478326416</v>
      </c>
      <c r="IG74">
        <v>13993.7959519446</v>
      </c>
      <c r="IH74">
        <v>17036.3699568272</v>
      </c>
      <c r="II74">
        <v>33796.4498591065</v>
      </c>
      <c r="IJ74" t="s">
        <v>1900</v>
      </c>
      <c r="IK74">
        <v>12105.1478326416</v>
      </c>
      <c r="IL74">
        <v>13993.7959519446</v>
      </c>
      <c r="IM74">
        <v>17036.3699568272</v>
      </c>
      <c r="IN74">
        <v>33796.4498591065</v>
      </c>
      <c r="IO74" t="s">
        <v>1900</v>
      </c>
      <c r="IP74">
        <v>0</v>
      </c>
      <c r="IQ74">
        <v>0</v>
      </c>
      <c r="IR74">
        <v>0</v>
      </c>
      <c r="IS74">
        <v>0</v>
      </c>
      <c r="IT74" t="s">
        <v>1900</v>
      </c>
      <c r="IU74">
        <v>0</v>
      </c>
      <c r="IV74">
        <v>0</v>
      </c>
      <c r="IW74">
        <v>0</v>
      </c>
      <c r="IX74">
        <v>0</v>
      </c>
      <c r="IY74">
        <v>639664.908814468</v>
      </c>
      <c r="IZ74">
        <v>428648.941472378</v>
      </c>
      <c r="JA74">
        <v>223423.815935934</v>
      </c>
      <c r="JB74">
        <v>40504.3013676166</v>
      </c>
      <c r="JC74">
        <v>42701.3867651463</v>
      </c>
      <c r="JD74">
        <v>30575.8523882627</v>
      </c>
      <c r="JE74">
        <v>23171.2526489735</v>
      </c>
      <c r="JF74">
        <v>30523.112207377</v>
      </c>
      <c r="JG74">
        <v>0</v>
      </c>
      <c r="JH74">
        <v>0</v>
      </c>
      <c r="JI74">
        <v>318596.735348309</v>
      </c>
      <c r="JJ74">
        <v>0</v>
      </c>
      <c r="JK74">
        <v>0</v>
      </c>
      <c r="JL74">
        <v>0</v>
      </c>
      <c r="JM74">
        <v>0</v>
      </c>
      <c r="JN74">
        <v>290492.321077896</v>
      </c>
      <c r="JO74">
        <v>405477.688823404</v>
      </c>
      <c r="JP74">
        <v>192900.703728557</v>
      </c>
      <c r="JQ74">
        <v>40504.3013676166</v>
      </c>
      <c r="JR74">
        <v>42701.3867651463</v>
      </c>
      <c r="JS74">
        <v>923003.689712577</v>
      </c>
      <c r="JT74">
        <v>638121.8191312311</v>
      </c>
      <c r="JU74">
        <v>350694.349297059</v>
      </c>
      <c r="JV74">
        <v>212814.589758325</v>
      </c>
      <c r="JW74">
        <v>61151.2910298228</v>
      </c>
      <c r="JX74">
        <v>204727.661846151</v>
      </c>
      <c r="JY74">
        <v>441285.053093309</v>
      </c>
      <c r="JZ74">
        <v>203486.019959249</v>
      </c>
      <c r="KA74">
        <v>113996.775920463</v>
      </c>
      <c r="KB74">
        <v>47284.4799385905</v>
      </c>
      <c r="KC74" t="s">
        <v>1900</v>
      </c>
      <c r="KD74" t="s">
        <v>1900</v>
      </c>
      <c r="KE74" t="s">
        <v>1900</v>
      </c>
      <c r="KF74" t="s">
        <v>1900</v>
      </c>
      <c r="KG74" t="s">
        <v>1900</v>
      </c>
      <c r="KH74" t="s">
        <v>1900</v>
      </c>
      <c r="KI74" t="s">
        <v>1900</v>
      </c>
      <c r="KJ74" t="s">
        <v>1900</v>
      </c>
      <c r="KK74" t="s">
        <v>1900</v>
      </c>
      <c r="KL74" t="s">
        <v>1900</v>
      </c>
      <c r="KM74">
        <v>11</v>
      </c>
      <c r="KN74">
        <v>5</v>
      </c>
      <c r="KO74">
        <v>4</v>
      </c>
      <c r="KP74">
        <v>2</v>
      </c>
      <c r="KQ74" t="s">
        <v>1900</v>
      </c>
      <c r="KR74" t="s">
        <v>1900</v>
      </c>
      <c r="KS74" t="s">
        <v>1900</v>
      </c>
      <c r="KT74" t="s">
        <v>1900</v>
      </c>
      <c r="KU74" t="s">
        <v>1900</v>
      </c>
      <c r="KV74" t="s">
        <v>1900</v>
      </c>
      <c r="KW74" t="s">
        <v>1900</v>
      </c>
      <c r="KX74" t="s">
        <v>1900</v>
      </c>
      <c r="KY74" t="s">
        <v>1900</v>
      </c>
      <c r="KZ74" t="s">
        <v>1900</v>
      </c>
      <c r="LA74" t="s">
        <v>1900</v>
      </c>
      <c r="LB74" t="s">
        <v>1900</v>
      </c>
      <c r="LC74" t="s">
        <v>1900</v>
      </c>
      <c r="LD74" t="s">
        <v>1900</v>
      </c>
      <c r="LE74" t="s">
        <v>1900</v>
      </c>
      <c r="LF74" t="s">
        <v>1900</v>
      </c>
      <c r="LG74" t="s">
        <v>1900</v>
      </c>
      <c r="LH74" t="s">
        <v>1900</v>
      </c>
      <c r="LI74" t="s">
        <v>1900</v>
      </c>
      <c r="LJ74" t="s">
        <v>1900</v>
      </c>
      <c r="LK74" t="s">
        <v>1900</v>
      </c>
      <c r="LL74" t="s">
        <v>1900</v>
      </c>
      <c r="LM74" t="s">
        <v>1900</v>
      </c>
      <c r="LN74" t="s">
        <v>1900</v>
      </c>
      <c r="LO74" t="s">
        <v>1900</v>
      </c>
      <c r="LP74" t="s">
        <v>1900</v>
      </c>
      <c r="LQ74" t="s">
        <v>1900</v>
      </c>
      <c r="LR74" t="s">
        <v>1900</v>
      </c>
      <c r="LS74" t="s">
        <v>1900</v>
      </c>
      <c r="LT74" t="s">
        <v>1900</v>
      </c>
      <c r="LU74" t="s">
        <v>1900</v>
      </c>
      <c r="LV74" t="s">
        <v>1900</v>
      </c>
      <c r="LW74" t="s">
        <v>1900</v>
      </c>
      <c r="LX74" t="s">
        <v>1900</v>
      </c>
      <c r="LY74" t="s">
        <v>1900</v>
      </c>
      <c r="LZ74" t="s">
        <v>1900</v>
      </c>
      <c r="MA74" t="s">
        <v>1900</v>
      </c>
      <c r="MB74" t="s">
        <v>1900</v>
      </c>
      <c r="MC74" t="s">
        <v>1900</v>
      </c>
      <c r="MD74" t="s">
        <v>1900</v>
      </c>
      <c r="ME74" t="s">
        <v>1900</v>
      </c>
      <c r="MF74" t="s">
        <v>1900</v>
      </c>
      <c r="MG74" t="s">
        <v>1900</v>
      </c>
      <c r="MH74" t="s">
        <v>1900</v>
      </c>
      <c r="MI74" t="s">
        <v>1900</v>
      </c>
      <c r="MJ74" t="s">
        <v>1900</v>
      </c>
      <c r="MK74" t="s">
        <v>1900</v>
      </c>
      <c r="ML74" t="s">
        <v>1900</v>
      </c>
      <c r="MM74" t="s">
        <v>1900</v>
      </c>
      <c r="MN74" t="s">
        <v>1900</v>
      </c>
      <c r="MO74" t="s">
        <v>1900</v>
      </c>
      <c r="MP74">
        <v>104657.970964725</v>
      </c>
      <c r="MQ74">
        <v>44297.1383300114</v>
      </c>
      <c r="MR74">
        <v>27999.6658100963</v>
      </c>
      <c r="MS74">
        <v>84967.5040433478</v>
      </c>
      <c r="MT74">
        <v>10447.0203246415</v>
      </c>
      <c r="MU74" t="s">
        <v>1900</v>
      </c>
      <c r="MV74" t="s">
        <v>1900</v>
      </c>
      <c r="MW74" t="s">
        <v>1900</v>
      </c>
      <c r="MX74" t="s">
        <v>1900</v>
      </c>
      <c r="MY74" t="s">
        <v>1900</v>
      </c>
      <c r="MZ74" t="s">
        <v>1900</v>
      </c>
      <c r="NA74" t="s">
        <v>1900</v>
      </c>
      <c r="NB74" t="s">
        <v>1900</v>
      </c>
      <c r="NC74" t="s">
        <v>1900</v>
      </c>
      <c r="ND74" t="s">
        <v>1900</v>
      </c>
      <c r="NE74" t="s">
        <v>1900</v>
      </c>
      <c r="NF74" t="s">
        <v>1900</v>
      </c>
      <c r="NG74" t="s">
        <v>1900</v>
      </c>
      <c r="NH74" t="s">
        <v>1900</v>
      </c>
      <c r="NI74" t="s">
        <v>1900</v>
      </c>
      <c r="NJ74" t="s">
        <v>1900</v>
      </c>
      <c r="NK74" t="s">
        <v>1900</v>
      </c>
      <c r="NL74" t="s">
        <v>1900</v>
      </c>
      <c r="NM74" t="s">
        <v>1900</v>
      </c>
      <c r="NN74" t="s">
        <v>1900</v>
      </c>
      <c r="NO74" t="s">
        <v>1900</v>
      </c>
      <c r="NP74" t="s">
        <v>1900</v>
      </c>
      <c r="NQ74" t="s">
        <v>1900</v>
      </c>
      <c r="NR74" t="s">
        <v>1900</v>
      </c>
      <c r="NS74" t="s">
        <v>1900</v>
      </c>
      <c r="NT74">
        <v>295021.320514492</v>
      </c>
      <c r="NU74">
        <v>152539.627707911</v>
      </c>
      <c r="NV74">
        <v>119208.662461114</v>
      </c>
      <c r="NW74">
        <v>13850.3086619139</v>
      </c>
      <c r="NX74">
        <v>3419.79076659083</v>
      </c>
      <c r="NY74" t="s">
        <v>1900</v>
      </c>
      <c r="NZ74" t="s">
        <v>1900</v>
      </c>
      <c r="OA74" t="s">
        <v>1900</v>
      </c>
      <c r="OB74" t="s">
        <v>1900</v>
      </c>
      <c r="OC74" t="s">
        <v>1900</v>
      </c>
      <c r="OD74" t="s">
        <v>1900</v>
      </c>
      <c r="OE74" t="s">
        <v>1900</v>
      </c>
      <c r="OF74" t="s">
        <v>1900</v>
      </c>
      <c r="OG74" t="s">
        <v>1900</v>
      </c>
      <c r="OH74" t="s">
        <v>1900</v>
      </c>
      <c r="OI74" t="s">
        <v>1900</v>
      </c>
      <c r="OJ74" t="s">
        <v>1900</v>
      </c>
      <c r="OK74" t="s">
        <v>1900</v>
      </c>
      <c r="OL74" t="s">
        <v>1900</v>
      </c>
      <c r="OM74" t="s">
        <v>1900</v>
      </c>
      <c r="ON74" t="s">
        <v>1900</v>
      </c>
      <c r="OO74" t="s">
        <v>1900</v>
      </c>
      <c r="OP74" t="s">
        <v>1900</v>
      </c>
      <c r="OQ74" t="s">
        <v>1900</v>
      </c>
      <c r="OR74" t="s">
        <v>1900</v>
      </c>
      <c r="OS74" t="s">
        <v>1900</v>
      </c>
      <c r="OT74" t="s">
        <v>1900</v>
      </c>
      <c r="OU74" t="s">
        <v>1900</v>
      </c>
      <c r="OV74" t="s">
        <v>1900</v>
      </c>
      <c r="OW74" t="s">
        <v>1900</v>
      </c>
      <c r="OX74" t="s">
        <v>1900</v>
      </c>
      <c r="OY74" t="s">
        <v>1900</v>
      </c>
      <c r="OZ74" t="s">
        <v>1900</v>
      </c>
      <c r="PA74" t="s">
        <v>1900</v>
      </c>
      <c r="PB74" t="s">
        <v>1900</v>
      </c>
      <c r="PC74" t="s">
        <v>1900</v>
      </c>
      <c r="PD74" t="s">
        <v>1900</v>
      </c>
      <c r="PE74" t="s">
        <v>1900</v>
      </c>
      <c r="PF74" t="s">
        <v>1900</v>
      </c>
      <c r="PG74" t="s">
        <v>1900</v>
      </c>
      <c r="PH74" t="s">
        <v>1900</v>
      </c>
      <c r="PI74" t="s">
        <v>1900</v>
      </c>
      <c r="PJ74" t="s">
        <v>1900</v>
      </c>
      <c r="PK74" t="s">
        <v>1900</v>
      </c>
      <c r="PL74" t="s">
        <v>1900</v>
      </c>
      <c r="PM74" t="s">
        <v>1900</v>
      </c>
      <c r="PN74" t="s">
        <v>1900</v>
      </c>
      <c r="PO74" t="s">
        <v>1900</v>
      </c>
      <c r="PP74" t="s">
        <v>1900</v>
      </c>
      <c r="PQ74" t="s">
        <v>1900</v>
      </c>
      <c r="PR74" t="s">
        <v>1900</v>
      </c>
      <c r="PS74" t="s">
        <v>1900</v>
      </c>
      <c r="PT74" t="s">
        <v>1900</v>
      </c>
      <c r="PU74" t="s">
        <v>1900</v>
      </c>
      <c r="PV74" t="s">
        <v>1900</v>
      </c>
      <c r="PW74" t="s">
        <v>1900</v>
      </c>
      <c r="PX74" t="s">
        <v>1900</v>
      </c>
      <c r="PY74" t="s">
        <v>1900</v>
      </c>
      <c r="PZ74" t="s">
        <v>1900</v>
      </c>
      <c r="QA74" t="s">
        <v>1900</v>
      </c>
      <c r="QB74" t="s">
        <v>1900</v>
      </c>
      <c r="QC74" t="s">
        <v>1900</v>
      </c>
      <c r="QD74" t="s">
        <v>1900</v>
      </c>
      <c r="QE74" t="s">
        <v>1900</v>
      </c>
      <c r="QF74" t="s">
        <v>1900</v>
      </c>
      <c r="QG74" t="s">
        <v>1900</v>
      </c>
      <c r="QH74" t="s">
        <v>1900</v>
      </c>
      <c r="QI74" t="s">
        <v>1900</v>
      </c>
      <c r="QJ74" t="s">
        <v>1900</v>
      </c>
      <c r="QK74" t="s">
        <v>1900</v>
      </c>
      <c r="QL74" t="s">
        <v>1900</v>
      </c>
      <c r="QM74" t="s">
        <v>1900</v>
      </c>
      <c r="QN74" t="s">
        <v>1900</v>
      </c>
      <c r="QO74" t="s">
        <v>1900</v>
      </c>
      <c r="QP74" t="s">
        <v>1900</v>
      </c>
      <c r="QQ74" t="s">
        <v>1900</v>
      </c>
      <c r="QR74" t="s">
        <v>1900</v>
      </c>
      <c r="QS74" t="s">
        <v>1900</v>
      </c>
      <c r="QT74" t="s">
        <v>1900</v>
      </c>
      <c r="QU74" t="s">
        <v>1900</v>
      </c>
      <c r="QV74" t="s">
        <v>1900</v>
      </c>
      <c r="QW74" t="s">
        <v>1900</v>
      </c>
      <c r="QX74" t="s">
        <v>1900</v>
      </c>
      <c r="QY74" t="s">
        <v>1900</v>
      </c>
      <c r="QZ74" t="s">
        <v>1900</v>
      </c>
      <c r="RA74" t="s">
        <v>1900</v>
      </c>
      <c r="RB74" t="s">
        <v>1900</v>
      </c>
      <c r="RC74" t="s">
        <v>1900</v>
      </c>
      <c r="RD74" t="s">
        <v>1900</v>
      </c>
      <c r="RE74" t="s">
        <v>1900</v>
      </c>
      <c r="RF74" t="s">
        <v>1900</v>
      </c>
      <c r="RG74" t="s">
        <v>1900</v>
      </c>
      <c r="RH74" t="s">
        <v>1900</v>
      </c>
      <c r="RI74" t="s">
        <v>1900</v>
      </c>
      <c r="RJ74" t="s">
        <v>1900</v>
      </c>
      <c r="RK74" t="s">
        <v>1900</v>
      </c>
      <c r="RL74" t="s">
        <v>1900</v>
      </c>
      <c r="RM74" t="s">
        <v>1900</v>
      </c>
      <c r="RN74" t="s">
        <v>1900</v>
      </c>
      <c r="RO74" t="s">
        <v>1900</v>
      </c>
      <c r="RP74" t="s">
        <v>1900</v>
      </c>
      <c r="RQ74" t="s">
        <v>1900</v>
      </c>
      <c r="RR74" t="s">
        <v>1900</v>
      </c>
      <c r="RS74" t="s">
        <v>1900</v>
      </c>
      <c r="RT74" t="s">
        <v>1900</v>
      </c>
      <c r="RU74" t="s">
        <v>1900</v>
      </c>
      <c r="RV74" t="s">
        <v>1900</v>
      </c>
      <c r="RW74" t="s">
        <v>1900</v>
      </c>
      <c r="RX74" t="s">
        <v>1900</v>
      </c>
      <c r="RY74" t="s">
        <v>1900</v>
      </c>
      <c r="RZ74" t="s">
        <v>1900</v>
      </c>
      <c r="SA74" t="s">
        <v>1900</v>
      </c>
      <c r="SB74" t="s">
        <v>1900</v>
      </c>
      <c r="SC74" t="s">
        <v>1900</v>
      </c>
      <c r="SD74" t="s">
        <v>1900</v>
      </c>
      <c r="SE74" t="s">
        <v>1900</v>
      </c>
      <c r="SF74" t="s">
        <v>1900</v>
      </c>
      <c r="SG74" t="s">
        <v>1900</v>
      </c>
      <c r="SH74" t="s">
        <v>1900</v>
      </c>
      <c r="SI74" t="s">
        <v>1900</v>
      </c>
      <c r="SJ74">
        <v>21313.0240815878</v>
      </c>
      <c r="SK74">
        <v>11066.5799665451</v>
      </c>
      <c r="SL74">
        <v>26200.6857832253</v>
      </c>
      <c r="SM74">
        <v>11456.5126080751</v>
      </c>
      <c r="SN74">
        <v>3419.79076659083</v>
      </c>
      <c r="SO74" t="s">
        <v>1900</v>
      </c>
      <c r="SP74" t="s">
        <v>1900</v>
      </c>
      <c r="SQ74" t="s">
        <v>1900</v>
      </c>
      <c r="SR74" t="s">
        <v>1900</v>
      </c>
      <c r="SS74" t="s">
        <v>1900</v>
      </c>
      <c r="ST74" t="s">
        <v>1900</v>
      </c>
      <c r="SU74" t="s">
        <v>1900</v>
      </c>
      <c r="SV74" t="s">
        <v>1900</v>
      </c>
      <c r="SW74" t="s">
        <v>1900</v>
      </c>
      <c r="SX74" t="s">
        <v>1900</v>
      </c>
      <c r="SY74" t="s">
        <v>1900</v>
      </c>
      <c r="SZ74" t="s">
        <v>1900</v>
      </c>
      <c r="TA74" t="s">
        <v>1900</v>
      </c>
      <c r="TB74" t="s">
        <v>1900</v>
      </c>
      <c r="TC74" t="s">
        <v>1900</v>
      </c>
      <c r="TD74" t="s">
        <v>1900</v>
      </c>
      <c r="TE74" t="s">
        <v>1900</v>
      </c>
      <c r="TF74" t="s">
        <v>1900</v>
      </c>
      <c r="TG74" t="s">
        <v>1900</v>
      </c>
      <c r="TH74" t="s">
        <v>1900</v>
      </c>
      <c r="TI74" t="s">
        <v>1900</v>
      </c>
      <c r="TJ74" t="s">
        <v>1900</v>
      </c>
      <c r="TK74" t="s">
        <v>1900</v>
      </c>
      <c r="TL74" t="s">
        <v>1900</v>
      </c>
      <c r="TM74" t="s">
        <v>1900</v>
      </c>
      <c r="TN74" t="s">
        <v>1900</v>
      </c>
      <c r="TO74" t="s">
        <v>1900</v>
      </c>
      <c r="TP74" t="s">
        <v>1900</v>
      </c>
      <c r="TQ74" t="s">
        <v>1900</v>
      </c>
      <c r="TR74" t="s">
        <v>1900</v>
      </c>
      <c r="TS74">
        <v>923003.689712577</v>
      </c>
      <c r="TT74">
        <v>638121.8191312311</v>
      </c>
      <c r="TU74">
        <v>350694.349297059</v>
      </c>
      <c r="TV74">
        <v>212814.589758325</v>
      </c>
      <c r="TW74">
        <v>61151.2910298228</v>
      </c>
      <c r="TX74" t="s">
        <v>1900</v>
      </c>
      <c r="TY74" t="s">
        <v>1900</v>
      </c>
      <c r="TZ74" t="s">
        <v>1900</v>
      </c>
      <c r="UA74" t="s">
        <v>1900</v>
      </c>
      <c r="UB74" t="s">
        <v>1900</v>
      </c>
      <c r="UC74">
        <v>30575.8523882627</v>
      </c>
      <c r="UD74">
        <v>23171.2526489735</v>
      </c>
      <c r="UE74">
        <v>30523.112207377</v>
      </c>
      <c r="UF74">
        <v>0</v>
      </c>
      <c r="UG74">
        <v>0</v>
      </c>
      <c r="UH74" t="s">
        <v>1900</v>
      </c>
      <c r="UI74" t="s">
        <v>1900</v>
      </c>
      <c r="UJ74" t="s">
        <v>1900</v>
      </c>
      <c r="UK74" t="s">
        <v>1900</v>
      </c>
      <c r="UL74" t="s">
        <v>1900</v>
      </c>
      <c r="UM74" t="s">
        <v>1900</v>
      </c>
      <c r="UN74" t="s">
        <v>1900</v>
      </c>
      <c r="UO74" t="s">
        <v>1900</v>
      </c>
      <c r="UP74" t="s">
        <v>1900</v>
      </c>
      <c r="UQ74" t="s">
        <v>1900</v>
      </c>
      <c r="UR74" t="s">
        <v>1900</v>
      </c>
      <c r="US74" t="s">
        <v>1900</v>
      </c>
      <c r="UT74" t="s">
        <v>1900</v>
      </c>
      <c r="UU74" t="s">
        <v>1900</v>
      </c>
      <c r="UV74" t="s">
        <v>1900</v>
      </c>
      <c r="UW74" t="s">
        <v>1900</v>
      </c>
      <c r="UX74" t="s">
        <v>1900</v>
      </c>
      <c r="UY74" t="s">
        <v>1900</v>
      </c>
      <c r="UZ74" t="s">
        <v>1900</v>
      </c>
      <c r="VA74" t="s">
        <v>1900</v>
      </c>
      <c r="VB74" t="s">
        <v>1900</v>
      </c>
      <c r="VC74" t="s">
        <v>1900</v>
      </c>
      <c r="VD74" t="s">
        <v>1900</v>
      </c>
      <c r="VE74" t="s">
        <v>1900</v>
      </c>
      <c r="VF74" t="s">
        <v>1900</v>
      </c>
      <c r="VG74" t="s">
        <v>1900</v>
      </c>
      <c r="VH74" t="s">
        <v>1900</v>
      </c>
      <c r="VI74" t="s">
        <v>1900</v>
      </c>
      <c r="VJ74" t="s">
        <v>1900</v>
      </c>
      <c r="VK74" t="s">
        <v>1900</v>
      </c>
      <c r="VL74" t="s">
        <v>1900</v>
      </c>
      <c r="VM74" t="s">
        <v>1900</v>
      </c>
      <c r="VN74" t="s">
        <v>1900</v>
      </c>
      <c r="VO74" t="s">
        <v>1900</v>
      </c>
      <c r="VP74" t="s">
        <v>1900</v>
      </c>
      <c r="VQ74" t="s">
        <v>1900</v>
      </c>
      <c r="VR74" t="s">
        <v>1900</v>
      </c>
      <c r="VS74" t="s">
        <v>1900</v>
      </c>
      <c r="VT74" t="s">
        <v>1900</v>
      </c>
      <c r="VU74" t="s">
        <v>1900</v>
      </c>
      <c r="VV74" t="s">
        <v>1900</v>
      </c>
      <c r="VW74" t="s">
        <v>1900</v>
      </c>
      <c r="VX74" t="s">
        <v>1900</v>
      </c>
      <c r="VY74" t="s">
        <v>1900</v>
      </c>
      <c r="VZ74" t="s">
        <v>1900</v>
      </c>
      <c r="WA74">
        <v>290492.321077896</v>
      </c>
      <c r="WB74">
        <v>405477.688823404</v>
      </c>
      <c r="WC74">
        <v>192900.703728557</v>
      </c>
      <c r="WD74">
        <v>40504.3013676166</v>
      </c>
      <c r="WE74">
        <v>42701.3867651463</v>
      </c>
      <c r="WF74" t="s">
        <v>1900</v>
      </c>
      <c r="WG74" t="s">
        <v>1900</v>
      </c>
      <c r="WH74" t="s">
        <v>1900</v>
      </c>
      <c r="WI74" t="s">
        <v>1900</v>
      </c>
      <c r="WJ74" t="s">
        <v>1900</v>
      </c>
      <c r="WK74" t="s">
        <v>1900</v>
      </c>
      <c r="WL74" t="s">
        <v>1900</v>
      </c>
      <c r="WM74" t="s">
        <v>1900</v>
      </c>
      <c r="WN74" t="s">
        <v>1900</v>
      </c>
      <c r="WO74" t="s">
        <v>1900</v>
      </c>
      <c r="WP74" t="s">
        <v>1900</v>
      </c>
      <c r="WQ74" t="s">
        <v>1900</v>
      </c>
      <c r="WR74" t="s">
        <v>1900</v>
      </c>
      <c r="WS74" t="s">
        <v>1900</v>
      </c>
      <c r="WT74" t="s">
        <v>1900</v>
      </c>
      <c r="WU74" t="s">
        <v>1900</v>
      </c>
      <c r="WV74" t="s">
        <v>1900</v>
      </c>
      <c r="WW74" t="s">
        <v>1900</v>
      </c>
      <c r="WX74" t="s">
        <v>1900</v>
      </c>
      <c r="WY74" t="s">
        <v>1900</v>
      </c>
      <c r="WZ74" t="s">
        <v>1900</v>
      </c>
      <c r="XA74" t="s">
        <v>1900</v>
      </c>
      <c r="XB74" t="s">
        <v>1900</v>
      </c>
      <c r="XC74" t="s">
        <v>1900</v>
      </c>
      <c r="XD74" t="s">
        <v>1900</v>
      </c>
      <c r="XE74" t="s">
        <v>1900</v>
      </c>
      <c r="XF74" t="s">
        <v>1900</v>
      </c>
      <c r="XG74" t="s">
        <v>1900</v>
      </c>
      <c r="XH74" t="s">
        <v>1900</v>
      </c>
      <c r="XI74" t="s">
        <v>1900</v>
      </c>
      <c r="XJ74" t="s">
        <v>1900</v>
      </c>
      <c r="XK74">
        <v>0</v>
      </c>
      <c r="XL74">
        <v>0</v>
      </c>
      <c r="XM74">
        <v>0</v>
      </c>
      <c r="XN74">
        <v>0</v>
      </c>
      <c r="XO74" t="s">
        <v>1900</v>
      </c>
      <c r="XP74" t="s">
        <v>1900</v>
      </c>
      <c r="XQ74" t="s">
        <v>1900</v>
      </c>
      <c r="XR74" t="s">
        <v>1900</v>
      </c>
      <c r="XS74" t="s">
        <v>1900</v>
      </c>
      <c r="XT74" t="s">
        <v>1900</v>
      </c>
      <c r="XU74" t="s">
        <v>1900</v>
      </c>
      <c r="XV74" t="s">
        <v>1900</v>
      </c>
      <c r="XW74" t="s">
        <v>1900</v>
      </c>
      <c r="XX74" t="s">
        <v>1900</v>
      </c>
      <c r="XY74" t="s">
        <v>1900</v>
      </c>
      <c r="XZ74">
        <v>0</v>
      </c>
      <c r="YA74">
        <v>0</v>
      </c>
      <c r="YB74">
        <v>0</v>
      </c>
      <c r="YC74">
        <v>0</v>
      </c>
      <c r="YD74" t="s">
        <v>1900</v>
      </c>
      <c r="YE74" t="s">
        <v>1900</v>
      </c>
      <c r="YF74" t="s">
        <v>1900</v>
      </c>
      <c r="YG74" t="s">
        <v>1900</v>
      </c>
      <c r="YH74" t="s">
        <v>1900</v>
      </c>
      <c r="YI74" t="s">
        <v>1900</v>
      </c>
      <c r="YJ74" t="s">
        <v>1900</v>
      </c>
      <c r="YK74" t="s">
        <v>1900</v>
      </c>
      <c r="YL74" t="s">
        <v>1900</v>
      </c>
      <c r="YM74" t="s">
        <v>1900</v>
      </c>
      <c r="YN74" t="s">
        <v>1900</v>
      </c>
      <c r="YO74" t="s">
        <v>1900</v>
      </c>
      <c r="YP74" t="s">
        <v>1900</v>
      </c>
      <c r="YQ74" t="s">
        <v>1900</v>
      </c>
      <c r="YR74" t="s">
        <v>1900</v>
      </c>
      <c r="YS74" t="s">
        <v>1900</v>
      </c>
      <c r="YT74" t="s">
        <v>1900</v>
      </c>
      <c r="YU74" t="s">
        <v>1900</v>
      </c>
      <c r="YV74" t="s">
        <v>1900</v>
      </c>
      <c r="YW74" t="s">
        <v>1900</v>
      </c>
      <c r="YX74" t="s">
        <v>1900</v>
      </c>
      <c r="YY74" t="s">
        <v>1900</v>
      </c>
      <c r="YZ74" t="s">
        <v>1900</v>
      </c>
      <c r="ZA74" t="s">
        <v>1900</v>
      </c>
      <c r="ZB74" t="s">
        <v>1900</v>
      </c>
      <c r="ZC74" t="s">
        <v>1900</v>
      </c>
      <c r="ZD74" t="s">
        <v>1900</v>
      </c>
      <c r="ZE74" t="s">
        <v>1900</v>
      </c>
      <c r="ZF74" t="s">
        <v>1900</v>
      </c>
      <c r="ZG74" t="s">
        <v>1900</v>
      </c>
      <c r="ZH74" t="s">
        <v>1900</v>
      </c>
      <c r="ZI74" t="s">
        <v>1900</v>
      </c>
      <c r="ZJ74" t="s">
        <v>1900</v>
      </c>
      <c r="ZK74" t="s">
        <v>1900</v>
      </c>
      <c r="ZL74" t="s">
        <v>1900</v>
      </c>
      <c r="ZM74" t="s">
        <v>1900</v>
      </c>
      <c r="ZN74" t="s">
        <v>1900</v>
      </c>
      <c r="ZO74" t="s">
        <v>1900</v>
      </c>
      <c r="ZP74" t="s">
        <v>1900</v>
      </c>
      <c r="ZQ74" t="s">
        <v>1900</v>
      </c>
      <c r="ZR74" t="s">
        <v>1900</v>
      </c>
      <c r="ZS74" t="s">
        <v>1900</v>
      </c>
      <c r="ZT74" t="s">
        <v>1900</v>
      </c>
      <c r="ZU74" t="s">
        <v>1900</v>
      </c>
      <c r="ZV74" t="s">
        <v>1900</v>
      </c>
      <c r="ZW74" t="s">
        <v>1900</v>
      </c>
      <c r="ZX74" t="s">
        <v>1900</v>
      </c>
      <c r="ZY74" t="s">
        <v>1900</v>
      </c>
      <c r="ZZ74" t="s">
        <v>1900</v>
      </c>
      <c r="AAA74" t="s">
        <v>1900</v>
      </c>
      <c r="AAB74" t="s">
        <v>1900</v>
      </c>
      <c r="AAC74" t="s">
        <v>1900</v>
      </c>
      <c r="AAD74" t="s">
        <v>1900</v>
      </c>
      <c r="AAE74" t="s">
        <v>1900</v>
      </c>
      <c r="AAF74" t="s">
        <v>1900</v>
      </c>
      <c r="AAG74" t="s">
        <v>1900</v>
      </c>
      <c r="AAH74" t="s">
        <v>1900</v>
      </c>
      <c r="AAI74" t="s">
        <v>1900</v>
      </c>
      <c r="AAJ74" t="s">
        <v>1900</v>
      </c>
      <c r="AAK74" t="s">
        <v>1900</v>
      </c>
      <c r="AAL74" t="s">
        <v>1900</v>
      </c>
      <c r="AAM74" t="s">
        <v>1900</v>
      </c>
      <c r="AAN74" t="s">
        <v>1900</v>
      </c>
      <c r="AAO74" t="s">
        <v>1900</v>
      </c>
      <c r="AAP74" t="s">
        <v>1900</v>
      </c>
      <c r="AAQ74" t="s">
        <v>1900</v>
      </c>
      <c r="AAR74" t="s">
        <v>1900</v>
      </c>
      <c r="AAS74" t="s">
        <v>1900</v>
      </c>
      <c r="AAT74" t="s">
        <v>1900</v>
      </c>
      <c r="AAU74" t="s">
        <v>1900</v>
      </c>
      <c r="AAV74" t="s">
        <v>1900</v>
      </c>
      <c r="AAW74" t="s">
        <v>1900</v>
      </c>
      <c r="AAX74" t="s">
        <v>1900</v>
      </c>
      <c r="AAY74" t="s">
        <v>1900</v>
      </c>
      <c r="AAZ74" t="s">
        <v>1900</v>
      </c>
      <c r="ABA74" t="s">
        <v>1900</v>
      </c>
      <c r="ABB74" t="s">
        <v>1900</v>
      </c>
      <c r="ABC74" t="s">
        <v>1900</v>
      </c>
      <c r="ABD74" t="s">
        <v>1900</v>
      </c>
      <c r="ABE74" t="s">
        <v>1900</v>
      </c>
      <c r="ABF74" t="s">
        <v>1900</v>
      </c>
      <c r="ABG74" t="s">
        <v>1900</v>
      </c>
      <c r="ABH74" t="s">
        <v>1900</v>
      </c>
      <c r="ABI74" t="s">
        <v>1900</v>
      </c>
      <c r="ABJ74" t="s">
        <v>1900</v>
      </c>
      <c r="ABK74" t="s">
        <v>1900</v>
      </c>
      <c r="ABL74" t="s">
        <v>1900</v>
      </c>
      <c r="ABM74" t="s">
        <v>1900</v>
      </c>
      <c r="ABN74" t="s">
        <v>1900</v>
      </c>
      <c r="ABO74" t="s">
        <v>1900</v>
      </c>
      <c r="ABP74" t="s">
        <v>1900</v>
      </c>
      <c r="ABQ74" t="s">
        <v>1900</v>
      </c>
      <c r="ABR74" t="s">
        <v>1900</v>
      </c>
      <c r="ABS74" t="s">
        <v>1900</v>
      </c>
      <c r="ABT74" t="s">
        <v>1900</v>
      </c>
      <c r="ABU74" t="s">
        <v>1900</v>
      </c>
      <c r="ABV74" t="s">
        <v>1900</v>
      </c>
      <c r="ABW74" t="s">
        <v>1900</v>
      </c>
      <c r="ABX74" t="s">
        <v>1900</v>
      </c>
      <c r="ABY74" t="s">
        <v>1900</v>
      </c>
      <c r="ABZ74" t="s">
        <v>1900</v>
      </c>
      <c r="ACA74" t="s">
        <v>1900</v>
      </c>
      <c r="ACB74" t="s">
        <v>1900</v>
      </c>
      <c r="ACC74" t="s">
        <v>1900</v>
      </c>
      <c r="ACD74" t="s">
        <v>1900</v>
      </c>
      <c r="ACE74">
        <v>46.012</v>
      </c>
      <c r="ACF74">
        <v>50.03</v>
      </c>
      <c r="ACG74">
        <v>-33.262</v>
      </c>
      <c r="ACH74">
        <v>-38.46</v>
      </c>
      <c r="ACI74" t="s">
        <v>1901</v>
      </c>
      <c r="ACJ74">
        <v>47.81</v>
      </c>
      <c r="ACK74">
        <v>49.614</v>
      </c>
      <c r="ACL74">
        <v>-27.731</v>
      </c>
      <c r="ACM74">
        <v>-34.09</v>
      </c>
      <c r="ACN74">
        <v>-115.262</v>
      </c>
      <c r="ACO74">
        <v>14.125</v>
      </c>
      <c r="ACP74">
        <v>15.474</v>
      </c>
      <c r="ACQ74">
        <v>-10.744</v>
      </c>
      <c r="ACR74">
        <v>-28.061</v>
      </c>
      <c r="ACS74">
        <v>-37.451</v>
      </c>
      <c r="ACT74">
        <v>34.509</v>
      </c>
      <c r="ACU74">
        <v>40.997</v>
      </c>
      <c r="ACV74">
        <v>-29.087</v>
      </c>
      <c r="ACW74">
        <v>-33.115</v>
      </c>
      <c r="ACX74" t="s">
        <v>1901</v>
      </c>
      <c r="ACY74">
        <v>36.307</v>
      </c>
      <c r="ACZ74">
        <v>41.103</v>
      </c>
      <c r="ADA74">
        <v>-24.015</v>
      </c>
      <c r="ADB74">
        <v>-29.273</v>
      </c>
      <c r="ADC74">
        <v>-96.726</v>
      </c>
      <c r="ADD74">
        <v>10.593</v>
      </c>
      <c r="ADE74">
        <v>12.68</v>
      </c>
      <c r="ADF74">
        <v>-9.395</v>
      </c>
      <c r="ADG74">
        <v>-24.161</v>
      </c>
      <c r="ADH74">
        <v>-31.859</v>
      </c>
      <c r="ADI74">
        <v>4.324</v>
      </c>
      <c r="ADJ74">
        <v>4.905</v>
      </c>
      <c r="ADK74">
        <v>-3.102</v>
      </c>
      <c r="ADL74">
        <v>-14.273</v>
      </c>
      <c r="ADM74">
        <v>-17.602</v>
      </c>
      <c r="ADN74">
        <v>100</v>
      </c>
      <c r="ADO74">
        <v>99.999</v>
      </c>
      <c r="ADP74">
        <v>100</v>
      </c>
      <c r="ADQ74">
        <v>100</v>
      </c>
      <c r="ADR74">
        <v>100</v>
      </c>
      <c r="ADS74">
        <v>4.493412888</v>
      </c>
      <c r="ADT74">
        <v>5.163478085</v>
      </c>
      <c r="ADU74">
        <v>-2.900225758</v>
      </c>
      <c r="ADV74">
        <v>-14.030802797</v>
      </c>
      <c r="ADW74">
        <v>-16.344141391</v>
      </c>
      <c r="ADX74">
        <v>4.493</v>
      </c>
      <c r="ADY74">
        <v>5.715</v>
      </c>
      <c r="ADZ74">
        <v>-2.79</v>
      </c>
      <c r="AEA74">
        <v>-13.919</v>
      </c>
      <c r="AEB74">
        <v>-16.344</v>
      </c>
      <c r="AEC74">
        <v>4.493</v>
      </c>
      <c r="AED74">
        <v>5.163</v>
      </c>
      <c r="AEE74">
        <v>-2.9</v>
      </c>
      <c r="AEF74">
        <v>-14.031</v>
      </c>
      <c r="AEG74">
        <v>-16.344</v>
      </c>
      <c r="AEH74" t="s">
        <v>1900</v>
      </c>
      <c r="AEI74">
        <v>4.57</v>
      </c>
      <c r="AEJ74">
        <v>-2.603</v>
      </c>
      <c r="AEK74">
        <v>-12.177</v>
      </c>
      <c r="AEL74" t="s">
        <v>1900</v>
      </c>
      <c r="AEM74">
        <v>4.70481987</v>
      </c>
      <c r="AEN74">
        <v>5.444609293</v>
      </c>
      <c r="AEO74">
        <v>-2.818483377</v>
      </c>
      <c r="AEP74">
        <v>-12.304397104</v>
      </c>
      <c r="AEQ74">
        <v>-14.048100055</v>
      </c>
      <c r="AER74">
        <v>1.047048344</v>
      </c>
      <c r="AES74">
        <v>1.054446404</v>
      </c>
      <c r="AET74" t="s">
        <v>1900</v>
      </c>
      <c r="AEU74" t="s">
        <v>1900</v>
      </c>
      <c r="AEV74" t="s">
        <v>1900</v>
      </c>
      <c r="AEW74" t="s">
        <v>1900</v>
      </c>
      <c r="AEX74" t="s">
        <v>1900</v>
      </c>
      <c r="AEY74" t="s">
        <v>1900</v>
      </c>
      <c r="AEZ74" t="s">
        <v>1900</v>
      </c>
      <c r="AFA74" t="s">
        <v>1900</v>
      </c>
      <c r="AFB74" t="s">
        <v>1900</v>
      </c>
      <c r="AFC74" t="s">
        <v>1900</v>
      </c>
      <c r="AFD74" t="s">
        <v>1900</v>
      </c>
      <c r="AFE74" t="s">
        <v>1900</v>
      </c>
      <c r="AFF74" t="s">
        <v>1900</v>
      </c>
      <c r="AFG74">
        <v>10.64</v>
      </c>
      <c r="AFH74">
        <v>9.611000000000001</v>
      </c>
      <c r="AFI74">
        <v>9.544</v>
      </c>
      <c r="AFJ74">
        <v>2.428</v>
      </c>
      <c r="AFK74">
        <v>7.052</v>
      </c>
      <c r="AFL74">
        <v>26.592</v>
      </c>
      <c r="AFM74">
        <v>20.049</v>
      </c>
      <c r="AFN74">
        <v>-14.773</v>
      </c>
      <c r="AFO74">
        <v>-60.064</v>
      </c>
      <c r="AFP74">
        <v>-12.997</v>
      </c>
      <c r="AFQ74" t="s">
        <v>1901</v>
      </c>
      <c r="AFR74" t="s">
        <v>1901</v>
      </c>
      <c r="AFS74" t="s">
        <v>1901</v>
      </c>
      <c r="AFT74" t="s">
        <v>1901</v>
      </c>
      <c r="AFU74" t="s">
        <v>1901</v>
      </c>
      <c r="AFV74">
        <v>62.492</v>
      </c>
      <c r="AFW74">
        <v>78.83499999999999</v>
      </c>
      <c r="AFX74">
        <v>60.184</v>
      </c>
      <c r="AFY74">
        <v>98.08499999999999</v>
      </c>
      <c r="AFZ74">
        <v>130.829</v>
      </c>
      <c r="AGA74">
        <v>38.045</v>
      </c>
      <c r="AGB74">
        <v>0</v>
      </c>
      <c r="AGC74">
        <v>0</v>
      </c>
      <c r="AGD74">
        <v>0</v>
      </c>
      <c r="AGE74">
        <v>0</v>
      </c>
      <c r="AGF74" t="s">
        <v>1900</v>
      </c>
      <c r="AGG74" t="s">
        <v>1900</v>
      </c>
      <c r="AGH74" t="s">
        <v>1900</v>
      </c>
      <c r="AGI74" t="s">
        <v>1900</v>
      </c>
      <c r="AGJ74" t="s">
        <v>1900</v>
      </c>
      <c r="AGK74" t="s">
        <v>1900</v>
      </c>
      <c r="AGL74" t="s">
        <v>1900</v>
      </c>
      <c r="AGM74" t="s">
        <v>1900</v>
      </c>
      <c r="AGN74" t="s">
        <v>1900</v>
      </c>
      <c r="AGO74" t="s">
        <v>1900</v>
      </c>
      <c r="AGP74" t="s">
        <v>1900</v>
      </c>
      <c r="AGQ74" t="s">
        <v>1900</v>
      </c>
      <c r="AGR74" t="s">
        <v>1900</v>
      </c>
      <c r="AGS74" t="s">
        <v>1900</v>
      </c>
      <c r="AGT74" t="s">
        <v>1900</v>
      </c>
      <c r="AGU74">
        <v>0</v>
      </c>
      <c r="AGV74">
        <v>0</v>
      </c>
      <c r="AGW74">
        <v>0</v>
      </c>
      <c r="AGX74">
        <v>0</v>
      </c>
      <c r="AGY74">
        <v>0</v>
      </c>
      <c r="AGZ74">
        <v>0.982</v>
      </c>
      <c r="AHA74">
        <v>1.133</v>
      </c>
      <c r="AHB74">
        <v>1.036</v>
      </c>
      <c r="AHC74">
        <v>4.912</v>
      </c>
      <c r="AHD74">
        <v>1.352</v>
      </c>
      <c r="AHE74">
        <v>0.982</v>
      </c>
      <c r="AHF74">
        <v>1.132</v>
      </c>
      <c r="AHG74">
        <v>1.034</v>
      </c>
      <c r="AHH74">
        <v>4.912</v>
      </c>
      <c r="AHI74">
        <v>1.352</v>
      </c>
      <c r="AHJ74" t="s">
        <v>1901</v>
      </c>
      <c r="AHK74">
        <v>16.304</v>
      </c>
      <c r="AHL74">
        <v>8.095000000000001</v>
      </c>
      <c r="AHM74">
        <v>9.114000000000001</v>
      </c>
      <c r="AHN74">
        <v>-0.454</v>
      </c>
      <c r="AHO74">
        <v>30.697</v>
      </c>
      <c r="AHP74">
        <v>30.929</v>
      </c>
      <c r="AHQ74">
        <v>32.301</v>
      </c>
      <c r="AHR74">
        <v>72.962</v>
      </c>
      <c r="AHS74">
        <v>-25.096</v>
      </c>
      <c r="AHT74">
        <v>44.295</v>
      </c>
      <c r="AHU74">
        <v>44.78</v>
      </c>
      <c r="AHV74">
        <v>47.712</v>
      </c>
      <c r="AHW74" t="s">
        <v>1901</v>
      </c>
      <c r="AHX74" t="s">
        <v>1901</v>
      </c>
      <c r="AHY74">
        <v>10.791</v>
      </c>
      <c r="AHZ74">
        <v>17.873</v>
      </c>
      <c r="AIA74">
        <v>39.299</v>
      </c>
      <c r="AIB74">
        <v>10.972</v>
      </c>
      <c r="AIC74" t="s">
        <v>1901</v>
      </c>
      <c r="AID74">
        <v>2.309094137</v>
      </c>
      <c r="AIE74">
        <v>1.734242528</v>
      </c>
      <c r="AIF74">
        <v>7.471088666</v>
      </c>
      <c r="AIG74">
        <v>5.383330448</v>
      </c>
      <c r="AIH74">
        <v>5.592344346</v>
      </c>
      <c r="AII74">
        <v>11.338846435</v>
      </c>
      <c r="AIJ74">
        <v>6.941799669</v>
      </c>
      <c r="AIK74">
        <v>7.984065288</v>
      </c>
      <c r="AIL74">
        <v>39.925601031</v>
      </c>
      <c r="AIM74">
        <v>17.083891687</v>
      </c>
      <c r="AIN74">
        <v>31.472498357</v>
      </c>
      <c r="AIO74">
        <v>63.54236396</v>
      </c>
      <c r="AIP74">
        <v>55.005364106</v>
      </c>
      <c r="AIQ74">
        <v>19.03267131</v>
      </c>
      <c r="AIR74">
        <v>69.82908462899999</v>
      </c>
      <c r="AIS74">
        <v>0</v>
      </c>
      <c r="AIT74" t="s">
        <v>1901</v>
      </c>
      <c r="AIU74" t="s">
        <v>1900</v>
      </c>
      <c r="AIV74" t="s">
        <v>1900</v>
      </c>
      <c r="AIW74" t="s">
        <v>1900</v>
      </c>
      <c r="AIX74">
        <v>11.851824140975</v>
      </c>
      <c r="AIY74">
        <v>19.7487125129795</v>
      </c>
      <c r="AIZ74">
        <v>-9.419646715566509</v>
      </c>
      <c r="AJA74">
        <v>-29.8592572388291</v>
      </c>
      <c r="AJB74" t="s">
        <v>1900</v>
      </c>
      <c r="AJC74">
        <v>274.065029601661</v>
      </c>
      <c r="AJD74">
        <v>402.628964394932</v>
      </c>
      <c r="AJE74">
        <v>303.66914045319</v>
      </c>
      <c r="AJF74">
        <v>209.199488140941</v>
      </c>
      <c r="AJG74" t="s">
        <v>1900</v>
      </c>
      <c r="AJH74">
        <v>17.538</v>
      </c>
      <c r="AJI74">
        <v>18.959</v>
      </c>
      <c r="AJJ74">
        <v>11.204</v>
      </c>
      <c r="AJK74">
        <v>15.192</v>
      </c>
      <c r="AJL74" t="s">
        <v>1900</v>
      </c>
      <c r="AJM74">
        <v>48.0667016860031</v>
      </c>
      <c r="AJN74">
        <v>76.3355735384674</v>
      </c>
      <c r="AJO74">
        <v>34.0229291092068</v>
      </c>
      <c r="AJP74">
        <v>31.7813818946242</v>
      </c>
      <c r="AJQ74" t="s">
        <v>1900</v>
      </c>
      <c r="AJR74">
        <v>25.7580710851825</v>
      </c>
      <c r="AJS74">
        <v>39.4735459652424</v>
      </c>
      <c r="AJT74">
        <v>28.3191848855948</v>
      </c>
      <c r="AJU74">
        <v>77.6369592169404</v>
      </c>
      <c r="AJV74" t="s">
        <v>1900</v>
      </c>
      <c r="AJW74">
        <v>18.6116058112682</v>
      </c>
      <c r="AJX74">
        <v>88.25701061866189</v>
      </c>
      <c r="AJY74">
        <v>50.8715052564621</v>
      </c>
      <c r="AJZ74">
        <v>56.9983879602313</v>
      </c>
      <c r="AKA74" t="s">
        <v>1900</v>
      </c>
      <c r="AKB74">
        <v>83.9094267152886</v>
      </c>
      <c r="AKC74">
        <v>127.624363826246</v>
      </c>
      <c r="AKD74">
        <v>87.6735873242646</v>
      </c>
      <c r="AKE74">
        <v>106.407294879162</v>
      </c>
      <c r="AKF74" t="s">
        <v>1900</v>
      </c>
      <c r="AKG74">
        <v>0</v>
      </c>
      <c r="AKH74" t="s">
        <v>1901</v>
      </c>
      <c r="AKI74" t="s">
        <v>1900</v>
      </c>
      <c r="AKJ74" t="s">
        <v>1900</v>
      </c>
      <c r="AKK74" t="s">
        <v>1900</v>
      </c>
      <c r="AKL74">
        <v>0</v>
      </c>
      <c r="AKM74">
        <v>0.021629117</v>
      </c>
      <c r="AKN74">
        <v>0.034601271</v>
      </c>
      <c r="AKO74">
        <v>0</v>
      </c>
      <c r="AKP74">
        <v>0</v>
      </c>
      <c r="AKQ74">
        <v>0</v>
      </c>
      <c r="AKR74">
        <v>0.068235474</v>
      </c>
      <c r="AKS74">
        <v>0.119846108</v>
      </c>
      <c r="AKT74">
        <v>0</v>
      </c>
      <c r="AKU74">
        <v>0</v>
      </c>
      <c r="AKV74">
        <v>8.895579037999999</v>
      </c>
      <c r="AKW74">
        <v>6.735191712</v>
      </c>
      <c r="AKX74">
        <v>7.156955685</v>
      </c>
      <c r="AKY74">
        <v>0</v>
      </c>
      <c r="AKZ74">
        <v>0</v>
      </c>
      <c r="ALA74">
        <v>29.054746793</v>
      </c>
      <c r="ALB74">
        <v>21.248162833</v>
      </c>
      <c r="ALC74">
        <v>24.789068721</v>
      </c>
      <c r="ALD74">
        <v>0</v>
      </c>
      <c r="ALE74">
        <v>0</v>
      </c>
      <c r="ALF74">
        <v>0.183496977</v>
      </c>
      <c r="ALG74">
        <v>0.292273287</v>
      </c>
      <c r="ALH74">
        <v>0.500060149</v>
      </c>
      <c r="ALI74">
        <v>0.572132388</v>
      </c>
      <c r="ALJ74">
        <v>0</v>
      </c>
      <c r="ALK74">
        <v>0.599337961</v>
      </c>
      <c r="ALL74">
        <v>0.922062898</v>
      </c>
      <c r="ALM74">
        <v>1.732024893</v>
      </c>
      <c r="ALN74">
        <v>1.124827041</v>
      </c>
      <c r="ALO74">
        <v>0</v>
      </c>
      <c r="ALP74">
        <v>17.35899881</v>
      </c>
      <c r="ALQ74">
        <v>21.898555078</v>
      </c>
      <c r="ALR74">
        <v>16.717678918</v>
      </c>
      <c r="ALS74">
        <v>27.24595001</v>
      </c>
      <c r="ALT74">
        <v>36.34142523</v>
      </c>
      <c r="ALU74">
        <v>60.879396494</v>
      </c>
      <c r="ALV74">
        <v>0</v>
      </c>
      <c r="ALW74">
        <v>0</v>
      </c>
      <c r="ALX74">
        <v>0</v>
      </c>
      <c r="ALY74">
        <v>0</v>
      </c>
      <c r="ALZ74">
        <v>99.99970570348739</v>
      </c>
      <c r="AMA74">
        <v>99.9994576940128</v>
      </c>
      <c r="AMB74">
        <v>100</v>
      </c>
      <c r="AMC74">
        <v>100</v>
      </c>
      <c r="AMD74">
        <v>100</v>
      </c>
      <c r="AME74">
        <v>99.99970570348739</v>
      </c>
      <c r="AMF74">
        <v>99.9994576940128</v>
      </c>
      <c r="AMG74">
        <v>100</v>
      </c>
      <c r="AMH74">
        <v>100</v>
      </c>
      <c r="AMI74">
        <v>100</v>
      </c>
      <c r="AMJ74">
        <v>33979235.7142857</v>
      </c>
      <c r="AMK74">
        <v>18439674.291498</v>
      </c>
      <c r="AML74" t="s">
        <v>1900</v>
      </c>
      <c r="AMM74" t="s">
        <v>1900</v>
      </c>
      <c r="AMN74" t="s">
        <v>1900</v>
      </c>
      <c r="AMO74">
        <v>1.0470483436761</v>
      </c>
      <c r="AMP74">
        <v>1.05444640426789</v>
      </c>
      <c r="AMQ74">
        <v>0.971815166230612</v>
      </c>
      <c r="AMR74">
        <v>0.876956028957119</v>
      </c>
      <c r="AMS74">
        <v>0.859519006413149</v>
      </c>
      <c r="AMT74">
        <v>1.0470483436761</v>
      </c>
      <c r="AMU74">
        <v>1.05444640426789</v>
      </c>
      <c r="AMV74">
        <v>0.971815166230612</v>
      </c>
      <c r="AMW74">
        <v>0.876956028957119</v>
      </c>
      <c r="AMX74">
        <v>0.859518998306926</v>
      </c>
      <c r="AMY74">
        <v>1.0470483436761</v>
      </c>
      <c r="AMZ74">
        <v>1.05444640426789</v>
      </c>
      <c r="ANA74" t="s">
        <v>1900</v>
      </c>
      <c r="ANB74" t="s">
        <v>1900</v>
      </c>
      <c r="ANC74" t="s">
        <v>1900</v>
      </c>
      <c r="AND74">
        <v>4.49341288763094</v>
      </c>
      <c r="ANE74">
        <v>5.16347808493752</v>
      </c>
      <c r="ANF74">
        <v>-2.90022575781657</v>
      </c>
      <c r="ANG74">
        <v>-14.0308027973997</v>
      </c>
      <c r="ANH74">
        <v>-16.3441413912781</v>
      </c>
      <c r="ANI74">
        <v>4.49341288763094</v>
      </c>
      <c r="ANJ74">
        <v>5.16347808493752</v>
      </c>
      <c r="ANK74">
        <v>-2.90022575781657</v>
      </c>
      <c r="ANL74">
        <v>-14.0308027973997</v>
      </c>
      <c r="ANM74">
        <v>-16.3441413912781</v>
      </c>
      <c r="ANN74">
        <v>4.70481987000978</v>
      </c>
      <c r="ANO74">
        <v>5.44460929256984</v>
      </c>
      <c r="ANP74">
        <v>-2.81848337693881</v>
      </c>
      <c r="ANQ74">
        <v>-12.3043971042881</v>
      </c>
      <c r="ANR74">
        <v>-14.0481000554304</v>
      </c>
      <c r="ANS74">
        <v>47.8097656537029</v>
      </c>
      <c r="ANT74">
        <v>49.6237474094406</v>
      </c>
      <c r="ANU74">
        <v>-27.6799048369627</v>
      </c>
      <c r="ANV74">
        <v>-34.0691991271808</v>
      </c>
      <c r="ANW74">
        <v>-115.261602965805</v>
      </c>
      <c r="ANX74">
        <v>99.99970570348739</v>
      </c>
      <c r="ANY74">
        <v>99.9994576940128</v>
      </c>
      <c r="ANZ74" t="s">
        <v>1900</v>
      </c>
      <c r="AOA74" t="s">
        <v>1900</v>
      </c>
      <c r="AOB74" t="s">
        <v>1900</v>
      </c>
      <c r="AOC74">
        <v>104.704511727376</v>
      </c>
      <c r="AOD74">
        <v>105.444037460141</v>
      </c>
      <c r="AOE74">
        <v>97.1815166230612</v>
      </c>
      <c r="AOF74">
        <v>87.6956028957119</v>
      </c>
      <c r="AOG74">
        <v>85.9518999445696</v>
      </c>
      <c r="AOH74" t="s">
        <v>1901</v>
      </c>
      <c r="AOI74" t="s">
        <v>1901</v>
      </c>
      <c r="AOJ74" t="s">
        <v>1901</v>
      </c>
      <c r="AOK74" t="s">
        <v>1901</v>
      </c>
      <c r="AOL74" t="s">
        <v>1901</v>
      </c>
      <c r="AOM74">
        <v>1526831.8501171</v>
      </c>
      <c r="AON74">
        <v>952133.704453441</v>
      </c>
      <c r="AOO74" t="s">
        <v>1900</v>
      </c>
      <c r="AOP74" t="s">
        <v>1900</v>
      </c>
      <c r="AOQ74" t="s">
        <v>1900</v>
      </c>
      <c r="AOR74">
        <v>4.70483436761029</v>
      </c>
      <c r="AOS74">
        <v>5.44464042678946</v>
      </c>
      <c r="AOT74">
        <v>-2.81848337693881</v>
      </c>
      <c r="AOU74">
        <v>-12.3043971042881</v>
      </c>
      <c r="AOV74">
        <v>-14.0481001693074</v>
      </c>
      <c r="AOW74">
        <v>14.6763884763698</v>
      </c>
      <c r="AOX74">
        <v>16.2897253446428</v>
      </c>
      <c r="AOY74">
        <v>-10.045317978595</v>
      </c>
      <c r="AOZ74">
        <v>-27.5849204394848</v>
      </c>
      <c r="APA74">
        <v>-34.7754806856842</v>
      </c>
      <c r="APB74">
        <v>3.24334296205587</v>
      </c>
      <c r="APC74">
        <v>4.01927777027929</v>
      </c>
      <c r="APD74">
        <v>-2.71255699923869</v>
      </c>
      <c r="APE74">
        <v>-12.2893308194454</v>
      </c>
      <c r="APF74">
        <v>-14.9733665308586</v>
      </c>
      <c r="APG74">
        <v>3.24334296205587</v>
      </c>
      <c r="APH74">
        <v>4.01927777027929</v>
      </c>
      <c r="API74">
        <v>-2.71255699923869</v>
      </c>
      <c r="APJ74">
        <v>-12.2893308194454</v>
      </c>
      <c r="APK74">
        <v>-14.9733665308586</v>
      </c>
      <c r="APL74">
        <v>1102066.39344262</v>
      </c>
      <c r="APM74">
        <v>741145.748987854</v>
      </c>
      <c r="APN74" t="s">
        <v>1900</v>
      </c>
      <c r="APO74" t="s">
        <v>1900</v>
      </c>
      <c r="APP74" t="s">
        <v>1900</v>
      </c>
      <c r="APQ74">
        <v>3.39594687054735</v>
      </c>
      <c r="APR74">
        <v>4.23813597629002</v>
      </c>
      <c r="APS74">
        <v>-2.63610403112516</v>
      </c>
      <c r="APT74">
        <v>-10.7772027539612</v>
      </c>
      <c r="APU74">
        <v>-12.8698931232635</v>
      </c>
      <c r="APV74">
        <v>3.39593640618724</v>
      </c>
      <c r="APW74">
        <v>4.23811174125411</v>
      </c>
      <c r="APX74">
        <v>-2.63610403112516</v>
      </c>
      <c r="APY74">
        <v>-10.7772027539612</v>
      </c>
      <c r="APZ74">
        <v>-12.8698930189373</v>
      </c>
      <c r="AQA74">
        <v>10.5934091666186</v>
      </c>
      <c r="AQB74">
        <v>12.680005586287</v>
      </c>
      <c r="AQC74">
        <v>-9.395302251549641</v>
      </c>
      <c r="AQD74">
        <v>-24.161141582842</v>
      </c>
      <c r="AQE74">
        <v>-31.8588787338449</v>
      </c>
      <c r="AQF74">
        <v>0.0470483436761029</v>
      </c>
      <c r="AQG74">
        <v>0.0544464042678946</v>
      </c>
      <c r="AQH74" t="s">
        <v>1900</v>
      </c>
      <c r="AQI74" t="s">
        <v>1900</v>
      </c>
      <c r="AQJ74" t="s">
        <v>1900</v>
      </c>
      <c r="AQK74">
        <v>1</v>
      </c>
      <c r="AQO74" t="s">
        <v>1902</v>
      </c>
      <c r="AQP74">
        <v>4</v>
      </c>
      <c r="AQQ74">
        <v>0</v>
      </c>
      <c r="AQS74" t="s">
        <v>1905</v>
      </c>
      <c r="AQU74" t="s">
        <v>1906</v>
      </c>
      <c r="AQV74">
        <v>3014715.32977386</v>
      </c>
      <c r="AQW74">
        <v>2013144.82197466</v>
      </c>
      <c r="AQX74">
        <v>1214676.56181276</v>
      </c>
      <c r="AQY74">
        <v>135463.607153444</v>
      </c>
      <c r="AQZ74">
        <v>103948.291700716</v>
      </c>
      <c r="ARA74">
        <v>-35228.3625198543</v>
      </c>
      <c r="ARB74">
        <v>6242536.713561281</v>
      </c>
      <c r="ARC74">
        <v>204183.5363343057</v>
      </c>
      <c r="ARD74">
        <v>0.03381444084860137</v>
      </c>
      <c r="ARE74">
        <v>0.03381444084860137</v>
      </c>
      <c r="ARF74">
        <v>0.03381444084860137</v>
      </c>
      <c r="ARG74">
        <v>0.03381444084860137</v>
      </c>
      <c r="ARH74">
        <v>0.03381444084860137</v>
      </c>
      <c r="ARI74">
        <v>0.03381444084860137</v>
      </c>
      <c r="ARJ74" t="s">
        <v>1235</v>
      </c>
      <c r="ARK74" t="s">
        <v>1573</v>
      </c>
      <c r="ARL74" t="s">
        <v>1908</v>
      </c>
      <c r="ARM74" t="s">
        <v>1908</v>
      </c>
      <c r="ARN74" t="s">
        <v>1909</v>
      </c>
      <c r="ARO74" t="s">
        <v>1908</v>
      </c>
      <c r="ARP74" t="s">
        <v>1907</v>
      </c>
      <c r="ARQ74" t="s">
        <v>1968</v>
      </c>
      <c r="ARR74">
        <f>HYPERLINK("C:\Users\Usuario\Documents\Proyectos\llmthon\evidence\legalpigeon_com_235015.png", "Ver Evidencia")</f>
        <v>0</v>
      </c>
      <c r="ARS74">
        <v>100</v>
      </c>
    </row>
    <row r="75" spans="1:1163">
      <c r="A75">
        <v>131</v>
      </c>
      <c r="B75" t="s">
        <v>1236</v>
      </c>
      <c r="C75" t="s">
        <v>1359</v>
      </c>
      <c r="E75" s="2">
        <v>27533</v>
      </c>
      <c r="F75" t="s">
        <v>1431</v>
      </c>
      <c r="G75" t="s">
        <v>1433</v>
      </c>
      <c r="H75" t="s">
        <v>1434</v>
      </c>
      <c r="I75" t="s">
        <v>1437</v>
      </c>
      <c r="J75" t="s">
        <v>1453</v>
      </c>
      <c r="L75" t="s">
        <v>1574</v>
      </c>
      <c r="N75" t="s">
        <v>1627</v>
      </c>
      <c r="O75" t="s">
        <v>1651</v>
      </c>
      <c r="P75">
        <v>6910</v>
      </c>
      <c r="Q75">
        <v>6910</v>
      </c>
      <c r="R75" t="s">
        <v>1744</v>
      </c>
      <c r="S75" t="s">
        <v>1823</v>
      </c>
      <c r="T75" t="s">
        <v>1862</v>
      </c>
      <c r="U75" t="s">
        <v>1873</v>
      </c>
      <c r="X75" t="s">
        <v>1874</v>
      </c>
      <c r="Z75" t="s">
        <v>1899</v>
      </c>
      <c r="AA75" s="2">
        <v>45657</v>
      </c>
      <c r="AB75">
        <v>2024</v>
      </c>
      <c r="AC75">
        <v>7039215.1758721</v>
      </c>
      <c r="AD75">
        <v>7365636.28050205</v>
      </c>
      <c r="AE75">
        <v>6799835.79461576</v>
      </c>
      <c r="AF75">
        <v>7055880.65541093</v>
      </c>
      <c r="AG75">
        <v>7554385.09752473</v>
      </c>
      <c r="AH75">
        <v>6886792.18822015</v>
      </c>
      <c r="AI75">
        <v>7215411.35368795</v>
      </c>
      <c r="AJ75">
        <v>6666897.43796859</v>
      </c>
      <c r="AK75">
        <v>6922045.09394088</v>
      </c>
      <c r="AL75">
        <v>7411369.71738233</v>
      </c>
      <c r="AM75">
        <v>506261.564118576</v>
      </c>
      <c r="AN75">
        <v>527562.762513685</v>
      </c>
      <c r="AO75">
        <v>508015.192644405</v>
      </c>
      <c r="AP75">
        <v>513817.709359002</v>
      </c>
      <c r="AQ75">
        <v>580920.674400788</v>
      </c>
      <c r="AR75">
        <v>6532953.61175352</v>
      </c>
      <c r="AS75">
        <v>6838073.51798837</v>
      </c>
      <c r="AT75">
        <v>6291820.60197136</v>
      </c>
      <c r="AU75">
        <v>6542062.94605193</v>
      </c>
      <c r="AV75">
        <v>6973464.42312394</v>
      </c>
      <c r="AW75">
        <v>5825397.56333974</v>
      </c>
      <c r="AX75">
        <v>6076266.25405363</v>
      </c>
      <c r="AY75">
        <v>5679288.14154709</v>
      </c>
      <c r="AZ75">
        <v>5925066.27741516</v>
      </c>
      <c r="BA75">
        <v>6385587.62956951</v>
      </c>
      <c r="BB75">
        <v>707556.048413779</v>
      </c>
      <c r="BC75">
        <v>761807.26503974</v>
      </c>
      <c r="BD75">
        <v>612532.460424274</v>
      </c>
      <c r="BE75">
        <v>616996.668636775</v>
      </c>
      <c r="BF75">
        <v>587876.793554437</v>
      </c>
      <c r="BG75">
        <v>-73911.4169928968</v>
      </c>
      <c r="BH75">
        <v>-77835.9575768213</v>
      </c>
      <c r="BI75">
        <v>-44332.013138032</v>
      </c>
      <c r="BJ75">
        <v>-67769.8302833319</v>
      </c>
      <c r="BK75">
        <v>-97350.303149271</v>
      </c>
      <c r="BL75">
        <v>3822.00648212183</v>
      </c>
      <c r="BM75">
        <v>1828.0244203949</v>
      </c>
      <c r="BN75">
        <v>10089.53945656</v>
      </c>
      <c r="BO75">
        <v>1379.43921847343</v>
      </c>
      <c r="BP75">
        <v>1480.17625894547</v>
      </c>
      <c r="BQ75">
        <v>77733.4245139182</v>
      </c>
      <c r="BR75">
        <v>79663.98199721619</v>
      </c>
      <c r="BS75">
        <v>54421.5536611915</v>
      </c>
      <c r="BT75">
        <v>69149.26950180531</v>
      </c>
      <c r="BU75">
        <v>98830.4794082165</v>
      </c>
      <c r="BV75">
        <v>633644.631420882</v>
      </c>
      <c r="BW75">
        <v>683971.306357918</v>
      </c>
      <c r="BX75">
        <v>568200.447286242</v>
      </c>
      <c r="BY75">
        <v>549226.838353443</v>
      </c>
      <c r="BZ75">
        <v>490526.490405166</v>
      </c>
      <c r="CA75">
        <v>167275.812329352</v>
      </c>
      <c r="CB75">
        <v>184190.134812269</v>
      </c>
      <c r="CC75">
        <v>154910.541823781</v>
      </c>
      <c r="CD75">
        <v>153152.535405993</v>
      </c>
      <c r="CE75">
        <v>146480.168640304</v>
      </c>
      <c r="CF75">
        <v>466368.81909153</v>
      </c>
      <c r="CG75">
        <v>499781.171545649</v>
      </c>
      <c r="CH75">
        <v>413289.904395862</v>
      </c>
      <c r="CI75">
        <v>396074.30294745</v>
      </c>
      <c r="CJ75">
        <v>344046.321764863</v>
      </c>
      <c r="CK75" t="s">
        <v>1900</v>
      </c>
      <c r="CL75" t="s">
        <v>1900</v>
      </c>
      <c r="CM75" t="s">
        <v>1900</v>
      </c>
      <c r="CN75" t="s">
        <v>1900</v>
      </c>
      <c r="CO75" t="s">
        <v>1900</v>
      </c>
      <c r="CP75" t="s">
        <v>1900</v>
      </c>
      <c r="CQ75" t="s">
        <v>1900</v>
      </c>
      <c r="CR75" t="s">
        <v>1900</v>
      </c>
      <c r="CS75" t="s">
        <v>1900</v>
      </c>
      <c r="CT75" t="s">
        <v>1900</v>
      </c>
      <c r="CU75" t="s">
        <v>1900</v>
      </c>
      <c r="CV75" t="s">
        <v>1900</v>
      </c>
      <c r="CW75" t="s">
        <v>1900</v>
      </c>
      <c r="CX75" t="s">
        <v>1900</v>
      </c>
      <c r="CY75" t="s">
        <v>1900</v>
      </c>
      <c r="CZ75">
        <v>466368.81909153</v>
      </c>
      <c r="DA75">
        <v>499781.171545649</v>
      </c>
      <c r="DB75">
        <v>413289.904395862</v>
      </c>
      <c r="DC75">
        <v>396074.30294745</v>
      </c>
      <c r="DD75">
        <v>344046.321764863</v>
      </c>
      <c r="DE75" t="s">
        <v>1900</v>
      </c>
      <c r="DF75" t="s">
        <v>1900</v>
      </c>
      <c r="DG75" t="s">
        <v>1900</v>
      </c>
      <c r="DH75" t="s">
        <v>1900</v>
      </c>
      <c r="DI75" t="s">
        <v>1900</v>
      </c>
      <c r="DJ75">
        <v>506261.564118576</v>
      </c>
      <c r="DK75">
        <v>527562.762513685</v>
      </c>
      <c r="DL75">
        <v>508015.192644405</v>
      </c>
      <c r="DM75">
        <v>513817.709359002</v>
      </c>
      <c r="DN75">
        <v>580920.674400788</v>
      </c>
      <c r="DO75">
        <v>5055007.13573003</v>
      </c>
      <c r="DP75">
        <v>5377836.635007</v>
      </c>
      <c r="DQ75">
        <v>5005668.50035431</v>
      </c>
      <c r="DR75">
        <v>5188797.79222991</v>
      </c>
      <c r="DS75">
        <v>5516175.84851756</v>
      </c>
      <c r="DT75">
        <v>93796.7749363828</v>
      </c>
      <c r="DU75">
        <v>105059.900099592</v>
      </c>
      <c r="DV75">
        <v>110361.465023893</v>
      </c>
      <c r="DW75">
        <v>119074.313706851</v>
      </c>
      <c r="DX75">
        <v>176949.584168863</v>
      </c>
      <c r="DY75">
        <v>676593.652673333</v>
      </c>
      <c r="DZ75">
        <v>593369.718947039</v>
      </c>
      <c r="EA75">
        <v>563258.177235484</v>
      </c>
      <c r="EB75">
        <v>617194.171478391</v>
      </c>
      <c r="EC75">
        <v>692462.196883082</v>
      </c>
      <c r="ED75">
        <v>77733.4245139182</v>
      </c>
      <c r="EE75">
        <v>77638.0751930142</v>
      </c>
      <c r="EF75">
        <v>54421.5536611915</v>
      </c>
      <c r="EG75">
        <v>69149.26950180531</v>
      </c>
      <c r="EH75">
        <v>90821.26363579631</v>
      </c>
      <c r="EI75" t="s">
        <v>1900</v>
      </c>
      <c r="EJ75" t="s">
        <v>1900</v>
      </c>
      <c r="EK75" t="s">
        <v>1900</v>
      </c>
      <c r="EL75" t="s">
        <v>1900</v>
      </c>
      <c r="EM75" t="s">
        <v>1900</v>
      </c>
      <c r="EN75">
        <v>560165.5940279129</v>
      </c>
      <c r="EO75">
        <v>604841.071645241</v>
      </c>
      <c r="EP75">
        <v>523651.369419755</v>
      </c>
      <c r="EQ75">
        <v>515148.616654301</v>
      </c>
      <c r="ER75">
        <v>520995.904706627</v>
      </c>
      <c r="ES75">
        <v>5860181.96556231</v>
      </c>
      <c r="ET75">
        <v>6244505.91665752</v>
      </c>
      <c r="EU75">
        <v>5738651.96525903</v>
      </c>
      <c r="EV75">
        <v>5926248.21379201</v>
      </c>
      <c r="EW75">
        <v>6274473.18672739</v>
      </c>
      <c r="EX75">
        <v>801352.823350161</v>
      </c>
      <c r="EY75">
        <v>866867.1651393319</v>
      </c>
      <c r="EZ75">
        <v>722893.925448167</v>
      </c>
      <c r="FA75">
        <v>736070.982343626</v>
      </c>
      <c r="FB75">
        <v>764826.3777233</v>
      </c>
      <c r="FC75">
        <v>6356237.15307207</v>
      </c>
      <c r="FD75">
        <v>6881691.00476836</v>
      </c>
      <c r="FE75">
        <v>6745933.23866616</v>
      </c>
      <c r="FF75">
        <v>7249055.53677571</v>
      </c>
      <c r="FG75">
        <v>7934249.85883232</v>
      </c>
      <c r="FH75">
        <v>0</v>
      </c>
      <c r="FI75">
        <v>0.298350133895874</v>
      </c>
      <c r="FJ75">
        <v>3785.13759793639</v>
      </c>
      <c r="FK75">
        <v>8436.705712294581</v>
      </c>
      <c r="FL75">
        <v>15740.94758026</v>
      </c>
      <c r="FM75">
        <v>3747693.9252382</v>
      </c>
      <c r="FN75">
        <v>4058065.27025983</v>
      </c>
      <c r="FO75">
        <v>3989151.72436686</v>
      </c>
      <c r="FP75">
        <v>4299764.32481189</v>
      </c>
      <c r="FQ75">
        <v>4703269.70779971</v>
      </c>
      <c r="FR75">
        <v>2608543.22783388</v>
      </c>
      <c r="FS75">
        <v>2823625.4350534</v>
      </c>
      <c r="FT75">
        <v>2752996.37563477</v>
      </c>
      <c r="FU75">
        <v>2940854.50625153</v>
      </c>
      <c r="FV75">
        <v>3215239.20345235</v>
      </c>
      <c r="FW75">
        <v>0</v>
      </c>
      <c r="FX75">
        <v>0.298350133895874</v>
      </c>
      <c r="FY75">
        <v>3785.13759793639</v>
      </c>
      <c r="FZ75">
        <v>8436.705712294581</v>
      </c>
      <c r="GA75">
        <v>15740.94758026</v>
      </c>
      <c r="GB75">
        <v>3747693.9252382</v>
      </c>
      <c r="GC75">
        <v>4058065.27025983</v>
      </c>
      <c r="GD75">
        <v>3989151.72436686</v>
      </c>
      <c r="GE75">
        <v>4299764.32481189</v>
      </c>
      <c r="GF75">
        <v>4703269.70779971</v>
      </c>
      <c r="GG75">
        <v>2608543.22783388</v>
      </c>
      <c r="GH75">
        <v>2823625.4350534</v>
      </c>
      <c r="GI75">
        <v>2752996.37563477</v>
      </c>
      <c r="GJ75">
        <v>2940854.50625153</v>
      </c>
      <c r="GK75">
        <v>3215239.20345235</v>
      </c>
      <c r="GL75">
        <v>246670.364486203</v>
      </c>
      <c r="GM75">
        <v>106870.023511953</v>
      </c>
      <c r="GN75">
        <v>52742.3314248621</v>
      </c>
      <c r="GO75">
        <v>100504.040501618</v>
      </c>
      <c r="GP75">
        <v>73912.5838202119</v>
      </c>
      <c r="GQ75">
        <v>0</v>
      </c>
      <c r="GR75">
        <v>0</v>
      </c>
      <c r="GS75">
        <v>0</v>
      </c>
      <c r="GT75">
        <v>0</v>
      </c>
      <c r="GU75">
        <v>0</v>
      </c>
      <c r="GV75">
        <v>9725.77233109593</v>
      </c>
      <c r="GW75">
        <v>66799.53417881011</v>
      </c>
      <c r="GX75">
        <v>24986.5329217613</v>
      </c>
      <c r="GY75">
        <v>33565.300997901</v>
      </c>
      <c r="GZ75">
        <v>33391.8384071052</v>
      </c>
      <c r="HA75">
        <v>236944.591116208</v>
      </c>
      <c r="HB75">
        <v>40070.4893331432</v>
      </c>
      <c r="HC75">
        <v>27755.7985031009</v>
      </c>
      <c r="HD75">
        <v>66938.7395037174</v>
      </c>
      <c r="HE75">
        <v>40520.7454131067</v>
      </c>
      <c r="HF75">
        <v>232450.35429715</v>
      </c>
      <c r="HG75">
        <v>34003.8487605095</v>
      </c>
      <c r="HH75">
        <v>17049.4221638918</v>
      </c>
      <c r="HI75">
        <v>59867.927110219</v>
      </c>
      <c r="HJ75">
        <v>29084.7198661029</v>
      </c>
      <c r="HK75">
        <v>6602907.51755827</v>
      </c>
      <c r="HL75">
        <v>6988561.02828032</v>
      </c>
      <c r="HM75">
        <v>6798675.57009103</v>
      </c>
      <c r="HN75">
        <v>7349559.57727733</v>
      </c>
      <c r="HO75">
        <v>8008162.44265253</v>
      </c>
      <c r="HP75">
        <v>4225768.10856902</v>
      </c>
      <c r="HQ75">
        <v>3998594.58557012</v>
      </c>
      <c r="HR75">
        <v>3377222.55394514</v>
      </c>
      <c r="HS75">
        <v>3147339.80836365</v>
      </c>
      <c r="HT75">
        <v>2980818.52176259</v>
      </c>
      <c r="HU75">
        <v>62439.1194766057</v>
      </c>
      <c r="HV75">
        <v>66411.8668548298</v>
      </c>
      <c r="HW75">
        <v>64103.9198297083</v>
      </c>
      <c r="HX75">
        <v>68070.6489249945</v>
      </c>
      <c r="HY75">
        <v>73750.1526859462</v>
      </c>
      <c r="HZ75">
        <v>4163328.98909242</v>
      </c>
      <c r="IA75">
        <v>3932182.71871529</v>
      </c>
      <c r="IB75">
        <v>3313118.63411543</v>
      </c>
      <c r="IC75">
        <v>3079269.15943866</v>
      </c>
      <c r="ID75">
        <v>2907068.36907664</v>
      </c>
      <c r="IE75">
        <v>307178.47099714</v>
      </c>
      <c r="IF75">
        <v>829833.1619189261</v>
      </c>
      <c r="IG75">
        <v>1312624.46202253</v>
      </c>
      <c r="IH75">
        <v>1970577.46683848</v>
      </c>
      <c r="II75">
        <v>2664718.17171395</v>
      </c>
      <c r="IJ75">
        <v>307178.47099714</v>
      </c>
      <c r="IK75">
        <v>829833.1619189261</v>
      </c>
      <c r="IL75">
        <v>1312624.46202253</v>
      </c>
      <c r="IM75">
        <v>1970577.46683848</v>
      </c>
      <c r="IN75">
        <v>2664718.17171395</v>
      </c>
      <c r="IO75">
        <v>0</v>
      </c>
      <c r="IP75">
        <v>0</v>
      </c>
      <c r="IQ75">
        <v>0</v>
      </c>
      <c r="IR75">
        <v>0</v>
      </c>
      <c r="IS75">
        <v>0</v>
      </c>
      <c r="IT75">
        <v>0</v>
      </c>
      <c r="IU75">
        <v>0</v>
      </c>
      <c r="IV75">
        <v>0</v>
      </c>
      <c r="IW75">
        <v>0</v>
      </c>
      <c r="IX75">
        <v>0</v>
      </c>
      <c r="IY75">
        <v>2069960.93799211</v>
      </c>
      <c r="IZ75">
        <v>2160133.28079127</v>
      </c>
      <c r="JA75">
        <v>2108828.55412336</v>
      </c>
      <c r="JB75">
        <v>2231642.3020752</v>
      </c>
      <c r="JC75">
        <v>2362625.74917599</v>
      </c>
      <c r="JD75">
        <v>1607837.58187448</v>
      </c>
      <c r="JE75">
        <v>1584150.5457473</v>
      </c>
      <c r="JF75">
        <v>1643158.19311041</v>
      </c>
      <c r="JG75">
        <v>1767621.2906544</v>
      </c>
      <c r="JH75">
        <v>1877785.64919538</v>
      </c>
      <c r="JI75">
        <v>9405.209488755459</v>
      </c>
      <c r="JJ75">
        <v>6815.16790856361</v>
      </c>
      <c r="JK75">
        <v>9206.438810861109</v>
      </c>
      <c r="JL75">
        <v>13940.5429284096</v>
      </c>
      <c r="JM75">
        <v>10312.260279578</v>
      </c>
      <c r="JN75">
        <v>452718.146628882</v>
      </c>
      <c r="JO75">
        <v>569167.56713541</v>
      </c>
      <c r="JP75">
        <v>456463.922202086</v>
      </c>
      <c r="JQ75">
        <v>450080.468492389</v>
      </c>
      <c r="JR75">
        <v>474527.838473933</v>
      </c>
      <c r="JS75">
        <v>6602907.51755827</v>
      </c>
      <c r="JT75">
        <v>6988561.02828032</v>
      </c>
      <c r="JU75">
        <v>6798675.57009103</v>
      </c>
      <c r="JV75">
        <v>7349559.57727733</v>
      </c>
      <c r="JW75">
        <v>8008162.44265253</v>
      </c>
      <c r="JX75">
        <v>320.562842340469</v>
      </c>
      <c r="JY75">
        <v>59984.3662702465</v>
      </c>
      <c r="JZ75">
        <v>15780.0930443007</v>
      </c>
      <c r="KA75">
        <v>19624.7580694914</v>
      </c>
      <c r="KB75">
        <v>23079.5769004279</v>
      </c>
      <c r="KC75" t="s">
        <v>1900</v>
      </c>
      <c r="KD75" t="s">
        <v>1900</v>
      </c>
      <c r="KE75" t="s">
        <v>1900</v>
      </c>
      <c r="KF75" t="s">
        <v>1900</v>
      </c>
      <c r="KG75" t="s">
        <v>1900</v>
      </c>
      <c r="KH75" t="s">
        <v>1900</v>
      </c>
      <c r="KI75" t="s">
        <v>1900</v>
      </c>
      <c r="KJ75" t="s">
        <v>1900</v>
      </c>
      <c r="KK75" t="s">
        <v>1900</v>
      </c>
      <c r="KL75" t="s">
        <v>1900</v>
      </c>
      <c r="KM75">
        <v>93</v>
      </c>
      <c r="KN75">
        <v>91</v>
      </c>
      <c r="KO75">
        <v>91</v>
      </c>
      <c r="KP75">
        <v>90</v>
      </c>
      <c r="KQ75">
        <v>89</v>
      </c>
      <c r="KR75" t="s">
        <v>1900</v>
      </c>
      <c r="KS75" t="s">
        <v>1900</v>
      </c>
      <c r="KT75" t="s">
        <v>1900</v>
      </c>
      <c r="KU75" t="s">
        <v>1900</v>
      </c>
      <c r="KV75" t="s">
        <v>1900</v>
      </c>
      <c r="KW75" t="s">
        <v>1900</v>
      </c>
      <c r="KX75" t="s">
        <v>1900</v>
      </c>
      <c r="KY75" t="s">
        <v>1900</v>
      </c>
      <c r="KZ75" t="s">
        <v>1900</v>
      </c>
      <c r="LA75" t="s">
        <v>1900</v>
      </c>
      <c r="LB75" t="s">
        <v>1900</v>
      </c>
      <c r="LC75" t="s">
        <v>1900</v>
      </c>
      <c r="LD75" t="s">
        <v>1900</v>
      </c>
      <c r="LE75" t="s">
        <v>1900</v>
      </c>
      <c r="LF75" t="s">
        <v>1900</v>
      </c>
      <c r="LG75" t="s">
        <v>1900</v>
      </c>
      <c r="LH75" t="s">
        <v>1900</v>
      </c>
      <c r="LI75" t="s">
        <v>1900</v>
      </c>
      <c r="LJ75" t="s">
        <v>1900</v>
      </c>
      <c r="LK75" t="s">
        <v>1900</v>
      </c>
      <c r="LL75" t="s">
        <v>1900</v>
      </c>
      <c r="LM75" t="s">
        <v>1900</v>
      </c>
      <c r="LN75" t="s">
        <v>1900</v>
      </c>
      <c r="LO75" t="s">
        <v>1900</v>
      </c>
      <c r="LP75" t="s">
        <v>1900</v>
      </c>
      <c r="LQ75" t="s">
        <v>1900</v>
      </c>
      <c r="LR75" t="s">
        <v>1900</v>
      </c>
      <c r="LS75" t="s">
        <v>1900</v>
      </c>
      <c r="LT75" t="s">
        <v>1900</v>
      </c>
      <c r="LU75" t="s">
        <v>1900</v>
      </c>
      <c r="LV75" t="s">
        <v>1900</v>
      </c>
      <c r="LW75" t="s">
        <v>1900</v>
      </c>
      <c r="LX75" t="s">
        <v>1900</v>
      </c>
      <c r="LY75" t="s">
        <v>1900</v>
      </c>
      <c r="LZ75" t="s">
        <v>1900</v>
      </c>
      <c r="MA75" t="s">
        <v>1900</v>
      </c>
      <c r="MB75" t="s">
        <v>1900</v>
      </c>
      <c r="MC75" t="s">
        <v>1900</v>
      </c>
      <c r="MD75" t="s">
        <v>1900</v>
      </c>
      <c r="ME75" t="s">
        <v>1900</v>
      </c>
      <c r="MF75" t="s">
        <v>1900</v>
      </c>
      <c r="MG75" t="s">
        <v>1900</v>
      </c>
      <c r="MH75" t="s">
        <v>1900</v>
      </c>
      <c r="MI75" t="s">
        <v>1900</v>
      </c>
      <c r="MJ75" t="s">
        <v>1900</v>
      </c>
      <c r="MK75" t="s">
        <v>1900</v>
      </c>
      <c r="ML75" t="s">
        <v>1900</v>
      </c>
      <c r="MM75" t="s">
        <v>1900</v>
      </c>
      <c r="MN75" t="s">
        <v>1900</v>
      </c>
      <c r="MO75" t="s">
        <v>1900</v>
      </c>
      <c r="MP75">
        <v>236944.591116208</v>
      </c>
      <c r="MQ75">
        <v>40070.4893331432</v>
      </c>
      <c r="MR75">
        <v>27755.7985031009</v>
      </c>
      <c r="MS75">
        <v>66938.7395037174</v>
      </c>
      <c r="MT75">
        <v>40520.7454131067</v>
      </c>
      <c r="MU75" t="s">
        <v>1900</v>
      </c>
      <c r="MV75" t="s">
        <v>1900</v>
      </c>
      <c r="MW75" t="s">
        <v>1900</v>
      </c>
      <c r="MX75" t="s">
        <v>1900</v>
      </c>
      <c r="MY75" t="s">
        <v>1900</v>
      </c>
      <c r="MZ75" t="s">
        <v>1900</v>
      </c>
      <c r="NA75" t="s">
        <v>1900</v>
      </c>
      <c r="NB75" t="s">
        <v>1900</v>
      </c>
      <c r="NC75" t="s">
        <v>1900</v>
      </c>
      <c r="ND75" t="s">
        <v>1900</v>
      </c>
      <c r="NE75" t="s">
        <v>1900</v>
      </c>
      <c r="NF75" t="s">
        <v>1900</v>
      </c>
      <c r="NG75" t="s">
        <v>1900</v>
      </c>
      <c r="NH75" t="s">
        <v>1900</v>
      </c>
      <c r="NI75" t="s">
        <v>1900</v>
      </c>
      <c r="NJ75" t="s">
        <v>1900</v>
      </c>
      <c r="NK75" t="s">
        <v>1900</v>
      </c>
      <c r="NL75" t="s">
        <v>1900</v>
      </c>
      <c r="NM75" t="s">
        <v>1900</v>
      </c>
      <c r="NN75" t="s">
        <v>1900</v>
      </c>
      <c r="NO75" t="s">
        <v>1900</v>
      </c>
      <c r="NP75" t="s">
        <v>1900</v>
      </c>
      <c r="NQ75" t="s">
        <v>1900</v>
      </c>
      <c r="NR75" t="s">
        <v>1900</v>
      </c>
      <c r="NS75" t="s">
        <v>1900</v>
      </c>
      <c r="NT75">
        <v>6356237.15307207</v>
      </c>
      <c r="NU75">
        <v>6881691.00476836</v>
      </c>
      <c r="NV75">
        <v>6745933.23866616</v>
      </c>
      <c r="NW75">
        <v>7249055.53677571</v>
      </c>
      <c r="NX75">
        <v>7934249.85883232</v>
      </c>
      <c r="NY75" t="s">
        <v>1900</v>
      </c>
      <c r="NZ75" t="s">
        <v>1900</v>
      </c>
      <c r="OA75" t="s">
        <v>1900</v>
      </c>
      <c r="OB75" t="s">
        <v>1900</v>
      </c>
      <c r="OC75" t="s">
        <v>1900</v>
      </c>
      <c r="OD75" t="s">
        <v>1900</v>
      </c>
      <c r="OE75" t="s">
        <v>1900</v>
      </c>
      <c r="OF75" t="s">
        <v>1900</v>
      </c>
      <c r="OG75" t="s">
        <v>1900</v>
      </c>
      <c r="OH75" t="s">
        <v>1900</v>
      </c>
      <c r="OI75" t="s">
        <v>1900</v>
      </c>
      <c r="OJ75" t="s">
        <v>1900</v>
      </c>
      <c r="OK75" t="s">
        <v>1900</v>
      </c>
      <c r="OL75" t="s">
        <v>1900</v>
      </c>
      <c r="OM75" t="s">
        <v>1900</v>
      </c>
      <c r="ON75" t="s">
        <v>1900</v>
      </c>
      <c r="OO75" t="s">
        <v>1900</v>
      </c>
      <c r="OP75" t="s">
        <v>1900</v>
      </c>
      <c r="OQ75" t="s">
        <v>1900</v>
      </c>
      <c r="OR75" t="s">
        <v>1900</v>
      </c>
      <c r="OS75" t="s">
        <v>1900</v>
      </c>
      <c r="OT75" t="s">
        <v>1900</v>
      </c>
      <c r="OU75" t="s">
        <v>1900</v>
      </c>
      <c r="OV75" t="s">
        <v>1900</v>
      </c>
      <c r="OW75" t="s">
        <v>1900</v>
      </c>
      <c r="OX75" t="s">
        <v>1900</v>
      </c>
      <c r="OY75" t="s">
        <v>1900</v>
      </c>
      <c r="OZ75" t="s">
        <v>1900</v>
      </c>
      <c r="PA75" t="s">
        <v>1900</v>
      </c>
      <c r="PB75" t="s">
        <v>1900</v>
      </c>
      <c r="PC75" t="s">
        <v>1900</v>
      </c>
      <c r="PD75" t="s">
        <v>1900</v>
      </c>
      <c r="PE75" t="s">
        <v>1900</v>
      </c>
      <c r="PF75" t="s">
        <v>1900</v>
      </c>
      <c r="PG75" t="s">
        <v>1900</v>
      </c>
      <c r="PH75" t="s">
        <v>1900</v>
      </c>
      <c r="PI75" t="s">
        <v>1900</v>
      </c>
      <c r="PJ75" t="s">
        <v>1900</v>
      </c>
      <c r="PK75" t="s">
        <v>1900</v>
      </c>
      <c r="PL75" t="s">
        <v>1900</v>
      </c>
      <c r="PM75" t="s">
        <v>1900</v>
      </c>
      <c r="PN75" t="s">
        <v>1900</v>
      </c>
      <c r="PO75" t="s">
        <v>1900</v>
      </c>
      <c r="PP75" t="s">
        <v>1900</v>
      </c>
      <c r="PQ75" t="s">
        <v>1900</v>
      </c>
      <c r="PR75" t="s">
        <v>1900</v>
      </c>
      <c r="PS75" t="s">
        <v>1900</v>
      </c>
      <c r="PT75" t="s">
        <v>1900</v>
      </c>
      <c r="PU75" t="s">
        <v>1900</v>
      </c>
      <c r="PV75" t="s">
        <v>1900</v>
      </c>
      <c r="PW75" t="s">
        <v>1900</v>
      </c>
      <c r="PX75" t="s">
        <v>1900</v>
      </c>
      <c r="PY75" t="s">
        <v>1900</v>
      </c>
      <c r="PZ75" t="s">
        <v>1900</v>
      </c>
      <c r="QA75" t="s">
        <v>1900</v>
      </c>
      <c r="QB75" t="s">
        <v>1900</v>
      </c>
      <c r="QC75" t="s">
        <v>1900</v>
      </c>
      <c r="QD75" t="s">
        <v>1900</v>
      </c>
      <c r="QE75" t="s">
        <v>1900</v>
      </c>
      <c r="QF75" t="s">
        <v>1900</v>
      </c>
      <c r="QG75" t="s">
        <v>1900</v>
      </c>
      <c r="QH75" t="s">
        <v>1900</v>
      </c>
      <c r="QI75" t="s">
        <v>1900</v>
      </c>
      <c r="QJ75" t="s">
        <v>1900</v>
      </c>
      <c r="QK75" t="s">
        <v>1900</v>
      </c>
      <c r="QL75" t="s">
        <v>1900</v>
      </c>
      <c r="QM75" t="s">
        <v>1900</v>
      </c>
      <c r="QN75" t="s">
        <v>1900</v>
      </c>
      <c r="QO75" t="s">
        <v>1900</v>
      </c>
      <c r="QP75" t="s">
        <v>1900</v>
      </c>
      <c r="QQ75" t="s">
        <v>1900</v>
      </c>
      <c r="QR75" t="s">
        <v>1900</v>
      </c>
      <c r="QS75" t="s">
        <v>1900</v>
      </c>
      <c r="QT75" t="s">
        <v>1900</v>
      </c>
      <c r="QU75" t="s">
        <v>1900</v>
      </c>
      <c r="QV75" t="s">
        <v>1900</v>
      </c>
      <c r="QW75" t="s">
        <v>1900</v>
      </c>
      <c r="QX75" t="s">
        <v>1900</v>
      </c>
      <c r="QY75" t="s">
        <v>1900</v>
      </c>
      <c r="QZ75" t="s">
        <v>1900</v>
      </c>
      <c r="RA75" t="s">
        <v>1900</v>
      </c>
      <c r="RB75" t="s">
        <v>1900</v>
      </c>
      <c r="RC75" t="s">
        <v>1900</v>
      </c>
      <c r="RD75" t="s">
        <v>1900</v>
      </c>
      <c r="RE75" t="s">
        <v>1900</v>
      </c>
      <c r="RF75" t="s">
        <v>1900</v>
      </c>
      <c r="RG75" t="s">
        <v>1900</v>
      </c>
      <c r="RH75" t="s">
        <v>1900</v>
      </c>
      <c r="RI75" t="s">
        <v>1900</v>
      </c>
      <c r="RJ75" t="s">
        <v>1900</v>
      </c>
      <c r="RK75" t="s">
        <v>1900</v>
      </c>
      <c r="RL75" t="s">
        <v>1900</v>
      </c>
      <c r="RM75" t="s">
        <v>1900</v>
      </c>
      <c r="RN75" t="s">
        <v>1900</v>
      </c>
      <c r="RO75" t="s">
        <v>1900</v>
      </c>
      <c r="RP75" t="s">
        <v>1900</v>
      </c>
      <c r="RQ75" t="s">
        <v>1900</v>
      </c>
      <c r="RR75" t="s">
        <v>1900</v>
      </c>
      <c r="RS75" t="s">
        <v>1900</v>
      </c>
      <c r="RT75" t="s">
        <v>1900</v>
      </c>
      <c r="RU75" t="s">
        <v>1900</v>
      </c>
      <c r="RV75" t="s">
        <v>1900</v>
      </c>
      <c r="RW75" t="s">
        <v>1900</v>
      </c>
      <c r="RX75" t="s">
        <v>1900</v>
      </c>
      <c r="RY75" t="s">
        <v>1900</v>
      </c>
      <c r="RZ75" t="s">
        <v>1900</v>
      </c>
      <c r="SA75" t="s">
        <v>1900</v>
      </c>
      <c r="SB75" t="s">
        <v>1900</v>
      </c>
      <c r="SC75" t="s">
        <v>1900</v>
      </c>
      <c r="SD75" t="s">
        <v>1900</v>
      </c>
      <c r="SE75" t="s">
        <v>1900</v>
      </c>
      <c r="SF75" t="s">
        <v>1900</v>
      </c>
      <c r="SG75" t="s">
        <v>1900</v>
      </c>
      <c r="SH75" t="s">
        <v>1900</v>
      </c>
      <c r="SI75" t="s">
        <v>1900</v>
      </c>
      <c r="SJ75">
        <v>2608543.22783388</v>
      </c>
      <c r="SK75">
        <v>2823625.4350534</v>
      </c>
      <c r="SL75">
        <v>2752996.37563477</v>
      </c>
      <c r="SM75">
        <v>2940854.50625153</v>
      </c>
      <c r="SN75">
        <v>3215239.20345235</v>
      </c>
      <c r="SO75" t="s">
        <v>1900</v>
      </c>
      <c r="SP75" t="s">
        <v>1900</v>
      </c>
      <c r="SQ75" t="s">
        <v>1900</v>
      </c>
      <c r="SR75" t="s">
        <v>1900</v>
      </c>
      <c r="SS75" t="s">
        <v>1900</v>
      </c>
      <c r="ST75" t="s">
        <v>1900</v>
      </c>
      <c r="SU75" t="s">
        <v>1900</v>
      </c>
      <c r="SV75" t="s">
        <v>1900</v>
      </c>
      <c r="SW75" t="s">
        <v>1900</v>
      </c>
      <c r="SX75" t="s">
        <v>1900</v>
      </c>
      <c r="SY75" t="s">
        <v>1900</v>
      </c>
      <c r="SZ75" t="s">
        <v>1900</v>
      </c>
      <c r="TA75" t="s">
        <v>1900</v>
      </c>
      <c r="TB75" t="s">
        <v>1900</v>
      </c>
      <c r="TC75" t="s">
        <v>1900</v>
      </c>
      <c r="TD75" t="s">
        <v>1900</v>
      </c>
      <c r="TE75" t="s">
        <v>1900</v>
      </c>
      <c r="TF75" t="s">
        <v>1900</v>
      </c>
      <c r="TG75" t="s">
        <v>1900</v>
      </c>
      <c r="TH75" t="s">
        <v>1900</v>
      </c>
      <c r="TI75" t="s">
        <v>1900</v>
      </c>
      <c r="TJ75" t="s">
        <v>1900</v>
      </c>
      <c r="TK75" t="s">
        <v>1900</v>
      </c>
      <c r="TL75" t="s">
        <v>1900</v>
      </c>
      <c r="TM75" t="s">
        <v>1900</v>
      </c>
      <c r="TN75" t="s">
        <v>1900</v>
      </c>
      <c r="TO75" t="s">
        <v>1900</v>
      </c>
      <c r="TP75" t="s">
        <v>1900</v>
      </c>
      <c r="TQ75" t="s">
        <v>1900</v>
      </c>
      <c r="TR75" t="s">
        <v>1900</v>
      </c>
      <c r="TS75">
        <v>6602907.51755827</v>
      </c>
      <c r="TT75">
        <v>6988561.02828032</v>
      </c>
      <c r="TU75">
        <v>6798675.57009103</v>
      </c>
      <c r="TV75">
        <v>7349559.57727733</v>
      </c>
      <c r="TW75">
        <v>8008162.44265253</v>
      </c>
      <c r="TX75" t="s">
        <v>1900</v>
      </c>
      <c r="TY75" t="s">
        <v>1900</v>
      </c>
      <c r="TZ75" t="s">
        <v>1900</v>
      </c>
      <c r="UA75" t="s">
        <v>1900</v>
      </c>
      <c r="UB75" t="s">
        <v>1900</v>
      </c>
      <c r="UC75">
        <v>1607837.58187448</v>
      </c>
      <c r="UD75">
        <v>1584150.5457473</v>
      </c>
      <c r="UE75">
        <v>1643158.19311041</v>
      </c>
      <c r="UF75">
        <v>1767621.2906544</v>
      </c>
      <c r="UG75">
        <v>1877785.64919538</v>
      </c>
      <c r="UH75" t="s">
        <v>1900</v>
      </c>
      <c r="UI75" t="s">
        <v>1900</v>
      </c>
      <c r="UJ75" t="s">
        <v>1900</v>
      </c>
      <c r="UK75" t="s">
        <v>1900</v>
      </c>
      <c r="UL75" t="s">
        <v>1900</v>
      </c>
      <c r="UM75" t="s">
        <v>1900</v>
      </c>
      <c r="UN75" t="s">
        <v>1900</v>
      </c>
      <c r="UO75" t="s">
        <v>1900</v>
      </c>
      <c r="UP75" t="s">
        <v>1900</v>
      </c>
      <c r="UQ75" t="s">
        <v>1900</v>
      </c>
      <c r="UR75" t="s">
        <v>1900</v>
      </c>
      <c r="US75" t="s">
        <v>1900</v>
      </c>
      <c r="UT75" t="s">
        <v>1900</v>
      </c>
      <c r="UU75" t="s">
        <v>1900</v>
      </c>
      <c r="UV75" t="s">
        <v>1900</v>
      </c>
      <c r="UW75" t="s">
        <v>1900</v>
      </c>
      <c r="UX75" t="s">
        <v>1900</v>
      </c>
      <c r="UY75" t="s">
        <v>1900</v>
      </c>
      <c r="UZ75" t="s">
        <v>1900</v>
      </c>
      <c r="VA75" t="s">
        <v>1900</v>
      </c>
      <c r="VB75" t="s">
        <v>1900</v>
      </c>
      <c r="VC75" t="s">
        <v>1900</v>
      </c>
      <c r="VD75" t="s">
        <v>1900</v>
      </c>
      <c r="VE75" t="s">
        <v>1900</v>
      </c>
      <c r="VF75" t="s">
        <v>1900</v>
      </c>
      <c r="VG75" t="s">
        <v>1900</v>
      </c>
      <c r="VH75" t="s">
        <v>1900</v>
      </c>
      <c r="VI75" t="s">
        <v>1900</v>
      </c>
      <c r="VJ75" t="s">
        <v>1900</v>
      </c>
      <c r="VK75" t="s">
        <v>1900</v>
      </c>
      <c r="VL75" t="s">
        <v>1900</v>
      </c>
      <c r="VM75" t="s">
        <v>1900</v>
      </c>
      <c r="VN75" t="s">
        <v>1900</v>
      </c>
      <c r="VO75" t="s">
        <v>1900</v>
      </c>
      <c r="VP75" t="s">
        <v>1900</v>
      </c>
      <c r="VQ75" t="s">
        <v>1900</v>
      </c>
      <c r="VR75" t="s">
        <v>1900</v>
      </c>
      <c r="VS75" t="s">
        <v>1900</v>
      </c>
      <c r="VT75" t="s">
        <v>1900</v>
      </c>
      <c r="VU75" t="s">
        <v>1900</v>
      </c>
      <c r="VV75" t="s">
        <v>1900</v>
      </c>
      <c r="VW75" t="s">
        <v>1900</v>
      </c>
      <c r="VX75" t="s">
        <v>1900</v>
      </c>
      <c r="VY75" t="s">
        <v>1900</v>
      </c>
      <c r="VZ75" t="s">
        <v>1900</v>
      </c>
      <c r="WA75">
        <v>452718.146628882</v>
      </c>
      <c r="WB75">
        <v>569167.56713541</v>
      </c>
      <c r="WC75">
        <v>456463.922202086</v>
      </c>
      <c r="WD75">
        <v>450080.468492389</v>
      </c>
      <c r="WE75">
        <v>474527.838473933</v>
      </c>
      <c r="WF75" t="s">
        <v>1900</v>
      </c>
      <c r="WG75" t="s">
        <v>1900</v>
      </c>
      <c r="WH75" t="s">
        <v>1900</v>
      </c>
      <c r="WI75" t="s">
        <v>1900</v>
      </c>
      <c r="WJ75" t="s">
        <v>1900</v>
      </c>
      <c r="WK75" t="s">
        <v>1900</v>
      </c>
      <c r="WL75" t="s">
        <v>1900</v>
      </c>
      <c r="WM75" t="s">
        <v>1900</v>
      </c>
      <c r="WN75" t="s">
        <v>1900</v>
      </c>
      <c r="WO75" t="s">
        <v>1900</v>
      </c>
      <c r="WP75" t="s">
        <v>1900</v>
      </c>
      <c r="WQ75" t="s">
        <v>1900</v>
      </c>
      <c r="WR75" t="s">
        <v>1900</v>
      </c>
      <c r="WS75" t="s">
        <v>1900</v>
      </c>
      <c r="WT75" t="s">
        <v>1900</v>
      </c>
      <c r="WU75" t="s">
        <v>1900</v>
      </c>
      <c r="WV75" t="s">
        <v>1900</v>
      </c>
      <c r="WW75" t="s">
        <v>1900</v>
      </c>
      <c r="WX75" t="s">
        <v>1900</v>
      </c>
      <c r="WY75" t="s">
        <v>1900</v>
      </c>
      <c r="WZ75" t="s">
        <v>1900</v>
      </c>
      <c r="XA75" t="s">
        <v>1900</v>
      </c>
      <c r="XB75" t="s">
        <v>1900</v>
      </c>
      <c r="XC75" t="s">
        <v>1900</v>
      </c>
      <c r="XD75" t="s">
        <v>1900</v>
      </c>
      <c r="XE75" t="s">
        <v>1900</v>
      </c>
      <c r="XF75" t="s">
        <v>1900</v>
      </c>
      <c r="XG75" t="s">
        <v>1900</v>
      </c>
      <c r="XH75" t="s">
        <v>1900</v>
      </c>
      <c r="XI75" t="s">
        <v>1900</v>
      </c>
      <c r="XJ75">
        <v>0</v>
      </c>
      <c r="XK75">
        <v>0</v>
      </c>
      <c r="XL75">
        <v>0</v>
      </c>
      <c r="XM75">
        <v>0</v>
      </c>
      <c r="XN75">
        <v>0</v>
      </c>
      <c r="XO75" t="s">
        <v>1900</v>
      </c>
      <c r="XP75" t="s">
        <v>1900</v>
      </c>
      <c r="XQ75" t="s">
        <v>1900</v>
      </c>
      <c r="XR75" t="s">
        <v>1900</v>
      </c>
      <c r="XS75" t="s">
        <v>1900</v>
      </c>
      <c r="XT75" t="s">
        <v>1900</v>
      </c>
      <c r="XU75" t="s">
        <v>1900</v>
      </c>
      <c r="XV75" t="s">
        <v>1900</v>
      </c>
      <c r="XW75" t="s">
        <v>1900</v>
      </c>
      <c r="XX75" t="s">
        <v>1900</v>
      </c>
      <c r="XY75">
        <v>0</v>
      </c>
      <c r="XZ75">
        <v>0</v>
      </c>
      <c r="YA75">
        <v>0</v>
      </c>
      <c r="YB75">
        <v>0</v>
      </c>
      <c r="YC75">
        <v>0</v>
      </c>
      <c r="YD75" t="s">
        <v>1900</v>
      </c>
      <c r="YE75" t="s">
        <v>1900</v>
      </c>
      <c r="YF75" t="s">
        <v>1900</v>
      </c>
      <c r="YG75" t="s">
        <v>1900</v>
      </c>
      <c r="YH75" t="s">
        <v>1900</v>
      </c>
      <c r="YI75" t="s">
        <v>1900</v>
      </c>
      <c r="YJ75" t="s">
        <v>1900</v>
      </c>
      <c r="YK75" t="s">
        <v>1900</v>
      </c>
      <c r="YL75" t="s">
        <v>1900</v>
      </c>
      <c r="YM75" t="s">
        <v>1900</v>
      </c>
      <c r="YN75" t="s">
        <v>1900</v>
      </c>
      <c r="YO75" t="s">
        <v>1900</v>
      </c>
      <c r="YP75" t="s">
        <v>1900</v>
      </c>
      <c r="YQ75" t="s">
        <v>1900</v>
      </c>
      <c r="YR75" t="s">
        <v>1900</v>
      </c>
      <c r="YS75" t="s">
        <v>1900</v>
      </c>
      <c r="YT75" t="s">
        <v>1900</v>
      </c>
      <c r="YU75" t="s">
        <v>1900</v>
      </c>
      <c r="YV75" t="s">
        <v>1900</v>
      </c>
      <c r="YW75" t="s">
        <v>1900</v>
      </c>
      <c r="YX75" t="s">
        <v>1900</v>
      </c>
      <c r="YY75" t="s">
        <v>1900</v>
      </c>
      <c r="YZ75" t="s">
        <v>1900</v>
      </c>
      <c r="ZA75" t="s">
        <v>1900</v>
      </c>
      <c r="ZB75" t="s">
        <v>1900</v>
      </c>
      <c r="ZC75" t="s">
        <v>1900</v>
      </c>
      <c r="ZD75" t="s">
        <v>1900</v>
      </c>
      <c r="ZE75" t="s">
        <v>1900</v>
      </c>
      <c r="ZF75" t="s">
        <v>1900</v>
      </c>
      <c r="ZG75" t="s">
        <v>1900</v>
      </c>
      <c r="ZH75" t="s">
        <v>1900</v>
      </c>
      <c r="ZI75" t="s">
        <v>1900</v>
      </c>
      <c r="ZJ75" t="s">
        <v>1900</v>
      </c>
      <c r="ZK75" t="s">
        <v>1900</v>
      </c>
      <c r="ZL75" t="s">
        <v>1900</v>
      </c>
      <c r="ZM75" t="s">
        <v>1900</v>
      </c>
      <c r="ZN75" t="s">
        <v>1900</v>
      </c>
      <c r="ZO75" t="s">
        <v>1900</v>
      </c>
      <c r="ZP75" t="s">
        <v>1900</v>
      </c>
      <c r="ZQ75" t="s">
        <v>1900</v>
      </c>
      <c r="ZR75" t="s">
        <v>1900</v>
      </c>
      <c r="ZS75" t="s">
        <v>1900</v>
      </c>
      <c r="ZT75" t="s">
        <v>1900</v>
      </c>
      <c r="ZU75" t="s">
        <v>1900</v>
      </c>
      <c r="ZV75" t="s">
        <v>1900</v>
      </c>
      <c r="ZW75" t="s">
        <v>1900</v>
      </c>
      <c r="ZX75" t="s">
        <v>1900</v>
      </c>
      <c r="ZY75" t="s">
        <v>1900</v>
      </c>
      <c r="ZZ75" t="s">
        <v>1900</v>
      </c>
      <c r="AAA75" t="s">
        <v>1900</v>
      </c>
      <c r="AAB75" t="s">
        <v>1900</v>
      </c>
      <c r="AAC75" t="s">
        <v>1900</v>
      </c>
      <c r="AAD75" t="s">
        <v>1900</v>
      </c>
      <c r="AAE75" t="s">
        <v>1900</v>
      </c>
      <c r="AAF75" t="s">
        <v>1900</v>
      </c>
      <c r="AAG75" t="s">
        <v>1900</v>
      </c>
      <c r="AAH75" t="s">
        <v>1900</v>
      </c>
      <c r="AAI75" t="s">
        <v>1900</v>
      </c>
      <c r="AAJ75" t="s">
        <v>1900</v>
      </c>
      <c r="AAK75" t="s">
        <v>1900</v>
      </c>
      <c r="AAL75" t="s">
        <v>1900</v>
      </c>
      <c r="AAM75" t="s">
        <v>1900</v>
      </c>
      <c r="AAN75" t="s">
        <v>1900</v>
      </c>
      <c r="AAO75" t="s">
        <v>1900</v>
      </c>
      <c r="AAP75" t="s">
        <v>1900</v>
      </c>
      <c r="AAQ75" t="s">
        <v>1900</v>
      </c>
      <c r="AAR75" t="s">
        <v>1900</v>
      </c>
      <c r="AAS75" t="s">
        <v>1900</v>
      </c>
      <c r="AAT75" t="s">
        <v>1900</v>
      </c>
      <c r="AAU75" t="s">
        <v>1900</v>
      </c>
      <c r="AAV75" t="s">
        <v>1900</v>
      </c>
      <c r="AAW75" t="s">
        <v>1900</v>
      </c>
      <c r="AAX75" t="s">
        <v>1900</v>
      </c>
      <c r="AAY75" t="s">
        <v>1900</v>
      </c>
      <c r="AAZ75" t="s">
        <v>1900</v>
      </c>
      <c r="ABA75" t="s">
        <v>1900</v>
      </c>
      <c r="ABB75" t="s">
        <v>1900</v>
      </c>
      <c r="ABC75" t="s">
        <v>1900</v>
      </c>
      <c r="ABD75" t="s">
        <v>1900</v>
      </c>
      <c r="ABE75" t="s">
        <v>1900</v>
      </c>
      <c r="ABF75" t="s">
        <v>1900</v>
      </c>
      <c r="ABG75" t="s">
        <v>1900</v>
      </c>
      <c r="ABH75" t="s">
        <v>1900</v>
      </c>
      <c r="ABI75" t="s">
        <v>1900</v>
      </c>
      <c r="ABJ75" t="s">
        <v>1900</v>
      </c>
      <c r="ABK75" t="s">
        <v>1900</v>
      </c>
      <c r="ABL75" t="s">
        <v>1900</v>
      </c>
      <c r="ABM75" t="s">
        <v>1900</v>
      </c>
      <c r="ABN75" t="s">
        <v>1900</v>
      </c>
      <c r="ABO75" t="s">
        <v>1900</v>
      </c>
      <c r="ABP75" t="s">
        <v>1900</v>
      </c>
      <c r="ABQ75" t="s">
        <v>1900</v>
      </c>
      <c r="ABR75" t="s">
        <v>1900</v>
      </c>
      <c r="ABS75" t="s">
        <v>1900</v>
      </c>
      <c r="ABT75" t="s">
        <v>1900</v>
      </c>
      <c r="ABU75" t="s">
        <v>1900</v>
      </c>
      <c r="ABV75" t="s">
        <v>1900</v>
      </c>
      <c r="ABW75" t="s">
        <v>1900</v>
      </c>
      <c r="ABX75" t="s">
        <v>1900</v>
      </c>
      <c r="ABY75" t="s">
        <v>1900</v>
      </c>
      <c r="ABZ75" t="s">
        <v>1900</v>
      </c>
      <c r="ACA75" t="s">
        <v>1900</v>
      </c>
      <c r="ACB75" t="s">
        <v>1900</v>
      </c>
      <c r="ACC75" t="s">
        <v>1900</v>
      </c>
      <c r="ACD75" t="s">
        <v>1900</v>
      </c>
      <c r="ACE75">
        <v>14.995</v>
      </c>
      <c r="ACF75">
        <v>17.105</v>
      </c>
      <c r="ACG75">
        <v>16.824</v>
      </c>
      <c r="ACH75">
        <v>17.451</v>
      </c>
      <c r="ACI75">
        <v>16.456</v>
      </c>
      <c r="ACJ75">
        <v>15.694</v>
      </c>
      <c r="ACK75">
        <v>15.773</v>
      </c>
      <c r="ACL75">
        <v>13.276</v>
      </c>
      <c r="ACM75">
        <v>12.083</v>
      </c>
      <c r="ACN75">
        <v>10.297</v>
      </c>
      <c r="ACO75">
        <v>9.596</v>
      </c>
      <c r="ACP75">
        <v>9.787000000000001</v>
      </c>
      <c r="ACQ75">
        <v>8.358000000000001</v>
      </c>
      <c r="ACR75">
        <v>7.473</v>
      </c>
      <c r="ACS75">
        <v>6.125</v>
      </c>
      <c r="ACT75">
        <v>11.036</v>
      </c>
      <c r="ACU75">
        <v>12.499</v>
      </c>
      <c r="ACV75">
        <v>12.238</v>
      </c>
      <c r="ACW75">
        <v>12.584</v>
      </c>
      <c r="ACX75">
        <v>11.542</v>
      </c>
      <c r="ACY75">
        <v>12.003</v>
      </c>
      <c r="ACZ75">
        <v>11.959</v>
      </c>
      <c r="ADA75">
        <v>9.973000000000001</v>
      </c>
      <c r="ADB75">
        <v>9.09</v>
      </c>
      <c r="ADC75">
        <v>7.703</v>
      </c>
      <c r="ADD75">
        <v>7.063</v>
      </c>
      <c r="ADE75">
        <v>7.151</v>
      </c>
      <c r="ADF75">
        <v>6.079</v>
      </c>
      <c r="ADG75">
        <v>5.389</v>
      </c>
      <c r="ADH75">
        <v>4.296</v>
      </c>
      <c r="ADI75">
        <v>9.002000000000001</v>
      </c>
      <c r="ADJ75">
        <v>9.286</v>
      </c>
      <c r="ADK75">
        <v>8.356</v>
      </c>
      <c r="ADL75">
        <v>7.784</v>
      </c>
      <c r="ADM75">
        <v>6.493</v>
      </c>
      <c r="ADN75">
        <v>92.80800000000001</v>
      </c>
      <c r="ADO75">
        <v>92.83799999999999</v>
      </c>
      <c r="ADP75">
        <v>92.529</v>
      </c>
      <c r="ADQ75">
        <v>92.718</v>
      </c>
      <c r="ADR75">
        <v>92.31</v>
      </c>
      <c r="ADS75">
        <v>10.051632614</v>
      </c>
      <c r="ADT75">
        <v>10.342721742</v>
      </c>
      <c r="ADU75">
        <v>9.008047825</v>
      </c>
      <c r="ADV75">
        <v>8.744431755000001</v>
      </c>
      <c r="ADW75">
        <v>7.781927794</v>
      </c>
      <c r="ADX75">
        <v>11.384</v>
      </c>
      <c r="ADY75">
        <v>11.769</v>
      </c>
      <c r="ADZ75">
        <v>10.631</v>
      </c>
      <c r="AEA75">
        <v>10.432</v>
      </c>
      <c r="AEB75">
        <v>10.124</v>
      </c>
      <c r="AEC75">
        <v>10.052</v>
      </c>
      <c r="AED75">
        <v>10.343</v>
      </c>
      <c r="AEE75">
        <v>9.007999999999999</v>
      </c>
      <c r="AEF75">
        <v>8.744</v>
      </c>
      <c r="AEG75">
        <v>7.782</v>
      </c>
      <c r="AEH75">
        <v>7.958</v>
      </c>
      <c r="AEI75">
        <v>8.212</v>
      </c>
      <c r="AEJ75">
        <v>7.701</v>
      </c>
      <c r="AEK75">
        <v>7.301</v>
      </c>
      <c r="AEL75">
        <v>6.897</v>
      </c>
      <c r="AEM75">
        <v>11.17489167</v>
      </c>
      <c r="AEN75">
        <v>11.535841756</v>
      </c>
      <c r="AEO75">
        <v>9.899829172</v>
      </c>
      <c r="AEP75">
        <v>9.582354176999999</v>
      </c>
      <c r="AEQ75">
        <v>8.438614696</v>
      </c>
      <c r="AER75">
        <v>1.12146056</v>
      </c>
      <c r="AES75">
        <v>1.12537424</v>
      </c>
      <c r="AET75">
        <v>1.107853739</v>
      </c>
      <c r="AEU75">
        <v>1.104133294</v>
      </c>
      <c r="AEV75">
        <v>1.092063069</v>
      </c>
      <c r="AEW75" t="s">
        <v>1900</v>
      </c>
      <c r="AEX75" t="s">
        <v>1900</v>
      </c>
      <c r="AEY75" t="s">
        <v>1900</v>
      </c>
      <c r="AEZ75" t="s">
        <v>1900</v>
      </c>
      <c r="AFA75" t="s">
        <v>1900</v>
      </c>
      <c r="AFB75" t="s">
        <v>1900</v>
      </c>
      <c r="AFC75" t="s">
        <v>1900</v>
      </c>
      <c r="AFD75" t="s">
        <v>1900</v>
      </c>
      <c r="AFE75" t="s">
        <v>1900</v>
      </c>
      <c r="AFF75" t="s">
        <v>1900</v>
      </c>
      <c r="AFG75">
        <v>1.553</v>
      </c>
      <c r="AFH75">
        <v>1.525</v>
      </c>
      <c r="AFI75">
        <v>1.45</v>
      </c>
      <c r="AFJ75">
        <v>1.379</v>
      </c>
      <c r="AFK75">
        <v>1.338</v>
      </c>
      <c r="AFL75">
        <v>9.102</v>
      </c>
      <c r="AFM75">
        <v>9.811999999999999</v>
      </c>
      <c r="AFN75">
        <v>11.255</v>
      </c>
      <c r="AFO75">
        <v>8.923</v>
      </c>
      <c r="AFP75">
        <v>6.473</v>
      </c>
      <c r="AFQ75" t="s">
        <v>1901</v>
      </c>
      <c r="AFR75" t="s">
        <v>1901</v>
      </c>
      <c r="AFS75" t="s">
        <v>1901</v>
      </c>
      <c r="AFT75" t="s">
        <v>1901</v>
      </c>
      <c r="AFU75" t="s">
        <v>1901</v>
      </c>
      <c r="AFV75">
        <v>0.497</v>
      </c>
      <c r="AFW75">
        <v>3.265</v>
      </c>
      <c r="AFX75">
        <v>1.323</v>
      </c>
      <c r="AFY75">
        <v>1.713</v>
      </c>
      <c r="AFZ75">
        <v>1.591</v>
      </c>
      <c r="AGA75">
        <v>0.481</v>
      </c>
      <c r="AGB75">
        <v>0.333</v>
      </c>
      <c r="AGC75">
        <v>0.487</v>
      </c>
      <c r="AGD75">
        <v>0.711</v>
      </c>
      <c r="AGE75">
        <v>0.491</v>
      </c>
      <c r="AGF75" t="s">
        <v>1900</v>
      </c>
      <c r="AGG75" t="s">
        <v>1900</v>
      </c>
      <c r="AGH75" t="s">
        <v>1900</v>
      </c>
      <c r="AGI75" t="s">
        <v>1900</v>
      </c>
      <c r="AGJ75" t="s">
        <v>1900</v>
      </c>
      <c r="AGK75" t="s">
        <v>1900</v>
      </c>
      <c r="AGL75" t="s">
        <v>1900</v>
      </c>
      <c r="AGM75" t="s">
        <v>1900</v>
      </c>
      <c r="AGN75" t="s">
        <v>1900</v>
      </c>
      <c r="AGO75" t="s">
        <v>1900</v>
      </c>
      <c r="AGP75" t="s">
        <v>1900</v>
      </c>
      <c r="AGQ75" t="s">
        <v>1900</v>
      </c>
      <c r="AGR75" t="s">
        <v>1900</v>
      </c>
      <c r="AGS75" t="s">
        <v>1900</v>
      </c>
      <c r="AGT75" t="s">
        <v>1900</v>
      </c>
      <c r="AGU75">
        <v>0</v>
      </c>
      <c r="AGV75">
        <v>0</v>
      </c>
      <c r="AGW75">
        <v>0</v>
      </c>
      <c r="AGX75">
        <v>0</v>
      </c>
      <c r="AGY75">
        <v>0</v>
      </c>
      <c r="AGZ75">
        <v>0.119</v>
      </c>
      <c r="AHA75">
        <v>0.049</v>
      </c>
      <c r="AHB75">
        <v>0.025</v>
      </c>
      <c r="AHC75">
        <v>0.045</v>
      </c>
      <c r="AHD75">
        <v>0.031</v>
      </c>
      <c r="AHE75">
        <v>0.119</v>
      </c>
      <c r="AHF75">
        <v>0.049</v>
      </c>
      <c r="AHG75">
        <v>0.025</v>
      </c>
      <c r="AHH75">
        <v>0.045</v>
      </c>
      <c r="AHI75">
        <v>0.031</v>
      </c>
      <c r="AHJ75">
        <v>13.757</v>
      </c>
      <c r="AHK75">
        <v>4.819</v>
      </c>
      <c r="AHL75">
        <v>2.573</v>
      </c>
      <c r="AHM75">
        <v>1.597</v>
      </c>
      <c r="AHN75">
        <v>1.119</v>
      </c>
      <c r="AHO75">
        <v>63.999</v>
      </c>
      <c r="AHP75">
        <v>57.216</v>
      </c>
      <c r="AHQ75">
        <v>49.675</v>
      </c>
      <c r="AHR75">
        <v>42.824</v>
      </c>
      <c r="AHS75">
        <v>37.222</v>
      </c>
      <c r="AHT75" t="s">
        <v>1901</v>
      </c>
      <c r="AHU75" t="s">
        <v>1901</v>
      </c>
      <c r="AHV75">
        <v>98.70699999999999</v>
      </c>
      <c r="AHW75">
        <v>74.89700000000001</v>
      </c>
      <c r="AHX75">
        <v>59.292</v>
      </c>
      <c r="AHY75">
        <v>45.318</v>
      </c>
      <c r="AHZ75">
        <v>60.371</v>
      </c>
      <c r="AIA75">
        <v>87.521</v>
      </c>
      <c r="AIB75">
        <v>118.773</v>
      </c>
      <c r="AIC75">
        <v>152.391</v>
      </c>
      <c r="AID75">
        <v>39.505978554</v>
      </c>
      <c r="AIE75">
        <v>40.403531194</v>
      </c>
      <c r="AIF75">
        <v>40.493127628</v>
      </c>
      <c r="AIG75">
        <v>40.014023634</v>
      </c>
      <c r="AIH75">
        <v>40.149525268</v>
      </c>
      <c r="AII75">
        <v>3.588488715</v>
      </c>
      <c r="AIJ75">
        <v>0.573372532</v>
      </c>
      <c r="AIK75">
        <v>0.408253022</v>
      </c>
      <c r="AIL75">
        <v>0.910785725</v>
      </c>
      <c r="AIM75">
        <v>0.5059930500000001</v>
      </c>
      <c r="AIN75">
        <v>6.856345412</v>
      </c>
      <c r="AIO75">
        <v>8.144274119</v>
      </c>
      <c r="AIP75">
        <v>6.71401242</v>
      </c>
      <c r="AIQ75">
        <v>6.123910743</v>
      </c>
      <c r="AIR75">
        <v>5.925552109</v>
      </c>
      <c r="AIS75">
        <v>0</v>
      </c>
      <c r="AIT75">
        <v>0</v>
      </c>
      <c r="AIU75">
        <v>0</v>
      </c>
      <c r="AIV75">
        <v>0</v>
      </c>
      <c r="AIW75">
        <v>0</v>
      </c>
      <c r="AIX75">
        <v>6.81338265320647</v>
      </c>
      <c r="AIY75">
        <v>7.51616806816387</v>
      </c>
      <c r="AIZ75">
        <v>6.24396086542249</v>
      </c>
      <c r="AJA75">
        <v>6.10252067783833</v>
      </c>
      <c r="AJB75">
        <v>5.51153368278384</v>
      </c>
      <c r="AJC75">
        <v>75.69048570621069</v>
      </c>
      <c r="AJD75">
        <v>80.941057590352</v>
      </c>
      <c r="AJE75">
        <v>74.7234707041752</v>
      </c>
      <c r="AJF75">
        <v>78.3986736973214</v>
      </c>
      <c r="AJG75">
        <v>84.8807311295342</v>
      </c>
      <c r="AJH75">
        <v>71.812</v>
      </c>
      <c r="AJI75">
        <v>73.01300000000001</v>
      </c>
      <c r="AJJ75">
        <v>73.61499999999999</v>
      </c>
      <c r="AJK75">
        <v>73.539</v>
      </c>
      <c r="AJL75">
        <v>73.02</v>
      </c>
      <c r="AJM75">
        <v>54.3549154267863</v>
      </c>
      <c r="AJN75">
        <v>59.097106122055</v>
      </c>
      <c r="AJO75">
        <v>55.0073460991353</v>
      </c>
      <c r="AJP75">
        <v>57.6533084250212</v>
      </c>
      <c r="AJQ75">
        <v>61.9795045225835</v>
      </c>
      <c r="AJR75">
        <v>45.4383668816873</v>
      </c>
      <c r="AJS75">
        <v>43.9405999750013</v>
      </c>
      <c r="AJT75">
        <v>37.1123355935466</v>
      </c>
      <c r="AJU75">
        <v>34.9704423151517</v>
      </c>
      <c r="AJV75">
        <v>33.4923427481258</v>
      </c>
      <c r="AJW75">
        <v>0.00344706867671013</v>
      </c>
      <c r="AJX75">
        <v>0.659169260827065</v>
      </c>
      <c r="AJY75">
        <v>0.173407744801044</v>
      </c>
      <c r="AJZ75">
        <v>0.218052741594315</v>
      </c>
      <c r="AKA75">
        <v>0.259321667849422</v>
      </c>
      <c r="AKB75">
        <v>70.999005498117</v>
      </c>
      <c r="AKC75">
        <v>76.7973742407179</v>
      </c>
      <c r="AKD75">
        <v>74.7107205738926</v>
      </c>
      <c r="AKE75">
        <v>81.66177333254809</v>
      </c>
      <c r="AKF75">
        <v>89.9793532606554</v>
      </c>
      <c r="AKG75">
        <v>0</v>
      </c>
      <c r="AKH75">
        <v>0</v>
      </c>
      <c r="AKI75">
        <v>0</v>
      </c>
      <c r="AKJ75">
        <v>0</v>
      </c>
      <c r="AKK75">
        <v>0</v>
      </c>
      <c r="AKL75">
        <v>0</v>
      </c>
      <c r="AKM75">
        <v>0</v>
      </c>
      <c r="AKN75">
        <v>0</v>
      </c>
      <c r="AKO75">
        <v>0</v>
      </c>
      <c r="AKP75">
        <v>0</v>
      </c>
      <c r="AKQ75">
        <v>0</v>
      </c>
      <c r="AKR75">
        <v>0</v>
      </c>
      <c r="AKS75">
        <v>0</v>
      </c>
      <c r="AKT75">
        <v>0</v>
      </c>
      <c r="AKU75">
        <v>0</v>
      </c>
      <c r="AKV75">
        <v>0</v>
      </c>
      <c r="AKW75">
        <v>4.051E-06</v>
      </c>
      <c r="AKX75">
        <v>0.055665132</v>
      </c>
      <c r="AKY75">
        <v>0.119569847</v>
      </c>
      <c r="AKZ75">
        <v>0.20836835</v>
      </c>
      <c r="ALA75">
        <v>0</v>
      </c>
      <c r="ALB75">
        <v>4.269E-06</v>
      </c>
      <c r="ALC75">
        <v>0.055674632</v>
      </c>
      <c r="ALD75">
        <v>0.11479199</v>
      </c>
      <c r="ALE75">
        <v>0.196561292</v>
      </c>
      <c r="ALF75">
        <v>53.240223968</v>
      </c>
      <c r="ALG75">
        <v>55.094565028</v>
      </c>
      <c r="ALH75">
        <v>58.66541259</v>
      </c>
      <c r="ALI75">
        <v>60.938733729</v>
      </c>
      <c r="ALJ75">
        <v>62.25880263</v>
      </c>
      <c r="ALK75">
        <v>56.758237417</v>
      </c>
      <c r="ALL75">
        <v>58.067250952</v>
      </c>
      <c r="ALM75">
        <v>58.675424106</v>
      </c>
      <c r="ALN75">
        <v>58.503700522</v>
      </c>
      <c r="ALO75">
        <v>58.730947848</v>
      </c>
      <c r="ALP75">
        <v>0.138165578</v>
      </c>
      <c r="ALQ75">
        <v>0.906907857</v>
      </c>
      <c r="ALR75">
        <v>0.367457887</v>
      </c>
      <c r="ALS75">
        <v>0.475706756</v>
      </c>
      <c r="ALT75">
        <v>0.442019277</v>
      </c>
      <c r="ALU75">
        <v>96.703985746</v>
      </c>
      <c r="ALV75">
        <v>10.202418314</v>
      </c>
      <c r="ALW75">
        <v>36.845603348</v>
      </c>
      <c r="ALX75">
        <v>41.532602163</v>
      </c>
      <c r="ALY75">
        <v>30.882577215</v>
      </c>
      <c r="ALZ75">
        <v>92.8079828294799</v>
      </c>
      <c r="AMA75">
        <v>92.8375127087089</v>
      </c>
      <c r="AMB75">
        <v>92.5290079350642</v>
      </c>
      <c r="AMC75">
        <v>92.71787981610809</v>
      </c>
      <c r="AMD75">
        <v>92.31015275364859</v>
      </c>
      <c r="AME75">
        <v>94.86206978813919</v>
      </c>
      <c r="AMF75">
        <v>94.7703905265676</v>
      </c>
      <c r="AMG75">
        <v>94.3740422064822</v>
      </c>
      <c r="AMH75">
        <v>94.5105508165273</v>
      </c>
      <c r="AMI75">
        <v>94.09143908674071</v>
      </c>
      <c r="AMJ75">
        <v>1290.43049577103</v>
      </c>
      <c r="AMK75">
        <v>1296.16303573188</v>
      </c>
      <c r="AML75">
        <v>1238.51032273663</v>
      </c>
      <c r="AMM75">
        <v>1273.22644332623</v>
      </c>
      <c r="AMN75">
        <v>1200.41594841102</v>
      </c>
      <c r="AMO75">
        <v>1.12146055968206</v>
      </c>
      <c r="AMP75">
        <v>1.12537424004857</v>
      </c>
      <c r="AMQ75">
        <v>1.10785373891197</v>
      </c>
      <c r="AMR75">
        <v>1.10413329400021</v>
      </c>
      <c r="AMS75">
        <v>1.09206306884462</v>
      </c>
      <c r="AMT75">
        <v>1.12146055968206</v>
      </c>
      <c r="AMU75">
        <v>1.12537424023042</v>
      </c>
      <c r="AMV75">
        <v>1.10785373891197</v>
      </c>
      <c r="AMW75">
        <v>1.10413329400021</v>
      </c>
      <c r="AMX75">
        <v>1.09206306884462</v>
      </c>
      <c r="AMY75">
        <v>1.12146055968206</v>
      </c>
      <c r="AMZ75">
        <v>1.12537424025322</v>
      </c>
      <c r="ANA75">
        <v>1.10785373891197</v>
      </c>
      <c r="ANB75">
        <v>1.10413329400021</v>
      </c>
      <c r="ANC75">
        <v>1.09206306884462</v>
      </c>
      <c r="AND75">
        <v>10.0516326143719</v>
      </c>
      <c r="ANE75">
        <v>10.3427217422663</v>
      </c>
      <c r="ANF75">
        <v>9.008047825350269</v>
      </c>
      <c r="ANG75">
        <v>8.74443175514341</v>
      </c>
      <c r="ANH75">
        <v>7.78192779379305</v>
      </c>
      <c r="ANI75">
        <v>10.2741019196724</v>
      </c>
      <c r="ANJ75">
        <v>10.5580572984292</v>
      </c>
      <c r="ANK75">
        <v>9.187668868818131</v>
      </c>
      <c r="ANL75">
        <v>8.913502588662061</v>
      </c>
      <c r="ANM75">
        <v>7.93209374207381</v>
      </c>
      <c r="ANN75">
        <v>11.1748916701049</v>
      </c>
      <c r="ANO75">
        <v>11.5358417556849</v>
      </c>
      <c r="ANP75">
        <v>9.89982917177141</v>
      </c>
      <c r="ANQ75">
        <v>9.582354176657351</v>
      </c>
      <c r="ANR75">
        <v>8.43861469625177</v>
      </c>
      <c r="ANS75">
        <v>15.609185680752</v>
      </c>
      <c r="ANT75">
        <v>15.7775430197937</v>
      </c>
      <c r="ANU75">
        <v>13.0608196459024</v>
      </c>
      <c r="ANV75">
        <v>12.0556201958619</v>
      </c>
      <c r="ANW75">
        <v>10.4131250131406</v>
      </c>
      <c r="ANX75">
        <v>92.8079828294799</v>
      </c>
      <c r="ANY75">
        <v>92.8375127087089</v>
      </c>
      <c r="ANZ75">
        <v>92.5290079350642</v>
      </c>
      <c r="AOA75">
        <v>92.71787981610809</v>
      </c>
      <c r="AOB75">
        <v>92.31015275364859</v>
      </c>
      <c r="AOC75">
        <v>103.179174371884</v>
      </c>
      <c r="AOD75">
        <v>103.547101264699</v>
      </c>
      <c r="AOE75">
        <v>101.68922165497</v>
      </c>
      <c r="AOF75">
        <v>101.602435445175</v>
      </c>
      <c r="AOG75">
        <v>100.09985087005</v>
      </c>
      <c r="AOH75">
        <v>98.9405590549506</v>
      </c>
      <c r="AOI75">
        <v>97.84665956721309</v>
      </c>
      <c r="AOJ75">
        <v>92.54479842589571</v>
      </c>
      <c r="AOK75">
        <v>89.012992918352</v>
      </c>
      <c r="AOL75">
        <v>87.0794576541349</v>
      </c>
      <c r="AOM75">
        <v>139.760965193094</v>
      </c>
      <c r="AON75">
        <v>144.401257854127</v>
      </c>
      <c r="AOO75">
        <v>120.573650019366</v>
      </c>
      <c r="AOP75">
        <v>120.080849180245</v>
      </c>
      <c r="AOQ75">
        <v>101.197430124315</v>
      </c>
      <c r="AOR75">
        <v>12.1460559682064</v>
      </c>
      <c r="AOS75">
        <v>12.5374240230424</v>
      </c>
      <c r="AOT75">
        <v>10.7853738911971</v>
      </c>
      <c r="AOU75">
        <v>10.4133294000205</v>
      </c>
      <c r="AOV75">
        <v>9.206306884462411</v>
      </c>
      <c r="AOW75">
        <v>10.715825513719</v>
      </c>
      <c r="AOX75">
        <v>10.9007743075716</v>
      </c>
      <c r="AOY75">
        <v>9.00958508917455</v>
      </c>
      <c r="AOZ75">
        <v>8.395015540037891</v>
      </c>
      <c r="APA75">
        <v>7.34096988871414</v>
      </c>
      <c r="APB75">
        <v>6.62529568196856</v>
      </c>
      <c r="APC75">
        <v>6.78530886555781</v>
      </c>
      <c r="APD75">
        <v>6.07793948087854</v>
      </c>
      <c r="APE75">
        <v>5.6133928887206</v>
      </c>
      <c r="APF75">
        <v>4.55425977526076</v>
      </c>
      <c r="APG75">
        <v>6.77193105796416</v>
      </c>
      <c r="APH75">
        <v>6.92657905484764</v>
      </c>
      <c r="API75">
        <v>6.19913397860507</v>
      </c>
      <c r="APJ75">
        <v>5.72192607202383</v>
      </c>
      <c r="APK75">
        <v>4.64214220696547</v>
      </c>
      <c r="APL75">
        <v>92.1201315970923</v>
      </c>
      <c r="APM75">
        <v>94.7339742411566</v>
      </c>
      <c r="APN75">
        <v>81.3538473612446</v>
      </c>
      <c r="APO75">
        <v>77.0845955157054</v>
      </c>
      <c r="APP75">
        <v>59.224320449559</v>
      </c>
      <c r="APQ75">
        <v>8.0057852536361</v>
      </c>
      <c r="APR75">
        <v>8.22513613869754</v>
      </c>
      <c r="APS75">
        <v>7.27714273506254</v>
      </c>
      <c r="APT75">
        <v>6.68472358625226</v>
      </c>
      <c r="APU75">
        <v>5.38785686961212</v>
      </c>
      <c r="APV75">
        <v>7.36566529725269</v>
      </c>
      <c r="APW75">
        <v>7.56805135892302</v>
      </c>
      <c r="APX75">
        <v>6.67964510664916</v>
      </c>
      <c r="APY75">
        <v>6.1512880766451</v>
      </c>
      <c r="APZ75">
        <v>4.9385762099614</v>
      </c>
      <c r="AQA75">
        <v>7.06308270790367</v>
      </c>
      <c r="AQB75">
        <v>7.1514174309018</v>
      </c>
      <c r="AQC75">
        <v>6.0789767085522</v>
      </c>
      <c r="AQD75">
        <v>5.38908894856768</v>
      </c>
      <c r="AQE75">
        <v>4.29619559079404</v>
      </c>
      <c r="AQF75">
        <v>0.121460559682064</v>
      </c>
      <c r="AQG75">
        <v>0.125374240253224</v>
      </c>
      <c r="AQH75">
        <v>0.107853738911971</v>
      </c>
      <c r="AQI75">
        <v>0.104133294000205</v>
      </c>
      <c r="AQJ75">
        <v>0.0920630688446241</v>
      </c>
      <c r="AQK75">
        <v>9</v>
      </c>
      <c r="AQO75" t="s">
        <v>1903</v>
      </c>
      <c r="AQP75">
        <v>6</v>
      </c>
      <c r="AQQ75">
        <v>0</v>
      </c>
      <c r="AQS75" t="s">
        <v>1905</v>
      </c>
      <c r="AQU75" t="s">
        <v>1906</v>
      </c>
      <c r="AQV75">
        <v>7039215.1758721</v>
      </c>
      <c r="AQW75">
        <v>7365636.28050205</v>
      </c>
      <c r="AQX75">
        <v>6799835.79461576</v>
      </c>
      <c r="AQY75">
        <v>707556.048413779</v>
      </c>
      <c r="AQZ75">
        <v>761807.26503974</v>
      </c>
      <c r="ARA75">
        <v>612532.460424274</v>
      </c>
      <c r="ARB75">
        <v>21204687.25098991</v>
      </c>
      <c r="ARC75">
        <v>2081895.773877793</v>
      </c>
      <c r="ARD75">
        <v>0.1088698674756556</v>
      </c>
      <c r="ARE75">
        <v>0.1088698674756556</v>
      </c>
      <c r="ARF75">
        <v>0.1088698674756556</v>
      </c>
      <c r="ARG75">
        <v>0.1088698674756556</v>
      </c>
      <c r="ARH75">
        <v>0.1088698674756556</v>
      </c>
      <c r="ARI75">
        <v>0.1088698674756556</v>
      </c>
      <c r="ARJ75" t="s">
        <v>1236</v>
      </c>
      <c r="ARK75" t="s">
        <v>1574</v>
      </c>
      <c r="ARL75" t="s">
        <v>1908</v>
      </c>
      <c r="ARM75" t="s">
        <v>1908</v>
      </c>
      <c r="ARN75" t="s">
        <v>1908</v>
      </c>
      <c r="ARO75" t="s">
        <v>1908</v>
      </c>
      <c r="ARP75" t="s">
        <v>1904</v>
      </c>
      <c r="ARQ75" t="s">
        <v>1969</v>
      </c>
      <c r="ARR75">
        <f>HYPERLINK("C:\Users\Usuario\Documents\Proyectos\llmthon\evidence\lexsa_es_235035.png", "Ver Evidencia")</f>
        <v>0</v>
      </c>
      <c r="ARS75">
        <v>80</v>
      </c>
    </row>
    <row r="76" spans="1:1163">
      <c r="A76">
        <v>271</v>
      </c>
      <c r="B76" t="s">
        <v>1237</v>
      </c>
      <c r="C76" t="s">
        <v>1360</v>
      </c>
      <c r="D76" t="s">
        <v>1419</v>
      </c>
      <c r="E76" s="2">
        <v>37662</v>
      </c>
      <c r="F76" t="s">
        <v>1431</v>
      </c>
      <c r="G76" t="s">
        <v>1433</v>
      </c>
      <c r="H76" t="s">
        <v>1434</v>
      </c>
      <c r="I76" t="s">
        <v>1436</v>
      </c>
      <c r="J76" t="s">
        <v>1474</v>
      </c>
      <c r="L76" t="s">
        <v>1575</v>
      </c>
      <c r="N76" t="s">
        <v>1626</v>
      </c>
      <c r="O76" t="s">
        <v>1650</v>
      </c>
      <c r="P76">
        <v>6920</v>
      </c>
      <c r="Q76">
        <v>6920</v>
      </c>
      <c r="R76" t="s">
        <v>1745</v>
      </c>
      <c r="S76" t="s">
        <v>1824</v>
      </c>
      <c r="T76" t="s">
        <v>1863</v>
      </c>
      <c r="U76" t="s">
        <v>1873</v>
      </c>
      <c r="X76" t="s">
        <v>1889</v>
      </c>
      <c r="Z76" t="s">
        <v>1899</v>
      </c>
      <c r="AA76" s="2">
        <v>45657</v>
      </c>
      <c r="AB76">
        <v>2024</v>
      </c>
      <c r="AC76">
        <v>2873084.6591107</v>
      </c>
      <c r="AD76">
        <v>2905309.2717671</v>
      </c>
      <c r="AE76">
        <v>2743015.17068823</v>
      </c>
      <c r="AF76">
        <v>2670064.23604267</v>
      </c>
      <c r="AG76">
        <v>4808115.6733936</v>
      </c>
      <c r="AH76">
        <v>2857393.38016981</v>
      </c>
      <c r="AI76">
        <v>2900806.93619651</v>
      </c>
      <c r="AJ76">
        <v>2740170.90183088</v>
      </c>
      <c r="AK76">
        <v>2664605.96333692</v>
      </c>
      <c r="AL76">
        <v>4805155.01410088</v>
      </c>
      <c r="AM76" t="s">
        <v>1900</v>
      </c>
      <c r="AN76" t="s">
        <v>1900</v>
      </c>
      <c r="AO76" t="s">
        <v>1900</v>
      </c>
      <c r="AP76" t="s">
        <v>1900</v>
      </c>
      <c r="AQ76" t="s">
        <v>1900</v>
      </c>
      <c r="AR76">
        <v>2873084.6591107</v>
      </c>
      <c r="AS76">
        <v>2905309.2717671</v>
      </c>
      <c r="AT76">
        <v>2743015.17068823</v>
      </c>
      <c r="AU76">
        <v>2670064.23604267</v>
      </c>
      <c r="AV76">
        <v>4808115.6733936</v>
      </c>
      <c r="AW76">
        <v>1455396.22647865</v>
      </c>
      <c r="AX76">
        <v>1967566.07091948</v>
      </c>
      <c r="AY76">
        <v>1987378.10112523</v>
      </c>
      <c r="AZ76">
        <v>2167330.65050405</v>
      </c>
      <c r="BA76">
        <v>3580084.82152958</v>
      </c>
      <c r="BB76">
        <v>1417688.43263205</v>
      </c>
      <c r="BC76">
        <v>937743.200847626</v>
      </c>
      <c r="BD76">
        <v>755637.0684964</v>
      </c>
      <c r="BE76">
        <v>502733.584406018</v>
      </c>
      <c r="BF76">
        <v>1228030.85186401</v>
      </c>
      <c r="BG76">
        <v>322153.054700741</v>
      </c>
      <c r="BH76">
        <v>113943.076436253</v>
      </c>
      <c r="BI76">
        <v>-735.04703733325</v>
      </c>
      <c r="BJ76">
        <v>2221.00655093193</v>
      </c>
      <c r="BK76">
        <v>-9816.794395446779</v>
      </c>
      <c r="BL76">
        <v>322153.054700741</v>
      </c>
      <c r="BM76">
        <v>113943.076436253</v>
      </c>
      <c r="BN76">
        <v>2852.19369155169</v>
      </c>
      <c r="BO76">
        <v>2265.2006149292</v>
      </c>
      <c r="BP76" t="s">
        <v>1900</v>
      </c>
      <c r="BQ76" t="s">
        <v>1900</v>
      </c>
      <c r="BR76" t="s">
        <v>1900</v>
      </c>
      <c r="BS76">
        <v>3587.24072888494</v>
      </c>
      <c r="BT76">
        <v>44.1940639972687</v>
      </c>
      <c r="BU76">
        <v>9816.794395446779</v>
      </c>
      <c r="BV76">
        <v>1739841.48733279</v>
      </c>
      <c r="BW76">
        <v>1051686.27728388</v>
      </c>
      <c r="BX76">
        <v>754902.021459067</v>
      </c>
      <c r="BY76">
        <v>504954.59095695</v>
      </c>
      <c r="BZ76">
        <v>1218214.05746856</v>
      </c>
      <c r="CA76">
        <v>331493.239467231</v>
      </c>
      <c r="CB76">
        <v>188237.243328562</v>
      </c>
      <c r="CC76">
        <v>150788.220129621</v>
      </c>
      <c r="CD76">
        <v>99530.332691288</v>
      </c>
      <c r="CE76">
        <v>240645.020176196</v>
      </c>
      <c r="CF76">
        <v>1408348.24786556</v>
      </c>
      <c r="CG76">
        <v>863449.033955317</v>
      </c>
      <c r="CH76">
        <v>604113.801329446</v>
      </c>
      <c r="CI76">
        <v>405424.258265662</v>
      </c>
      <c r="CJ76">
        <v>977569.037292367</v>
      </c>
      <c r="CK76" t="s">
        <v>1900</v>
      </c>
      <c r="CL76" t="s">
        <v>1900</v>
      </c>
      <c r="CM76" t="s">
        <v>1900</v>
      </c>
      <c r="CN76" t="s">
        <v>1900</v>
      </c>
      <c r="CO76" t="s">
        <v>1900</v>
      </c>
      <c r="CP76" t="s">
        <v>1900</v>
      </c>
      <c r="CQ76" t="s">
        <v>1900</v>
      </c>
      <c r="CR76" t="s">
        <v>1900</v>
      </c>
      <c r="CS76" t="s">
        <v>1900</v>
      </c>
      <c r="CT76" t="s">
        <v>1900</v>
      </c>
      <c r="CU76" t="s">
        <v>1900</v>
      </c>
      <c r="CV76" t="s">
        <v>1900</v>
      </c>
      <c r="CW76" t="s">
        <v>1900</v>
      </c>
      <c r="CX76" t="s">
        <v>1900</v>
      </c>
      <c r="CY76" t="s">
        <v>1900</v>
      </c>
      <c r="CZ76">
        <v>1408348.24786556</v>
      </c>
      <c r="DA76">
        <v>863449.033955317</v>
      </c>
      <c r="DB76">
        <v>604113.801329446</v>
      </c>
      <c r="DC76">
        <v>405424.258265662</v>
      </c>
      <c r="DD76">
        <v>977569.037292367</v>
      </c>
      <c r="DE76" t="s">
        <v>1900</v>
      </c>
      <c r="DF76" t="s">
        <v>1900</v>
      </c>
      <c r="DG76" t="s">
        <v>1900</v>
      </c>
      <c r="DH76" t="s">
        <v>1900</v>
      </c>
      <c r="DI76" t="s">
        <v>1900</v>
      </c>
      <c r="DJ76" t="s">
        <v>1900</v>
      </c>
      <c r="DK76" t="s">
        <v>1900</v>
      </c>
      <c r="DL76" t="s">
        <v>1900</v>
      </c>
      <c r="DM76" t="s">
        <v>1900</v>
      </c>
      <c r="DN76" t="s">
        <v>1900</v>
      </c>
      <c r="DO76">
        <v>1414364.328105</v>
      </c>
      <c r="DP76">
        <v>1500517.51136382</v>
      </c>
      <c r="DQ76">
        <v>1340997.2669976</v>
      </c>
      <c r="DR76">
        <v>1442967.82303741</v>
      </c>
      <c r="DS76">
        <v>1724118.06545448</v>
      </c>
      <c r="DT76">
        <v>25180.950962317</v>
      </c>
      <c r="DU76">
        <v>27497.4069404984</v>
      </c>
      <c r="DV76">
        <v>24025.6227767944</v>
      </c>
      <c r="DW76">
        <v>28519.3401080847</v>
      </c>
      <c r="DX76">
        <v>125897.062682503</v>
      </c>
      <c r="DY76">
        <v>15850.9474113274</v>
      </c>
      <c r="DZ76">
        <v>439551.152615156</v>
      </c>
      <c r="EA76">
        <v>622355.2124174359</v>
      </c>
      <c r="EB76">
        <v>695843.487358553</v>
      </c>
      <c r="EC76">
        <v>1730069.6933926</v>
      </c>
      <c r="ED76" t="s">
        <v>1900</v>
      </c>
      <c r="EE76" t="s">
        <v>1900</v>
      </c>
      <c r="EF76">
        <v>2844.26885735393</v>
      </c>
      <c r="EG76">
        <v>44.1940639972687</v>
      </c>
      <c r="EH76" t="s">
        <v>1900</v>
      </c>
      <c r="EI76" t="s">
        <v>1900</v>
      </c>
      <c r="EJ76" t="s">
        <v>1900</v>
      </c>
      <c r="EK76" t="s">
        <v>1900</v>
      </c>
      <c r="EL76" t="s">
        <v>1900</v>
      </c>
      <c r="EM76" t="s">
        <v>1900</v>
      </c>
      <c r="EN76">
        <v>1433529.19882788</v>
      </c>
      <c r="EO76">
        <v>890946.440895815</v>
      </c>
      <c r="EP76">
        <v>628139.423039641</v>
      </c>
      <c r="EQ76">
        <v>433943.598373747</v>
      </c>
      <c r="ER76">
        <v>1103466.09997487</v>
      </c>
      <c r="ES76">
        <v>3179386.76640011</v>
      </c>
      <c r="ET76">
        <v>2579701.1955882</v>
      </c>
      <c r="EU76">
        <v>2122769.18009081</v>
      </c>
      <c r="EV76">
        <v>1976485.94816644</v>
      </c>
      <c r="EW76">
        <v>3068229.18560554</v>
      </c>
      <c r="EX76">
        <v>1442869.38359437</v>
      </c>
      <c r="EY76">
        <v>965240.607788124</v>
      </c>
      <c r="EZ76">
        <v>779662.690206595</v>
      </c>
      <c r="FA76">
        <v>531252.923381503</v>
      </c>
      <c r="FB76">
        <v>1353927.91454651</v>
      </c>
      <c r="FC76">
        <v>138125.776838008</v>
      </c>
      <c r="FD76">
        <v>179830.952055922</v>
      </c>
      <c r="FE76">
        <v>193110.386521953</v>
      </c>
      <c r="FF76">
        <v>225344.864087892</v>
      </c>
      <c r="FG76">
        <v>292816.815746546</v>
      </c>
      <c r="FH76">
        <v>32039.8696213007</v>
      </c>
      <c r="FI76">
        <v>36030.8837702179</v>
      </c>
      <c r="FJ76">
        <v>36646.6518573761</v>
      </c>
      <c r="FK76">
        <v>38636.1677684784</v>
      </c>
      <c r="FL76">
        <v>48206.7800430357</v>
      </c>
      <c r="FM76">
        <v>83748.5281877911</v>
      </c>
      <c r="FN76">
        <v>121146.45311904</v>
      </c>
      <c r="FO76">
        <v>134597.378555793</v>
      </c>
      <c r="FP76">
        <v>163489.257416081</v>
      </c>
      <c r="FQ76">
        <v>200310.523894757</v>
      </c>
      <c r="FR76">
        <v>22337.3790289164</v>
      </c>
      <c r="FS76">
        <v>22653.6151666641</v>
      </c>
      <c r="FT76">
        <v>21866.3561087847</v>
      </c>
      <c r="FU76">
        <v>23219.4389033318</v>
      </c>
      <c r="FV76">
        <v>44299.511808753</v>
      </c>
      <c r="FW76">
        <v>32039.8696213007</v>
      </c>
      <c r="FX76">
        <v>36030.8837702179</v>
      </c>
      <c r="FY76">
        <v>36646.6518573761</v>
      </c>
      <c r="FZ76">
        <v>38636.1677684784</v>
      </c>
      <c r="GA76">
        <v>48206.7800430357</v>
      </c>
      <c r="GB76">
        <v>83748.5281877911</v>
      </c>
      <c r="GC76">
        <v>121146.45311904</v>
      </c>
      <c r="GD76">
        <v>134597.378555793</v>
      </c>
      <c r="GE76">
        <v>163489.257416081</v>
      </c>
      <c r="GF76">
        <v>200310.523894757</v>
      </c>
      <c r="GG76">
        <v>22337.3790289164</v>
      </c>
      <c r="GH76">
        <v>22653.6151666641</v>
      </c>
      <c r="GI76">
        <v>21866.3561087847</v>
      </c>
      <c r="GJ76">
        <v>23219.4389033318</v>
      </c>
      <c r="GK76">
        <v>44299.511808753</v>
      </c>
      <c r="GL76">
        <v>2368258.49054281</v>
      </c>
      <c r="GM76">
        <v>1636769.65276211</v>
      </c>
      <c r="GN76">
        <v>2043546.64982083</v>
      </c>
      <c r="GO76">
        <v>1987661.39468222</v>
      </c>
      <c r="GP76">
        <v>4078649.21728879</v>
      </c>
      <c r="GQ76">
        <v>218.168903589249</v>
      </c>
      <c r="GR76">
        <v>232.050104141235</v>
      </c>
      <c r="GS76">
        <v>223.985892534256</v>
      </c>
      <c r="GT76">
        <v>237.846064567566</v>
      </c>
      <c r="GU76">
        <v>0</v>
      </c>
      <c r="GV76">
        <v>508890.3331829</v>
      </c>
      <c r="GW76">
        <v>787322.676790743</v>
      </c>
      <c r="GX76">
        <v>1206716.42317194</v>
      </c>
      <c r="GY76">
        <v>877699.151057124</v>
      </c>
      <c r="GZ76">
        <v>3033396.9289568</v>
      </c>
      <c r="HA76">
        <v>1859149.98845632</v>
      </c>
      <c r="HB76">
        <v>849214.925867224</v>
      </c>
      <c r="HC76">
        <v>836606.240756363</v>
      </c>
      <c r="HD76">
        <v>1109724.39756052</v>
      </c>
      <c r="HE76">
        <v>1045252.288332</v>
      </c>
      <c r="HF76">
        <v>1726659.06767122</v>
      </c>
      <c r="HG76">
        <v>818003.103959742</v>
      </c>
      <c r="HH76">
        <v>810931.452516818</v>
      </c>
      <c r="HI76">
        <v>1071673.08193882</v>
      </c>
      <c r="HJ76">
        <v>1007163.07699369</v>
      </c>
      <c r="HK76">
        <v>2506384.26738082</v>
      </c>
      <c r="HL76">
        <v>1816600.60481803</v>
      </c>
      <c r="HM76">
        <v>2236657.03634279</v>
      </c>
      <c r="HN76">
        <v>2213006.25877011</v>
      </c>
      <c r="HO76">
        <v>4371466.03303534</v>
      </c>
      <c r="HP76">
        <v>1631857.53143285</v>
      </c>
      <c r="HQ76">
        <v>1041890.94513785</v>
      </c>
      <c r="HR76">
        <v>1478825.06608948</v>
      </c>
      <c r="HS76">
        <v>1518961.41884923</v>
      </c>
      <c r="HT76">
        <v>1819803.83294606</v>
      </c>
      <c r="HU76">
        <v>3241.36656761169</v>
      </c>
      <c r="HV76">
        <v>3447.60154724121</v>
      </c>
      <c r="HW76">
        <v>3327.79040336609</v>
      </c>
      <c r="HX76">
        <v>3533.71295928955</v>
      </c>
      <c r="HY76">
        <v>3828.54981422424</v>
      </c>
      <c r="HZ76">
        <v>1628616.16382634</v>
      </c>
      <c r="IA76">
        <v>1038443.34359061</v>
      </c>
      <c r="IB76">
        <v>1475497.27461951</v>
      </c>
      <c r="IC76">
        <v>1515427.70588994</v>
      </c>
      <c r="ID76">
        <v>1815975.28313183</v>
      </c>
      <c r="IE76">
        <v>0</v>
      </c>
      <c r="IF76">
        <v>20467.3827355099</v>
      </c>
      <c r="IG76">
        <v>19756.0996872604</v>
      </c>
      <c r="IH76">
        <v>20978.6005210161</v>
      </c>
      <c r="II76">
        <v>22728.9590447009</v>
      </c>
      <c r="IJ76" t="s">
        <v>1900</v>
      </c>
      <c r="IK76">
        <v>0</v>
      </c>
      <c r="IL76">
        <v>0</v>
      </c>
      <c r="IM76">
        <v>0</v>
      </c>
      <c r="IN76">
        <v>0</v>
      </c>
      <c r="IO76" t="s">
        <v>1900</v>
      </c>
      <c r="IP76">
        <v>20467.3827355099</v>
      </c>
      <c r="IQ76">
        <v>19756.0996872604</v>
      </c>
      <c r="IR76">
        <v>20978.6005210161</v>
      </c>
      <c r="IS76">
        <v>22728.9590447009</v>
      </c>
      <c r="IT76" t="s">
        <v>1900</v>
      </c>
      <c r="IU76" t="s">
        <v>1900</v>
      </c>
      <c r="IV76" t="s">
        <v>1900</v>
      </c>
      <c r="IW76" t="s">
        <v>1900</v>
      </c>
      <c r="IX76" t="s">
        <v>1900</v>
      </c>
      <c r="IY76">
        <v>874526.735947968</v>
      </c>
      <c r="IZ76">
        <v>754242.2769446661</v>
      </c>
      <c r="JA76">
        <v>738075.870566052</v>
      </c>
      <c r="JB76">
        <v>673066.239399862</v>
      </c>
      <c r="JC76">
        <v>2528933.24104458</v>
      </c>
      <c r="JD76">
        <v>0</v>
      </c>
      <c r="JE76">
        <v>0</v>
      </c>
      <c r="JF76">
        <v>0</v>
      </c>
      <c r="JG76">
        <v>0</v>
      </c>
      <c r="JH76">
        <v>0</v>
      </c>
      <c r="JI76">
        <v>0</v>
      </c>
      <c r="JJ76">
        <v>0</v>
      </c>
      <c r="JK76">
        <v>0</v>
      </c>
      <c r="JL76">
        <v>0</v>
      </c>
      <c r="JM76">
        <v>0</v>
      </c>
      <c r="JN76">
        <v>874526.735947968</v>
      </c>
      <c r="JO76">
        <v>754242.2769446661</v>
      </c>
      <c r="JP76">
        <v>738075.870566052</v>
      </c>
      <c r="JQ76">
        <v>673066.239399862</v>
      </c>
      <c r="JR76">
        <v>2528933.24104458</v>
      </c>
      <c r="JS76">
        <v>2506384.26738082</v>
      </c>
      <c r="JT76">
        <v>1816600.60481803</v>
      </c>
      <c r="JU76">
        <v>2236657.03634279</v>
      </c>
      <c r="JV76">
        <v>2213006.25877011</v>
      </c>
      <c r="JW76">
        <v>4371466.03303534</v>
      </c>
      <c r="JX76">
        <v>509108.502086489</v>
      </c>
      <c r="JY76">
        <v>787554.726894884</v>
      </c>
      <c r="JZ76">
        <v>1206940.40906447</v>
      </c>
      <c r="KA76">
        <v>877936.9971216921</v>
      </c>
      <c r="KB76">
        <v>3033396.9289568</v>
      </c>
      <c r="KC76" t="s">
        <v>1900</v>
      </c>
      <c r="KD76" t="s">
        <v>1900</v>
      </c>
      <c r="KE76" t="s">
        <v>1900</v>
      </c>
      <c r="KF76" t="s">
        <v>1900</v>
      </c>
      <c r="KG76" t="s">
        <v>1900</v>
      </c>
      <c r="KH76" t="s">
        <v>1900</v>
      </c>
      <c r="KI76" t="s">
        <v>1900</v>
      </c>
      <c r="KJ76" t="s">
        <v>1900</v>
      </c>
      <c r="KK76" t="s">
        <v>1900</v>
      </c>
      <c r="KL76" t="s">
        <v>1900</v>
      </c>
      <c r="KM76">
        <v>26</v>
      </c>
      <c r="KN76">
        <v>23</v>
      </c>
      <c r="KO76">
        <v>24</v>
      </c>
      <c r="KP76">
        <v>30</v>
      </c>
      <c r="KQ76">
        <v>28</v>
      </c>
      <c r="KR76" t="s">
        <v>1900</v>
      </c>
      <c r="KS76" t="s">
        <v>1900</v>
      </c>
      <c r="KT76" t="s">
        <v>1900</v>
      </c>
      <c r="KU76" t="s">
        <v>1900</v>
      </c>
      <c r="KV76" t="s">
        <v>1900</v>
      </c>
      <c r="KW76" t="s">
        <v>1900</v>
      </c>
      <c r="KX76" t="s">
        <v>1900</v>
      </c>
      <c r="KY76" t="s">
        <v>1900</v>
      </c>
      <c r="KZ76" t="s">
        <v>1900</v>
      </c>
      <c r="LA76" t="s">
        <v>1900</v>
      </c>
      <c r="LB76" t="s">
        <v>1900</v>
      </c>
      <c r="LC76" t="s">
        <v>1900</v>
      </c>
      <c r="LD76" t="s">
        <v>1900</v>
      </c>
      <c r="LE76" t="s">
        <v>1900</v>
      </c>
      <c r="LF76" t="s">
        <v>1900</v>
      </c>
      <c r="LG76" t="s">
        <v>1900</v>
      </c>
      <c r="LH76" t="s">
        <v>1900</v>
      </c>
      <c r="LI76" t="s">
        <v>1900</v>
      </c>
      <c r="LJ76" t="s">
        <v>1900</v>
      </c>
      <c r="LK76" t="s">
        <v>1900</v>
      </c>
      <c r="LL76" t="s">
        <v>1900</v>
      </c>
      <c r="LM76" t="s">
        <v>1900</v>
      </c>
      <c r="LN76" t="s">
        <v>1900</v>
      </c>
      <c r="LO76" t="s">
        <v>1900</v>
      </c>
      <c r="LP76" t="s">
        <v>1900</v>
      </c>
      <c r="LQ76" t="s">
        <v>1900</v>
      </c>
      <c r="LR76" t="s">
        <v>1900</v>
      </c>
      <c r="LS76" t="s">
        <v>1900</v>
      </c>
      <c r="LT76" t="s">
        <v>1900</v>
      </c>
      <c r="LU76" t="s">
        <v>1900</v>
      </c>
      <c r="LV76" t="s">
        <v>1900</v>
      </c>
      <c r="LW76" t="s">
        <v>1900</v>
      </c>
      <c r="LX76" t="s">
        <v>1900</v>
      </c>
      <c r="LY76" t="s">
        <v>1900</v>
      </c>
      <c r="LZ76" t="s">
        <v>1900</v>
      </c>
      <c r="MA76" t="s">
        <v>1900</v>
      </c>
      <c r="MB76" t="s">
        <v>1900</v>
      </c>
      <c r="MC76" t="s">
        <v>1900</v>
      </c>
      <c r="MD76" t="s">
        <v>1900</v>
      </c>
      <c r="ME76" t="s">
        <v>1900</v>
      </c>
      <c r="MF76" t="s">
        <v>1900</v>
      </c>
      <c r="MG76" t="s">
        <v>1900</v>
      </c>
      <c r="MH76" t="s">
        <v>1900</v>
      </c>
      <c r="MI76" t="s">
        <v>1900</v>
      </c>
      <c r="MJ76" t="s">
        <v>1900</v>
      </c>
      <c r="MK76" t="s">
        <v>1900</v>
      </c>
      <c r="ML76" t="s">
        <v>1900</v>
      </c>
      <c r="MM76" t="s">
        <v>1900</v>
      </c>
      <c r="MN76" t="s">
        <v>1900</v>
      </c>
      <c r="MO76" t="s">
        <v>1900</v>
      </c>
      <c r="MP76">
        <v>1859149.98845632</v>
      </c>
      <c r="MQ76">
        <v>849214.925867224</v>
      </c>
      <c r="MR76">
        <v>836606.240756363</v>
      </c>
      <c r="MS76">
        <v>1109724.39756052</v>
      </c>
      <c r="MT76">
        <v>1045252.288332</v>
      </c>
      <c r="MU76" t="s">
        <v>1900</v>
      </c>
      <c r="MV76" t="s">
        <v>1900</v>
      </c>
      <c r="MW76" t="s">
        <v>1900</v>
      </c>
      <c r="MX76" t="s">
        <v>1900</v>
      </c>
      <c r="MY76" t="s">
        <v>1900</v>
      </c>
      <c r="MZ76" t="s">
        <v>1900</v>
      </c>
      <c r="NA76" t="s">
        <v>1900</v>
      </c>
      <c r="NB76" t="s">
        <v>1900</v>
      </c>
      <c r="NC76" t="s">
        <v>1900</v>
      </c>
      <c r="ND76" t="s">
        <v>1900</v>
      </c>
      <c r="NE76" t="s">
        <v>1900</v>
      </c>
      <c r="NF76" t="s">
        <v>1900</v>
      </c>
      <c r="NG76" t="s">
        <v>1900</v>
      </c>
      <c r="NH76" t="s">
        <v>1900</v>
      </c>
      <c r="NI76" t="s">
        <v>1900</v>
      </c>
      <c r="NJ76" t="s">
        <v>1900</v>
      </c>
      <c r="NK76" t="s">
        <v>1900</v>
      </c>
      <c r="NL76" t="s">
        <v>1900</v>
      </c>
      <c r="NM76" t="s">
        <v>1900</v>
      </c>
      <c r="NN76" t="s">
        <v>1900</v>
      </c>
      <c r="NO76" t="s">
        <v>1900</v>
      </c>
      <c r="NP76" t="s">
        <v>1900</v>
      </c>
      <c r="NQ76" t="s">
        <v>1900</v>
      </c>
      <c r="NR76" t="s">
        <v>1900</v>
      </c>
      <c r="NS76" t="s">
        <v>1900</v>
      </c>
      <c r="NT76">
        <v>138125.776838008</v>
      </c>
      <c r="NU76">
        <v>179830.952055922</v>
      </c>
      <c r="NV76">
        <v>193110.386521953</v>
      </c>
      <c r="NW76">
        <v>225344.864087892</v>
      </c>
      <c r="NX76">
        <v>292816.815746546</v>
      </c>
      <c r="NY76" t="s">
        <v>1900</v>
      </c>
      <c r="NZ76" t="s">
        <v>1900</v>
      </c>
      <c r="OA76" t="s">
        <v>1900</v>
      </c>
      <c r="OB76" t="s">
        <v>1900</v>
      </c>
      <c r="OC76" t="s">
        <v>1900</v>
      </c>
      <c r="OD76" t="s">
        <v>1900</v>
      </c>
      <c r="OE76" t="s">
        <v>1900</v>
      </c>
      <c r="OF76" t="s">
        <v>1900</v>
      </c>
      <c r="OG76" t="s">
        <v>1900</v>
      </c>
      <c r="OH76" t="s">
        <v>1900</v>
      </c>
      <c r="OI76" t="s">
        <v>1900</v>
      </c>
      <c r="OJ76" t="s">
        <v>1900</v>
      </c>
      <c r="OK76" t="s">
        <v>1900</v>
      </c>
      <c r="OL76" t="s">
        <v>1900</v>
      </c>
      <c r="OM76" t="s">
        <v>1900</v>
      </c>
      <c r="ON76" t="s">
        <v>1900</v>
      </c>
      <c r="OO76" t="s">
        <v>1900</v>
      </c>
      <c r="OP76" t="s">
        <v>1900</v>
      </c>
      <c r="OQ76" t="s">
        <v>1900</v>
      </c>
      <c r="OR76" t="s">
        <v>1900</v>
      </c>
      <c r="OS76" t="s">
        <v>1900</v>
      </c>
      <c r="OT76" t="s">
        <v>1900</v>
      </c>
      <c r="OU76" t="s">
        <v>1900</v>
      </c>
      <c r="OV76" t="s">
        <v>1900</v>
      </c>
      <c r="OW76" t="s">
        <v>1900</v>
      </c>
      <c r="OX76" t="s">
        <v>1900</v>
      </c>
      <c r="OY76" t="s">
        <v>1900</v>
      </c>
      <c r="OZ76" t="s">
        <v>1900</v>
      </c>
      <c r="PA76" t="s">
        <v>1900</v>
      </c>
      <c r="PB76" t="s">
        <v>1900</v>
      </c>
      <c r="PC76" t="s">
        <v>1900</v>
      </c>
      <c r="PD76" t="s">
        <v>1900</v>
      </c>
      <c r="PE76" t="s">
        <v>1900</v>
      </c>
      <c r="PF76" t="s">
        <v>1900</v>
      </c>
      <c r="PG76" t="s">
        <v>1900</v>
      </c>
      <c r="PH76" t="s">
        <v>1900</v>
      </c>
      <c r="PI76" t="s">
        <v>1900</v>
      </c>
      <c r="PJ76" t="s">
        <v>1900</v>
      </c>
      <c r="PK76" t="s">
        <v>1900</v>
      </c>
      <c r="PL76" t="s">
        <v>1900</v>
      </c>
      <c r="PM76" t="s">
        <v>1900</v>
      </c>
      <c r="PN76" t="s">
        <v>1900</v>
      </c>
      <c r="PO76" t="s">
        <v>1900</v>
      </c>
      <c r="PP76" t="s">
        <v>1900</v>
      </c>
      <c r="PQ76" t="s">
        <v>1900</v>
      </c>
      <c r="PR76" t="s">
        <v>1900</v>
      </c>
      <c r="PS76" t="s">
        <v>1900</v>
      </c>
      <c r="PT76" t="s">
        <v>1900</v>
      </c>
      <c r="PU76" t="s">
        <v>1900</v>
      </c>
      <c r="PV76" t="s">
        <v>1900</v>
      </c>
      <c r="PW76" t="s">
        <v>1900</v>
      </c>
      <c r="PX76" t="s">
        <v>1900</v>
      </c>
      <c r="PY76" t="s">
        <v>1900</v>
      </c>
      <c r="PZ76" t="s">
        <v>1900</v>
      </c>
      <c r="QA76" t="s">
        <v>1900</v>
      </c>
      <c r="QB76" t="s">
        <v>1900</v>
      </c>
      <c r="QC76" t="s">
        <v>1900</v>
      </c>
      <c r="QD76" t="s">
        <v>1900</v>
      </c>
      <c r="QE76" t="s">
        <v>1900</v>
      </c>
      <c r="QF76" t="s">
        <v>1900</v>
      </c>
      <c r="QG76" t="s">
        <v>1900</v>
      </c>
      <c r="QH76" t="s">
        <v>1900</v>
      </c>
      <c r="QI76" t="s">
        <v>1900</v>
      </c>
      <c r="QJ76" t="s">
        <v>1900</v>
      </c>
      <c r="QK76" t="s">
        <v>1900</v>
      </c>
      <c r="QL76" t="s">
        <v>1900</v>
      </c>
      <c r="QM76" t="s">
        <v>1900</v>
      </c>
      <c r="QN76" t="s">
        <v>1900</v>
      </c>
      <c r="QO76" t="s">
        <v>1900</v>
      </c>
      <c r="QP76" t="s">
        <v>1900</v>
      </c>
      <c r="QQ76" t="s">
        <v>1900</v>
      </c>
      <c r="QR76" t="s">
        <v>1900</v>
      </c>
      <c r="QS76" t="s">
        <v>1900</v>
      </c>
      <c r="QT76" t="s">
        <v>1900</v>
      </c>
      <c r="QU76" t="s">
        <v>1900</v>
      </c>
      <c r="QV76" t="s">
        <v>1900</v>
      </c>
      <c r="QW76" t="s">
        <v>1900</v>
      </c>
      <c r="QX76" t="s">
        <v>1900</v>
      </c>
      <c r="QY76" t="s">
        <v>1900</v>
      </c>
      <c r="QZ76" t="s">
        <v>1900</v>
      </c>
      <c r="RA76" t="s">
        <v>1900</v>
      </c>
      <c r="RB76" t="s">
        <v>1900</v>
      </c>
      <c r="RC76" t="s">
        <v>1900</v>
      </c>
      <c r="RD76" t="s">
        <v>1900</v>
      </c>
      <c r="RE76" t="s">
        <v>1900</v>
      </c>
      <c r="RF76" t="s">
        <v>1900</v>
      </c>
      <c r="RG76" t="s">
        <v>1900</v>
      </c>
      <c r="RH76" t="s">
        <v>1900</v>
      </c>
      <c r="RI76" t="s">
        <v>1900</v>
      </c>
      <c r="RJ76" t="s">
        <v>1900</v>
      </c>
      <c r="RK76" t="s">
        <v>1900</v>
      </c>
      <c r="RL76" t="s">
        <v>1900</v>
      </c>
      <c r="RM76" t="s">
        <v>1900</v>
      </c>
      <c r="RN76" t="s">
        <v>1900</v>
      </c>
      <c r="RO76" t="s">
        <v>1900</v>
      </c>
      <c r="RP76" t="s">
        <v>1900</v>
      </c>
      <c r="RQ76" t="s">
        <v>1900</v>
      </c>
      <c r="RR76" t="s">
        <v>1900</v>
      </c>
      <c r="RS76" t="s">
        <v>1900</v>
      </c>
      <c r="RT76" t="s">
        <v>1900</v>
      </c>
      <c r="RU76" t="s">
        <v>1900</v>
      </c>
      <c r="RV76" t="s">
        <v>1900</v>
      </c>
      <c r="RW76" t="s">
        <v>1900</v>
      </c>
      <c r="RX76" t="s">
        <v>1900</v>
      </c>
      <c r="RY76" t="s">
        <v>1900</v>
      </c>
      <c r="RZ76" t="s">
        <v>1900</v>
      </c>
      <c r="SA76" t="s">
        <v>1900</v>
      </c>
      <c r="SB76" t="s">
        <v>1900</v>
      </c>
      <c r="SC76" t="s">
        <v>1900</v>
      </c>
      <c r="SD76" t="s">
        <v>1900</v>
      </c>
      <c r="SE76" t="s">
        <v>1900</v>
      </c>
      <c r="SF76" t="s">
        <v>1900</v>
      </c>
      <c r="SG76" t="s">
        <v>1900</v>
      </c>
      <c r="SH76" t="s">
        <v>1900</v>
      </c>
      <c r="SI76" t="s">
        <v>1900</v>
      </c>
      <c r="SJ76">
        <v>22337.3790289164</v>
      </c>
      <c r="SK76">
        <v>22653.6151666641</v>
      </c>
      <c r="SL76">
        <v>21866.3561087847</v>
      </c>
      <c r="SM76">
        <v>23219.4389033318</v>
      </c>
      <c r="SN76">
        <v>44299.511808753</v>
      </c>
      <c r="SO76" t="s">
        <v>1900</v>
      </c>
      <c r="SP76" t="s">
        <v>1900</v>
      </c>
      <c r="SQ76" t="s">
        <v>1900</v>
      </c>
      <c r="SR76" t="s">
        <v>1900</v>
      </c>
      <c r="SS76" t="s">
        <v>1900</v>
      </c>
      <c r="ST76" t="s">
        <v>1900</v>
      </c>
      <c r="SU76" t="s">
        <v>1900</v>
      </c>
      <c r="SV76" t="s">
        <v>1900</v>
      </c>
      <c r="SW76" t="s">
        <v>1900</v>
      </c>
      <c r="SX76" t="s">
        <v>1900</v>
      </c>
      <c r="SY76" t="s">
        <v>1900</v>
      </c>
      <c r="SZ76" t="s">
        <v>1900</v>
      </c>
      <c r="TA76" t="s">
        <v>1900</v>
      </c>
      <c r="TB76" t="s">
        <v>1900</v>
      </c>
      <c r="TC76" t="s">
        <v>1900</v>
      </c>
      <c r="TD76" t="s">
        <v>1900</v>
      </c>
      <c r="TE76" t="s">
        <v>1900</v>
      </c>
      <c r="TF76" t="s">
        <v>1900</v>
      </c>
      <c r="TG76" t="s">
        <v>1900</v>
      </c>
      <c r="TH76" t="s">
        <v>1900</v>
      </c>
      <c r="TI76" t="s">
        <v>1900</v>
      </c>
      <c r="TJ76" t="s">
        <v>1900</v>
      </c>
      <c r="TK76" t="s">
        <v>1900</v>
      </c>
      <c r="TL76" t="s">
        <v>1900</v>
      </c>
      <c r="TM76" t="s">
        <v>1900</v>
      </c>
      <c r="TN76" t="s">
        <v>1900</v>
      </c>
      <c r="TO76" t="s">
        <v>1900</v>
      </c>
      <c r="TP76" t="s">
        <v>1900</v>
      </c>
      <c r="TQ76" t="s">
        <v>1900</v>
      </c>
      <c r="TR76" t="s">
        <v>1900</v>
      </c>
      <c r="TS76">
        <v>2506384.26738082</v>
      </c>
      <c r="TT76">
        <v>1816600.60481803</v>
      </c>
      <c r="TU76">
        <v>2236657.03634279</v>
      </c>
      <c r="TV76">
        <v>2213006.25877011</v>
      </c>
      <c r="TW76">
        <v>4371466.03303534</v>
      </c>
      <c r="TX76" t="s">
        <v>1900</v>
      </c>
      <c r="TY76" t="s">
        <v>1900</v>
      </c>
      <c r="TZ76" t="s">
        <v>1900</v>
      </c>
      <c r="UA76" t="s">
        <v>1900</v>
      </c>
      <c r="UB76" t="s">
        <v>1900</v>
      </c>
      <c r="UC76">
        <v>0</v>
      </c>
      <c r="UD76">
        <v>0</v>
      </c>
      <c r="UE76">
        <v>0</v>
      </c>
      <c r="UF76">
        <v>0</v>
      </c>
      <c r="UG76">
        <v>0</v>
      </c>
      <c r="UH76" t="s">
        <v>1900</v>
      </c>
      <c r="UI76" t="s">
        <v>1900</v>
      </c>
      <c r="UJ76" t="s">
        <v>1900</v>
      </c>
      <c r="UK76" t="s">
        <v>1900</v>
      </c>
      <c r="UL76" t="s">
        <v>1900</v>
      </c>
      <c r="UM76" t="s">
        <v>1900</v>
      </c>
      <c r="UN76" t="s">
        <v>1900</v>
      </c>
      <c r="UO76" t="s">
        <v>1900</v>
      </c>
      <c r="UP76" t="s">
        <v>1900</v>
      </c>
      <c r="UQ76" t="s">
        <v>1900</v>
      </c>
      <c r="UR76" t="s">
        <v>1900</v>
      </c>
      <c r="US76" t="s">
        <v>1900</v>
      </c>
      <c r="UT76" t="s">
        <v>1900</v>
      </c>
      <c r="UU76" t="s">
        <v>1900</v>
      </c>
      <c r="UV76" t="s">
        <v>1900</v>
      </c>
      <c r="UW76" t="s">
        <v>1900</v>
      </c>
      <c r="UX76" t="s">
        <v>1900</v>
      </c>
      <c r="UY76" t="s">
        <v>1900</v>
      </c>
      <c r="UZ76" t="s">
        <v>1900</v>
      </c>
      <c r="VA76" t="s">
        <v>1900</v>
      </c>
      <c r="VB76" t="s">
        <v>1900</v>
      </c>
      <c r="VC76" t="s">
        <v>1900</v>
      </c>
      <c r="VD76" t="s">
        <v>1900</v>
      </c>
      <c r="VE76" t="s">
        <v>1900</v>
      </c>
      <c r="VF76" t="s">
        <v>1900</v>
      </c>
      <c r="VG76" t="s">
        <v>1900</v>
      </c>
      <c r="VH76" t="s">
        <v>1900</v>
      </c>
      <c r="VI76" t="s">
        <v>1900</v>
      </c>
      <c r="VJ76" t="s">
        <v>1900</v>
      </c>
      <c r="VK76" t="s">
        <v>1900</v>
      </c>
      <c r="VL76" t="s">
        <v>1900</v>
      </c>
      <c r="VM76" t="s">
        <v>1900</v>
      </c>
      <c r="VN76" t="s">
        <v>1900</v>
      </c>
      <c r="VO76" t="s">
        <v>1900</v>
      </c>
      <c r="VP76" t="s">
        <v>1900</v>
      </c>
      <c r="VQ76" t="s">
        <v>1900</v>
      </c>
      <c r="VR76" t="s">
        <v>1900</v>
      </c>
      <c r="VS76" t="s">
        <v>1900</v>
      </c>
      <c r="VT76" t="s">
        <v>1900</v>
      </c>
      <c r="VU76" t="s">
        <v>1900</v>
      </c>
      <c r="VV76" t="s">
        <v>1900</v>
      </c>
      <c r="VW76" t="s">
        <v>1900</v>
      </c>
      <c r="VX76" t="s">
        <v>1900</v>
      </c>
      <c r="VY76" t="s">
        <v>1900</v>
      </c>
      <c r="VZ76" t="s">
        <v>1900</v>
      </c>
      <c r="WA76">
        <v>874526.735947968</v>
      </c>
      <c r="WB76">
        <v>754242.2769446661</v>
      </c>
      <c r="WC76">
        <v>738075.870566052</v>
      </c>
      <c r="WD76">
        <v>673066.239399862</v>
      </c>
      <c r="WE76">
        <v>2528933.24104458</v>
      </c>
      <c r="WF76" t="s">
        <v>1900</v>
      </c>
      <c r="WG76" t="s">
        <v>1900</v>
      </c>
      <c r="WH76" t="s">
        <v>1900</v>
      </c>
      <c r="WI76" t="s">
        <v>1900</v>
      </c>
      <c r="WJ76" t="s">
        <v>1900</v>
      </c>
      <c r="WK76" t="s">
        <v>1900</v>
      </c>
      <c r="WL76" t="s">
        <v>1900</v>
      </c>
      <c r="WM76" t="s">
        <v>1900</v>
      </c>
      <c r="WN76" t="s">
        <v>1900</v>
      </c>
      <c r="WO76" t="s">
        <v>1900</v>
      </c>
      <c r="WP76" t="s">
        <v>1900</v>
      </c>
      <c r="WQ76" t="s">
        <v>1900</v>
      </c>
      <c r="WR76" t="s">
        <v>1900</v>
      </c>
      <c r="WS76" t="s">
        <v>1900</v>
      </c>
      <c r="WT76" t="s">
        <v>1900</v>
      </c>
      <c r="WU76" t="s">
        <v>1900</v>
      </c>
      <c r="WV76" t="s">
        <v>1900</v>
      </c>
      <c r="WW76" t="s">
        <v>1900</v>
      </c>
      <c r="WX76" t="s">
        <v>1900</v>
      </c>
      <c r="WY76" t="s">
        <v>1900</v>
      </c>
      <c r="WZ76" t="s">
        <v>1900</v>
      </c>
      <c r="XA76" t="s">
        <v>1900</v>
      </c>
      <c r="XB76" t="s">
        <v>1900</v>
      </c>
      <c r="XC76" t="s">
        <v>1900</v>
      </c>
      <c r="XD76" t="s">
        <v>1900</v>
      </c>
      <c r="XE76" t="s">
        <v>1900</v>
      </c>
      <c r="XF76" t="s">
        <v>1900</v>
      </c>
      <c r="XG76" t="s">
        <v>1900</v>
      </c>
      <c r="XH76" t="s">
        <v>1900</v>
      </c>
      <c r="XI76" t="s">
        <v>1900</v>
      </c>
      <c r="XJ76" t="s">
        <v>1900</v>
      </c>
      <c r="XK76">
        <v>20467.3827355099</v>
      </c>
      <c r="XL76">
        <v>19756.0996872604</v>
      </c>
      <c r="XM76">
        <v>20978.6005210161</v>
      </c>
      <c r="XN76">
        <v>22728.9590447009</v>
      </c>
      <c r="XO76" t="s">
        <v>1900</v>
      </c>
      <c r="XP76" t="s">
        <v>1900</v>
      </c>
      <c r="XQ76" t="s">
        <v>1900</v>
      </c>
      <c r="XR76" t="s">
        <v>1900</v>
      </c>
      <c r="XS76" t="s">
        <v>1900</v>
      </c>
      <c r="XT76" t="s">
        <v>1900</v>
      </c>
      <c r="XU76" t="s">
        <v>1900</v>
      </c>
      <c r="XV76" t="s">
        <v>1900</v>
      </c>
      <c r="XW76" t="s">
        <v>1900</v>
      </c>
      <c r="XX76" t="s">
        <v>1900</v>
      </c>
      <c r="XY76" t="s">
        <v>1900</v>
      </c>
      <c r="XZ76" t="s">
        <v>1900</v>
      </c>
      <c r="YA76" t="s">
        <v>1900</v>
      </c>
      <c r="YB76" t="s">
        <v>1900</v>
      </c>
      <c r="YC76" t="s">
        <v>1900</v>
      </c>
      <c r="YD76" t="s">
        <v>1900</v>
      </c>
      <c r="YE76" t="s">
        <v>1900</v>
      </c>
      <c r="YF76" t="s">
        <v>1900</v>
      </c>
      <c r="YG76" t="s">
        <v>1900</v>
      </c>
      <c r="YH76" t="s">
        <v>1900</v>
      </c>
      <c r="YI76" t="s">
        <v>1900</v>
      </c>
      <c r="YJ76" t="s">
        <v>1900</v>
      </c>
      <c r="YK76" t="s">
        <v>1900</v>
      </c>
      <c r="YL76" t="s">
        <v>1900</v>
      </c>
      <c r="YM76" t="s">
        <v>1900</v>
      </c>
      <c r="YN76" t="s">
        <v>1900</v>
      </c>
      <c r="YO76" t="s">
        <v>1900</v>
      </c>
      <c r="YP76" t="s">
        <v>1900</v>
      </c>
      <c r="YQ76" t="s">
        <v>1900</v>
      </c>
      <c r="YR76" t="s">
        <v>1900</v>
      </c>
      <c r="YS76" t="s">
        <v>1900</v>
      </c>
      <c r="YT76" t="s">
        <v>1900</v>
      </c>
      <c r="YU76" t="s">
        <v>1900</v>
      </c>
      <c r="YV76" t="s">
        <v>1900</v>
      </c>
      <c r="YW76" t="s">
        <v>1900</v>
      </c>
      <c r="YX76" t="s">
        <v>1900</v>
      </c>
      <c r="YY76" t="s">
        <v>1900</v>
      </c>
      <c r="YZ76" t="s">
        <v>1900</v>
      </c>
      <c r="ZA76" t="s">
        <v>1900</v>
      </c>
      <c r="ZB76" t="s">
        <v>1900</v>
      </c>
      <c r="ZC76" t="s">
        <v>1900</v>
      </c>
      <c r="ZD76" t="s">
        <v>1900</v>
      </c>
      <c r="ZE76" t="s">
        <v>1900</v>
      </c>
      <c r="ZF76" t="s">
        <v>1900</v>
      </c>
      <c r="ZG76" t="s">
        <v>1900</v>
      </c>
      <c r="ZH76" t="s">
        <v>1900</v>
      </c>
      <c r="ZI76" t="s">
        <v>1900</v>
      </c>
      <c r="ZJ76" t="s">
        <v>1900</v>
      </c>
      <c r="ZK76" t="s">
        <v>1900</v>
      </c>
      <c r="ZL76" t="s">
        <v>1900</v>
      </c>
      <c r="ZM76" t="s">
        <v>1900</v>
      </c>
      <c r="ZN76" t="s">
        <v>1900</v>
      </c>
      <c r="ZO76" t="s">
        <v>1900</v>
      </c>
      <c r="ZP76" t="s">
        <v>1900</v>
      </c>
      <c r="ZQ76" t="s">
        <v>1900</v>
      </c>
      <c r="ZR76" t="s">
        <v>1900</v>
      </c>
      <c r="ZS76" t="s">
        <v>1900</v>
      </c>
      <c r="ZT76" t="s">
        <v>1900</v>
      </c>
      <c r="ZU76" t="s">
        <v>1900</v>
      </c>
      <c r="ZV76" t="s">
        <v>1900</v>
      </c>
      <c r="ZW76" t="s">
        <v>1900</v>
      </c>
      <c r="ZX76" t="s">
        <v>1900</v>
      </c>
      <c r="ZY76" t="s">
        <v>1900</v>
      </c>
      <c r="ZZ76" t="s">
        <v>1900</v>
      </c>
      <c r="AAA76" t="s">
        <v>1900</v>
      </c>
      <c r="AAB76" t="s">
        <v>1900</v>
      </c>
      <c r="AAC76" t="s">
        <v>1900</v>
      </c>
      <c r="AAD76" t="s">
        <v>1900</v>
      </c>
      <c r="AAE76" t="s">
        <v>1900</v>
      </c>
      <c r="AAF76" t="s">
        <v>1900</v>
      </c>
      <c r="AAG76" t="s">
        <v>1900</v>
      </c>
      <c r="AAH76" t="s">
        <v>1900</v>
      </c>
      <c r="AAI76" t="s">
        <v>1900</v>
      </c>
      <c r="AAJ76" t="s">
        <v>1900</v>
      </c>
      <c r="AAK76" t="s">
        <v>1900</v>
      </c>
      <c r="AAL76" t="s">
        <v>1900</v>
      </c>
      <c r="AAM76" t="s">
        <v>1900</v>
      </c>
      <c r="AAN76" t="s">
        <v>1900</v>
      </c>
      <c r="AAO76" t="s">
        <v>1900</v>
      </c>
      <c r="AAP76" t="s">
        <v>1900</v>
      </c>
      <c r="AAQ76" t="s">
        <v>1900</v>
      </c>
      <c r="AAR76" t="s">
        <v>1900</v>
      </c>
      <c r="AAS76" t="s">
        <v>1900</v>
      </c>
      <c r="AAT76" t="s">
        <v>1900</v>
      </c>
      <c r="AAU76" t="s">
        <v>1900</v>
      </c>
      <c r="AAV76" t="s">
        <v>1900</v>
      </c>
      <c r="AAW76" t="s">
        <v>1900</v>
      </c>
      <c r="AAX76" t="s">
        <v>1900</v>
      </c>
      <c r="AAY76" t="s">
        <v>1900</v>
      </c>
      <c r="AAZ76" t="s">
        <v>1900</v>
      </c>
      <c r="ABA76" t="s">
        <v>1900</v>
      </c>
      <c r="ABB76" t="s">
        <v>1900</v>
      </c>
      <c r="ABC76" t="s">
        <v>1900</v>
      </c>
      <c r="ABD76" t="s">
        <v>1900</v>
      </c>
      <c r="ABE76" t="s">
        <v>1900</v>
      </c>
      <c r="ABF76" t="s">
        <v>1900</v>
      </c>
      <c r="ABG76" t="s">
        <v>1900</v>
      </c>
      <c r="ABH76" t="s">
        <v>1900</v>
      </c>
      <c r="ABI76" t="s">
        <v>1900</v>
      </c>
      <c r="ABJ76" t="s">
        <v>1900</v>
      </c>
      <c r="ABK76" t="s">
        <v>1900</v>
      </c>
      <c r="ABL76" t="s">
        <v>1900</v>
      </c>
      <c r="ABM76" t="s">
        <v>1900</v>
      </c>
      <c r="ABN76" t="s">
        <v>1900</v>
      </c>
      <c r="ABO76" t="s">
        <v>1900</v>
      </c>
      <c r="ABP76" t="s">
        <v>1900</v>
      </c>
      <c r="ABQ76" t="s">
        <v>1900</v>
      </c>
      <c r="ABR76" t="s">
        <v>1900</v>
      </c>
      <c r="ABS76" t="s">
        <v>1900</v>
      </c>
      <c r="ABT76" t="s">
        <v>1900</v>
      </c>
      <c r="ABU76" t="s">
        <v>1900</v>
      </c>
      <c r="ABV76" t="s">
        <v>1900</v>
      </c>
      <c r="ABW76" t="s">
        <v>1900</v>
      </c>
      <c r="ABX76" t="s">
        <v>1900</v>
      </c>
      <c r="ABY76" t="s">
        <v>1900</v>
      </c>
      <c r="ABZ76" t="s">
        <v>1900</v>
      </c>
      <c r="ACA76" t="s">
        <v>1900</v>
      </c>
      <c r="ACB76" t="s">
        <v>1900</v>
      </c>
      <c r="ACC76" t="s">
        <v>1900</v>
      </c>
      <c r="ACD76" t="s">
        <v>1900</v>
      </c>
      <c r="ACE76">
        <v>106.617</v>
      </c>
      <c r="ACF76">
        <v>100.94</v>
      </c>
      <c r="ACG76">
        <v>51.047</v>
      </c>
      <c r="ACH76">
        <v>33.243</v>
      </c>
      <c r="ACI76">
        <v>66.94199999999999</v>
      </c>
      <c r="ACJ76" t="s">
        <v>1900</v>
      </c>
      <c r="ACK76" t="s">
        <v>1900</v>
      </c>
      <c r="ACL76">
        <v>50.564</v>
      </c>
      <c r="ACM76">
        <v>32.793</v>
      </c>
      <c r="ACN76" t="s">
        <v>1900</v>
      </c>
      <c r="ACO76">
        <v>69.416</v>
      </c>
      <c r="ACP76">
        <v>57.893</v>
      </c>
      <c r="ACQ76">
        <v>33.751</v>
      </c>
      <c r="ACR76">
        <v>22.818</v>
      </c>
      <c r="ACS76">
        <v>27.867</v>
      </c>
      <c r="ACT76">
        <v>86.303</v>
      </c>
      <c r="ACU76">
        <v>82.873</v>
      </c>
      <c r="ACV76">
        <v>40.851</v>
      </c>
      <c r="ACW76">
        <v>26.691</v>
      </c>
      <c r="ACX76">
        <v>53.718</v>
      </c>
      <c r="ACY76" t="s">
        <v>1900</v>
      </c>
      <c r="ACZ76" t="s">
        <v>1900</v>
      </c>
      <c r="ADA76">
        <v>40.502</v>
      </c>
      <c r="ADB76">
        <v>26.33</v>
      </c>
      <c r="ADC76" t="s">
        <v>1900</v>
      </c>
      <c r="ADD76">
        <v>56.19</v>
      </c>
      <c r="ADE76">
        <v>47.531</v>
      </c>
      <c r="ADF76">
        <v>27.01</v>
      </c>
      <c r="ADG76">
        <v>18.32</v>
      </c>
      <c r="ADH76">
        <v>22.362</v>
      </c>
      <c r="ADI76">
        <v>60.557</v>
      </c>
      <c r="ADJ76">
        <v>36.199</v>
      </c>
      <c r="ADK76">
        <v>27.521</v>
      </c>
      <c r="ADL76">
        <v>18.912</v>
      </c>
      <c r="ADM76">
        <v>25.337</v>
      </c>
      <c r="ADN76">
        <v>100</v>
      </c>
      <c r="ADO76">
        <v>100</v>
      </c>
      <c r="ADP76">
        <v>100</v>
      </c>
      <c r="ADQ76">
        <v>100</v>
      </c>
      <c r="ADR76">
        <v>100</v>
      </c>
      <c r="ADS76">
        <v>49.3437751</v>
      </c>
      <c r="ADT76">
        <v>32.276880467</v>
      </c>
      <c r="ADU76">
        <v>27.547680982</v>
      </c>
      <c r="ADV76">
        <v>18.828520214</v>
      </c>
      <c r="ADW76">
        <v>25.540792595</v>
      </c>
      <c r="ADX76">
        <v>50.22</v>
      </c>
      <c r="ADY76">
        <v>33.223</v>
      </c>
      <c r="ADZ76">
        <v>28.424</v>
      </c>
      <c r="AEA76">
        <v>19.897</v>
      </c>
      <c r="AEB76">
        <v>28.159</v>
      </c>
      <c r="AEC76">
        <v>49.344</v>
      </c>
      <c r="AED76">
        <v>32.277</v>
      </c>
      <c r="AEE76">
        <v>27.548</v>
      </c>
      <c r="AEF76">
        <v>18.829</v>
      </c>
      <c r="AEG76">
        <v>25.541</v>
      </c>
      <c r="AEH76">
        <v>49.895</v>
      </c>
      <c r="AEI76">
        <v>30.666</v>
      </c>
      <c r="AEJ76">
        <v>22.9</v>
      </c>
      <c r="AEK76">
        <v>16.252</v>
      </c>
      <c r="AEL76">
        <v>22.95</v>
      </c>
      <c r="AEM76">
        <v>97.409104603</v>
      </c>
      <c r="AEN76">
        <v>47.660061571</v>
      </c>
      <c r="AEO76">
        <v>38.021807107</v>
      </c>
      <c r="AEP76">
        <v>23.195979996</v>
      </c>
      <c r="AEQ76">
        <v>34.301725045</v>
      </c>
      <c r="AER76" t="s">
        <v>1900</v>
      </c>
      <c r="AES76" t="s">
        <v>1900</v>
      </c>
      <c r="AET76" t="s">
        <v>1900</v>
      </c>
      <c r="AEU76" t="s">
        <v>1900</v>
      </c>
      <c r="AEV76" t="s">
        <v>1900</v>
      </c>
      <c r="AEW76" t="s">
        <v>1900</v>
      </c>
      <c r="AEX76" t="s">
        <v>1900</v>
      </c>
      <c r="AEY76" t="s">
        <v>1900</v>
      </c>
      <c r="AEZ76" t="s">
        <v>1900</v>
      </c>
      <c r="AFA76" t="s">
        <v>1900</v>
      </c>
      <c r="AFB76" t="s">
        <v>1900</v>
      </c>
      <c r="AFC76" t="s">
        <v>1900</v>
      </c>
      <c r="AFD76" t="s">
        <v>1900</v>
      </c>
      <c r="AFE76" t="s">
        <v>1900</v>
      </c>
      <c r="AFF76" t="s">
        <v>1900</v>
      </c>
      <c r="AFG76">
        <v>1.761</v>
      </c>
      <c r="AFH76">
        <v>2.735</v>
      </c>
      <c r="AFI76">
        <v>1.83</v>
      </c>
      <c r="AFJ76">
        <v>1.734</v>
      </c>
      <c r="AFK76">
        <v>2.61</v>
      </c>
      <c r="AFL76" t="s">
        <v>1900</v>
      </c>
      <c r="AFM76" t="s">
        <v>1900</v>
      </c>
      <c r="AFN76">
        <v>265.67</v>
      </c>
      <c r="AFO76" t="s">
        <v>1901</v>
      </c>
      <c r="AFP76" t="s">
        <v>1900</v>
      </c>
      <c r="AFQ76" t="s">
        <v>1901</v>
      </c>
      <c r="AFR76" t="s">
        <v>1901</v>
      </c>
      <c r="AFS76" t="s">
        <v>1901</v>
      </c>
      <c r="AFT76" t="s">
        <v>1901</v>
      </c>
      <c r="AFU76" t="s">
        <v>1901</v>
      </c>
      <c r="AFV76">
        <v>63.764</v>
      </c>
      <c r="AFW76">
        <v>97.55800000000001</v>
      </c>
      <c r="AFX76">
        <v>158.372</v>
      </c>
      <c r="AFY76">
        <v>118.339</v>
      </c>
      <c r="AFZ76">
        <v>227.121</v>
      </c>
      <c r="AGA76">
        <v>0</v>
      </c>
      <c r="AGB76">
        <v>0</v>
      </c>
      <c r="AGC76">
        <v>0</v>
      </c>
      <c r="AGD76">
        <v>0</v>
      </c>
      <c r="AGE76">
        <v>0</v>
      </c>
      <c r="AGF76" t="s">
        <v>1900</v>
      </c>
      <c r="AGG76" t="s">
        <v>1900</v>
      </c>
      <c r="AGH76" t="s">
        <v>1900</v>
      </c>
      <c r="AGI76" t="s">
        <v>1900</v>
      </c>
      <c r="AGJ76" t="s">
        <v>1900</v>
      </c>
      <c r="AGK76" t="s">
        <v>1900</v>
      </c>
      <c r="AGL76" t="s">
        <v>1900</v>
      </c>
      <c r="AGM76" t="s">
        <v>1900</v>
      </c>
      <c r="AGN76" t="s">
        <v>1900</v>
      </c>
      <c r="AGO76" t="s">
        <v>1900</v>
      </c>
      <c r="AGP76" t="s">
        <v>1900</v>
      </c>
      <c r="AGQ76" t="s">
        <v>1900</v>
      </c>
      <c r="AGR76" t="s">
        <v>1900</v>
      </c>
      <c r="AGS76" t="s">
        <v>1900</v>
      </c>
      <c r="AGT76" t="s">
        <v>1900</v>
      </c>
      <c r="AGU76">
        <v>0</v>
      </c>
      <c r="AGV76">
        <v>0</v>
      </c>
      <c r="AGW76">
        <v>0</v>
      </c>
      <c r="AGX76">
        <v>0</v>
      </c>
      <c r="AGY76">
        <v>0</v>
      </c>
      <c r="AGZ76">
        <v>2.708</v>
      </c>
      <c r="AHA76">
        <v>2.17</v>
      </c>
      <c r="AHB76">
        <v>2.769</v>
      </c>
      <c r="AHC76">
        <v>2.953</v>
      </c>
      <c r="AHD76">
        <v>1.613</v>
      </c>
      <c r="AHE76">
        <v>2.708</v>
      </c>
      <c r="AHF76">
        <v>2.17</v>
      </c>
      <c r="AHG76">
        <v>2.768</v>
      </c>
      <c r="AHH76">
        <v>2.953</v>
      </c>
      <c r="AHI76">
        <v>1.613</v>
      </c>
      <c r="AHJ76" t="s">
        <v>1901</v>
      </c>
      <c r="AHK76">
        <v>50.905</v>
      </c>
      <c r="AHL76">
        <v>74.854</v>
      </c>
      <c r="AHM76">
        <v>72.405</v>
      </c>
      <c r="AHN76">
        <v>80.065</v>
      </c>
      <c r="AHO76">
        <v>65.108</v>
      </c>
      <c r="AHP76">
        <v>57.354</v>
      </c>
      <c r="AHQ76">
        <v>66.11799999999999</v>
      </c>
      <c r="AHR76">
        <v>68.63800000000001</v>
      </c>
      <c r="AHS76">
        <v>41.629</v>
      </c>
      <c r="AHT76" t="s">
        <v>1901</v>
      </c>
      <c r="AHU76" t="s">
        <v>1901</v>
      </c>
      <c r="AHV76" t="s">
        <v>1901</v>
      </c>
      <c r="AHW76" t="s">
        <v>1901</v>
      </c>
      <c r="AHX76">
        <v>71.318</v>
      </c>
      <c r="AHY76">
        <v>0</v>
      </c>
      <c r="AHZ76">
        <v>1.964</v>
      </c>
      <c r="AIA76">
        <v>1.336</v>
      </c>
      <c r="AIB76">
        <v>1.381</v>
      </c>
      <c r="AIC76">
        <v>1.249</v>
      </c>
      <c r="AID76">
        <v>0.891219248</v>
      </c>
      <c r="AIE76">
        <v>1.247033338</v>
      </c>
      <c r="AIF76">
        <v>0.97763563</v>
      </c>
      <c r="AIG76">
        <v>1.049226084</v>
      </c>
      <c r="AIH76">
        <v>1.013378841</v>
      </c>
      <c r="AII76">
        <v>74.176574305</v>
      </c>
      <c r="AIJ76">
        <v>46.747475676</v>
      </c>
      <c r="AIK76">
        <v>37.404314884</v>
      </c>
      <c r="AIL76">
        <v>50.145560735</v>
      </c>
      <c r="AIM76">
        <v>23.910795153</v>
      </c>
      <c r="AIN76">
        <v>34.891965583</v>
      </c>
      <c r="AIO76">
        <v>41.519433328</v>
      </c>
      <c r="AIP76">
        <v>32.99906327</v>
      </c>
      <c r="AIQ76">
        <v>30.414113685</v>
      </c>
      <c r="AIR76">
        <v>57.850918249</v>
      </c>
      <c r="AIS76" t="s">
        <v>1900</v>
      </c>
      <c r="AIT76" t="s">
        <v>1900</v>
      </c>
      <c r="AIU76" t="s">
        <v>1900</v>
      </c>
      <c r="AIV76" t="s">
        <v>1900</v>
      </c>
      <c r="AIW76" t="s">
        <v>1900</v>
      </c>
      <c r="AIX76">
        <v>66.9169801221998</v>
      </c>
      <c r="AIY76">
        <v>45.7254907010384</v>
      </c>
      <c r="AIZ76">
        <v>31.4542514274275</v>
      </c>
      <c r="AJA76">
        <v>16.8318200760984</v>
      </c>
      <c r="AJB76">
        <v>43.5076449972415</v>
      </c>
      <c r="AJC76">
        <v>110.503256119642</v>
      </c>
      <c r="AJD76">
        <v>126.317794664874</v>
      </c>
      <c r="AJE76">
        <v>114.292299045326</v>
      </c>
      <c r="AJF76">
        <v>89.00214120142221</v>
      </c>
      <c r="AJG76">
        <v>171.718416906914</v>
      </c>
      <c r="AJH76">
        <v>49.228</v>
      </c>
      <c r="AJI76">
        <v>51.647</v>
      </c>
      <c r="AJJ76">
        <v>48.888</v>
      </c>
      <c r="AJK76">
        <v>54.042</v>
      </c>
      <c r="AJL76">
        <v>35.858</v>
      </c>
      <c r="AJM76">
        <v>54.3986281638693</v>
      </c>
      <c r="AJN76">
        <v>65.239892278862</v>
      </c>
      <c r="AJO76">
        <v>55.8748861249</v>
      </c>
      <c r="AJP76">
        <v>48.0989278121138</v>
      </c>
      <c r="AJQ76">
        <v>61.5756452824527</v>
      </c>
      <c r="AJR76">
        <v>62.7637516884478</v>
      </c>
      <c r="AJS76">
        <v>45.2996058299065</v>
      </c>
      <c r="AJT76">
        <v>61.6177116203612</v>
      </c>
      <c r="AJU76">
        <v>50.6320472949743</v>
      </c>
      <c r="AJV76">
        <v>64.9929941214377</v>
      </c>
      <c r="AJW76">
        <v>19.5810964738418</v>
      </c>
      <c r="AJX76">
        <v>34.241510057169</v>
      </c>
      <c r="AJY76">
        <v>50.2891835332531</v>
      </c>
      <c r="AJZ76">
        <v>29.2645661931896</v>
      </c>
      <c r="AKA76">
        <v>108.3356040797</v>
      </c>
      <c r="AKB76">
        <v>96.39939489926221</v>
      </c>
      <c r="AKC76">
        <v>78.98263537643621</v>
      </c>
      <c r="AKD76">
        <v>93.1940428254163</v>
      </c>
      <c r="AKE76">
        <v>73.76687529233691</v>
      </c>
      <c r="AKF76">
        <v>156.123787420019</v>
      </c>
      <c r="AKG76" t="s">
        <v>1900</v>
      </c>
      <c r="AKH76" t="s">
        <v>1900</v>
      </c>
      <c r="AKI76" t="s">
        <v>1900</v>
      </c>
      <c r="AKJ76" t="s">
        <v>1900</v>
      </c>
      <c r="AKK76" t="s">
        <v>1900</v>
      </c>
      <c r="AKL76">
        <v>0.007593542</v>
      </c>
      <c r="AKM76">
        <v>0.007987105</v>
      </c>
      <c r="AKN76">
        <v>0.008165682</v>
      </c>
      <c r="AKO76">
        <v>0.008907877999999999</v>
      </c>
      <c r="AKP76">
        <v>0</v>
      </c>
      <c r="AKQ76">
        <v>0.008704527</v>
      </c>
      <c r="AKR76">
        <v>0.012773865</v>
      </c>
      <c r="AKS76">
        <v>0.010014316</v>
      </c>
      <c r="AKT76">
        <v>0.010747645</v>
      </c>
      <c r="AKU76">
        <v>0</v>
      </c>
      <c r="AKV76">
        <v>1.115173182</v>
      </c>
      <c r="AKW76">
        <v>1.240173778</v>
      </c>
      <c r="AKX76">
        <v>1.335998876</v>
      </c>
      <c r="AKY76">
        <v>1.447012669</v>
      </c>
      <c r="AKZ76">
        <v>1.002612735</v>
      </c>
      <c r="ALA76">
        <v>1.278330304</v>
      </c>
      <c r="ALB76">
        <v>1.983423526</v>
      </c>
      <c r="ALC76">
        <v>1.638456467</v>
      </c>
      <c r="ALD76">
        <v>1.745867985</v>
      </c>
      <c r="ALE76">
        <v>1.102760028</v>
      </c>
      <c r="ALF76">
        <v>2.91493423</v>
      </c>
      <c r="ALG76">
        <v>4.169829846</v>
      </c>
      <c r="ALH76">
        <v>4.906913385</v>
      </c>
      <c r="ALI76">
        <v>6.123045851</v>
      </c>
      <c r="ALJ76">
        <v>4.166092031</v>
      </c>
      <c r="ALK76">
        <v>3.34140815</v>
      </c>
      <c r="ALL76">
        <v>6.668854607</v>
      </c>
      <c r="ALM76">
        <v>6.017792463</v>
      </c>
      <c r="ALN76">
        <v>7.387654543</v>
      </c>
      <c r="ALO76">
        <v>4.582227618</v>
      </c>
      <c r="ALP76">
        <v>17.712333382</v>
      </c>
      <c r="ALQ76">
        <v>27.099444608</v>
      </c>
      <c r="ALR76">
        <v>43.992335007</v>
      </c>
      <c r="ALS76">
        <v>32.871836535</v>
      </c>
      <c r="ALT76">
        <v>63.089100492</v>
      </c>
      <c r="ALU76">
        <v>0</v>
      </c>
      <c r="ALV76">
        <v>0</v>
      </c>
      <c r="ALW76">
        <v>0</v>
      </c>
      <c r="ALX76">
        <v>0</v>
      </c>
      <c r="ALY76">
        <v>0</v>
      </c>
      <c r="ALZ76">
        <v>100</v>
      </c>
      <c r="AMA76">
        <v>100</v>
      </c>
      <c r="AMB76">
        <v>100</v>
      </c>
      <c r="AMC76">
        <v>100</v>
      </c>
      <c r="AMD76">
        <v>100</v>
      </c>
      <c r="AME76" t="s">
        <v>1901</v>
      </c>
      <c r="AMF76" t="s">
        <v>1901</v>
      </c>
      <c r="AMG76" t="s">
        <v>1901</v>
      </c>
      <c r="AMH76" t="s">
        <v>1901</v>
      </c>
      <c r="AMI76" t="s">
        <v>1901</v>
      </c>
      <c r="AMJ76" t="s">
        <v>1900</v>
      </c>
      <c r="AMK76" t="s">
        <v>1900</v>
      </c>
      <c r="AML76" t="s">
        <v>1900</v>
      </c>
      <c r="AMM76" t="s">
        <v>1900</v>
      </c>
      <c r="AMN76" t="s">
        <v>1900</v>
      </c>
      <c r="AMO76">
        <v>1.97409104602543</v>
      </c>
      <c r="AMP76">
        <v>1.47660061570863</v>
      </c>
      <c r="AMQ76">
        <v>1.38021807180786</v>
      </c>
      <c r="AMR76">
        <v>1.2319598006062</v>
      </c>
      <c r="AMS76">
        <v>1.34301725045144</v>
      </c>
      <c r="AMT76">
        <v>1.97409104602543</v>
      </c>
      <c r="AMU76">
        <v>1.47660061570863</v>
      </c>
      <c r="AMV76">
        <v>1.38021807127117</v>
      </c>
      <c r="AMW76">
        <v>1.23195980008362</v>
      </c>
      <c r="AMX76">
        <v>1.34301725045144</v>
      </c>
      <c r="AMY76" t="s">
        <v>1900</v>
      </c>
      <c r="AMZ76" t="s">
        <v>1900</v>
      </c>
      <c r="ANA76" t="s">
        <v>1900</v>
      </c>
      <c r="ANB76" t="s">
        <v>1900</v>
      </c>
      <c r="ANC76" t="s">
        <v>1900</v>
      </c>
      <c r="AND76">
        <v>49.3437751002738</v>
      </c>
      <c r="ANE76">
        <v>32.2768804670926</v>
      </c>
      <c r="ANF76">
        <v>27.5476809815386</v>
      </c>
      <c r="ANG76">
        <v>18.828520213848</v>
      </c>
      <c r="ANH76">
        <v>25.5407925948932</v>
      </c>
      <c r="ANI76">
        <v>49.6147447695074</v>
      </c>
      <c r="ANJ76">
        <v>32.3269773367675</v>
      </c>
      <c r="ANK76">
        <v>27.5762751874897</v>
      </c>
      <c r="ANL76">
        <v>18.8670892178158</v>
      </c>
      <c r="ANM76">
        <v>25.5565293577484</v>
      </c>
      <c r="ANN76">
        <v>97.4091046025432</v>
      </c>
      <c r="ANO76">
        <v>47.6600615708627</v>
      </c>
      <c r="ANP76">
        <v>38.0218071067114</v>
      </c>
      <c r="ANQ76">
        <v>23.1959799962402</v>
      </c>
      <c r="ANR76">
        <v>34.3017250451439</v>
      </c>
      <c r="ANS76">
        <v>86.87574774908531</v>
      </c>
      <c r="ANT76">
        <v>88.2699533899082</v>
      </c>
      <c r="ANU76">
        <v>50.4234996243759</v>
      </c>
      <c r="ANV76">
        <v>32.6463094719501</v>
      </c>
      <c r="ANW76">
        <v>66.64906357173641</v>
      </c>
      <c r="ANX76" t="s">
        <v>1900</v>
      </c>
      <c r="ANY76" t="s">
        <v>1900</v>
      </c>
      <c r="ANZ76" t="s">
        <v>1900</v>
      </c>
      <c r="AOA76" t="s">
        <v>1900</v>
      </c>
      <c r="AOB76" t="s">
        <v>1900</v>
      </c>
      <c r="AOC76">
        <v>197.409104602543</v>
      </c>
      <c r="AOD76">
        <v>147.660061570863</v>
      </c>
      <c r="AOE76">
        <v>138.021807106711</v>
      </c>
      <c r="AOF76">
        <v>123.19597999624</v>
      </c>
      <c r="AOG76">
        <v>134.301725045144</v>
      </c>
      <c r="AOH76" t="s">
        <v>1901</v>
      </c>
      <c r="AOI76" t="s">
        <v>1901</v>
      </c>
      <c r="AOJ76" t="s">
        <v>1901</v>
      </c>
      <c r="AOK76" t="s">
        <v>1901</v>
      </c>
      <c r="AOL76" t="s">
        <v>1901</v>
      </c>
      <c r="AOM76" t="s">
        <v>1900</v>
      </c>
      <c r="AON76" t="s">
        <v>1900</v>
      </c>
      <c r="AOO76" t="s">
        <v>1900</v>
      </c>
      <c r="AOP76" t="s">
        <v>1900</v>
      </c>
      <c r="AOQ76" t="s">
        <v>1900</v>
      </c>
      <c r="AOR76">
        <v>97.4091046025432</v>
      </c>
      <c r="AOS76">
        <v>47.6600615708627</v>
      </c>
      <c r="AOT76">
        <v>38.0218071271172</v>
      </c>
      <c r="AOU76">
        <v>23.1959800083619</v>
      </c>
      <c r="AOV76">
        <v>34.3017250451439</v>
      </c>
      <c r="AOW76">
        <v>56.5630917446487</v>
      </c>
      <c r="AOX76">
        <v>51.6207689439562</v>
      </c>
      <c r="AOY76">
        <v>33.7842170801457</v>
      </c>
      <c r="AOZ76">
        <v>22.7172237951742</v>
      </c>
      <c r="APA76">
        <v>28.0919682912719</v>
      </c>
      <c r="APB76">
        <v>49.0186825299288</v>
      </c>
      <c r="APC76">
        <v>29.7196942971286</v>
      </c>
      <c r="APD76">
        <v>22.0237134590062</v>
      </c>
      <c r="APE76">
        <v>15.184063843593</v>
      </c>
      <c r="APF76">
        <v>20.3316455696332</v>
      </c>
      <c r="APG76">
        <v>49.2878669643262</v>
      </c>
      <c r="APH76">
        <v>29.7658221642098</v>
      </c>
      <c r="API76">
        <v>22.0465738442008</v>
      </c>
      <c r="APJ76">
        <v>15.2151674147702</v>
      </c>
      <c r="APK76">
        <v>20.3441727566262</v>
      </c>
      <c r="APL76" t="s">
        <v>1900</v>
      </c>
      <c r="APM76" t="s">
        <v>1900</v>
      </c>
      <c r="APN76" t="s">
        <v>1900</v>
      </c>
      <c r="APO76" t="s">
        <v>1900</v>
      </c>
      <c r="APP76" t="s">
        <v>1900</v>
      </c>
      <c r="APQ76">
        <v>96.7673422702958</v>
      </c>
      <c r="APR76">
        <v>43.8841188978123</v>
      </c>
      <c r="APS76">
        <v>30.3975273244384</v>
      </c>
      <c r="APT76">
        <v>18.7061562651446</v>
      </c>
      <c r="APU76">
        <v>27.3057507300819</v>
      </c>
      <c r="APV76">
        <v>96.7673422702958</v>
      </c>
      <c r="APW76">
        <v>43.8841188978123</v>
      </c>
      <c r="APX76">
        <v>30.3975273081244</v>
      </c>
      <c r="APY76">
        <v>18.7061562553692</v>
      </c>
      <c r="APZ76">
        <v>27.3057507300819</v>
      </c>
      <c r="AQA76">
        <v>56.1904360075357</v>
      </c>
      <c r="AQB76">
        <v>47.5310330551062</v>
      </c>
      <c r="AQC76">
        <v>27.009675221251</v>
      </c>
      <c r="AQD76">
        <v>18.3200683079396</v>
      </c>
      <c r="AQE76">
        <v>22.3624987568207</v>
      </c>
      <c r="AQF76" t="s">
        <v>1900</v>
      </c>
      <c r="AQG76" t="s">
        <v>1900</v>
      </c>
      <c r="AQH76" t="s">
        <v>1900</v>
      </c>
      <c r="AQI76" t="s">
        <v>1900</v>
      </c>
      <c r="AQJ76" t="s">
        <v>1900</v>
      </c>
      <c r="AQK76">
        <v>5</v>
      </c>
      <c r="AQO76" t="s">
        <v>1903</v>
      </c>
      <c r="AQP76">
        <v>7</v>
      </c>
      <c r="AQQ76">
        <v>1</v>
      </c>
      <c r="AQS76" t="s">
        <v>1905</v>
      </c>
      <c r="AQU76" t="s">
        <v>1906</v>
      </c>
      <c r="AQV76">
        <v>2873084.6591107</v>
      </c>
      <c r="AQW76">
        <v>2905309.2717671</v>
      </c>
      <c r="AQX76">
        <v>2743015.17068823</v>
      </c>
      <c r="AQY76">
        <v>1417688.43263205</v>
      </c>
      <c r="AQZ76">
        <v>937743.200847626</v>
      </c>
      <c r="ARA76">
        <v>755637.0684964</v>
      </c>
      <c r="ARB76">
        <v>8521409.10156603</v>
      </c>
      <c r="ARC76">
        <v>3111068.701976076</v>
      </c>
      <c r="ARD76">
        <v>0.5750227291081097</v>
      </c>
      <c r="ARE76">
        <v>0.5750227291081097</v>
      </c>
      <c r="ARF76">
        <v>0.5750227291081097</v>
      </c>
      <c r="ARG76">
        <v>0.5750227291081097</v>
      </c>
      <c r="ARH76">
        <v>0.5750227291081097</v>
      </c>
      <c r="ARI76">
        <v>0.5750227291081097</v>
      </c>
      <c r="ARJ76" t="s">
        <v>1237</v>
      </c>
      <c r="ARK76" t="s">
        <v>1575</v>
      </c>
      <c r="ARL76" t="s">
        <v>1908</v>
      </c>
      <c r="ARM76" t="s">
        <v>1908</v>
      </c>
      <c r="ARN76" t="s">
        <v>1909</v>
      </c>
      <c r="ARO76" t="s">
        <v>1908</v>
      </c>
      <c r="ARP76" t="s">
        <v>1907</v>
      </c>
      <c r="ARQ76" t="s">
        <v>1970</v>
      </c>
      <c r="ARR76">
        <f>HYPERLINK("C:\Users\Usuario\Documents\Proyectos\llmthon\evidence\cialt_com_235051.png", "Ver Evidencia")</f>
        <v>0</v>
      </c>
      <c r="ARS76">
        <v>100</v>
      </c>
    </row>
    <row r="77" spans="1:1163">
      <c r="A77">
        <v>135</v>
      </c>
      <c r="B77" t="s">
        <v>1238</v>
      </c>
      <c r="C77" t="s">
        <v>1361</v>
      </c>
      <c r="E77" s="2">
        <v>31778</v>
      </c>
      <c r="F77" t="s">
        <v>1431</v>
      </c>
      <c r="G77" t="s">
        <v>1433</v>
      </c>
      <c r="H77" t="s">
        <v>1434</v>
      </c>
      <c r="I77" t="s">
        <v>1437</v>
      </c>
      <c r="J77" t="s">
        <v>1486</v>
      </c>
      <c r="L77" t="s">
        <v>1576</v>
      </c>
      <c r="N77" t="s">
        <v>1630</v>
      </c>
      <c r="O77" t="s">
        <v>1654</v>
      </c>
      <c r="P77">
        <v>6209</v>
      </c>
      <c r="Q77">
        <v>6209</v>
      </c>
      <c r="R77" t="s">
        <v>1746</v>
      </c>
      <c r="Z77" t="s">
        <v>1899</v>
      </c>
      <c r="AA77" s="2">
        <v>45657</v>
      </c>
      <c r="AB77">
        <v>2024</v>
      </c>
      <c r="AC77">
        <v>6659893.10011885</v>
      </c>
      <c r="AD77">
        <v>4004494.16111777</v>
      </c>
      <c r="AE77">
        <v>2864066.81040511</v>
      </c>
      <c r="AF77">
        <v>3756479.88916562</v>
      </c>
      <c r="AG77">
        <v>519213.973686057</v>
      </c>
      <c r="AH77">
        <v>6659893.10011885</v>
      </c>
      <c r="AI77">
        <v>4004494.16111777</v>
      </c>
      <c r="AJ77">
        <v>2863266.85012292</v>
      </c>
      <c r="AK77">
        <v>3746263.44930818</v>
      </c>
      <c r="AL77">
        <v>508170.07999118</v>
      </c>
      <c r="AM77">
        <v>5426395.1564674</v>
      </c>
      <c r="AN77">
        <v>2771601.46031068</v>
      </c>
      <c r="AO77">
        <v>2212408.93157874</v>
      </c>
      <c r="AP77">
        <v>3213155.59731452</v>
      </c>
      <c r="AQ77">
        <v>364588.663483936</v>
      </c>
      <c r="AR77">
        <v>1233497.94261254</v>
      </c>
      <c r="AS77">
        <v>1232892.70080709</v>
      </c>
      <c r="AT77">
        <v>651657.878826368</v>
      </c>
      <c r="AU77">
        <v>543324.291851091</v>
      </c>
      <c r="AV77">
        <v>154625.310202122</v>
      </c>
      <c r="AW77">
        <v>305452.869248699</v>
      </c>
      <c r="AX77">
        <v>535086.302040157</v>
      </c>
      <c r="AY77">
        <v>315195.390487033</v>
      </c>
      <c r="AZ77">
        <v>437185.813991904</v>
      </c>
      <c r="BA77">
        <v>109655.67946595</v>
      </c>
      <c r="BB77">
        <v>928045.074402745</v>
      </c>
      <c r="BC77">
        <v>697806.398766937</v>
      </c>
      <c r="BD77">
        <v>336462.488339335</v>
      </c>
      <c r="BE77">
        <v>106138.477859187</v>
      </c>
      <c r="BF77">
        <v>44969.6307361722</v>
      </c>
      <c r="BG77">
        <v>-174525.876665485</v>
      </c>
      <c r="BH77">
        <v>-103884.179571943</v>
      </c>
      <c r="BI77">
        <v>-42042.1840266645</v>
      </c>
      <c r="BJ77">
        <v>-39707.324509263</v>
      </c>
      <c r="BK77">
        <v>-10105.5063186169</v>
      </c>
      <c r="BL77">
        <v>2294.69013895631</v>
      </c>
      <c r="BM77">
        <v>9565.0831926918</v>
      </c>
      <c r="BN77">
        <v>423.418664848804</v>
      </c>
      <c r="BO77" t="s">
        <v>1900</v>
      </c>
      <c r="BP77">
        <v>83.4059393823147</v>
      </c>
      <c r="BQ77">
        <v>176820.566804441</v>
      </c>
      <c r="BR77">
        <v>113449.262764635</v>
      </c>
      <c r="BS77">
        <v>42465.6026915133</v>
      </c>
      <c r="BT77">
        <v>39707.324509263</v>
      </c>
      <c r="BU77">
        <v>10188.9122579992</v>
      </c>
      <c r="BV77">
        <v>753519.19773726</v>
      </c>
      <c r="BW77">
        <v>593922.219194994</v>
      </c>
      <c r="BX77">
        <v>294420.30431267</v>
      </c>
      <c r="BY77">
        <v>66431.1533499241</v>
      </c>
      <c r="BZ77">
        <v>34864.1244175553</v>
      </c>
      <c r="CA77">
        <v>77418.1081142592</v>
      </c>
      <c r="CB77">
        <v>51550.8035853672</v>
      </c>
      <c r="CC77">
        <v>16729.2503295064</v>
      </c>
      <c r="CD77">
        <v>16607.7826744795</v>
      </c>
      <c r="CE77">
        <v>8716.037239885331</v>
      </c>
      <c r="CF77">
        <v>676101.0896230011</v>
      </c>
      <c r="CG77">
        <v>542371.415609627</v>
      </c>
      <c r="CH77">
        <v>277691.052916564</v>
      </c>
      <c r="CI77">
        <v>49823.3706754446</v>
      </c>
      <c r="CJ77">
        <v>26148.08717767</v>
      </c>
      <c r="CK77" t="s">
        <v>1900</v>
      </c>
      <c r="CL77" t="s">
        <v>1900</v>
      </c>
      <c r="CM77" t="s">
        <v>1900</v>
      </c>
      <c r="CN77" t="s">
        <v>1900</v>
      </c>
      <c r="CO77" t="s">
        <v>1900</v>
      </c>
      <c r="CP77" t="s">
        <v>1900</v>
      </c>
      <c r="CQ77" t="s">
        <v>1900</v>
      </c>
      <c r="CR77" t="s">
        <v>1900</v>
      </c>
      <c r="CS77" t="s">
        <v>1900</v>
      </c>
      <c r="CT77" t="s">
        <v>1900</v>
      </c>
      <c r="CU77" t="s">
        <v>1900</v>
      </c>
      <c r="CV77" t="s">
        <v>1900</v>
      </c>
      <c r="CW77" t="s">
        <v>1900</v>
      </c>
      <c r="CX77" t="s">
        <v>1900</v>
      </c>
      <c r="CY77" t="s">
        <v>1900</v>
      </c>
      <c r="CZ77">
        <v>676101.0896230011</v>
      </c>
      <c r="DA77">
        <v>542371.415609627</v>
      </c>
      <c r="DB77">
        <v>277691.052916564</v>
      </c>
      <c r="DC77">
        <v>49823.3706754446</v>
      </c>
      <c r="DD77">
        <v>26148.08717767</v>
      </c>
      <c r="DE77" t="s">
        <v>1900</v>
      </c>
      <c r="DF77" t="s">
        <v>1900</v>
      </c>
      <c r="DG77" t="s">
        <v>1900</v>
      </c>
      <c r="DH77" t="s">
        <v>1900</v>
      </c>
      <c r="DI77" t="s">
        <v>1900</v>
      </c>
      <c r="DJ77">
        <v>5426395.1564674</v>
      </c>
      <c r="DK77">
        <v>2771601.46031068</v>
      </c>
      <c r="DL77">
        <v>2212408.93157874</v>
      </c>
      <c r="DM77">
        <v>3213155.59731452</v>
      </c>
      <c r="DN77">
        <v>364588.663483936</v>
      </c>
      <c r="DO77">
        <v>41735.4723097289</v>
      </c>
      <c r="DP77">
        <v>41442.0932987022</v>
      </c>
      <c r="DQ77">
        <v>23798.565077734</v>
      </c>
      <c r="DR77" t="s">
        <v>1900</v>
      </c>
      <c r="DS77">
        <v>12803.9958460093</v>
      </c>
      <c r="DT77">
        <v>6910.86363602877</v>
      </c>
      <c r="DU77">
        <v>12067.7104158401</v>
      </c>
      <c r="DV77">
        <v>8500.979243332151</v>
      </c>
      <c r="DW77">
        <v>11446.3871613264</v>
      </c>
      <c r="DX77">
        <v>6985.17686505914</v>
      </c>
      <c r="DY77">
        <v>256806.533302941</v>
      </c>
      <c r="DZ77">
        <v>481576.498325615</v>
      </c>
      <c r="EA77">
        <v>282895.846165967</v>
      </c>
      <c r="EB77">
        <v>425739.426830578</v>
      </c>
      <c r="EC77">
        <v>89866.50675488111</v>
      </c>
      <c r="ED77">
        <v>172753.243934827</v>
      </c>
      <c r="EE77">
        <v>113449.262764635</v>
      </c>
      <c r="EF77">
        <v>42465.6026915133</v>
      </c>
      <c r="EG77">
        <v>38455.8804515362</v>
      </c>
      <c r="EH77">
        <v>10188.9122579992</v>
      </c>
      <c r="EI77" t="s">
        <v>1900</v>
      </c>
      <c r="EJ77" t="s">
        <v>1900</v>
      </c>
      <c r="EK77" t="s">
        <v>1900</v>
      </c>
      <c r="EL77" t="s">
        <v>1900</v>
      </c>
      <c r="EM77" t="s">
        <v>1900</v>
      </c>
      <c r="EN77">
        <v>683011.953259029</v>
      </c>
      <c r="EO77">
        <v>554439.1260254669</v>
      </c>
      <c r="EP77">
        <v>286192.033226496</v>
      </c>
      <c r="EQ77">
        <v>61269.757836771</v>
      </c>
      <c r="ER77">
        <v>33133.2640427291</v>
      </c>
      <c r="ES77">
        <v>974918.7776178441</v>
      </c>
      <c r="ET77">
        <v>760881.285674172</v>
      </c>
      <c r="EU77">
        <v>369185.45132525</v>
      </c>
      <c r="EV77">
        <v>116333.420962787</v>
      </c>
      <c r="EW77">
        <v>64842.2093866229</v>
      </c>
      <c r="EX77">
        <v>934955.938038774</v>
      </c>
      <c r="EY77">
        <v>709874.109182777</v>
      </c>
      <c r="EZ77">
        <v>344963.467582667</v>
      </c>
      <c r="FA77">
        <v>117584.865020514</v>
      </c>
      <c r="FB77">
        <v>51954.8076012313</v>
      </c>
      <c r="FC77">
        <v>24244.6011950982</v>
      </c>
      <c r="FD77">
        <v>393035.42743947</v>
      </c>
      <c r="FE77">
        <v>358757.148138624</v>
      </c>
      <c r="FF77">
        <v>535732.256796098</v>
      </c>
      <c r="FG77">
        <v>592832.72857902</v>
      </c>
      <c r="FH77">
        <v>0</v>
      </c>
      <c r="FI77">
        <v>0</v>
      </c>
      <c r="FJ77">
        <v>0</v>
      </c>
      <c r="FK77">
        <v>0</v>
      </c>
      <c r="FL77">
        <v>0</v>
      </c>
      <c r="FM77">
        <v>22568.0147269964</v>
      </c>
      <c r="FN77">
        <v>393035.42743947</v>
      </c>
      <c r="FO77">
        <v>358757.148138624</v>
      </c>
      <c r="FP77">
        <v>535732.256796098</v>
      </c>
      <c r="FQ77">
        <v>592832.72857902</v>
      </c>
      <c r="FR77">
        <v>1676.58646810174</v>
      </c>
      <c r="FS77">
        <v>0</v>
      </c>
      <c r="FT77">
        <v>0</v>
      </c>
      <c r="FU77">
        <v>0</v>
      </c>
      <c r="FV77">
        <v>0</v>
      </c>
      <c r="FW77">
        <v>0</v>
      </c>
      <c r="FX77">
        <v>0</v>
      </c>
      <c r="FY77">
        <v>0</v>
      </c>
      <c r="FZ77">
        <v>0</v>
      </c>
      <c r="GA77">
        <v>0</v>
      </c>
      <c r="GB77">
        <v>22568.0147269964</v>
      </c>
      <c r="GC77">
        <v>393035.42743947</v>
      </c>
      <c r="GD77">
        <v>358757.148138624</v>
      </c>
      <c r="GE77">
        <v>535732.256796098</v>
      </c>
      <c r="GF77">
        <v>592832.72857902</v>
      </c>
      <c r="GG77">
        <v>1676.58646810174</v>
      </c>
      <c r="GH77">
        <v>0</v>
      </c>
      <c r="GI77">
        <v>0</v>
      </c>
      <c r="GJ77">
        <v>0</v>
      </c>
      <c r="GK77">
        <v>0</v>
      </c>
      <c r="GL77">
        <v>8283405.50476548</v>
      </c>
      <c r="GM77">
        <v>4608449.33176543</v>
      </c>
      <c r="GN77">
        <v>3701394.79770318</v>
      </c>
      <c r="GO77">
        <v>2095500.29068701</v>
      </c>
      <c r="GP77">
        <v>1191890.47054909</v>
      </c>
      <c r="GQ77">
        <v>343583.682210358</v>
      </c>
      <c r="GR77">
        <v>288972.12728714</v>
      </c>
      <c r="GS77">
        <v>402809.360232902</v>
      </c>
      <c r="GT77">
        <v>202448.997766399</v>
      </c>
      <c r="GU77">
        <v>518839.917006612</v>
      </c>
      <c r="GV77">
        <v>6509326.63633549</v>
      </c>
      <c r="GW77">
        <v>3490676.72077282</v>
      </c>
      <c r="GX77">
        <v>2960741.26548786</v>
      </c>
      <c r="GY77">
        <v>1438892.28541703</v>
      </c>
      <c r="GZ77">
        <v>318644.679091036</v>
      </c>
      <c r="HA77">
        <v>1430495.18621964</v>
      </c>
      <c r="HB77">
        <v>828800.483705473</v>
      </c>
      <c r="HC77">
        <v>337844.17198242</v>
      </c>
      <c r="HD77">
        <v>454159.007503581</v>
      </c>
      <c r="HE77">
        <v>354405.874451441</v>
      </c>
      <c r="HF77">
        <v>866554.272816069</v>
      </c>
      <c r="HG77">
        <v>774593.369427986</v>
      </c>
      <c r="HH77">
        <v>287118.417546028</v>
      </c>
      <c r="HI77">
        <v>443005.725975823</v>
      </c>
      <c r="HJ77">
        <v>342610.370164669</v>
      </c>
      <c r="HK77">
        <v>8307650.10596058</v>
      </c>
      <c r="HL77">
        <v>5001484.7592049</v>
      </c>
      <c r="HM77">
        <v>4060151.94584181</v>
      </c>
      <c r="HN77">
        <v>2631232.54748311</v>
      </c>
      <c r="HO77">
        <v>1784723.19912811</v>
      </c>
      <c r="HP77">
        <v>2350566.75859094</v>
      </c>
      <c r="HQ77">
        <v>1781005.11334321</v>
      </c>
      <c r="HR77">
        <v>810965.146394652</v>
      </c>
      <c r="HS77">
        <v>566272.914694905</v>
      </c>
      <c r="HT77">
        <v>559539.733020484</v>
      </c>
      <c r="HU77">
        <v>749269.433719268</v>
      </c>
      <c r="HV77">
        <v>796942.402257957</v>
      </c>
      <c r="HW77">
        <v>384623.51897825</v>
      </c>
      <c r="HX77">
        <v>408423.893549967</v>
      </c>
      <c r="HY77">
        <v>442500.916115677</v>
      </c>
      <c r="HZ77">
        <v>1601297.32487167</v>
      </c>
      <c r="IA77">
        <v>984062.711085253</v>
      </c>
      <c r="IB77">
        <v>426341.627416402</v>
      </c>
      <c r="IC77">
        <v>157849.021144938</v>
      </c>
      <c r="ID77">
        <v>117038.816904807</v>
      </c>
      <c r="IE77">
        <v>1933623.02415203</v>
      </c>
      <c r="IF77">
        <v>1856166.40727468</v>
      </c>
      <c r="IG77">
        <v>2376733.55780175</v>
      </c>
      <c r="IH77">
        <v>1135103.64862018</v>
      </c>
      <c r="II77">
        <v>1088595.5216567</v>
      </c>
      <c r="IJ77">
        <v>1933623.02415203</v>
      </c>
      <c r="IK77">
        <v>1856166.40727468</v>
      </c>
      <c r="IL77">
        <v>2376733.55780175</v>
      </c>
      <c r="IM77">
        <v>1135103.64862018</v>
      </c>
      <c r="IN77">
        <v>1088595.5216567</v>
      </c>
      <c r="IO77">
        <v>0</v>
      </c>
      <c r="IP77">
        <v>0</v>
      </c>
      <c r="IQ77">
        <v>0</v>
      </c>
      <c r="IR77">
        <v>0</v>
      </c>
      <c r="IS77">
        <v>0</v>
      </c>
      <c r="IT77">
        <v>0</v>
      </c>
      <c r="IU77">
        <v>0</v>
      </c>
      <c r="IV77">
        <v>0</v>
      </c>
      <c r="IW77">
        <v>0</v>
      </c>
      <c r="IX77">
        <v>0</v>
      </c>
      <c r="IY77">
        <v>4023460.32321761</v>
      </c>
      <c r="IZ77">
        <v>1364313.23858702</v>
      </c>
      <c r="JA77">
        <v>872453.241645402</v>
      </c>
      <c r="JB77">
        <v>929855.984168029</v>
      </c>
      <c r="JC77">
        <v>136587.944450921</v>
      </c>
      <c r="JD77">
        <v>1487408.40942718</v>
      </c>
      <c r="JE77">
        <v>521163.925641966</v>
      </c>
      <c r="JF77">
        <v>482448.386937052</v>
      </c>
      <c r="JG77">
        <v>557253.689992475</v>
      </c>
      <c r="JH77">
        <v>0</v>
      </c>
      <c r="JI77">
        <v>2141512.42195488</v>
      </c>
      <c r="JJ77">
        <v>598353.8236838439</v>
      </c>
      <c r="JK77">
        <v>250546.395654845</v>
      </c>
      <c r="JL77">
        <v>184792.970855355</v>
      </c>
      <c r="JM77">
        <v>130434.532303995</v>
      </c>
      <c r="JN77">
        <v>394539.491835539</v>
      </c>
      <c r="JO77">
        <v>244795.489261208</v>
      </c>
      <c r="JP77">
        <v>139458.459053504</v>
      </c>
      <c r="JQ77">
        <v>187809.323320198</v>
      </c>
      <c r="JR77">
        <v>6153.41214692593</v>
      </c>
      <c r="JS77">
        <v>8307650.10596058</v>
      </c>
      <c r="JT77">
        <v>5001484.7592049</v>
      </c>
      <c r="JU77">
        <v>4060151.94584181</v>
      </c>
      <c r="JV77">
        <v>2631232.54748311</v>
      </c>
      <c r="JW77">
        <v>1784723.19912811</v>
      </c>
      <c r="JX77">
        <v>4711397.89659096</v>
      </c>
      <c r="JY77">
        <v>3181295.02437612</v>
      </c>
      <c r="JZ77">
        <v>3113004.23006592</v>
      </c>
      <c r="KA77">
        <v>1456548.31232808</v>
      </c>
      <c r="KB77">
        <v>707050.063793653</v>
      </c>
      <c r="KC77" t="s">
        <v>1900</v>
      </c>
      <c r="KD77" t="s">
        <v>1900</v>
      </c>
      <c r="KE77" t="s">
        <v>1900</v>
      </c>
      <c r="KF77" t="s">
        <v>1900</v>
      </c>
      <c r="KG77" t="s">
        <v>1900</v>
      </c>
      <c r="KH77" t="s">
        <v>1900</v>
      </c>
      <c r="KI77" t="s">
        <v>1900</v>
      </c>
      <c r="KJ77" t="s">
        <v>1900</v>
      </c>
      <c r="KK77" t="s">
        <v>1900</v>
      </c>
      <c r="KL77" t="s">
        <v>1900</v>
      </c>
      <c r="KM77">
        <v>1</v>
      </c>
      <c r="KN77">
        <v>1</v>
      </c>
      <c r="KO77">
        <v>1</v>
      </c>
      <c r="KP77" t="s">
        <v>1900</v>
      </c>
      <c r="KQ77">
        <v>1</v>
      </c>
      <c r="KR77" t="s">
        <v>1900</v>
      </c>
      <c r="KS77" t="s">
        <v>1900</v>
      </c>
      <c r="KT77" t="s">
        <v>1900</v>
      </c>
      <c r="KU77" t="s">
        <v>1900</v>
      </c>
      <c r="KV77" t="s">
        <v>1900</v>
      </c>
      <c r="KW77" t="s">
        <v>1900</v>
      </c>
      <c r="KX77" t="s">
        <v>1900</v>
      </c>
      <c r="KY77" t="s">
        <v>1900</v>
      </c>
      <c r="KZ77" t="s">
        <v>1900</v>
      </c>
      <c r="LA77" t="s">
        <v>1900</v>
      </c>
      <c r="LB77" t="s">
        <v>1900</v>
      </c>
      <c r="LC77" t="s">
        <v>1900</v>
      </c>
      <c r="LD77" t="s">
        <v>1900</v>
      </c>
      <c r="LE77" t="s">
        <v>1900</v>
      </c>
      <c r="LF77" t="s">
        <v>1900</v>
      </c>
      <c r="LG77" t="s">
        <v>1900</v>
      </c>
      <c r="LH77" t="s">
        <v>1900</v>
      </c>
      <c r="LI77" t="s">
        <v>1900</v>
      </c>
      <c r="LJ77" t="s">
        <v>1900</v>
      </c>
      <c r="LK77" t="s">
        <v>1900</v>
      </c>
      <c r="LL77" t="s">
        <v>1900</v>
      </c>
      <c r="LM77" t="s">
        <v>1900</v>
      </c>
      <c r="LN77" t="s">
        <v>1900</v>
      </c>
      <c r="LO77" t="s">
        <v>1900</v>
      </c>
      <c r="LP77" t="s">
        <v>1900</v>
      </c>
      <c r="LQ77" t="s">
        <v>1900</v>
      </c>
      <c r="LR77" t="s">
        <v>1900</v>
      </c>
      <c r="LS77" t="s">
        <v>1900</v>
      </c>
      <c r="LT77" t="s">
        <v>1900</v>
      </c>
      <c r="LU77" t="s">
        <v>1900</v>
      </c>
      <c r="LV77" t="s">
        <v>1900</v>
      </c>
      <c r="LW77" t="s">
        <v>1900</v>
      </c>
      <c r="LX77" t="s">
        <v>1900</v>
      </c>
      <c r="LY77" t="s">
        <v>1900</v>
      </c>
      <c r="LZ77" t="s">
        <v>1900</v>
      </c>
      <c r="MA77" t="s">
        <v>1900</v>
      </c>
      <c r="MB77" t="s">
        <v>1900</v>
      </c>
      <c r="MC77" t="s">
        <v>1900</v>
      </c>
      <c r="MD77" t="s">
        <v>1900</v>
      </c>
      <c r="ME77" t="s">
        <v>1900</v>
      </c>
      <c r="MF77" t="s">
        <v>1900</v>
      </c>
      <c r="MG77" t="s">
        <v>1900</v>
      </c>
      <c r="MH77" t="s">
        <v>1900</v>
      </c>
      <c r="MI77" t="s">
        <v>1900</v>
      </c>
      <c r="MJ77" t="s">
        <v>1900</v>
      </c>
      <c r="MK77" t="s">
        <v>1900</v>
      </c>
      <c r="ML77" t="s">
        <v>1900</v>
      </c>
      <c r="MM77" t="s">
        <v>1900</v>
      </c>
      <c r="MN77" t="s">
        <v>1900</v>
      </c>
      <c r="MO77" t="s">
        <v>1900</v>
      </c>
      <c r="MP77">
        <v>1430495.18621964</v>
      </c>
      <c r="MQ77">
        <v>828800.483705473</v>
      </c>
      <c r="MR77">
        <v>337844.17198242</v>
      </c>
      <c r="MS77">
        <v>454159.007503581</v>
      </c>
      <c r="MT77">
        <v>354405.874451441</v>
      </c>
      <c r="MU77" t="s">
        <v>1900</v>
      </c>
      <c r="MV77" t="s">
        <v>1900</v>
      </c>
      <c r="MW77" t="s">
        <v>1900</v>
      </c>
      <c r="MX77" t="s">
        <v>1900</v>
      </c>
      <c r="MY77" t="s">
        <v>1900</v>
      </c>
      <c r="MZ77" t="s">
        <v>1900</v>
      </c>
      <c r="NA77" t="s">
        <v>1900</v>
      </c>
      <c r="NB77" t="s">
        <v>1900</v>
      </c>
      <c r="NC77" t="s">
        <v>1900</v>
      </c>
      <c r="ND77" t="s">
        <v>1900</v>
      </c>
      <c r="NE77" t="s">
        <v>1900</v>
      </c>
      <c r="NF77" t="s">
        <v>1900</v>
      </c>
      <c r="NG77" t="s">
        <v>1900</v>
      </c>
      <c r="NH77" t="s">
        <v>1900</v>
      </c>
      <c r="NI77" t="s">
        <v>1900</v>
      </c>
      <c r="NJ77" t="s">
        <v>1900</v>
      </c>
      <c r="NK77" t="s">
        <v>1900</v>
      </c>
      <c r="NL77" t="s">
        <v>1900</v>
      </c>
      <c r="NM77" t="s">
        <v>1900</v>
      </c>
      <c r="NN77" t="s">
        <v>1900</v>
      </c>
      <c r="NO77" t="s">
        <v>1900</v>
      </c>
      <c r="NP77" t="s">
        <v>1900</v>
      </c>
      <c r="NQ77" t="s">
        <v>1900</v>
      </c>
      <c r="NR77" t="s">
        <v>1900</v>
      </c>
      <c r="NS77" t="s">
        <v>1900</v>
      </c>
      <c r="NT77">
        <v>24244.6011950982</v>
      </c>
      <c r="NU77">
        <v>393035.42743947</v>
      </c>
      <c r="NV77">
        <v>358757.148138624</v>
      </c>
      <c r="NW77">
        <v>535732.256796098</v>
      </c>
      <c r="NX77">
        <v>592832.72857902</v>
      </c>
      <c r="NY77" t="s">
        <v>1900</v>
      </c>
      <c r="NZ77" t="s">
        <v>1900</v>
      </c>
      <c r="OA77" t="s">
        <v>1900</v>
      </c>
      <c r="OB77" t="s">
        <v>1900</v>
      </c>
      <c r="OC77" t="s">
        <v>1900</v>
      </c>
      <c r="OD77" t="s">
        <v>1900</v>
      </c>
      <c r="OE77" t="s">
        <v>1900</v>
      </c>
      <c r="OF77" t="s">
        <v>1900</v>
      </c>
      <c r="OG77" t="s">
        <v>1900</v>
      </c>
      <c r="OH77" t="s">
        <v>1900</v>
      </c>
      <c r="OI77" t="s">
        <v>1900</v>
      </c>
      <c r="OJ77" t="s">
        <v>1900</v>
      </c>
      <c r="OK77" t="s">
        <v>1900</v>
      </c>
      <c r="OL77" t="s">
        <v>1900</v>
      </c>
      <c r="OM77" t="s">
        <v>1900</v>
      </c>
      <c r="ON77" t="s">
        <v>1900</v>
      </c>
      <c r="OO77" t="s">
        <v>1900</v>
      </c>
      <c r="OP77" t="s">
        <v>1900</v>
      </c>
      <c r="OQ77" t="s">
        <v>1900</v>
      </c>
      <c r="OR77" t="s">
        <v>1900</v>
      </c>
      <c r="OS77" t="s">
        <v>1900</v>
      </c>
      <c r="OT77" t="s">
        <v>1900</v>
      </c>
      <c r="OU77" t="s">
        <v>1900</v>
      </c>
      <c r="OV77" t="s">
        <v>1900</v>
      </c>
      <c r="OW77" t="s">
        <v>1900</v>
      </c>
      <c r="OX77" t="s">
        <v>1900</v>
      </c>
      <c r="OY77" t="s">
        <v>1900</v>
      </c>
      <c r="OZ77" t="s">
        <v>1900</v>
      </c>
      <c r="PA77" t="s">
        <v>1900</v>
      </c>
      <c r="PB77" t="s">
        <v>1900</v>
      </c>
      <c r="PC77" t="s">
        <v>1900</v>
      </c>
      <c r="PD77" t="s">
        <v>1900</v>
      </c>
      <c r="PE77" t="s">
        <v>1900</v>
      </c>
      <c r="PF77" t="s">
        <v>1900</v>
      </c>
      <c r="PG77" t="s">
        <v>1900</v>
      </c>
      <c r="PH77" t="s">
        <v>1900</v>
      </c>
      <c r="PI77" t="s">
        <v>1900</v>
      </c>
      <c r="PJ77" t="s">
        <v>1900</v>
      </c>
      <c r="PK77" t="s">
        <v>1900</v>
      </c>
      <c r="PL77" t="s">
        <v>1900</v>
      </c>
      <c r="PM77" t="s">
        <v>1900</v>
      </c>
      <c r="PN77" t="s">
        <v>1900</v>
      </c>
      <c r="PO77" t="s">
        <v>1900</v>
      </c>
      <c r="PP77" t="s">
        <v>1900</v>
      </c>
      <c r="PQ77" t="s">
        <v>1900</v>
      </c>
      <c r="PR77" t="s">
        <v>1900</v>
      </c>
      <c r="PS77" t="s">
        <v>1900</v>
      </c>
      <c r="PT77" t="s">
        <v>1900</v>
      </c>
      <c r="PU77" t="s">
        <v>1900</v>
      </c>
      <c r="PV77" t="s">
        <v>1900</v>
      </c>
      <c r="PW77" t="s">
        <v>1900</v>
      </c>
      <c r="PX77" t="s">
        <v>1900</v>
      </c>
      <c r="PY77" t="s">
        <v>1900</v>
      </c>
      <c r="PZ77" t="s">
        <v>1900</v>
      </c>
      <c r="QA77" t="s">
        <v>1900</v>
      </c>
      <c r="QB77" t="s">
        <v>1900</v>
      </c>
      <c r="QC77" t="s">
        <v>1900</v>
      </c>
      <c r="QD77" t="s">
        <v>1900</v>
      </c>
      <c r="QE77" t="s">
        <v>1900</v>
      </c>
      <c r="QF77" t="s">
        <v>1900</v>
      </c>
      <c r="QG77" t="s">
        <v>1900</v>
      </c>
      <c r="QH77" t="s">
        <v>1900</v>
      </c>
      <c r="QI77" t="s">
        <v>1900</v>
      </c>
      <c r="QJ77" t="s">
        <v>1900</v>
      </c>
      <c r="QK77" t="s">
        <v>1900</v>
      </c>
      <c r="QL77" t="s">
        <v>1900</v>
      </c>
      <c r="QM77" t="s">
        <v>1900</v>
      </c>
      <c r="QN77" t="s">
        <v>1900</v>
      </c>
      <c r="QO77" t="s">
        <v>1900</v>
      </c>
      <c r="QP77" t="s">
        <v>1900</v>
      </c>
      <c r="QQ77" t="s">
        <v>1900</v>
      </c>
      <c r="QR77" t="s">
        <v>1900</v>
      </c>
      <c r="QS77" t="s">
        <v>1900</v>
      </c>
      <c r="QT77" t="s">
        <v>1900</v>
      </c>
      <c r="QU77" t="s">
        <v>1900</v>
      </c>
      <c r="QV77" t="s">
        <v>1900</v>
      </c>
      <c r="QW77" t="s">
        <v>1900</v>
      </c>
      <c r="QX77" t="s">
        <v>1900</v>
      </c>
      <c r="QY77" t="s">
        <v>1900</v>
      </c>
      <c r="QZ77" t="s">
        <v>1900</v>
      </c>
      <c r="RA77" t="s">
        <v>1900</v>
      </c>
      <c r="RB77" t="s">
        <v>1900</v>
      </c>
      <c r="RC77" t="s">
        <v>1900</v>
      </c>
      <c r="RD77" t="s">
        <v>1900</v>
      </c>
      <c r="RE77" t="s">
        <v>1900</v>
      </c>
      <c r="RF77" t="s">
        <v>1900</v>
      </c>
      <c r="RG77" t="s">
        <v>1900</v>
      </c>
      <c r="RH77" t="s">
        <v>1900</v>
      </c>
      <c r="RI77" t="s">
        <v>1900</v>
      </c>
      <c r="RJ77" t="s">
        <v>1900</v>
      </c>
      <c r="RK77" t="s">
        <v>1900</v>
      </c>
      <c r="RL77" t="s">
        <v>1900</v>
      </c>
      <c r="RM77" t="s">
        <v>1900</v>
      </c>
      <c r="RN77" t="s">
        <v>1900</v>
      </c>
      <c r="RO77" t="s">
        <v>1900</v>
      </c>
      <c r="RP77" t="s">
        <v>1900</v>
      </c>
      <c r="RQ77" t="s">
        <v>1900</v>
      </c>
      <c r="RR77" t="s">
        <v>1900</v>
      </c>
      <c r="RS77" t="s">
        <v>1900</v>
      </c>
      <c r="RT77" t="s">
        <v>1900</v>
      </c>
      <c r="RU77" t="s">
        <v>1900</v>
      </c>
      <c r="RV77" t="s">
        <v>1900</v>
      </c>
      <c r="RW77" t="s">
        <v>1900</v>
      </c>
      <c r="RX77" t="s">
        <v>1900</v>
      </c>
      <c r="RY77" t="s">
        <v>1900</v>
      </c>
      <c r="RZ77" t="s">
        <v>1900</v>
      </c>
      <c r="SA77" t="s">
        <v>1900</v>
      </c>
      <c r="SB77" t="s">
        <v>1900</v>
      </c>
      <c r="SC77" t="s">
        <v>1900</v>
      </c>
      <c r="SD77" t="s">
        <v>1900</v>
      </c>
      <c r="SE77" t="s">
        <v>1900</v>
      </c>
      <c r="SF77" t="s">
        <v>1900</v>
      </c>
      <c r="SG77" t="s">
        <v>1900</v>
      </c>
      <c r="SH77" t="s">
        <v>1900</v>
      </c>
      <c r="SI77" t="s">
        <v>1900</v>
      </c>
      <c r="SJ77">
        <v>1676.58646810174</v>
      </c>
      <c r="SK77">
        <v>0</v>
      </c>
      <c r="SL77">
        <v>0</v>
      </c>
      <c r="SM77">
        <v>0</v>
      </c>
      <c r="SN77">
        <v>0</v>
      </c>
      <c r="SO77" t="s">
        <v>1900</v>
      </c>
      <c r="SP77" t="s">
        <v>1900</v>
      </c>
      <c r="SQ77" t="s">
        <v>1900</v>
      </c>
      <c r="SR77" t="s">
        <v>1900</v>
      </c>
      <c r="SS77" t="s">
        <v>1900</v>
      </c>
      <c r="ST77" t="s">
        <v>1900</v>
      </c>
      <c r="SU77" t="s">
        <v>1900</v>
      </c>
      <c r="SV77" t="s">
        <v>1900</v>
      </c>
      <c r="SW77" t="s">
        <v>1900</v>
      </c>
      <c r="SX77" t="s">
        <v>1900</v>
      </c>
      <c r="SY77" t="s">
        <v>1900</v>
      </c>
      <c r="SZ77" t="s">
        <v>1900</v>
      </c>
      <c r="TA77" t="s">
        <v>1900</v>
      </c>
      <c r="TB77" t="s">
        <v>1900</v>
      </c>
      <c r="TC77" t="s">
        <v>1900</v>
      </c>
      <c r="TD77" t="s">
        <v>1900</v>
      </c>
      <c r="TE77" t="s">
        <v>1900</v>
      </c>
      <c r="TF77" t="s">
        <v>1900</v>
      </c>
      <c r="TG77" t="s">
        <v>1900</v>
      </c>
      <c r="TH77" t="s">
        <v>1900</v>
      </c>
      <c r="TI77" t="s">
        <v>1900</v>
      </c>
      <c r="TJ77" t="s">
        <v>1900</v>
      </c>
      <c r="TK77" t="s">
        <v>1900</v>
      </c>
      <c r="TL77" t="s">
        <v>1900</v>
      </c>
      <c r="TM77" t="s">
        <v>1900</v>
      </c>
      <c r="TN77" t="s">
        <v>1900</v>
      </c>
      <c r="TO77" t="s">
        <v>1900</v>
      </c>
      <c r="TP77" t="s">
        <v>1900</v>
      </c>
      <c r="TQ77" t="s">
        <v>1900</v>
      </c>
      <c r="TR77" t="s">
        <v>1900</v>
      </c>
      <c r="TS77">
        <v>8307650.10596058</v>
      </c>
      <c r="TT77">
        <v>5001484.7592049</v>
      </c>
      <c r="TU77">
        <v>4060151.94584181</v>
      </c>
      <c r="TV77">
        <v>2631232.54748311</v>
      </c>
      <c r="TW77">
        <v>1784723.19912811</v>
      </c>
      <c r="TX77" t="s">
        <v>1900</v>
      </c>
      <c r="TY77" t="s">
        <v>1900</v>
      </c>
      <c r="TZ77" t="s">
        <v>1900</v>
      </c>
      <c r="UA77" t="s">
        <v>1900</v>
      </c>
      <c r="UB77" t="s">
        <v>1900</v>
      </c>
      <c r="UC77">
        <v>1487408.40942718</v>
      </c>
      <c r="UD77">
        <v>521163.925641966</v>
      </c>
      <c r="UE77">
        <v>482448.386937052</v>
      </c>
      <c r="UF77">
        <v>557253.689992475</v>
      </c>
      <c r="UG77">
        <v>0</v>
      </c>
      <c r="UH77" t="s">
        <v>1900</v>
      </c>
      <c r="UI77" t="s">
        <v>1900</v>
      </c>
      <c r="UJ77" t="s">
        <v>1900</v>
      </c>
      <c r="UK77" t="s">
        <v>1900</v>
      </c>
      <c r="UL77" t="s">
        <v>1900</v>
      </c>
      <c r="UM77" t="s">
        <v>1900</v>
      </c>
      <c r="UN77" t="s">
        <v>1900</v>
      </c>
      <c r="UO77" t="s">
        <v>1900</v>
      </c>
      <c r="UP77" t="s">
        <v>1900</v>
      </c>
      <c r="UQ77" t="s">
        <v>1900</v>
      </c>
      <c r="UR77" t="s">
        <v>1900</v>
      </c>
      <c r="US77" t="s">
        <v>1900</v>
      </c>
      <c r="UT77" t="s">
        <v>1900</v>
      </c>
      <c r="UU77" t="s">
        <v>1900</v>
      </c>
      <c r="UV77" t="s">
        <v>1900</v>
      </c>
      <c r="UW77" t="s">
        <v>1900</v>
      </c>
      <c r="UX77" t="s">
        <v>1900</v>
      </c>
      <c r="UY77" t="s">
        <v>1900</v>
      </c>
      <c r="UZ77" t="s">
        <v>1900</v>
      </c>
      <c r="VA77" t="s">
        <v>1900</v>
      </c>
      <c r="VB77" t="s">
        <v>1900</v>
      </c>
      <c r="VC77" t="s">
        <v>1900</v>
      </c>
      <c r="VD77" t="s">
        <v>1900</v>
      </c>
      <c r="VE77" t="s">
        <v>1900</v>
      </c>
      <c r="VF77" t="s">
        <v>1900</v>
      </c>
      <c r="VG77" t="s">
        <v>1900</v>
      </c>
      <c r="VH77" t="s">
        <v>1900</v>
      </c>
      <c r="VI77" t="s">
        <v>1900</v>
      </c>
      <c r="VJ77" t="s">
        <v>1900</v>
      </c>
      <c r="VK77" t="s">
        <v>1900</v>
      </c>
      <c r="VL77" t="s">
        <v>1900</v>
      </c>
      <c r="VM77" t="s">
        <v>1900</v>
      </c>
      <c r="VN77" t="s">
        <v>1900</v>
      </c>
      <c r="VO77" t="s">
        <v>1900</v>
      </c>
      <c r="VP77" t="s">
        <v>1900</v>
      </c>
      <c r="VQ77" t="s">
        <v>1900</v>
      </c>
      <c r="VR77" t="s">
        <v>1900</v>
      </c>
      <c r="VS77" t="s">
        <v>1900</v>
      </c>
      <c r="VT77" t="s">
        <v>1900</v>
      </c>
      <c r="VU77" t="s">
        <v>1900</v>
      </c>
      <c r="VV77" t="s">
        <v>1900</v>
      </c>
      <c r="VW77" t="s">
        <v>1900</v>
      </c>
      <c r="VX77" t="s">
        <v>1900</v>
      </c>
      <c r="VY77" t="s">
        <v>1900</v>
      </c>
      <c r="VZ77" t="s">
        <v>1900</v>
      </c>
      <c r="WA77">
        <v>394539.491835539</v>
      </c>
      <c r="WB77">
        <v>244795.489261208</v>
      </c>
      <c r="WC77">
        <v>139458.459053504</v>
      </c>
      <c r="WD77">
        <v>187809.323320198</v>
      </c>
      <c r="WE77">
        <v>6153.41214692593</v>
      </c>
      <c r="WF77" t="s">
        <v>1900</v>
      </c>
      <c r="WG77" t="s">
        <v>1900</v>
      </c>
      <c r="WH77" t="s">
        <v>1900</v>
      </c>
      <c r="WI77" t="s">
        <v>1900</v>
      </c>
      <c r="WJ77" t="s">
        <v>1900</v>
      </c>
      <c r="WK77" t="s">
        <v>1900</v>
      </c>
      <c r="WL77" t="s">
        <v>1900</v>
      </c>
      <c r="WM77" t="s">
        <v>1900</v>
      </c>
      <c r="WN77" t="s">
        <v>1900</v>
      </c>
      <c r="WO77" t="s">
        <v>1900</v>
      </c>
      <c r="WP77" t="s">
        <v>1900</v>
      </c>
      <c r="WQ77" t="s">
        <v>1900</v>
      </c>
      <c r="WR77" t="s">
        <v>1900</v>
      </c>
      <c r="WS77" t="s">
        <v>1900</v>
      </c>
      <c r="WT77" t="s">
        <v>1900</v>
      </c>
      <c r="WU77" t="s">
        <v>1900</v>
      </c>
      <c r="WV77" t="s">
        <v>1900</v>
      </c>
      <c r="WW77" t="s">
        <v>1900</v>
      </c>
      <c r="WX77" t="s">
        <v>1900</v>
      </c>
      <c r="WY77" t="s">
        <v>1900</v>
      </c>
      <c r="WZ77" t="s">
        <v>1900</v>
      </c>
      <c r="XA77" t="s">
        <v>1900</v>
      </c>
      <c r="XB77" t="s">
        <v>1900</v>
      </c>
      <c r="XC77" t="s">
        <v>1900</v>
      </c>
      <c r="XD77" t="s">
        <v>1900</v>
      </c>
      <c r="XE77" t="s">
        <v>1900</v>
      </c>
      <c r="XF77" t="s">
        <v>1900</v>
      </c>
      <c r="XG77" t="s">
        <v>1900</v>
      </c>
      <c r="XH77" t="s">
        <v>1900</v>
      </c>
      <c r="XI77" t="s">
        <v>1900</v>
      </c>
      <c r="XJ77">
        <v>0</v>
      </c>
      <c r="XK77">
        <v>0</v>
      </c>
      <c r="XL77">
        <v>0</v>
      </c>
      <c r="XM77">
        <v>0</v>
      </c>
      <c r="XN77">
        <v>0</v>
      </c>
      <c r="XO77" t="s">
        <v>1900</v>
      </c>
      <c r="XP77" t="s">
        <v>1900</v>
      </c>
      <c r="XQ77" t="s">
        <v>1900</v>
      </c>
      <c r="XR77" t="s">
        <v>1900</v>
      </c>
      <c r="XS77" t="s">
        <v>1900</v>
      </c>
      <c r="XT77" t="s">
        <v>1900</v>
      </c>
      <c r="XU77" t="s">
        <v>1900</v>
      </c>
      <c r="XV77" t="s">
        <v>1900</v>
      </c>
      <c r="XW77" t="s">
        <v>1900</v>
      </c>
      <c r="XX77" t="s">
        <v>1900</v>
      </c>
      <c r="XY77">
        <v>0</v>
      </c>
      <c r="XZ77">
        <v>0</v>
      </c>
      <c r="YA77">
        <v>0</v>
      </c>
      <c r="YB77">
        <v>0</v>
      </c>
      <c r="YC77">
        <v>0</v>
      </c>
      <c r="YD77" t="s">
        <v>1900</v>
      </c>
      <c r="YE77" t="s">
        <v>1900</v>
      </c>
      <c r="YF77" t="s">
        <v>1900</v>
      </c>
      <c r="YG77" t="s">
        <v>1900</v>
      </c>
      <c r="YH77" t="s">
        <v>1900</v>
      </c>
      <c r="YI77" t="s">
        <v>1900</v>
      </c>
      <c r="YJ77" t="s">
        <v>1900</v>
      </c>
      <c r="YK77" t="s">
        <v>1900</v>
      </c>
      <c r="YL77" t="s">
        <v>1900</v>
      </c>
      <c r="YM77" t="s">
        <v>1900</v>
      </c>
      <c r="YN77" t="s">
        <v>1900</v>
      </c>
      <c r="YO77" t="s">
        <v>1900</v>
      </c>
      <c r="YP77" t="s">
        <v>1900</v>
      </c>
      <c r="YQ77" t="s">
        <v>1900</v>
      </c>
      <c r="YR77" t="s">
        <v>1900</v>
      </c>
      <c r="YS77" t="s">
        <v>1900</v>
      </c>
      <c r="YT77" t="s">
        <v>1900</v>
      </c>
      <c r="YU77" t="s">
        <v>1900</v>
      </c>
      <c r="YV77" t="s">
        <v>1900</v>
      </c>
      <c r="YW77" t="s">
        <v>1900</v>
      </c>
      <c r="YX77" t="s">
        <v>1900</v>
      </c>
      <c r="YY77" t="s">
        <v>1900</v>
      </c>
      <c r="YZ77" t="s">
        <v>1900</v>
      </c>
      <c r="ZA77" t="s">
        <v>1900</v>
      </c>
      <c r="ZB77" t="s">
        <v>1900</v>
      </c>
      <c r="ZC77" t="s">
        <v>1900</v>
      </c>
      <c r="ZD77" t="s">
        <v>1900</v>
      </c>
      <c r="ZE77" t="s">
        <v>1900</v>
      </c>
      <c r="ZF77" t="s">
        <v>1900</v>
      </c>
      <c r="ZG77" t="s">
        <v>1900</v>
      </c>
      <c r="ZH77" t="s">
        <v>1900</v>
      </c>
      <c r="ZI77" t="s">
        <v>1900</v>
      </c>
      <c r="ZJ77" t="s">
        <v>1900</v>
      </c>
      <c r="ZK77" t="s">
        <v>1900</v>
      </c>
      <c r="ZL77" t="s">
        <v>1900</v>
      </c>
      <c r="ZM77" t="s">
        <v>1900</v>
      </c>
      <c r="ZN77" t="s">
        <v>1900</v>
      </c>
      <c r="ZO77" t="s">
        <v>1900</v>
      </c>
      <c r="ZP77" t="s">
        <v>1900</v>
      </c>
      <c r="ZQ77" t="s">
        <v>1900</v>
      </c>
      <c r="ZR77" t="s">
        <v>1900</v>
      </c>
      <c r="ZS77" t="s">
        <v>1900</v>
      </c>
      <c r="ZT77" t="s">
        <v>1900</v>
      </c>
      <c r="ZU77" t="s">
        <v>1900</v>
      </c>
      <c r="ZV77" t="s">
        <v>1900</v>
      </c>
      <c r="ZW77" t="s">
        <v>1900</v>
      </c>
      <c r="ZX77" t="s">
        <v>1900</v>
      </c>
      <c r="ZY77" t="s">
        <v>1900</v>
      </c>
      <c r="ZZ77" t="s">
        <v>1900</v>
      </c>
      <c r="AAA77" t="s">
        <v>1900</v>
      </c>
      <c r="AAB77" t="s">
        <v>1900</v>
      </c>
      <c r="AAC77" t="s">
        <v>1900</v>
      </c>
      <c r="AAD77" t="s">
        <v>1900</v>
      </c>
      <c r="AAE77" t="s">
        <v>1900</v>
      </c>
      <c r="AAF77" t="s">
        <v>1900</v>
      </c>
      <c r="AAG77" t="s">
        <v>1900</v>
      </c>
      <c r="AAH77" t="s">
        <v>1900</v>
      </c>
      <c r="AAI77" t="s">
        <v>1900</v>
      </c>
      <c r="AAJ77" t="s">
        <v>1900</v>
      </c>
      <c r="AAK77" t="s">
        <v>1900</v>
      </c>
      <c r="AAL77" t="s">
        <v>1900</v>
      </c>
      <c r="AAM77" t="s">
        <v>1900</v>
      </c>
      <c r="AAN77" t="s">
        <v>1900</v>
      </c>
      <c r="AAO77" t="s">
        <v>1900</v>
      </c>
      <c r="AAP77" t="s">
        <v>1900</v>
      </c>
      <c r="AAQ77" t="s">
        <v>1900</v>
      </c>
      <c r="AAR77" t="s">
        <v>1900</v>
      </c>
      <c r="AAS77" t="s">
        <v>1900</v>
      </c>
      <c r="AAT77" t="s">
        <v>1900</v>
      </c>
      <c r="AAU77" t="s">
        <v>1900</v>
      </c>
      <c r="AAV77" t="s">
        <v>1900</v>
      </c>
      <c r="AAW77" t="s">
        <v>1900</v>
      </c>
      <c r="AAX77" t="s">
        <v>1900</v>
      </c>
      <c r="AAY77" t="s">
        <v>1900</v>
      </c>
      <c r="AAZ77" t="s">
        <v>1900</v>
      </c>
      <c r="ABA77" t="s">
        <v>1900</v>
      </c>
      <c r="ABB77" t="s">
        <v>1900</v>
      </c>
      <c r="ABC77" t="s">
        <v>1900</v>
      </c>
      <c r="ABD77" t="s">
        <v>1900</v>
      </c>
      <c r="ABE77" t="s">
        <v>1900</v>
      </c>
      <c r="ABF77" t="s">
        <v>1900</v>
      </c>
      <c r="ABG77" t="s">
        <v>1900</v>
      </c>
      <c r="ABH77" t="s">
        <v>1900</v>
      </c>
      <c r="ABI77" t="s">
        <v>1900</v>
      </c>
      <c r="ABJ77" t="s">
        <v>1900</v>
      </c>
      <c r="ABK77" t="s">
        <v>1900</v>
      </c>
      <c r="ABL77" t="s">
        <v>1900</v>
      </c>
      <c r="ABM77" t="s">
        <v>1900</v>
      </c>
      <c r="ABN77" t="s">
        <v>1900</v>
      </c>
      <c r="ABO77" t="s">
        <v>1900</v>
      </c>
      <c r="ABP77" t="s">
        <v>1900</v>
      </c>
      <c r="ABQ77" t="s">
        <v>1900</v>
      </c>
      <c r="ABR77" t="s">
        <v>1900</v>
      </c>
      <c r="ABS77" t="s">
        <v>1900</v>
      </c>
      <c r="ABT77" t="s">
        <v>1900</v>
      </c>
      <c r="ABU77" t="s">
        <v>1900</v>
      </c>
      <c r="ABV77" t="s">
        <v>1900</v>
      </c>
      <c r="ABW77" t="s">
        <v>1900</v>
      </c>
      <c r="ABX77" t="s">
        <v>1900</v>
      </c>
      <c r="ABY77" t="s">
        <v>1900</v>
      </c>
      <c r="ABZ77" t="s">
        <v>1900</v>
      </c>
      <c r="ACA77" t="s">
        <v>1900</v>
      </c>
      <c r="ACB77" t="s">
        <v>1900</v>
      </c>
      <c r="ACC77" t="s">
        <v>1900</v>
      </c>
      <c r="ACD77" t="s">
        <v>1900</v>
      </c>
      <c r="ACE77">
        <v>32.057</v>
      </c>
      <c r="ACF77">
        <v>33.348</v>
      </c>
      <c r="ACG77">
        <v>36.305</v>
      </c>
      <c r="ACH77">
        <v>11.731</v>
      </c>
      <c r="ACI77">
        <v>6.231</v>
      </c>
      <c r="ACJ77">
        <v>21.621</v>
      </c>
      <c r="ACK77">
        <v>19.448</v>
      </c>
      <c r="ACL77">
        <v>10.568</v>
      </c>
      <c r="ACM77">
        <v>6.165</v>
      </c>
      <c r="ACN77">
        <v>2.734</v>
      </c>
      <c r="ACO77">
        <v>9.07</v>
      </c>
      <c r="ACP77">
        <v>11.875</v>
      </c>
      <c r="ACQ77">
        <v>7.251</v>
      </c>
      <c r="ACR77">
        <v>2.525</v>
      </c>
      <c r="ACS77">
        <v>1.953</v>
      </c>
      <c r="ACT77">
        <v>28.763</v>
      </c>
      <c r="ACU77">
        <v>30.453</v>
      </c>
      <c r="ACV77">
        <v>34.242</v>
      </c>
      <c r="ACW77">
        <v>8.798</v>
      </c>
      <c r="ACX77">
        <v>4.673</v>
      </c>
      <c r="ACY77">
        <v>19.814</v>
      </c>
      <c r="ACZ77">
        <v>18.031</v>
      </c>
      <c r="ADA77">
        <v>10.044</v>
      </c>
      <c r="ADB77">
        <v>5.189</v>
      </c>
      <c r="ADC77">
        <v>2.205</v>
      </c>
      <c r="ADD77">
        <v>8.138</v>
      </c>
      <c r="ADE77">
        <v>10.844</v>
      </c>
      <c r="ADF77">
        <v>6.839</v>
      </c>
      <c r="ADG77">
        <v>1.894</v>
      </c>
      <c r="ADH77">
        <v>1.465</v>
      </c>
      <c r="ADI77">
        <v>11.314</v>
      </c>
      <c r="ADJ77">
        <v>14.831</v>
      </c>
      <c r="ADK77">
        <v>10.28</v>
      </c>
      <c r="ADL77">
        <v>1.768</v>
      </c>
      <c r="ADM77">
        <v>6.715</v>
      </c>
      <c r="ADN77">
        <v>18.521</v>
      </c>
      <c r="ADO77">
        <v>30.788</v>
      </c>
      <c r="ADP77">
        <v>22.753</v>
      </c>
      <c r="ADQ77">
        <v>14.464</v>
      </c>
      <c r="ADR77">
        <v>29.781</v>
      </c>
      <c r="ADS77">
        <v>13.934834395</v>
      </c>
      <c r="ADT77">
        <v>17.425581626</v>
      </c>
      <c r="ADU77">
        <v>11.747717865</v>
      </c>
      <c r="ADV77">
        <v>2.825477069</v>
      </c>
      <c r="ADW77">
        <v>8.661097932000001</v>
      </c>
      <c r="ADX77">
        <v>14.039</v>
      </c>
      <c r="ADY77">
        <v>17.727</v>
      </c>
      <c r="ADZ77">
        <v>12.045</v>
      </c>
      <c r="AEA77">
        <v>3.13</v>
      </c>
      <c r="AEB77">
        <v>10.006</v>
      </c>
      <c r="AEC77">
        <v>13.935</v>
      </c>
      <c r="AED77">
        <v>17.426</v>
      </c>
      <c r="AEE77">
        <v>11.748</v>
      </c>
      <c r="AEF77">
        <v>2.825</v>
      </c>
      <c r="AEG77">
        <v>8.661</v>
      </c>
      <c r="AEH77">
        <v>10.256</v>
      </c>
      <c r="AEI77">
        <v>13.845</v>
      </c>
      <c r="AEJ77">
        <v>9.993</v>
      </c>
      <c r="AEK77">
        <v>1.631</v>
      </c>
      <c r="AEL77">
        <v>6.381</v>
      </c>
      <c r="AEM77">
        <v>16.191027226</v>
      </c>
      <c r="AEN77">
        <v>21.102881461</v>
      </c>
      <c r="AEO77">
        <v>13.311517369</v>
      </c>
      <c r="AEP77">
        <v>2.907631531</v>
      </c>
      <c r="AEQ77">
        <v>9.482375785</v>
      </c>
      <c r="AER77">
        <v>4.038259476</v>
      </c>
      <c r="AES77">
        <v>2.304100658</v>
      </c>
      <c r="AET77">
        <v>2.067472744</v>
      </c>
      <c r="AEU77">
        <v>1.242776583</v>
      </c>
      <c r="AEV77">
        <v>1.41009851</v>
      </c>
      <c r="AEW77" t="s">
        <v>1900</v>
      </c>
      <c r="AEX77" t="s">
        <v>1900</v>
      </c>
      <c r="AEY77" t="s">
        <v>1900</v>
      </c>
      <c r="AEZ77" t="s">
        <v>1900</v>
      </c>
      <c r="AFA77" t="s">
        <v>1900</v>
      </c>
      <c r="AFB77" t="s">
        <v>1900</v>
      </c>
      <c r="AFC77" t="s">
        <v>1900</v>
      </c>
      <c r="AFD77" t="s">
        <v>1900</v>
      </c>
      <c r="AFE77" t="s">
        <v>1900</v>
      </c>
      <c r="AFF77" t="s">
        <v>1900</v>
      </c>
      <c r="AFG77">
        <v>1.555</v>
      </c>
      <c r="AFH77">
        <v>1.101</v>
      </c>
      <c r="AFI77">
        <v>0.898</v>
      </c>
      <c r="AFJ77">
        <v>2.208</v>
      </c>
      <c r="AFK77">
        <v>0.315</v>
      </c>
      <c r="AFL77">
        <v>5.372</v>
      </c>
      <c r="AFM77">
        <v>6.151</v>
      </c>
      <c r="AFN77">
        <v>7.923</v>
      </c>
      <c r="AFO77">
        <v>2.76</v>
      </c>
      <c r="AFP77">
        <v>4.414</v>
      </c>
      <c r="AFQ77">
        <v>19.384</v>
      </c>
      <c r="AFR77">
        <v>13.858</v>
      </c>
      <c r="AFS77">
        <v>7.11</v>
      </c>
      <c r="AFT77">
        <v>18.555</v>
      </c>
      <c r="AFU77">
        <v>1.001</v>
      </c>
      <c r="AFV77">
        <v>351.861</v>
      </c>
      <c r="AFW77">
        <v>313.808</v>
      </c>
      <c r="AFX77">
        <v>372.152</v>
      </c>
      <c r="AFY77">
        <v>137.895</v>
      </c>
      <c r="AFZ77">
        <v>220.934</v>
      </c>
      <c r="AGA77">
        <v>115.759</v>
      </c>
      <c r="AGB77">
        <v>53.791</v>
      </c>
      <c r="AGC77">
        <v>31.493</v>
      </c>
      <c r="AGD77">
        <v>17.71</v>
      </c>
      <c r="AGE77">
        <v>90.438</v>
      </c>
      <c r="AGF77" t="s">
        <v>1900</v>
      </c>
      <c r="AGG77" t="s">
        <v>1900</v>
      </c>
      <c r="AGH77" t="s">
        <v>1900</v>
      </c>
      <c r="AGI77" t="s">
        <v>1900</v>
      </c>
      <c r="AGJ77" t="s">
        <v>1900</v>
      </c>
      <c r="AGK77" t="s">
        <v>1900</v>
      </c>
      <c r="AGL77" t="s">
        <v>1900</v>
      </c>
      <c r="AGM77" t="s">
        <v>1900</v>
      </c>
      <c r="AGN77" t="s">
        <v>1900</v>
      </c>
      <c r="AGO77" t="s">
        <v>1900</v>
      </c>
      <c r="AGP77" t="s">
        <v>1900</v>
      </c>
      <c r="AGQ77" t="s">
        <v>1900</v>
      </c>
      <c r="AGR77" t="s">
        <v>1900</v>
      </c>
      <c r="AGS77" t="s">
        <v>1900</v>
      </c>
      <c r="AGT77" t="s">
        <v>1900</v>
      </c>
      <c r="AGU77">
        <v>0</v>
      </c>
      <c r="AGV77">
        <v>0</v>
      </c>
      <c r="AGW77">
        <v>0</v>
      </c>
      <c r="AGX77">
        <v>0</v>
      </c>
      <c r="AGY77">
        <v>0</v>
      </c>
      <c r="AGZ77">
        <v>2.059</v>
      </c>
      <c r="AHA77">
        <v>3.378</v>
      </c>
      <c r="AHB77">
        <v>4.243</v>
      </c>
      <c r="AHC77">
        <v>2.254</v>
      </c>
      <c r="AHD77">
        <v>8.726000000000001</v>
      </c>
      <c r="AHE77">
        <v>1.973</v>
      </c>
      <c r="AHF77">
        <v>3.166</v>
      </c>
      <c r="AHG77">
        <v>3.781</v>
      </c>
      <c r="AHH77">
        <v>2.036</v>
      </c>
      <c r="AHI77">
        <v>4.928</v>
      </c>
      <c r="AHJ77">
        <v>1.216</v>
      </c>
      <c r="AHK77">
        <v>0.96</v>
      </c>
      <c r="AHL77">
        <v>0.341</v>
      </c>
      <c r="AHM77">
        <v>0.499</v>
      </c>
      <c r="AHN77">
        <v>0.514</v>
      </c>
      <c r="AHO77">
        <v>28.294</v>
      </c>
      <c r="AHP77">
        <v>35.61</v>
      </c>
      <c r="AHQ77">
        <v>19.974</v>
      </c>
      <c r="AHR77">
        <v>21.521</v>
      </c>
      <c r="AHS77">
        <v>31.352</v>
      </c>
      <c r="AHT77">
        <v>39.458</v>
      </c>
      <c r="AHU77">
        <v>55.302</v>
      </c>
      <c r="AHV77">
        <v>24.959</v>
      </c>
      <c r="AHW77">
        <v>27.423</v>
      </c>
      <c r="AHX77">
        <v>45.67</v>
      </c>
      <c r="AHY77">
        <v>145.541</v>
      </c>
      <c r="AHZ77">
        <v>133.483</v>
      </c>
      <c r="AIA77">
        <v>352.565</v>
      </c>
      <c r="AIB77">
        <v>298.859</v>
      </c>
      <c r="AIC77">
        <v>194.552</v>
      </c>
      <c r="AID77">
        <v>0.020181236</v>
      </c>
      <c r="AIE77">
        <v>0</v>
      </c>
      <c r="AIF77">
        <v>0</v>
      </c>
      <c r="AIG77">
        <v>0</v>
      </c>
      <c r="AIH77">
        <v>0</v>
      </c>
      <c r="AII77">
        <v>17.219011008</v>
      </c>
      <c r="AIJ77">
        <v>16.571088859</v>
      </c>
      <c r="AIK77">
        <v>8.320973610999999</v>
      </c>
      <c r="AIL77">
        <v>17.260314294</v>
      </c>
      <c r="AIM77">
        <v>19.857750189</v>
      </c>
      <c r="AIN77">
        <v>4.749110601</v>
      </c>
      <c r="AIO77">
        <v>4.894456367</v>
      </c>
      <c r="AIP77">
        <v>3.434808867</v>
      </c>
      <c r="AIQ77">
        <v>7.137693835</v>
      </c>
      <c r="AIR77">
        <v>0.344782437</v>
      </c>
      <c r="AIS77">
        <v>6.331711427</v>
      </c>
      <c r="AIT77">
        <v>10.426178923</v>
      </c>
      <c r="AIU77">
        <v>18.206822187</v>
      </c>
      <c r="AIV77">
        <v>6.300628514</v>
      </c>
      <c r="AIW77">
        <v>142.308296711</v>
      </c>
      <c r="AIX77">
        <v>753.51919773726</v>
      </c>
      <c r="AIY77">
        <v>593.922219194994</v>
      </c>
      <c r="AIZ77">
        <v>294.42030431267</v>
      </c>
      <c r="AJA77" t="s">
        <v>1900</v>
      </c>
      <c r="AJB77">
        <v>34.8641244175553</v>
      </c>
      <c r="AJC77">
        <v>6659.89310011885</v>
      </c>
      <c r="AJD77">
        <v>4004.49416111777</v>
      </c>
      <c r="AJE77">
        <v>2864.06681040511</v>
      </c>
      <c r="AJF77" t="s">
        <v>1900</v>
      </c>
      <c r="AJG77">
        <v>519.213973686057</v>
      </c>
      <c r="AJH77">
        <v>0.627</v>
      </c>
      <c r="AJI77">
        <v>1.035</v>
      </c>
      <c r="AJJ77">
        <v>0.831</v>
      </c>
      <c r="AJK77" t="s">
        <v>1900</v>
      </c>
      <c r="AJL77">
        <v>2.466</v>
      </c>
      <c r="AJM77">
        <v>41.7354723097289</v>
      </c>
      <c r="AJN77">
        <v>41.4420932987022</v>
      </c>
      <c r="AJO77">
        <v>23.798565077734</v>
      </c>
      <c r="AJP77" t="s">
        <v>1900</v>
      </c>
      <c r="AJQ77">
        <v>12.8039958460093</v>
      </c>
      <c r="AJR77">
        <v>2350.56675859094</v>
      </c>
      <c r="AJS77">
        <v>1781.00511334321</v>
      </c>
      <c r="AJT77">
        <v>810.965146394652</v>
      </c>
      <c r="AJU77" t="s">
        <v>1900</v>
      </c>
      <c r="AJV77">
        <v>559.5397330204841</v>
      </c>
      <c r="AJW77">
        <v>4711.39789659096</v>
      </c>
      <c r="AJX77">
        <v>3181.29502437612</v>
      </c>
      <c r="AJY77">
        <v>3113.00423006592</v>
      </c>
      <c r="AJZ77" t="s">
        <v>1900</v>
      </c>
      <c r="AKA77">
        <v>707.050063793653</v>
      </c>
      <c r="AKB77">
        <v>8307.65010596058</v>
      </c>
      <c r="AKC77">
        <v>5001.4847592049</v>
      </c>
      <c r="AKD77">
        <v>4060.15194584181</v>
      </c>
      <c r="AKE77" t="s">
        <v>1900</v>
      </c>
      <c r="AKF77">
        <v>1784.72319912811</v>
      </c>
      <c r="AKG77">
        <v>6.331711427</v>
      </c>
      <c r="AKH77">
        <v>10.426178923</v>
      </c>
      <c r="AKI77">
        <v>18.206822187</v>
      </c>
      <c r="AKJ77">
        <v>6.300628514</v>
      </c>
      <c r="AKK77">
        <v>142.308296711</v>
      </c>
      <c r="AKL77">
        <v>5.158996955</v>
      </c>
      <c r="AKM77">
        <v>7.216195496</v>
      </c>
      <c r="AKN77">
        <v>14.064244548</v>
      </c>
      <c r="AKO77">
        <v>5.389327342</v>
      </c>
      <c r="AKP77">
        <v>99.927957124</v>
      </c>
      <c r="AKQ77">
        <v>4.135750517</v>
      </c>
      <c r="AKR77">
        <v>5.777726839</v>
      </c>
      <c r="AKS77">
        <v>9.921041517999999</v>
      </c>
      <c r="AKT77">
        <v>7.694074701</v>
      </c>
      <c r="AKU77">
        <v>29.071170099</v>
      </c>
      <c r="AKV77">
        <v>0</v>
      </c>
      <c r="AKW77">
        <v>0</v>
      </c>
      <c r="AKX77">
        <v>0</v>
      </c>
      <c r="AKY77">
        <v>0</v>
      </c>
      <c r="AKZ77">
        <v>0</v>
      </c>
      <c r="ALA77">
        <v>0</v>
      </c>
      <c r="ALB77">
        <v>0</v>
      </c>
      <c r="ALC77">
        <v>0</v>
      </c>
      <c r="ALD77">
        <v>0</v>
      </c>
      <c r="ALE77">
        <v>0</v>
      </c>
      <c r="ALF77">
        <v>0.338864519</v>
      </c>
      <c r="ALG77">
        <v>9.814858297000001</v>
      </c>
      <c r="ALH77">
        <v>12.526144531</v>
      </c>
      <c r="ALI77">
        <v>14.261549978</v>
      </c>
      <c r="ALJ77">
        <v>114.178885512</v>
      </c>
      <c r="ALK77">
        <v>0.271653409</v>
      </c>
      <c r="ALL77">
        <v>7.85837499</v>
      </c>
      <c r="ALM77">
        <v>8.836052269</v>
      </c>
      <c r="ALN77">
        <v>20.360505851</v>
      </c>
      <c r="ALO77">
        <v>33.217068555</v>
      </c>
      <c r="ALP77">
        <v>97.739205997</v>
      </c>
      <c r="ALQ77">
        <v>87.168980159</v>
      </c>
      <c r="ALR77">
        <v>103.375425976</v>
      </c>
      <c r="ALS77">
        <v>38.304272294</v>
      </c>
      <c r="ALT77">
        <v>61.370590015</v>
      </c>
      <c r="ALU77">
        <v>32.89913906</v>
      </c>
      <c r="ALV77">
        <v>17.14148492</v>
      </c>
      <c r="ALW77">
        <v>8.462286068999999</v>
      </c>
      <c r="ALX77">
        <v>12.842724416</v>
      </c>
      <c r="ALY77">
        <v>40.934162992</v>
      </c>
      <c r="ALZ77">
        <v>18.5212874151168</v>
      </c>
      <c r="AMA77">
        <v>30.787726269601</v>
      </c>
      <c r="AMB77">
        <v>22.752886785284</v>
      </c>
      <c r="AMC77">
        <v>14.4636550143164</v>
      </c>
      <c r="AMD77">
        <v>29.7806526862884</v>
      </c>
      <c r="AME77">
        <v>18.5212874151168</v>
      </c>
      <c r="AMF77">
        <v>30.787726269601</v>
      </c>
      <c r="AMG77">
        <v>22.7592436519982</v>
      </c>
      <c r="AMH77">
        <v>14.5030988664566</v>
      </c>
      <c r="AMI77">
        <v>30.4278658446018</v>
      </c>
      <c r="AMJ77">
        <v>22.731443380831</v>
      </c>
      <c r="AMK77">
        <v>44.4830441339461</v>
      </c>
      <c r="AML77">
        <v>29.454675829814</v>
      </c>
      <c r="AMM77">
        <v>16.9093676106189</v>
      </c>
      <c r="AMN77">
        <v>42.4108936148901</v>
      </c>
      <c r="AMO77">
        <v>4.03825947239092</v>
      </c>
      <c r="AMP77">
        <v>2.3041006583543</v>
      </c>
      <c r="AMQ77">
        <v>2.06747274387306</v>
      </c>
      <c r="AMR77">
        <v>1.24277658254747</v>
      </c>
      <c r="AMS77">
        <v>1.41009850976425</v>
      </c>
      <c r="AMT77">
        <v>4.0382594757921</v>
      </c>
      <c r="AMU77">
        <v>2.3041006583543</v>
      </c>
      <c r="AMV77">
        <v>2.06747274387306</v>
      </c>
      <c r="AMW77">
        <v>1.24277658254747</v>
      </c>
      <c r="AMX77">
        <v>1.41009850976425</v>
      </c>
      <c r="AMY77">
        <v>4.0382594757921</v>
      </c>
      <c r="AMZ77">
        <v>2.3041006583543</v>
      </c>
      <c r="ANA77">
        <v>2.06747274387306</v>
      </c>
      <c r="ANB77">
        <v>1.24277658254747</v>
      </c>
      <c r="ANC77">
        <v>1.41009850976425</v>
      </c>
      <c r="AND77">
        <v>13.9348343952575</v>
      </c>
      <c r="ANE77">
        <v>17.4255816263235</v>
      </c>
      <c r="ANF77">
        <v>11.7477178645754</v>
      </c>
      <c r="ANG77">
        <v>2.82547706871292</v>
      </c>
      <c r="ANH77">
        <v>8.66109793172922</v>
      </c>
      <c r="ANI77">
        <v>13.9348343952575</v>
      </c>
      <c r="ANJ77">
        <v>17.4255816263235</v>
      </c>
      <c r="ANK77">
        <v>11.7510000272902</v>
      </c>
      <c r="ANL77">
        <v>2.83318243085087</v>
      </c>
      <c r="ANM77">
        <v>8.84932673268618</v>
      </c>
      <c r="ANN77">
        <v>16.1910272261065</v>
      </c>
      <c r="ANO77">
        <v>21.1028814607776</v>
      </c>
      <c r="ANP77">
        <v>13.3115173685235</v>
      </c>
      <c r="ANQ77">
        <v>2.90763153086004</v>
      </c>
      <c r="ANR77">
        <v>9.482375784696339</v>
      </c>
      <c r="ANS77">
        <v>21.6620906510953</v>
      </c>
      <c r="ANT77">
        <v>19.1854135778671</v>
      </c>
      <c r="ANU77">
        <v>10.555027923323</v>
      </c>
      <c r="ANV77">
        <v>6.23838838195699</v>
      </c>
      <c r="ANW77">
        <v>2.72851579435331</v>
      </c>
      <c r="ANX77">
        <v>18.5212874307161</v>
      </c>
      <c r="ANY77">
        <v>30.787726269601</v>
      </c>
      <c r="ANZ77">
        <v>22.752886785284</v>
      </c>
      <c r="AOA77">
        <v>14.4636550143164</v>
      </c>
      <c r="AOB77">
        <v>29.7806526862884</v>
      </c>
      <c r="AOC77">
        <v>21.5200741031238</v>
      </c>
      <c r="AOD77">
        <v>37.2848236487436</v>
      </c>
      <c r="AOE77">
        <v>25.7816412615475</v>
      </c>
      <c r="AOF77">
        <v>14.8842048080275</v>
      </c>
      <c r="AOG77">
        <v>32.6045660851376</v>
      </c>
      <c r="AOH77">
        <v>14.8477358444301</v>
      </c>
      <c r="AOI77">
        <v>24.650533994691</v>
      </c>
      <c r="AOJ77">
        <v>16.0500859947806</v>
      </c>
      <c r="AOK77">
        <v>20.6490411640281</v>
      </c>
      <c r="AOL77">
        <v>8.66382586821647</v>
      </c>
      <c r="AOM77">
        <v>17.1024233886959</v>
      </c>
      <c r="AON77">
        <v>25.1770107917578</v>
      </c>
      <c r="AOO77">
        <v>15.2079700789872</v>
      </c>
      <c r="AOP77">
        <v>3.30324737301533</v>
      </c>
      <c r="AOQ77">
        <v>12.3343469614363</v>
      </c>
      <c r="AOR77">
        <v>303.82594757921</v>
      </c>
      <c r="AOS77">
        <v>130.41006583543</v>
      </c>
      <c r="AOT77">
        <v>106.747274387306</v>
      </c>
      <c r="AOU77">
        <v>24.2776582547467</v>
      </c>
      <c r="AOV77">
        <v>41.009850976425</v>
      </c>
      <c r="AOW77">
        <v>11.1709696793428</v>
      </c>
      <c r="AOX77">
        <v>13.9519849077351</v>
      </c>
      <c r="AOY77">
        <v>8.286943267823309</v>
      </c>
      <c r="AOZ77">
        <v>4.03379313473122</v>
      </c>
      <c r="APA77">
        <v>2.51969777487855</v>
      </c>
      <c r="APB77">
        <v>10.1518309597332</v>
      </c>
      <c r="APC77">
        <v>13.5440680842005</v>
      </c>
      <c r="APD77">
        <v>9.695690474388289</v>
      </c>
      <c r="APE77">
        <v>1.32633135662843</v>
      </c>
      <c r="APF77">
        <v>5.03609080318791</v>
      </c>
      <c r="APG77">
        <v>10.1518309597332</v>
      </c>
      <c r="APH77">
        <v>13.5440680842005</v>
      </c>
      <c r="API77">
        <v>9.698399326791471</v>
      </c>
      <c r="APJ77">
        <v>1.3299483965722</v>
      </c>
      <c r="APK77">
        <v>5.14553851303561</v>
      </c>
      <c r="APL77">
        <v>12.4594886684062</v>
      </c>
      <c r="APM77">
        <v>19.5688818676272</v>
      </c>
      <c r="APN77">
        <v>12.5515246730815</v>
      </c>
      <c r="APO77">
        <v>1.55060560145564</v>
      </c>
      <c r="APP77">
        <v>7.17194191607719</v>
      </c>
      <c r="APQ77">
        <v>221.343833268274</v>
      </c>
      <c r="APR77">
        <v>101.361483846941</v>
      </c>
      <c r="APS77">
        <v>88.10124173690549</v>
      </c>
      <c r="APT77">
        <v>11.3963832038629</v>
      </c>
      <c r="APU77">
        <v>23.8456296153721</v>
      </c>
      <c r="APV77">
        <v>11.7955166743719</v>
      </c>
      <c r="APW77">
        <v>16.4022567169764</v>
      </c>
      <c r="APX77">
        <v>10.9863339958848</v>
      </c>
      <c r="APY77">
        <v>1.36489618535745</v>
      </c>
      <c r="APZ77">
        <v>5.51363185800471</v>
      </c>
      <c r="AQA77">
        <v>8.138295197794999</v>
      </c>
      <c r="AQB77">
        <v>10.8442081046319</v>
      </c>
      <c r="AQC77">
        <v>6.83942514025764</v>
      </c>
      <c r="AQD77">
        <v>1.89353733569094</v>
      </c>
      <c r="AQE77">
        <v>1.46510602823139</v>
      </c>
      <c r="AQF77">
        <v>3.0382594757921</v>
      </c>
      <c r="AQG77">
        <v>1.3041006583543</v>
      </c>
      <c r="AQH77">
        <v>1.06747274387306</v>
      </c>
      <c r="AQI77">
        <v>0.242776582547467</v>
      </c>
      <c r="AQJ77">
        <v>0.41009850976425</v>
      </c>
      <c r="AQK77">
        <v>2</v>
      </c>
      <c r="AQO77" t="s">
        <v>1902</v>
      </c>
      <c r="AQP77">
        <v>1</v>
      </c>
      <c r="AQQ77">
        <v>0</v>
      </c>
      <c r="AQS77" t="s">
        <v>1905</v>
      </c>
      <c r="AQU77" t="s">
        <v>1906</v>
      </c>
      <c r="AQV77">
        <v>6659893.10011885</v>
      </c>
      <c r="AQW77">
        <v>4004494.16111777</v>
      </c>
      <c r="AQX77">
        <v>2864066.81040511</v>
      </c>
      <c r="AQY77">
        <v>928045.074402745</v>
      </c>
      <c r="AQZ77">
        <v>697806.398766937</v>
      </c>
      <c r="ARA77">
        <v>336462.488339335</v>
      </c>
      <c r="ARB77">
        <v>13528454.07164173</v>
      </c>
      <c r="ARC77">
        <v>1962313.961509017</v>
      </c>
      <c r="ARD77">
        <v>0.1696602274245233</v>
      </c>
      <c r="ARE77">
        <v>0.1696602274245233</v>
      </c>
      <c r="ARF77">
        <v>0.1696602274245233</v>
      </c>
      <c r="ARG77">
        <v>0.1696602274245233</v>
      </c>
      <c r="ARH77">
        <v>0.1696602274245233</v>
      </c>
      <c r="ARI77">
        <v>0.1696602274245233</v>
      </c>
      <c r="ARJ77" t="s">
        <v>1238</v>
      </c>
      <c r="ARK77" t="s">
        <v>1576</v>
      </c>
      <c r="ARL77" t="s">
        <v>1908</v>
      </c>
      <c r="ARM77" t="s">
        <v>1908</v>
      </c>
      <c r="ARN77" t="s">
        <v>1909</v>
      </c>
      <c r="ARO77" t="s">
        <v>1908</v>
      </c>
      <c r="ARP77" t="s">
        <v>1907</v>
      </c>
      <c r="ARQ77" t="s">
        <v>1971</v>
      </c>
      <c r="ARR77">
        <f>HYPERLINK("C:\Users\Usuario\Documents\Proyectos\llmthon\evidence\madridbs_com_235111.png", "Ver Evidencia")</f>
        <v>0</v>
      </c>
      <c r="ARS77">
        <v>100</v>
      </c>
    </row>
    <row r="78" spans="1:1163">
      <c r="A78">
        <v>126</v>
      </c>
      <c r="B78" t="s">
        <v>1239</v>
      </c>
      <c r="C78" t="s">
        <v>1362</v>
      </c>
      <c r="D78" t="s">
        <v>1420</v>
      </c>
      <c r="E78" s="2">
        <v>41481</v>
      </c>
      <c r="F78" t="s">
        <v>1431</v>
      </c>
      <c r="G78" t="s">
        <v>1433</v>
      </c>
      <c r="H78" t="s">
        <v>1434</v>
      </c>
      <c r="I78" t="s">
        <v>1435</v>
      </c>
      <c r="J78" t="s">
        <v>1451</v>
      </c>
      <c r="L78" t="s">
        <v>1577</v>
      </c>
      <c r="N78" t="s">
        <v>1630</v>
      </c>
      <c r="O78" t="s">
        <v>1654</v>
      </c>
      <c r="P78">
        <v>6209</v>
      </c>
      <c r="Q78">
        <v>6209</v>
      </c>
      <c r="R78" t="s">
        <v>1747</v>
      </c>
      <c r="S78" t="s">
        <v>1825</v>
      </c>
      <c r="Z78" t="s">
        <v>1899</v>
      </c>
      <c r="AA78" s="2">
        <v>45291</v>
      </c>
      <c r="AB78">
        <v>2023</v>
      </c>
      <c r="AC78" t="s">
        <v>1900</v>
      </c>
      <c r="AD78">
        <v>7392596.62405153</v>
      </c>
      <c r="AE78">
        <v>6086766.31812054</v>
      </c>
      <c r="AF78">
        <v>5365371.8450861</v>
      </c>
      <c r="AG78">
        <v>4264026.37219423</v>
      </c>
      <c r="AH78" t="s">
        <v>1900</v>
      </c>
      <c r="AI78">
        <v>7282499.83444644</v>
      </c>
      <c r="AJ78">
        <v>5977637.81010709</v>
      </c>
      <c r="AK78">
        <v>5291294.04269435</v>
      </c>
      <c r="AL78">
        <v>4228214.57125872</v>
      </c>
      <c r="AM78" t="s">
        <v>1900</v>
      </c>
      <c r="AN78">
        <v>641607.023845348</v>
      </c>
      <c r="AO78">
        <v>554500.1155174969</v>
      </c>
      <c r="AP78">
        <v>461990.236417508</v>
      </c>
      <c r="AQ78">
        <v>397701.545407301</v>
      </c>
      <c r="AR78" t="s">
        <v>1900</v>
      </c>
      <c r="AS78">
        <v>6750989.60020618</v>
      </c>
      <c r="AT78">
        <v>5532266.20260305</v>
      </c>
      <c r="AU78">
        <v>4903381.60866859</v>
      </c>
      <c r="AV78">
        <v>3866324.82555983</v>
      </c>
      <c r="AW78" t="s">
        <v>1900</v>
      </c>
      <c r="AX78">
        <v>3598225.04883919</v>
      </c>
      <c r="AY78">
        <v>3309857.65443741</v>
      </c>
      <c r="AZ78">
        <v>3496174.96077919</v>
      </c>
      <c r="BA78">
        <v>2835321.90879666</v>
      </c>
      <c r="BB78" t="s">
        <v>1900</v>
      </c>
      <c r="BC78">
        <v>3152764.55247199</v>
      </c>
      <c r="BD78">
        <v>2222408.54709904</v>
      </c>
      <c r="BE78">
        <v>1407206.6478894</v>
      </c>
      <c r="BF78">
        <v>1031002.91676317</v>
      </c>
      <c r="BG78" t="s">
        <v>1900</v>
      </c>
      <c r="BH78">
        <v>-156361.095122938</v>
      </c>
      <c r="BI78">
        <v>-137123.928757584</v>
      </c>
      <c r="BJ78">
        <v>-47463.575282836</v>
      </c>
      <c r="BK78">
        <v>-118322.816798753</v>
      </c>
      <c r="BL78" t="s">
        <v>1900</v>
      </c>
      <c r="BM78">
        <v>67159.87484052659</v>
      </c>
      <c r="BN78">
        <v>410.854122877121</v>
      </c>
      <c r="BO78">
        <v>680.398308706284</v>
      </c>
      <c r="BP78">
        <v>656.54720916748</v>
      </c>
      <c r="BQ78" t="s">
        <v>1900</v>
      </c>
      <c r="BR78">
        <v>223520.969963465</v>
      </c>
      <c r="BS78">
        <v>137534.782880461</v>
      </c>
      <c r="BT78">
        <v>48143.9735915422</v>
      </c>
      <c r="BU78">
        <v>118979.36400792</v>
      </c>
      <c r="BV78" t="s">
        <v>1900</v>
      </c>
      <c r="BW78">
        <v>2996403.45734905</v>
      </c>
      <c r="BX78">
        <v>2085284.61834146</v>
      </c>
      <c r="BY78">
        <v>1359743.07260656</v>
      </c>
      <c r="BZ78">
        <v>912680.0999644221</v>
      </c>
      <c r="CA78" t="s">
        <v>1900</v>
      </c>
      <c r="CB78">
        <v>771596.9948332499</v>
      </c>
      <c r="CC78">
        <v>356789.709388578</v>
      </c>
      <c r="CD78">
        <v>339935.768151641</v>
      </c>
      <c r="CE78">
        <v>228141.369154716</v>
      </c>
      <c r="CF78" t="s">
        <v>1900</v>
      </c>
      <c r="CG78">
        <v>2224806.4625158</v>
      </c>
      <c r="CH78">
        <v>1728494.90895288</v>
      </c>
      <c r="CI78">
        <v>1019807.30445492</v>
      </c>
      <c r="CJ78">
        <v>684538.730809706</v>
      </c>
      <c r="CK78" t="s">
        <v>1900</v>
      </c>
      <c r="CL78" t="s">
        <v>1900</v>
      </c>
      <c r="CM78" t="s">
        <v>1900</v>
      </c>
      <c r="CN78" t="s">
        <v>1900</v>
      </c>
      <c r="CO78" t="s">
        <v>1900</v>
      </c>
      <c r="CP78" t="s">
        <v>1900</v>
      </c>
      <c r="CQ78" t="s">
        <v>1900</v>
      </c>
      <c r="CR78" t="s">
        <v>1900</v>
      </c>
      <c r="CS78" t="s">
        <v>1900</v>
      </c>
      <c r="CT78" t="s">
        <v>1900</v>
      </c>
      <c r="CU78" t="s">
        <v>1900</v>
      </c>
      <c r="CV78" t="s">
        <v>1900</v>
      </c>
      <c r="CW78" t="s">
        <v>1900</v>
      </c>
      <c r="CX78" t="s">
        <v>1900</v>
      </c>
      <c r="CY78" t="s">
        <v>1900</v>
      </c>
      <c r="CZ78" t="s">
        <v>1900</v>
      </c>
      <c r="DA78">
        <v>2224806.4625158</v>
      </c>
      <c r="DB78">
        <v>1728494.90895288</v>
      </c>
      <c r="DC78">
        <v>1019807.30445492</v>
      </c>
      <c r="DD78">
        <v>684538.730809706</v>
      </c>
      <c r="DE78" t="s">
        <v>1900</v>
      </c>
      <c r="DF78" t="s">
        <v>1900</v>
      </c>
      <c r="DG78" t="s">
        <v>1900</v>
      </c>
      <c r="DH78" t="s">
        <v>1900</v>
      </c>
      <c r="DI78" t="s">
        <v>1900</v>
      </c>
      <c r="DJ78" t="s">
        <v>1900</v>
      </c>
      <c r="DK78">
        <v>641607.023845348</v>
      </c>
      <c r="DL78">
        <v>554500.1155174969</v>
      </c>
      <c r="DM78">
        <v>461990.236417508</v>
      </c>
      <c r="DN78">
        <v>397701.545407301</v>
      </c>
      <c r="DO78" t="s">
        <v>1900</v>
      </c>
      <c r="DP78">
        <v>2690291.66736984</v>
      </c>
      <c r="DQ78">
        <v>2510977.68927303</v>
      </c>
      <c r="DR78">
        <v>2592496.71088758</v>
      </c>
      <c r="DS78">
        <v>1962514.21755759</v>
      </c>
      <c r="DT78" t="s">
        <v>1900</v>
      </c>
      <c r="DU78">
        <v>133608.107261677</v>
      </c>
      <c r="DV78">
        <v>137084.79522236</v>
      </c>
      <c r="DW78">
        <v>196414.661892271</v>
      </c>
      <c r="DX78">
        <v>262720.156172174</v>
      </c>
      <c r="DY78" t="s">
        <v>1900</v>
      </c>
      <c r="DZ78">
        <v>774325.274207668</v>
      </c>
      <c r="EA78">
        <v>661795.171008617</v>
      </c>
      <c r="EB78">
        <v>707263.587999344</v>
      </c>
      <c r="EC78">
        <v>610087.536293995</v>
      </c>
      <c r="ED78" t="s">
        <v>1900</v>
      </c>
      <c r="EE78" t="s">
        <v>1900</v>
      </c>
      <c r="EF78">
        <v>5152.48614389896</v>
      </c>
      <c r="EG78" t="s">
        <v>1900</v>
      </c>
      <c r="EH78">
        <v>1196.48317191005</v>
      </c>
      <c r="EI78" t="s">
        <v>1900</v>
      </c>
      <c r="EJ78" t="s">
        <v>1900</v>
      </c>
      <c r="EK78" t="s">
        <v>1900</v>
      </c>
      <c r="EL78" t="s">
        <v>1900</v>
      </c>
      <c r="EM78" t="s">
        <v>1900</v>
      </c>
      <c r="EN78" t="s">
        <v>1900</v>
      </c>
      <c r="EO78">
        <v>2358414.56977748</v>
      </c>
      <c r="EP78">
        <v>1865579.70417524</v>
      </c>
      <c r="EQ78">
        <v>1216221.96634719</v>
      </c>
      <c r="ER78">
        <v>947258.886981881</v>
      </c>
      <c r="ES78" t="s">
        <v>1900</v>
      </c>
      <c r="ET78">
        <v>5820303.23198057</v>
      </c>
      <c r="EU78">
        <v>4738499.58898075</v>
      </c>
      <c r="EV78">
        <v>4148654.44538641</v>
      </c>
      <c r="EW78">
        <v>3139110.95563899</v>
      </c>
      <c r="EX78" t="s">
        <v>1900</v>
      </c>
      <c r="EY78">
        <v>3286372.65973367</v>
      </c>
      <c r="EZ78">
        <v>2359493.3423214</v>
      </c>
      <c r="FA78">
        <v>1603621.30978167</v>
      </c>
      <c r="FB78">
        <v>1293723.07293535</v>
      </c>
      <c r="FC78" t="s">
        <v>1900</v>
      </c>
      <c r="FD78">
        <v>173591.191055593</v>
      </c>
      <c r="FE78">
        <v>225163.109055442</v>
      </c>
      <c r="FF78">
        <v>305351.840415216</v>
      </c>
      <c r="FG78">
        <v>556271.219055527</v>
      </c>
      <c r="FH78" t="s">
        <v>1900</v>
      </c>
      <c r="FI78">
        <v>116446.996509981</v>
      </c>
      <c r="FJ78">
        <v>144821.257284498</v>
      </c>
      <c r="FK78">
        <v>220195.587398028</v>
      </c>
      <c r="FL78">
        <v>390898.629601187</v>
      </c>
      <c r="FM78" t="s">
        <v>1900</v>
      </c>
      <c r="FN78">
        <v>46781.1904948235</v>
      </c>
      <c r="FO78">
        <v>74524.6288279772</v>
      </c>
      <c r="FP78">
        <v>80050.1737030506</v>
      </c>
      <c r="FQ78">
        <v>93134.7384869993</v>
      </c>
      <c r="FR78" t="s">
        <v>1900</v>
      </c>
      <c r="FS78">
        <v>10363.0040507889</v>
      </c>
      <c r="FT78">
        <v>5817.22294296622</v>
      </c>
      <c r="FU78">
        <v>5106.0793141365</v>
      </c>
      <c r="FV78">
        <v>72237.8509673417</v>
      </c>
      <c r="FW78" t="s">
        <v>1900</v>
      </c>
      <c r="FX78">
        <v>116446.996509981</v>
      </c>
      <c r="FY78">
        <v>144821.257284498</v>
      </c>
      <c r="FZ78">
        <v>220195.587398028</v>
      </c>
      <c r="GA78">
        <v>390898.629601187</v>
      </c>
      <c r="GB78" t="s">
        <v>1900</v>
      </c>
      <c r="GC78">
        <v>46781.1904948235</v>
      </c>
      <c r="GD78">
        <v>74524.6288279772</v>
      </c>
      <c r="GE78">
        <v>80050.1737030506</v>
      </c>
      <c r="GF78">
        <v>93134.7384869993</v>
      </c>
      <c r="GG78" t="s">
        <v>1900</v>
      </c>
      <c r="GH78">
        <v>10363.0040507889</v>
      </c>
      <c r="GI78">
        <v>5817.22294296622</v>
      </c>
      <c r="GJ78">
        <v>5106.0793141365</v>
      </c>
      <c r="GK78">
        <v>72237.8509673417</v>
      </c>
      <c r="GL78" t="s">
        <v>1900</v>
      </c>
      <c r="GM78">
        <v>6618852.10605949</v>
      </c>
      <c r="GN78">
        <v>4905755.75323125</v>
      </c>
      <c r="GO78">
        <v>3889269.7547498</v>
      </c>
      <c r="GP78">
        <v>2411771.2479121</v>
      </c>
      <c r="GQ78" t="s">
        <v>1900</v>
      </c>
      <c r="GR78">
        <v>18790.1908828068</v>
      </c>
      <c r="GS78">
        <v>17046.2010334373</v>
      </c>
      <c r="GT78">
        <v>16609.3909669161</v>
      </c>
      <c r="GU78">
        <v>989.925546836853</v>
      </c>
      <c r="GV78" t="s">
        <v>1900</v>
      </c>
      <c r="GW78">
        <v>31361.3505745888</v>
      </c>
      <c r="GX78">
        <v>101916.236935812</v>
      </c>
      <c r="GY78">
        <v>48375.0467062712</v>
      </c>
      <c r="GZ78">
        <v>46436.235276866</v>
      </c>
      <c r="HA78" t="s">
        <v>1900</v>
      </c>
      <c r="HB78">
        <v>6568700.5646021</v>
      </c>
      <c r="HC78">
        <v>4786793.315262</v>
      </c>
      <c r="HD78">
        <v>3824285.31707661</v>
      </c>
      <c r="HE78">
        <v>2364345.08708839</v>
      </c>
      <c r="HF78" t="s">
        <v>1900</v>
      </c>
      <c r="HG78">
        <v>5389155.32083669</v>
      </c>
      <c r="HH78">
        <v>4205599.7343317</v>
      </c>
      <c r="HI78">
        <v>3809254.95215435</v>
      </c>
      <c r="HJ78">
        <v>2363170.90031075</v>
      </c>
      <c r="HK78" t="s">
        <v>1900</v>
      </c>
      <c r="HL78">
        <v>6792443.29711509</v>
      </c>
      <c r="HM78">
        <v>5130918.86228669</v>
      </c>
      <c r="HN78">
        <v>4194621.59516501</v>
      </c>
      <c r="HO78">
        <v>2968042.46696762</v>
      </c>
      <c r="HP78" t="s">
        <v>1900</v>
      </c>
      <c r="HQ78">
        <v>3122564.7784187</v>
      </c>
      <c r="HR78">
        <v>1933158.88245356</v>
      </c>
      <c r="HS78">
        <v>977068.348702669</v>
      </c>
      <c r="HT78">
        <v>800394.1699631209</v>
      </c>
      <c r="HU78" t="s">
        <v>1900</v>
      </c>
      <c r="HV78">
        <v>31789.0189165211</v>
      </c>
      <c r="HW78">
        <v>30684.2860560477</v>
      </c>
      <c r="HX78">
        <v>32583.0194032431</v>
      </c>
      <c r="HY78">
        <v>37448.5796070516</v>
      </c>
      <c r="HZ78" t="s">
        <v>1900</v>
      </c>
      <c r="IA78">
        <v>3090775.75950218</v>
      </c>
      <c r="IB78">
        <v>1902474.59639751</v>
      </c>
      <c r="IC78">
        <v>944485.3292994261</v>
      </c>
      <c r="ID78">
        <v>762945.59035607</v>
      </c>
      <c r="IE78" t="s">
        <v>1900</v>
      </c>
      <c r="IF78">
        <v>0</v>
      </c>
      <c r="IG78">
        <v>0</v>
      </c>
      <c r="IH78">
        <v>0</v>
      </c>
      <c r="II78">
        <v>18626.8151706755</v>
      </c>
      <c r="IJ78" t="s">
        <v>1900</v>
      </c>
      <c r="IK78" t="s">
        <v>1900</v>
      </c>
      <c r="IL78" t="s">
        <v>1900</v>
      </c>
      <c r="IM78" t="s">
        <v>1900</v>
      </c>
      <c r="IN78">
        <v>18626.8151706755</v>
      </c>
      <c r="IO78" t="s">
        <v>1900</v>
      </c>
      <c r="IP78" t="s">
        <v>1900</v>
      </c>
      <c r="IQ78" t="s">
        <v>1900</v>
      </c>
      <c r="IR78" t="s">
        <v>1900</v>
      </c>
      <c r="IS78">
        <v>0</v>
      </c>
      <c r="IT78" t="s">
        <v>1900</v>
      </c>
      <c r="IU78" t="s">
        <v>1900</v>
      </c>
      <c r="IV78" t="s">
        <v>1900</v>
      </c>
      <c r="IW78" t="s">
        <v>1900</v>
      </c>
      <c r="IX78">
        <v>0</v>
      </c>
      <c r="IY78" t="s">
        <v>1900</v>
      </c>
      <c r="IZ78">
        <v>3669878.51869638</v>
      </c>
      <c r="JA78">
        <v>3197759.97983313</v>
      </c>
      <c r="JB78">
        <v>3217553.24646235</v>
      </c>
      <c r="JC78">
        <v>2149021.48183383</v>
      </c>
      <c r="JD78" t="s">
        <v>1900</v>
      </c>
      <c r="JE78">
        <v>12991.7339305305</v>
      </c>
      <c r="JF78">
        <v>12292.5911001623</v>
      </c>
      <c r="JG78">
        <v>7841.13916661739</v>
      </c>
      <c r="JH78">
        <v>13553.8394149125</v>
      </c>
      <c r="JI78" t="s">
        <v>1900</v>
      </c>
      <c r="JJ78">
        <v>22021.886383152</v>
      </c>
      <c r="JK78">
        <v>49220.2812566996</v>
      </c>
      <c r="JL78">
        <v>0</v>
      </c>
      <c r="JM78" t="s">
        <v>1900</v>
      </c>
      <c r="JN78" t="s">
        <v>1900</v>
      </c>
      <c r="JO78">
        <v>3634864.8983827</v>
      </c>
      <c r="JP78">
        <v>3136247.10747626</v>
      </c>
      <c r="JQ78">
        <v>3209712.10729573</v>
      </c>
      <c r="JR78">
        <v>2135467.64119182</v>
      </c>
      <c r="JS78" t="s">
        <v>1900</v>
      </c>
      <c r="JT78">
        <v>6792443.29711509</v>
      </c>
      <c r="JU78">
        <v>5130918.86228669</v>
      </c>
      <c r="JV78">
        <v>4194621.59516501</v>
      </c>
      <c r="JW78">
        <v>2968042.46696762</v>
      </c>
      <c r="JX78" t="s">
        <v>1900</v>
      </c>
      <c r="JY78">
        <v>28129.6550742435</v>
      </c>
      <c r="JZ78">
        <v>69742.1567125499</v>
      </c>
      <c r="KA78">
        <v>64984.4376731873</v>
      </c>
      <c r="KB78">
        <v>47426.1608237028</v>
      </c>
      <c r="KC78" t="s">
        <v>1900</v>
      </c>
      <c r="KD78" t="s">
        <v>1900</v>
      </c>
      <c r="KE78" t="s">
        <v>1900</v>
      </c>
      <c r="KF78" t="s">
        <v>1900</v>
      </c>
      <c r="KG78" t="s">
        <v>1900</v>
      </c>
      <c r="KH78" t="s">
        <v>1900</v>
      </c>
      <c r="KI78" t="s">
        <v>1900</v>
      </c>
      <c r="KJ78" t="s">
        <v>1900</v>
      </c>
      <c r="KK78" t="s">
        <v>1900</v>
      </c>
      <c r="KL78" t="s">
        <v>1900</v>
      </c>
      <c r="KM78" t="s">
        <v>1900</v>
      </c>
      <c r="KN78">
        <v>31</v>
      </c>
      <c r="KO78">
        <v>31</v>
      </c>
      <c r="KP78">
        <v>27</v>
      </c>
      <c r="KQ78">
        <v>23</v>
      </c>
      <c r="KR78" t="s">
        <v>1900</v>
      </c>
      <c r="KS78" t="s">
        <v>1900</v>
      </c>
      <c r="KT78" t="s">
        <v>1900</v>
      </c>
      <c r="KU78" t="s">
        <v>1900</v>
      </c>
      <c r="KV78" t="s">
        <v>1900</v>
      </c>
      <c r="KW78" t="s">
        <v>1900</v>
      </c>
      <c r="KX78" t="s">
        <v>1900</v>
      </c>
      <c r="KY78" t="s">
        <v>1900</v>
      </c>
      <c r="KZ78" t="s">
        <v>1900</v>
      </c>
      <c r="LA78" t="s">
        <v>1900</v>
      </c>
      <c r="LB78" t="s">
        <v>1900</v>
      </c>
      <c r="LC78" t="s">
        <v>1900</v>
      </c>
      <c r="LD78" t="s">
        <v>1900</v>
      </c>
      <c r="LE78" t="s">
        <v>1900</v>
      </c>
      <c r="LF78" t="s">
        <v>1900</v>
      </c>
      <c r="LG78" t="s">
        <v>1900</v>
      </c>
      <c r="LH78" t="s">
        <v>1900</v>
      </c>
      <c r="LI78" t="s">
        <v>1900</v>
      </c>
      <c r="LJ78" t="s">
        <v>1900</v>
      </c>
      <c r="LK78" t="s">
        <v>1900</v>
      </c>
      <c r="LL78" t="s">
        <v>1900</v>
      </c>
      <c r="LM78" t="s">
        <v>1900</v>
      </c>
      <c r="LN78" t="s">
        <v>1900</v>
      </c>
      <c r="LO78" t="s">
        <v>1900</v>
      </c>
      <c r="LP78" t="s">
        <v>1900</v>
      </c>
      <c r="LQ78" t="s">
        <v>1900</v>
      </c>
      <c r="LR78" t="s">
        <v>1900</v>
      </c>
      <c r="LS78" t="s">
        <v>1900</v>
      </c>
      <c r="LT78" t="s">
        <v>1900</v>
      </c>
      <c r="LU78" t="s">
        <v>1900</v>
      </c>
      <c r="LV78" t="s">
        <v>1900</v>
      </c>
      <c r="LW78" t="s">
        <v>1900</v>
      </c>
      <c r="LX78" t="s">
        <v>1900</v>
      </c>
      <c r="LY78" t="s">
        <v>1900</v>
      </c>
      <c r="LZ78" t="s">
        <v>1900</v>
      </c>
      <c r="MA78" t="s">
        <v>1900</v>
      </c>
      <c r="MB78" t="s">
        <v>1900</v>
      </c>
      <c r="MC78" t="s">
        <v>1900</v>
      </c>
      <c r="MD78" t="s">
        <v>1900</v>
      </c>
      <c r="ME78" t="s">
        <v>1900</v>
      </c>
      <c r="MF78" t="s">
        <v>1900</v>
      </c>
      <c r="MG78" t="s">
        <v>1900</v>
      </c>
      <c r="MH78" t="s">
        <v>1900</v>
      </c>
      <c r="MI78" t="s">
        <v>1900</v>
      </c>
      <c r="MJ78" t="s">
        <v>1900</v>
      </c>
      <c r="MK78" t="s">
        <v>1900</v>
      </c>
      <c r="ML78" t="s">
        <v>1900</v>
      </c>
      <c r="MM78" t="s">
        <v>1900</v>
      </c>
      <c r="MN78" t="s">
        <v>1900</v>
      </c>
      <c r="MO78" t="s">
        <v>1900</v>
      </c>
      <c r="MP78" t="s">
        <v>1900</v>
      </c>
      <c r="MQ78">
        <v>6568700.5646021</v>
      </c>
      <c r="MR78">
        <v>4786793.315262</v>
      </c>
      <c r="MS78">
        <v>3824285.31707661</v>
      </c>
      <c r="MT78">
        <v>2364345.08708839</v>
      </c>
      <c r="MU78" t="s">
        <v>1900</v>
      </c>
      <c r="MV78" t="s">
        <v>1900</v>
      </c>
      <c r="MW78" t="s">
        <v>1900</v>
      </c>
      <c r="MX78" t="s">
        <v>1900</v>
      </c>
      <c r="MY78" t="s">
        <v>1900</v>
      </c>
      <c r="MZ78" t="s">
        <v>1900</v>
      </c>
      <c r="NA78" t="s">
        <v>1900</v>
      </c>
      <c r="NB78" t="s">
        <v>1900</v>
      </c>
      <c r="NC78" t="s">
        <v>1900</v>
      </c>
      <c r="ND78" t="s">
        <v>1900</v>
      </c>
      <c r="NE78" t="s">
        <v>1900</v>
      </c>
      <c r="NF78" t="s">
        <v>1900</v>
      </c>
      <c r="NG78" t="s">
        <v>1900</v>
      </c>
      <c r="NH78" t="s">
        <v>1900</v>
      </c>
      <c r="NI78" t="s">
        <v>1900</v>
      </c>
      <c r="NJ78" t="s">
        <v>1900</v>
      </c>
      <c r="NK78" t="s">
        <v>1900</v>
      </c>
      <c r="NL78" t="s">
        <v>1900</v>
      </c>
      <c r="NM78" t="s">
        <v>1900</v>
      </c>
      <c r="NN78" t="s">
        <v>1900</v>
      </c>
      <c r="NO78" t="s">
        <v>1900</v>
      </c>
      <c r="NP78" t="s">
        <v>1900</v>
      </c>
      <c r="NQ78" t="s">
        <v>1900</v>
      </c>
      <c r="NR78" t="s">
        <v>1900</v>
      </c>
      <c r="NS78" t="s">
        <v>1900</v>
      </c>
      <c r="NT78" t="s">
        <v>1900</v>
      </c>
      <c r="NU78">
        <v>173591.191055593</v>
      </c>
      <c r="NV78">
        <v>225163.109055442</v>
      </c>
      <c r="NW78">
        <v>305351.840415216</v>
      </c>
      <c r="NX78">
        <v>556271.219055527</v>
      </c>
      <c r="NY78" t="s">
        <v>1900</v>
      </c>
      <c r="NZ78" t="s">
        <v>1900</v>
      </c>
      <c r="OA78" t="s">
        <v>1900</v>
      </c>
      <c r="OB78" t="s">
        <v>1900</v>
      </c>
      <c r="OC78" t="s">
        <v>1900</v>
      </c>
      <c r="OD78" t="s">
        <v>1900</v>
      </c>
      <c r="OE78" t="s">
        <v>1900</v>
      </c>
      <c r="OF78" t="s">
        <v>1900</v>
      </c>
      <c r="OG78" t="s">
        <v>1900</v>
      </c>
      <c r="OH78" t="s">
        <v>1900</v>
      </c>
      <c r="OI78" t="s">
        <v>1900</v>
      </c>
      <c r="OJ78" t="s">
        <v>1900</v>
      </c>
      <c r="OK78" t="s">
        <v>1900</v>
      </c>
      <c r="OL78" t="s">
        <v>1900</v>
      </c>
      <c r="OM78" t="s">
        <v>1900</v>
      </c>
      <c r="ON78" t="s">
        <v>1900</v>
      </c>
      <c r="OO78" t="s">
        <v>1900</v>
      </c>
      <c r="OP78" t="s">
        <v>1900</v>
      </c>
      <c r="OQ78" t="s">
        <v>1900</v>
      </c>
      <c r="OR78" t="s">
        <v>1900</v>
      </c>
      <c r="OS78" t="s">
        <v>1900</v>
      </c>
      <c r="OT78" t="s">
        <v>1900</v>
      </c>
      <c r="OU78" t="s">
        <v>1900</v>
      </c>
      <c r="OV78" t="s">
        <v>1900</v>
      </c>
      <c r="OW78" t="s">
        <v>1900</v>
      </c>
      <c r="OX78" t="s">
        <v>1900</v>
      </c>
      <c r="OY78" t="s">
        <v>1900</v>
      </c>
      <c r="OZ78" t="s">
        <v>1900</v>
      </c>
      <c r="PA78" t="s">
        <v>1900</v>
      </c>
      <c r="PB78" t="s">
        <v>1900</v>
      </c>
      <c r="PC78" t="s">
        <v>1900</v>
      </c>
      <c r="PD78" t="s">
        <v>1900</v>
      </c>
      <c r="PE78" t="s">
        <v>1900</v>
      </c>
      <c r="PF78" t="s">
        <v>1900</v>
      </c>
      <c r="PG78" t="s">
        <v>1900</v>
      </c>
      <c r="PH78" t="s">
        <v>1900</v>
      </c>
      <c r="PI78" t="s">
        <v>1900</v>
      </c>
      <c r="PJ78" t="s">
        <v>1900</v>
      </c>
      <c r="PK78" t="s">
        <v>1900</v>
      </c>
      <c r="PL78" t="s">
        <v>1900</v>
      </c>
      <c r="PM78" t="s">
        <v>1900</v>
      </c>
      <c r="PN78" t="s">
        <v>1900</v>
      </c>
      <c r="PO78" t="s">
        <v>1900</v>
      </c>
      <c r="PP78" t="s">
        <v>1900</v>
      </c>
      <c r="PQ78" t="s">
        <v>1900</v>
      </c>
      <c r="PR78" t="s">
        <v>1900</v>
      </c>
      <c r="PS78" t="s">
        <v>1900</v>
      </c>
      <c r="PT78" t="s">
        <v>1900</v>
      </c>
      <c r="PU78" t="s">
        <v>1900</v>
      </c>
      <c r="PV78" t="s">
        <v>1900</v>
      </c>
      <c r="PW78" t="s">
        <v>1900</v>
      </c>
      <c r="PX78" t="s">
        <v>1900</v>
      </c>
      <c r="PY78" t="s">
        <v>1900</v>
      </c>
      <c r="PZ78" t="s">
        <v>1900</v>
      </c>
      <c r="QA78" t="s">
        <v>1900</v>
      </c>
      <c r="QB78" t="s">
        <v>1900</v>
      </c>
      <c r="QC78" t="s">
        <v>1900</v>
      </c>
      <c r="QD78" t="s">
        <v>1900</v>
      </c>
      <c r="QE78" t="s">
        <v>1900</v>
      </c>
      <c r="QF78" t="s">
        <v>1900</v>
      </c>
      <c r="QG78" t="s">
        <v>1900</v>
      </c>
      <c r="QH78" t="s">
        <v>1900</v>
      </c>
      <c r="QI78" t="s">
        <v>1900</v>
      </c>
      <c r="QJ78" t="s">
        <v>1900</v>
      </c>
      <c r="QK78" t="s">
        <v>1900</v>
      </c>
      <c r="QL78" t="s">
        <v>1900</v>
      </c>
      <c r="QM78" t="s">
        <v>1900</v>
      </c>
      <c r="QN78" t="s">
        <v>1900</v>
      </c>
      <c r="QO78" t="s">
        <v>1900</v>
      </c>
      <c r="QP78" t="s">
        <v>1900</v>
      </c>
      <c r="QQ78" t="s">
        <v>1900</v>
      </c>
      <c r="QR78" t="s">
        <v>1900</v>
      </c>
      <c r="QS78" t="s">
        <v>1900</v>
      </c>
      <c r="QT78" t="s">
        <v>1900</v>
      </c>
      <c r="QU78" t="s">
        <v>1900</v>
      </c>
      <c r="QV78" t="s">
        <v>1900</v>
      </c>
      <c r="QW78" t="s">
        <v>1900</v>
      </c>
      <c r="QX78" t="s">
        <v>1900</v>
      </c>
      <c r="QY78" t="s">
        <v>1900</v>
      </c>
      <c r="QZ78" t="s">
        <v>1900</v>
      </c>
      <c r="RA78" t="s">
        <v>1900</v>
      </c>
      <c r="RB78" t="s">
        <v>1900</v>
      </c>
      <c r="RC78" t="s">
        <v>1900</v>
      </c>
      <c r="RD78" t="s">
        <v>1900</v>
      </c>
      <c r="RE78" t="s">
        <v>1900</v>
      </c>
      <c r="RF78" t="s">
        <v>1900</v>
      </c>
      <c r="RG78" t="s">
        <v>1900</v>
      </c>
      <c r="RH78" t="s">
        <v>1900</v>
      </c>
      <c r="RI78" t="s">
        <v>1900</v>
      </c>
      <c r="RJ78" t="s">
        <v>1900</v>
      </c>
      <c r="RK78" t="s">
        <v>1900</v>
      </c>
      <c r="RL78" t="s">
        <v>1900</v>
      </c>
      <c r="RM78" t="s">
        <v>1900</v>
      </c>
      <c r="RN78" t="s">
        <v>1900</v>
      </c>
      <c r="RO78" t="s">
        <v>1900</v>
      </c>
      <c r="RP78" t="s">
        <v>1900</v>
      </c>
      <c r="RQ78" t="s">
        <v>1900</v>
      </c>
      <c r="RR78" t="s">
        <v>1900</v>
      </c>
      <c r="RS78" t="s">
        <v>1900</v>
      </c>
      <c r="RT78" t="s">
        <v>1900</v>
      </c>
      <c r="RU78" t="s">
        <v>1900</v>
      </c>
      <c r="RV78" t="s">
        <v>1900</v>
      </c>
      <c r="RW78" t="s">
        <v>1900</v>
      </c>
      <c r="RX78" t="s">
        <v>1900</v>
      </c>
      <c r="RY78" t="s">
        <v>1900</v>
      </c>
      <c r="RZ78" t="s">
        <v>1900</v>
      </c>
      <c r="SA78" t="s">
        <v>1900</v>
      </c>
      <c r="SB78" t="s">
        <v>1900</v>
      </c>
      <c r="SC78" t="s">
        <v>1900</v>
      </c>
      <c r="SD78" t="s">
        <v>1900</v>
      </c>
      <c r="SE78" t="s">
        <v>1900</v>
      </c>
      <c r="SF78" t="s">
        <v>1900</v>
      </c>
      <c r="SG78" t="s">
        <v>1900</v>
      </c>
      <c r="SH78" t="s">
        <v>1900</v>
      </c>
      <c r="SI78" t="s">
        <v>1900</v>
      </c>
      <c r="SJ78" t="s">
        <v>1900</v>
      </c>
      <c r="SK78">
        <v>10363.0040507889</v>
      </c>
      <c r="SL78">
        <v>5817.22294296622</v>
      </c>
      <c r="SM78">
        <v>5106.0793141365</v>
      </c>
      <c r="SN78">
        <v>72237.8509673417</v>
      </c>
      <c r="SO78" t="s">
        <v>1900</v>
      </c>
      <c r="SP78" t="s">
        <v>1900</v>
      </c>
      <c r="SQ78" t="s">
        <v>1900</v>
      </c>
      <c r="SR78" t="s">
        <v>1900</v>
      </c>
      <c r="SS78" t="s">
        <v>1900</v>
      </c>
      <c r="ST78" t="s">
        <v>1900</v>
      </c>
      <c r="SU78" t="s">
        <v>1900</v>
      </c>
      <c r="SV78" t="s">
        <v>1900</v>
      </c>
      <c r="SW78" t="s">
        <v>1900</v>
      </c>
      <c r="SX78" t="s">
        <v>1900</v>
      </c>
      <c r="SY78" t="s">
        <v>1900</v>
      </c>
      <c r="SZ78" t="s">
        <v>1900</v>
      </c>
      <c r="TA78" t="s">
        <v>1900</v>
      </c>
      <c r="TB78" t="s">
        <v>1900</v>
      </c>
      <c r="TC78" t="s">
        <v>1900</v>
      </c>
      <c r="TD78" t="s">
        <v>1900</v>
      </c>
      <c r="TE78" t="s">
        <v>1900</v>
      </c>
      <c r="TF78" t="s">
        <v>1900</v>
      </c>
      <c r="TG78" t="s">
        <v>1900</v>
      </c>
      <c r="TH78" t="s">
        <v>1900</v>
      </c>
      <c r="TI78" t="s">
        <v>1900</v>
      </c>
      <c r="TJ78" t="s">
        <v>1900</v>
      </c>
      <c r="TK78" t="s">
        <v>1900</v>
      </c>
      <c r="TL78" t="s">
        <v>1900</v>
      </c>
      <c r="TM78" t="s">
        <v>1900</v>
      </c>
      <c r="TN78" t="s">
        <v>1900</v>
      </c>
      <c r="TO78" t="s">
        <v>1900</v>
      </c>
      <c r="TP78" t="s">
        <v>1900</v>
      </c>
      <c r="TQ78" t="s">
        <v>1900</v>
      </c>
      <c r="TR78" t="s">
        <v>1900</v>
      </c>
      <c r="TS78" t="s">
        <v>1900</v>
      </c>
      <c r="TT78">
        <v>6792443.29711509</v>
      </c>
      <c r="TU78">
        <v>5130918.86228669</v>
      </c>
      <c r="TV78">
        <v>4194621.59516501</v>
      </c>
      <c r="TW78">
        <v>2968042.46696762</v>
      </c>
      <c r="TX78" t="s">
        <v>1900</v>
      </c>
      <c r="TY78" t="s">
        <v>1900</v>
      </c>
      <c r="TZ78" t="s">
        <v>1900</v>
      </c>
      <c r="UA78" t="s">
        <v>1900</v>
      </c>
      <c r="UB78" t="s">
        <v>1900</v>
      </c>
      <c r="UC78" t="s">
        <v>1900</v>
      </c>
      <c r="UD78">
        <v>12991.7339305305</v>
      </c>
      <c r="UE78">
        <v>12292.5911001623</v>
      </c>
      <c r="UF78">
        <v>7841.13916661739</v>
      </c>
      <c r="UG78">
        <v>13553.8394149125</v>
      </c>
      <c r="UH78" t="s">
        <v>1900</v>
      </c>
      <c r="UI78" t="s">
        <v>1900</v>
      </c>
      <c r="UJ78" t="s">
        <v>1900</v>
      </c>
      <c r="UK78" t="s">
        <v>1900</v>
      </c>
      <c r="UL78" t="s">
        <v>1900</v>
      </c>
      <c r="UM78" t="s">
        <v>1900</v>
      </c>
      <c r="UN78" t="s">
        <v>1900</v>
      </c>
      <c r="UO78" t="s">
        <v>1900</v>
      </c>
      <c r="UP78" t="s">
        <v>1900</v>
      </c>
      <c r="UQ78" t="s">
        <v>1900</v>
      </c>
      <c r="UR78" t="s">
        <v>1900</v>
      </c>
      <c r="US78" t="s">
        <v>1900</v>
      </c>
      <c r="UT78" t="s">
        <v>1900</v>
      </c>
      <c r="UU78" t="s">
        <v>1900</v>
      </c>
      <c r="UV78" t="s">
        <v>1900</v>
      </c>
      <c r="UW78" t="s">
        <v>1900</v>
      </c>
      <c r="UX78" t="s">
        <v>1900</v>
      </c>
      <c r="UY78" t="s">
        <v>1900</v>
      </c>
      <c r="UZ78" t="s">
        <v>1900</v>
      </c>
      <c r="VA78" t="s">
        <v>1900</v>
      </c>
      <c r="VB78" t="s">
        <v>1900</v>
      </c>
      <c r="VC78" t="s">
        <v>1900</v>
      </c>
      <c r="VD78" t="s">
        <v>1900</v>
      </c>
      <c r="VE78" t="s">
        <v>1900</v>
      </c>
      <c r="VF78" t="s">
        <v>1900</v>
      </c>
      <c r="VG78" t="s">
        <v>1900</v>
      </c>
      <c r="VH78" t="s">
        <v>1900</v>
      </c>
      <c r="VI78" t="s">
        <v>1900</v>
      </c>
      <c r="VJ78" t="s">
        <v>1900</v>
      </c>
      <c r="VK78" t="s">
        <v>1900</v>
      </c>
      <c r="VL78" t="s">
        <v>1900</v>
      </c>
      <c r="VM78" t="s">
        <v>1900</v>
      </c>
      <c r="VN78" t="s">
        <v>1900</v>
      </c>
      <c r="VO78" t="s">
        <v>1900</v>
      </c>
      <c r="VP78" t="s">
        <v>1900</v>
      </c>
      <c r="VQ78" t="s">
        <v>1900</v>
      </c>
      <c r="VR78" t="s">
        <v>1900</v>
      </c>
      <c r="VS78" t="s">
        <v>1900</v>
      </c>
      <c r="VT78" t="s">
        <v>1900</v>
      </c>
      <c r="VU78" t="s">
        <v>1900</v>
      </c>
      <c r="VV78" t="s">
        <v>1900</v>
      </c>
      <c r="VW78" t="s">
        <v>1900</v>
      </c>
      <c r="VX78" t="s">
        <v>1900</v>
      </c>
      <c r="VY78" t="s">
        <v>1900</v>
      </c>
      <c r="VZ78" t="s">
        <v>1900</v>
      </c>
      <c r="WA78" t="s">
        <v>1900</v>
      </c>
      <c r="WB78">
        <v>3634864.8983827</v>
      </c>
      <c r="WC78">
        <v>3136247.10747626</v>
      </c>
      <c r="WD78">
        <v>3209712.10729573</v>
      </c>
      <c r="WE78">
        <v>2135467.64119182</v>
      </c>
      <c r="WF78" t="s">
        <v>1900</v>
      </c>
      <c r="WG78" t="s">
        <v>1900</v>
      </c>
      <c r="WH78" t="s">
        <v>1900</v>
      </c>
      <c r="WI78" t="s">
        <v>1900</v>
      </c>
      <c r="WJ78" t="s">
        <v>1900</v>
      </c>
      <c r="WK78" t="s">
        <v>1900</v>
      </c>
      <c r="WL78" t="s">
        <v>1900</v>
      </c>
      <c r="WM78" t="s">
        <v>1900</v>
      </c>
      <c r="WN78" t="s">
        <v>1900</v>
      </c>
      <c r="WO78" t="s">
        <v>1900</v>
      </c>
      <c r="WP78" t="s">
        <v>1900</v>
      </c>
      <c r="WQ78" t="s">
        <v>1900</v>
      </c>
      <c r="WR78" t="s">
        <v>1900</v>
      </c>
      <c r="WS78" t="s">
        <v>1900</v>
      </c>
      <c r="WT78" t="s">
        <v>1900</v>
      </c>
      <c r="WU78" t="s">
        <v>1900</v>
      </c>
      <c r="WV78" t="s">
        <v>1900</v>
      </c>
      <c r="WW78" t="s">
        <v>1900</v>
      </c>
      <c r="WX78" t="s">
        <v>1900</v>
      </c>
      <c r="WY78" t="s">
        <v>1900</v>
      </c>
      <c r="WZ78" t="s">
        <v>1900</v>
      </c>
      <c r="XA78" t="s">
        <v>1900</v>
      </c>
      <c r="XB78" t="s">
        <v>1900</v>
      </c>
      <c r="XC78" t="s">
        <v>1900</v>
      </c>
      <c r="XD78" t="s">
        <v>1900</v>
      </c>
      <c r="XE78" t="s">
        <v>1900</v>
      </c>
      <c r="XF78" t="s">
        <v>1900</v>
      </c>
      <c r="XG78" t="s">
        <v>1900</v>
      </c>
      <c r="XH78" t="s">
        <v>1900</v>
      </c>
      <c r="XI78" t="s">
        <v>1900</v>
      </c>
      <c r="XJ78" t="s">
        <v>1900</v>
      </c>
      <c r="XK78" t="s">
        <v>1900</v>
      </c>
      <c r="XL78" t="s">
        <v>1900</v>
      </c>
      <c r="XM78" t="s">
        <v>1900</v>
      </c>
      <c r="XN78">
        <v>0</v>
      </c>
      <c r="XO78" t="s">
        <v>1900</v>
      </c>
      <c r="XP78" t="s">
        <v>1900</v>
      </c>
      <c r="XQ78" t="s">
        <v>1900</v>
      </c>
      <c r="XR78" t="s">
        <v>1900</v>
      </c>
      <c r="XS78" t="s">
        <v>1900</v>
      </c>
      <c r="XT78" t="s">
        <v>1900</v>
      </c>
      <c r="XU78" t="s">
        <v>1900</v>
      </c>
      <c r="XV78" t="s">
        <v>1900</v>
      </c>
      <c r="XW78" t="s">
        <v>1900</v>
      </c>
      <c r="XX78" t="s">
        <v>1900</v>
      </c>
      <c r="XY78" t="s">
        <v>1900</v>
      </c>
      <c r="XZ78" t="s">
        <v>1900</v>
      </c>
      <c r="YA78" t="s">
        <v>1900</v>
      </c>
      <c r="YB78" t="s">
        <v>1900</v>
      </c>
      <c r="YC78">
        <v>0</v>
      </c>
      <c r="YD78" t="s">
        <v>1900</v>
      </c>
      <c r="YE78" t="s">
        <v>1900</v>
      </c>
      <c r="YF78" t="s">
        <v>1900</v>
      </c>
      <c r="YG78" t="s">
        <v>1900</v>
      </c>
      <c r="YH78" t="s">
        <v>1900</v>
      </c>
      <c r="YI78" t="s">
        <v>1900</v>
      </c>
      <c r="YJ78" t="s">
        <v>1900</v>
      </c>
      <c r="YK78" t="s">
        <v>1900</v>
      </c>
      <c r="YL78" t="s">
        <v>1900</v>
      </c>
      <c r="YM78" t="s">
        <v>1900</v>
      </c>
      <c r="YN78" t="s">
        <v>1900</v>
      </c>
      <c r="YO78" t="s">
        <v>1900</v>
      </c>
      <c r="YP78" t="s">
        <v>1900</v>
      </c>
      <c r="YQ78" t="s">
        <v>1900</v>
      </c>
      <c r="YR78" t="s">
        <v>1900</v>
      </c>
      <c r="YS78" t="s">
        <v>1900</v>
      </c>
      <c r="YT78" t="s">
        <v>1900</v>
      </c>
      <c r="YU78" t="s">
        <v>1900</v>
      </c>
      <c r="YV78" t="s">
        <v>1900</v>
      </c>
      <c r="YW78" t="s">
        <v>1900</v>
      </c>
      <c r="YX78" t="s">
        <v>1900</v>
      </c>
      <c r="YY78" t="s">
        <v>1900</v>
      </c>
      <c r="YZ78" t="s">
        <v>1900</v>
      </c>
      <c r="ZA78" t="s">
        <v>1900</v>
      </c>
      <c r="ZB78" t="s">
        <v>1900</v>
      </c>
      <c r="ZC78" t="s">
        <v>1900</v>
      </c>
      <c r="ZD78" t="s">
        <v>1900</v>
      </c>
      <c r="ZE78" t="s">
        <v>1900</v>
      </c>
      <c r="ZF78" t="s">
        <v>1900</v>
      </c>
      <c r="ZG78" t="s">
        <v>1900</v>
      </c>
      <c r="ZH78" t="s">
        <v>1900</v>
      </c>
      <c r="ZI78" t="s">
        <v>1900</v>
      </c>
      <c r="ZJ78" t="s">
        <v>1900</v>
      </c>
      <c r="ZK78" t="s">
        <v>1900</v>
      </c>
      <c r="ZL78" t="s">
        <v>1900</v>
      </c>
      <c r="ZM78" t="s">
        <v>1900</v>
      </c>
      <c r="ZN78" t="s">
        <v>1900</v>
      </c>
      <c r="ZO78" t="s">
        <v>1900</v>
      </c>
      <c r="ZP78" t="s">
        <v>1900</v>
      </c>
      <c r="ZQ78" t="s">
        <v>1900</v>
      </c>
      <c r="ZR78" t="s">
        <v>1900</v>
      </c>
      <c r="ZS78" t="s">
        <v>1900</v>
      </c>
      <c r="ZT78" t="s">
        <v>1900</v>
      </c>
      <c r="ZU78" t="s">
        <v>1900</v>
      </c>
      <c r="ZV78" t="s">
        <v>1900</v>
      </c>
      <c r="ZW78" t="s">
        <v>1900</v>
      </c>
      <c r="ZX78" t="s">
        <v>1900</v>
      </c>
      <c r="ZY78" t="s">
        <v>1900</v>
      </c>
      <c r="ZZ78" t="s">
        <v>1900</v>
      </c>
      <c r="AAA78" t="s">
        <v>1900</v>
      </c>
      <c r="AAB78" t="s">
        <v>1900</v>
      </c>
      <c r="AAC78" t="s">
        <v>1900</v>
      </c>
      <c r="AAD78" t="s">
        <v>1900</v>
      </c>
      <c r="AAE78" t="s">
        <v>1900</v>
      </c>
      <c r="AAF78" t="s">
        <v>1900</v>
      </c>
      <c r="AAG78" t="s">
        <v>1900</v>
      </c>
      <c r="AAH78" t="s">
        <v>1900</v>
      </c>
      <c r="AAI78" t="s">
        <v>1900</v>
      </c>
      <c r="AAJ78" t="s">
        <v>1900</v>
      </c>
      <c r="AAK78" t="s">
        <v>1900</v>
      </c>
      <c r="AAL78" t="s">
        <v>1900</v>
      </c>
      <c r="AAM78" t="s">
        <v>1900</v>
      </c>
      <c r="AAN78" t="s">
        <v>1900</v>
      </c>
      <c r="AAO78" t="s">
        <v>1900</v>
      </c>
      <c r="AAP78" t="s">
        <v>1900</v>
      </c>
      <c r="AAQ78" t="s">
        <v>1900</v>
      </c>
      <c r="AAR78" t="s">
        <v>1900</v>
      </c>
      <c r="AAS78" t="s">
        <v>1900</v>
      </c>
      <c r="AAT78" t="s">
        <v>1900</v>
      </c>
      <c r="AAU78" t="s">
        <v>1900</v>
      </c>
      <c r="AAV78" t="s">
        <v>1900</v>
      </c>
      <c r="AAW78" t="s">
        <v>1900</v>
      </c>
      <c r="AAX78" t="s">
        <v>1900</v>
      </c>
      <c r="AAY78" t="s">
        <v>1900</v>
      </c>
      <c r="AAZ78" t="s">
        <v>1900</v>
      </c>
      <c r="ABA78" t="s">
        <v>1900</v>
      </c>
      <c r="ABB78" t="s">
        <v>1900</v>
      </c>
      <c r="ABC78" t="s">
        <v>1900</v>
      </c>
      <c r="ABD78" t="s">
        <v>1900</v>
      </c>
      <c r="ABE78" t="s">
        <v>1900</v>
      </c>
      <c r="ABF78" t="s">
        <v>1900</v>
      </c>
      <c r="ABG78" t="s">
        <v>1900</v>
      </c>
      <c r="ABH78" t="s">
        <v>1900</v>
      </c>
      <c r="ABI78" t="s">
        <v>1900</v>
      </c>
      <c r="ABJ78" t="s">
        <v>1900</v>
      </c>
      <c r="ABK78" t="s">
        <v>1900</v>
      </c>
      <c r="ABL78" t="s">
        <v>1900</v>
      </c>
      <c r="ABM78" t="s">
        <v>1900</v>
      </c>
      <c r="ABN78" t="s">
        <v>1900</v>
      </c>
      <c r="ABO78" t="s">
        <v>1900</v>
      </c>
      <c r="ABP78" t="s">
        <v>1900</v>
      </c>
      <c r="ABQ78" t="s">
        <v>1900</v>
      </c>
      <c r="ABR78" t="s">
        <v>1900</v>
      </c>
      <c r="ABS78" t="s">
        <v>1900</v>
      </c>
      <c r="ABT78" t="s">
        <v>1900</v>
      </c>
      <c r="ABU78" t="s">
        <v>1900</v>
      </c>
      <c r="ABV78" t="s">
        <v>1900</v>
      </c>
      <c r="ABW78" t="s">
        <v>1900</v>
      </c>
      <c r="ABX78" t="s">
        <v>1900</v>
      </c>
      <c r="ABY78" t="s">
        <v>1900</v>
      </c>
      <c r="ABZ78" t="s">
        <v>1900</v>
      </c>
      <c r="ACA78" t="s">
        <v>1900</v>
      </c>
      <c r="ACB78" t="s">
        <v>1900</v>
      </c>
      <c r="ACC78" t="s">
        <v>1900</v>
      </c>
      <c r="ACD78" t="s">
        <v>1900</v>
      </c>
      <c r="ACE78" t="s">
        <v>1900</v>
      </c>
      <c r="ACF78">
        <v>95.95999999999999</v>
      </c>
      <c r="ACG78">
        <v>107.869</v>
      </c>
      <c r="ACH78">
        <v>139.166</v>
      </c>
      <c r="ACI78">
        <v>114.029</v>
      </c>
      <c r="ACJ78" t="s">
        <v>1900</v>
      </c>
      <c r="ACK78" t="s">
        <v>1900</v>
      </c>
      <c r="ACL78">
        <v>108.136</v>
      </c>
      <c r="ACM78" t="s">
        <v>1900</v>
      </c>
      <c r="ACN78">
        <v>111.582</v>
      </c>
      <c r="ACO78" t="s">
        <v>1900</v>
      </c>
      <c r="ACP78">
        <v>44.114</v>
      </c>
      <c r="ACQ78">
        <v>40.642</v>
      </c>
      <c r="ACR78">
        <v>32.416</v>
      </c>
      <c r="ACS78">
        <v>30.75</v>
      </c>
      <c r="ACT78" t="s">
        <v>1900</v>
      </c>
      <c r="ACU78">
        <v>71.249</v>
      </c>
      <c r="ACV78">
        <v>89.413</v>
      </c>
      <c r="ACW78">
        <v>104.374</v>
      </c>
      <c r="ACX78">
        <v>85.52500000000001</v>
      </c>
      <c r="ACY78" t="s">
        <v>1900</v>
      </c>
      <c r="ACZ78" t="s">
        <v>1900</v>
      </c>
      <c r="ADA78">
        <v>89.68000000000001</v>
      </c>
      <c r="ADB78" t="s">
        <v>1900</v>
      </c>
      <c r="ADC78">
        <v>83.726</v>
      </c>
      <c r="ADD78" t="s">
        <v>1900</v>
      </c>
      <c r="ADE78">
        <v>32.754</v>
      </c>
      <c r="ADF78">
        <v>33.688</v>
      </c>
      <c r="ADG78">
        <v>24.312</v>
      </c>
      <c r="ADH78">
        <v>23.064</v>
      </c>
      <c r="ADI78" t="s">
        <v>1900</v>
      </c>
      <c r="ADJ78">
        <v>40.532</v>
      </c>
      <c r="ADK78">
        <v>34.259</v>
      </c>
      <c r="ADL78">
        <v>25.343</v>
      </c>
      <c r="ADM78">
        <v>21.404</v>
      </c>
      <c r="ADN78" t="s">
        <v>1900</v>
      </c>
      <c r="ADO78">
        <v>91.321</v>
      </c>
      <c r="ADP78">
        <v>90.89</v>
      </c>
      <c r="ADQ78">
        <v>91.389</v>
      </c>
      <c r="ADR78">
        <v>90.673</v>
      </c>
      <c r="ADS78" t="s">
        <v>1900</v>
      </c>
      <c r="ADT78">
        <v>42.647593434</v>
      </c>
      <c r="ADU78">
        <v>36.512138481</v>
      </c>
      <c r="ADV78">
        <v>26.227569841</v>
      </c>
      <c r="ADW78">
        <v>24.179093344</v>
      </c>
      <c r="ADX78" t="s">
        <v>1900</v>
      </c>
      <c r="ADY78">
        <v>44.455</v>
      </c>
      <c r="ADZ78">
        <v>38.764</v>
      </c>
      <c r="AEA78">
        <v>29.888</v>
      </c>
      <c r="AEB78">
        <v>30.34</v>
      </c>
      <c r="AEC78" t="s">
        <v>1900</v>
      </c>
      <c r="AED78">
        <v>42.648</v>
      </c>
      <c r="AEE78">
        <v>36.512</v>
      </c>
      <c r="AEF78">
        <v>26.228</v>
      </c>
      <c r="AEG78">
        <v>24.179</v>
      </c>
      <c r="AEH78" t="s">
        <v>1900</v>
      </c>
      <c r="AEI78">
        <v>31.902</v>
      </c>
      <c r="AEJ78">
        <v>30.65</v>
      </c>
      <c r="AEK78">
        <v>22.668</v>
      </c>
      <c r="AEL78">
        <v>22.215</v>
      </c>
      <c r="AEM78" t="s">
        <v>1900</v>
      </c>
      <c r="AEN78">
        <v>74.360599647</v>
      </c>
      <c r="AEO78">
        <v>57.51042421</v>
      </c>
      <c r="AEP78">
        <v>35.55199386</v>
      </c>
      <c r="AEQ78">
        <v>31.889744413</v>
      </c>
      <c r="AER78" t="s">
        <v>1900</v>
      </c>
      <c r="AES78">
        <v>1.876199935</v>
      </c>
      <c r="AET78">
        <v>1.671451397</v>
      </c>
      <c r="AEU78">
        <v>1.402498921</v>
      </c>
      <c r="AEV78">
        <v>1.36362817</v>
      </c>
      <c r="AEW78" t="s">
        <v>1900</v>
      </c>
      <c r="AEX78" t="s">
        <v>1900</v>
      </c>
      <c r="AEY78" t="s">
        <v>1900</v>
      </c>
      <c r="AEZ78" t="s">
        <v>1900</v>
      </c>
      <c r="AFA78" t="s">
        <v>1900</v>
      </c>
      <c r="AFB78" t="s">
        <v>1900</v>
      </c>
      <c r="AFC78" t="s">
        <v>1900</v>
      </c>
      <c r="AFD78" t="s">
        <v>1900</v>
      </c>
      <c r="AFE78" t="s">
        <v>1900</v>
      </c>
      <c r="AFF78" t="s">
        <v>1900</v>
      </c>
      <c r="AFG78" t="s">
        <v>1900</v>
      </c>
      <c r="AFH78">
        <v>2.367</v>
      </c>
      <c r="AFI78">
        <v>3.149</v>
      </c>
      <c r="AFJ78">
        <v>5.491</v>
      </c>
      <c r="AFK78">
        <v>5.206</v>
      </c>
      <c r="AFL78" t="s">
        <v>1900</v>
      </c>
      <c r="AFM78" t="s">
        <v>1900</v>
      </c>
      <c r="AFN78">
        <v>431.327</v>
      </c>
      <c r="AFO78" t="s">
        <v>1900</v>
      </c>
      <c r="AFP78">
        <v>861.694</v>
      </c>
      <c r="AFQ78" t="s">
        <v>1900</v>
      </c>
      <c r="AFR78">
        <v>393.429</v>
      </c>
      <c r="AFS78">
        <v>357.075</v>
      </c>
      <c r="AFT78">
        <v>323.032</v>
      </c>
      <c r="AFU78" t="s">
        <v>1901</v>
      </c>
      <c r="AFV78" t="s">
        <v>1900</v>
      </c>
      <c r="AFW78">
        <v>1.527</v>
      </c>
      <c r="AFX78">
        <v>6.028</v>
      </c>
      <c r="AFY78">
        <v>3.246</v>
      </c>
      <c r="AFZ78">
        <v>3.92</v>
      </c>
      <c r="AGA78" t="s">
        <v>1900</v>
      </c>
      <c r="AGB78">
        <v>1.072</v>
      </c>
      <c r="AGC78">
        <v>2.911</v>
      </c>
      <c r="AGD78">
        <v>0</v>
      </c>
      <c r="AGE78" t="s">
        <v>1900</v>
      </c>
      <c r="AGF78" t="s">
        <v>1900</v>
      </c>
      <c r="AGG78" t="s">
        <v>1900</v>
      </c>
      <c r="AGH78" t="s">
        <v>1900</v>
      </c>
      <c r="AGI78" t="s">
        <v>1900</v>
      </c>
      <c r="AGJ78" t="s">
        <v>1900</v>
      </c>
      <c r="AGK78" t="s">
        <v>1900</v>
      </c>
      <c r="AGL78" t="s">
        <v>1900</v>
      </c>
      <c r="AGM78" t="s">
        <v>1900</v>
      </c>
      <c r="AGN78" t="s">
        <v>1900</v>
      </c>
      <c r="AGO78" t="s">
        <v>1900</v>
      </c>
      <c r="AGP78" t="s">
        <v>1900</v>
      </c>
      <c r="AGQ78" t="s">
        <v>1900</v>
      </c>
      <c r="AGR78" t="s">
        <v>1900</v>
      </c>
      <c r="AGS78" t="s">
        <v>1900</v>
      </c>
      <c r="AGT78" t="s">
        <v>1900</v>
      </c>
      <c r="AGU78">
        <v>0</v>
      </c>
      <c r="AGV78">
        <v>0</v>
      </c>
      <c r="AGW78">
        <v>0</v>
      </c>
      <c r="AGX78">
        <v>0</v>
      </c>
      <c r="AGY78">
        <v>0</v>
      </c>
      <c r="AGZ78" t="s">
        <v>1900</v>
      </c>
      <c r="AHA78">
        <v>1.804</v>
      </c>
      <c r="AHB78">
        <v>1.534</v>
      </c>
      <c r="AHC78">
        <v>1.209</v>
      </c>
      <c r="AHD78">
        <v>1.122</v>
      </c>
      <c r="AHE78" t="s">
        <v>1900</v>
      </c>
      <c r="AHF78">
        <v>1.798</v>
      </c>
      <c r="AHG78">
        <v>1.529</v>
      </c>
      <c r="AHH78">
        <v>1.204</v>
      </c>
      <c r="AHI78">
        <v>1.122</v>
      </c>
      <c r="AHJ78" t="s">
        <v>1900</v>
      </c>
      <c r="AHK78" t="s">
        <v>1901</v>
      </c>
      <c r="AHL78" t="s">
        <v>1901</v>
      </c>
      <c r="AHM78" t="s">
        <v>1901</v>
      </c>
      <c r="AHN78">
        <v>42.97</v>
      </c>
      <c r="AHO78" t="s">
        <v>1900</v>
      </c>
      <c r="AHP78">
        <v>45.971</v>
      </c>
      <c r="AHQ78">
        <v>37.677</v>
      </c>
      <c r="AHR78">
        <v>23.293</v>
      </c>
      <c r="AHS78">
        <v>26.967</v>
      </c>
      <c r="AHT78" t="s">
        <v>1900</v>
      </c>
      <c r="AHU78">
        <v>85.086</v>
      </c>
      <c r="AHV78">
        <v>60.454</v>
      </c>
      <c r="AHW78">
        <v>30.367</v>
      </c>
      <c r="AHX78">
        <v>36.925</v>
      </c>
      <c r="AHY78" t="s">
        <v>1900</v>
      </c>
      <c r="AHZ78">
        <v>0.416</v>
      </c>
      <c r="AIA78">
        <v>0.636</v>
      </c>
      <c r="AIB78">
        <v>0.803</v>
      </c>
      <c r="AIC78">
        <v>4.021</v>
      </c>
      <c r="AID78" t="s">
        <v>1900</v>
      </c>
      <c r="AIE78">
        <v>0.152566663</v>
      </c>
      <c r="AIF78">
        <v>0.113375851</v>
      </c>
      <c r="AIG78">
        <v>0.1217292</v>
      </c>
      <c r="AIH78">
        <v>2.433855033</v>
      </c>
      <c r="AII78" t="s">
        <v>1900</v>
      </c>
      <c r="AIJ78">
        <v>96.706005148</v>
      </c>
      <c r="AIK78">
        <v>93.29310097699999</v>
      </c>
      <c r="AIL78">
        <v>91.171163604</v>
      </c>
      <c r="AIM78">
        <v>79.660082812</v>
      </c>
      <c r="AIN78" t="s">
        <v>1900</v>
      </c>
      <c r="AIO78">
        <v>53.513363887</v>
      </c>
      <c r="AIP78">
        <v>61.124472861</v>
      </c>
      <c r="AIQ78">
        <v>76.519705878</v>
      </c>
      <c r="AIR78">
        <v>71.948688907</v>
      </c>
      <c r="AIS78" t="s">
        <v>1900</v>
      </c>
      <c r="AIT78">
        <v>2.92861365</v>
      </c>
      <c r="AIU78">
        <v>3.074156444</v>
      </c>
      <c r="AIV78">
        <v>3.595182248</v>
      </c>
      <c r="AIW78">
        <v>0.248911667</v>
      </c>
      <c r="AIX78" t="s">
        <v>1900</v>
      </c>
      <c r="AIY78">
        <v>96.65817579400159</v>
      </c>
      <c r="AIZ78">
        <v>67.2672459249824</v>
      </c>
      <c r="AJA78">
        <v>50.3608540795541</v>
      </c>
      <c r="AJB78">
        <v>39.6817432633054</v>
      </c>
      <c r="AJC78" t="s">
        <v>1900</v>
      </c>
      <c r="AJD78">
        <v>238.470858697791</v>
      </c>
      <c r="AJE78">
        <v>196.347300515721</v>
      </c>
      <c r="AJF78">
        <v>198.717476163411</v>
      </c>
      <c r="AJG78">
        <v>185.392450698206</v>
      </c>
      <c r="AJH78" t="s">
        <v>1900</v>
      </c>
      <c r="AJI78">
        <v>36.392</v>
      </c>
      <c r="AJJ78">
        <v>41.253</v>
      </c>
      <c r="AJK78">
        <v>48.319</v>
      </c>
      <c r="AJL78">
        <v>46.025</v>
      </c>
      <c r="AJM78" t="s">
        <v>1900</v>
      </c>
      <c r="AJN78">
        <v>86.78360185241409</v>
      </c>
      <c r="AJO78">
        <v>80.9992802303171</v>
      </c>
      <c r="AJP78">
        <v>96.01839623811</v>
      </c>
      <c r="AJQ78">
        <v>85.3267056447208</v>
      </c>
      <c r="AJR78" t="s">
        <v>1900</v>
      </c>
      <c r="AJS78">
        <v>100.727895935442</v>
      </c>
      <c r="AJT78">
        <v>62.3599635372376</v>
      </c>
      <c r="AJU78">
        <v>36.1877169542027</v>
      </c>
      <c r="AJV78">
        <v>34.7997471070093</v>
      </c>
      <c r="AJW78" t="s">
        <v>1900</v>
      </c>
      <c r="AJX78">
        <v>0.907408727233887</v>
      </c>
      <c r="AJY78">
        <v>2.2497473691982</v>
      </c>
      <c r="AJZ78">
        <v>2.40683115077734</v>
      </c>
      <c r="AKA78">
        <v>2.0620066188699</v>
      </c>
      <c r="AKB78" t="s">
        <v>1900</v>
      </c>
      <c r="AKC78">
        <v>219.111074314358</v>
      </c>
      <c r="AKD78">
        <v>165.513511342603</v>
      </c>
      <c r="AKE78">
        <v>155.35635587986</v>
      </c>
      <c r="AKF78">
        <v>129.045324597414</v>
      </c>
      <c r="AKG78" t="s">
        <v>1900</v>
      </c>
      <c r="AKH78">
        <v>2.92861365</v>
      </c>
      <c r="AKI78">
        <v>3.074156444</v>
      </c>
      <c r="AKJ78">
        <v>3.595182248</v>
      </c>
      <c r="AKK78">
        <v>0.248911667</v>
      </c>
      <c r="AKL78" t="s">
        <v>1900</v>
      </c>
      <c r="AKM78">
        <v>0.25417579</v>
      </c>
      <c r="AKN78">
        <v>0.280053482</v>
      </c>
      <c r="AKO78">
        <v>0.309566447</v>
      </c>
      <c r="AKP78">
        <v>0.023215746</v>
      </c>
      <c r="AKQ78" t="s">
        <v>1900</v>
      </c>
      <c r="AKR78">
        <v>0.276633754</v>
      </c>
      <c r="AKS78">
        <v>0.332225114</v>
      </c>
      <c r="AKT78">
        <v>0.395968756</v>
      </c>
      <c r="AKU78">
        <v>0.033352809</v>
      </c>
      <c r="AKV78" t="s">
        <v>1900</v>
      </c>
      <c r="AKW78">
        <v>1.575183964</v>
      </c>
      <c r="AKX78">
        <v>2.379280717</v>
      </c>
      <c r="AKY78">
        <v>4.104013548</v>
      </c>
      <c r="AKZ78">
        <v>9.167359568</v>
      </c>
      <c r="ALA78" t="s">
        <v>1900</v>
      </c>
      <c r="ALB78">
        <v>1.714360966</v>
      </c>
      <c r="ALC78">
        <v>2.822520901</v>
      </c>
      <c r="ALD78">
        <v>5.249474414</v>
      </c>
      <c r="ALE78">
        <v>13.170250559</v>
      </c>
      <c r="ALF78" t="s">
        <v>1900</v>
      </c>
      <c r="ALG78">
        <v>0.63281135</v>
      </c>
      <c r="ALH78">
        <v>1.224371447</v>
      </c>
      <c r="ALI78">
        <v>1.491978115</v>
      </c>
      <c r="ALJ78">
        <v>2.184197056</v>
      </c>
      <c r="ALK78" t="s">
        <v>1900</v>
      </c>
      <c r="ALL78">
        <v>0.6887240489999999</v>
      </c>
      <c r="ALM78">
        <v>1.452461651</v>
      </c>
      <c r="ALN78">
        <v>1.908400362</v>
      </c>
      <c r="ALO78">
        <v>3.137917989</v>
      </c>
      <c r="ALP78" t="s">
        <v>1900</v>
      </c>
      <c r="ALQ78">
        <v>0.424226455</v>
      </c>
      <c r="ALR78">
        <v>1.674390499</v>
      </c>
      <c r="ALS78">
        <v>0.90161592</v>
      </c>
      <c r="ALT78">
        <v>1.089023173</v>
      </c>
      <c r="ALU78" t="s">
        <v>1900</v>
      </c>
      <c r="ALV78">
        <v>70.21982784399999</v>
      </c>
      <c r="ALW78">
        <v>48.294837738</v>
      </c>
      <c r="ALX78">
        <v>0</v>
      </c>
      <c r="ALY78" t="s">
        <v>1900</v>
      </c>
      <c r="ALZ78" t="s">
        <v>1900</v>
      </c>
      <c r="AMA78">
        <v>91.32095180524389</v>
      </c>
      <c r="AMB78">
        <v>90.890070580388</v>
      </c>
      <c r="AMC78">
        <v>91.3894087911051</v>
      </c>
      <c r="AMD78">
        <v>90.67309833663749</v>
      </c>
      <c r="AME78" t="s">
        <v>1900</v>
      </c>
      <c r="AMF78">
        <v>92.7015414167783</v>
      </c>
      <c r="AMG78">
        <v>92.54937114538779</v>
      </c>
      <c r="AMH78">
        <v>92.6688550873231</v>
      </c>
      <c r="AMI78">
        <v>91.4410742501378</v>
      </c>
      <c r="AMJ78" t="s">
        <v>1900</v>
      </c>
      <c r="AMK78">
        <v>1052.20007719763</v>
      </c>
      <c r="AML78">
        <v>997.703345370805</v>
      </c>
      <c r="AMM78">
        <v>1061.36044057808</v>
      </c>
      <c r="AMN78">
        <v>972.167413028325</v>
      </c>
      <c r="AMO78" t="s">
        <v>1900</v>
      </c>
      <c r="AMP78">
        <v>1.87619993429374</v>
      </c>
      <c r="AMQ78">
        <v>1.67145139767148</v>
      </c>
      <c r="AMR78">
        <v>1.40249892058485</v>
      </c>
      <c r="AMS78">
        <v>1.3636281698965</v>
      </c>
      <c r="AMT78" t="s">
        <v>1900</v>
      </c>
      <c r="AMU78">
        <v>1.87619993460084</v>
      </c>
      <c r="AMV78">
        <v>1.67145139734923</v>
      </c>
      <c r="AMW78">
        <v>1.40249892058485</v>
      </c>
      <c r="AMX78">
        <v>1.3636281698965</v>
      </c>
      <c r="AMY78" t="s">
        <v>1900</v>
      </c>
      <c r="AMZ78">
        <v>1.87619993486991</v>
      </c>
      <c r="ANA78">
        <v>1.67145139713286</v>
      </c>
      <c r="ANB78">
        <v>1.40249892058485</v>
      </c>
      <c r="ANC78">
        <v>1.36362816973912</v>
      </c>
      <c r="AND78" t="s">
        <v>1900</v>
      </c>
      <c r="ANE78">
        <v>42.6475934344178</v>
      </c>
      <c r="ANF78">
        <v>36.5121384811972</v>
      </c>
      <c r="ANG78">
        <v>26.2275698408154</v>
      </c>
      <c r="ANH78">
        <v>24.1790933444117</v>
      </c>
      <c r="ANI78" t="s">
        <v>1900</v>
      </c>
      <c r="ANJ78">
        <v>43.2923395007758</v>
      </c>
      <c r="ANK78">
        <v>37.1787086755466</v>
      </c>
      <c r="ANL78">
        <v>26.5947542611494</v>
      </c>
      <c r="ANM78">
        <v>24.3838835373071</v>
      </c>
      <c r="ANN78" t="s">
        <v>1900</v>
      </c>
      <c r="ANO78">
        <v>74.36059964746291</v>
      </c>
      <c r="ANP78">
        <v>57.5104242098053</v>
      </c>
      <c r="ANQ78">
        <v>35.5519938603379</v>
      </c>
      <c r="ANR78">
        <v>31.889744413429</v>
      </c>
      <c r="ANS78" t="s">
        <v>1900</v>
      </c>
      <c r="ANT78">
        <v>100.967146438787</v>
      </c>
      <c r="ANU78">
        <v>114.962539668667</v>
      </c>
      <c r="ANV78">
        <v>144.023358218272</v>
      </c>
      <c r="ANW78">
        <v>125.882356554606</v>
      </c>
      <c r="ANX78" t="s">
        <v>1900</v>
      </c>
      <c r="ANY78">
        <v>91.32095180524389</v>
      </c>
      <c r="ANZ78">
        <v>90.890070580388</v>
      </c>
      <c r="AOA78">
        <v>91.3894087911051</v>
      </c>
      <c r="AOB78">
        <v>90.6730983654154</v>
      </c>
      <c r="AOC78" t="s">
        <v>1900</v>
      </c>
      <c r="AOD78">
        <v>159.227759171394</v>
      </c>
      <c r="AOE78">
        <v>143.161335735761</v>
      </c>
      <c r="AOF78">
        <v>123.880165793518</v>
      </c>
      <c r="AOG78">
        <v>119.588517647928</v>
      </c>
      <c r="AOH78" t="s">
        <v>1900</v>
      </c>
      <c r="AOI78">
        <v>99.3897086056424</v>
      </c>
      <c r="AOJ78" t="s">
        <v>1901</v>
      </c>
      <c r="AOK78" t="s">
        <v>1901</v>
      </c>
      <c r="AOL78" t="s">
        <v>1901</v>
      </c>
      <c r="AOM78" t="s">
        <v>1900</v>
      </c>
      <c r="AON78">
        <v>491.385604474294</v>
      </c>
      <c r="AOO78">
        <v>400.794965574523</v>
      </c>
      <c r="AOP78">
        <v>304.596620656218</v>
      </c>
      <c r="AOQ78">
        <v>259.240359679087</v>
      </c>
      <c r="AOR78" t="s">
        <v>1900</v>
      </c>
      <c r="AOS78">
        <v>87.61999346008371</v>
      </c>
      <c r="AOT78">
        <v>67.14513973492301</v>
      </c>
      <c r="AOU78">
        <v>40.2498920584849</v>
      </c>
      <c r="AOV78">
        <v>36.3628169896498</v>
      </c>
      <c r="AOW78" t="s">
        <v>1900</v>
      </c>
      <c r="AOX78">
        <v>46.4157654994491</v>
      </c>
      <c r="AOY78">
        <v>43.3140458219716</v>
      </c>
      <c r="AOZ78">
        <v>33.5478806839557</v>
      </c>
      <c r="APA78">
        <v>34.736798015445</v>
      </c>
      <c r="APB78" t="s">
        <v>1900</v>
      </c>
      <c r="APC78">
        <v>30.0950609867916</v>
      </c>
      <c r="APD78">
        <v>28.3975894360702</v>
      </c>
      <c r="APE78">
        <v>19.0072064695557</v>
      </c>
      <c r="APF78">
        <v>16.0538109068366</v>
      </c>
      <c r="APG78" t="s">
        <v>1900</v>
      </c>
      <c r="APH78">
        <v>30.5500379415376</v>
      </c>
      <c r="API78">
        <v>28.9160194020171</v>
      </c>
      <c r="APJ78">
        <v>19.2733062314494</v>
      </c>
      <c r="APK78">
        <v>16.1897822183117</v>
      </c>
      <c r="APL78" t="s">
        <v>1900</v>
      </c>
      <c r="APM78">
        <v>346.755315922487</v>
      </c>
      <c r="APN78">
        <v>311.721289244409</v>
      </c>
      <c r="APO78">
        <v>220.742176796417</v>
      </c>
      <c r="APP78">
        <v>172.123729141823</v>
      </c>
      <c r="APQ78" t="s">
        <v>1900</v>
      </c>
      <c r="APR78">
        <v>61.8306646282044</v>
      </c>
      <c r="APS78">
        <v>52.2226358174512</v>
      </c>
      <c r="APT78">
        <v>29.1692296837353</v>
      </c>
      <c r="APU78">
        <v>24.143245558323</v>
      </c>
      <c r="APV78" t="s">
        <v>1900</v>
      </c>
      <c r="APW78">
        <v>52.4739288008395</v>
      </c>
      <c r="APX78">
        <v>44.729163586113</v>
      </c>
      <c r="APY78">
        <v>25.7646473466338</v>
      </c>
      <c r="APZ78">
        <v>21.173330173642</v>
      </c>
      <c r="AQA78" t="s">
        <v>1900</v>
      </c>
      <c r="AQB78">
        <v>32.7541411123849</v>
      </c>
      <c r="AQC78">
        <v>33.687823864409</v>
      </c>
      <c r="AQD78">
        <v>24.3122599099384</v>
      </c>
      <c r="AQE78">
        <v>23.0636434090204</v>
      </c>
      <c r="AQF78" t="s">
        <v>1900</v>
      </c>
      <c r="AQG78">
        <v>0.876199934869915</v>
      </c>
      <c r="AQH78">
        <v>0.671451397132855</v>
      </c>
      <c r="AQI78">
        <v>0.402498920584849</v>
      </c>
      <c r="AQJ78">
        <v>0.363628169739124</v>
      </c>
      <c r="AQK78">
        <v>6</v>
      </c>
      <c r="AQO78" t="s">
        <v>1903</v>
      </c>
      <c r="AQP78">
        <v>9</v>
      </c>
      <c r="AQQ78">
        <v>0</v>
      </c>
      <c r="AQS78" t="s">
        <v>1905</v>
      </c>
      <c r="AQU78" t="s">
        <v>1906</v>
      </c>
      <c r="AQV78" t="s">
        <v>1900</v>
      </c>
      <c r="AQW78">
        <v>7392596.62405153</v>
      </c>
      <c r="AQX78">
        <v>6086766.31812054</v>
      </c>
      <c r="AQY78" t="s">
        <v>1900</v>
      </c>
      <c r="AQZ78">
        <v>3152764.55247199</v>
      </c>
      <c r="ARA78">
        <v>2222408.54709904</v>
      </c>
      <c r="ARB78">
        <v>13479362.94217207</v>
      </c>
      <c r="ARC78">
        <v>5375173.099571031</v>
      </c>
      <c r="ARD78">
        <v>0.6632585371230482</v>
      </c>
      <c r="ARE78">
        <v>0.6632585371230482</v>
      </c>
      <c r="ARF78">
        <v>0.6632585371230482</v>
      </c>
      <c r="ARG78">
        <v>0.6632585371230482</v>
      </c>
      <c r="ARH78">
        <v>0.6632585371230482</v>
      </c>
      <c r="ARI78">
        <v>0.6632585371230482</v>
      </c>
      <c r="ARJ78" t="s">
        <v>1239</v>
      </c>
      <c r="ARK78" t="s">
        <v>1577</v>
      </c>
      <c r="ARL78" t="s">
        <v>1908</v>
      </c>
      <c r="ARM78" t="s">
        <v>1908</v>
      </c>
      <c r="ARN78" t="s">
        <v>1909</v>
      </c>
      <c r="ARO78" t="s">
        <v>1908</v>
      </c>
      <c r="ARP78" t="s">
        <v>1907</v>
      </c>
      <c r="ARQ78" t="s">
        <v>1972</v>
      </c>
      <c r="ARR78">
        <f>HYPERLINK("C:\Users\Usuario\Documents\Proyectos\llmthon\evidence\mailtrack_io_235131.png", "Ver Evidencia")</f>
        <v>0</v>
      </c>
      <c r="ARS78">
        <v>95</v>
      </c>
    </row>
    <row r="79" spans="1:1163">
      <c r="A79">
        <v>597</v>
      </c>
      <c r="B79" t="s">
        <v>1240</v>
      </c>
      <c r="C79" t="s">
        <v>1363</v>
      </c>
      <c r="D79" t="s">
        <v>1421</v>
      </c>
      <c r="E79" s="2">
        <v>39722</v>
      </c>
      <c r="F79" t="s">
        <v>1431</v>
      </c>
      <c r="G79" t="s">
        <v>1433</v>
      </c>
      <c r="H79" t="s">
        <v>1434</v>
      </c>
      <c r="I79" t="s">
        <v>1442</v>
      </c>
      <c r="J79" t="s">
        <v>1483</v>
      </c>
      <c r="L79" t="s">
        <v>1578</v>
      </c>
      <c r="N79" t="s">
        <v>1627</v>
      </c>
      <c r="O79" t="s">
        <v>1651</v>
      </c>
      <c r="P79">
        <v>6910</v>
      </c>
      <c r="Q79">
        <v>6910</v>
      </c>
      <c r="R79" t="s">
        <v>1748</v>
      </c>
      <c r="Z79" t="s">
        <v>1899</v>
      </c>
      <c r="AA79" s="2">
        <v>45657</v>
      </c>
      <c r="AB79">
        <v>2024</v>
      </c>
      <c r="AC79">
        <v>1105743.79078322</v>
      </c>
      <c r="AD79">
        <v>969755.341464281</v>
      </c>
      <c r="AE79">
        <v>902804.52467522</v>
      </c>
      <c r="AF79">
        <v>1040036.39539647</v>
      </c>
      <c r="AG79">
        <v>965120.5934683681</v>
      </c>
      <c r="AH79">
        <v>1097017.03463965</v>
      </c>
      <c r="AI79">
        <v>960467.812296152</v>
      </c>
      <c r="AJ79">
        <v>902788.6643408299</v>
      </c>
      <c r="AK79">
        <v>1035787.377387</v>
      </c>
      <c r="AL79">
        <v>964234.860923046</v>
      </c>
      <c r="AM79">
        <v>710.565729994774</v>
      </c>
      <c r="AN79">
        <v>200.855940141678</v>
      </c>
      <c r="AO79" t="s">
        <v>1900</v>
      </c>
      <c r="AP79" t="s">
        <v>1900</v>
      </c>
      <c r="AQ79" t="s">
        <v>1900</v>
      </c>
      <c r="AR79">
        <v>1105033.22505323</v>
      </c>
      <c r="AS79">
        <v>969554.485524139</v>
      </c>
      <c r="AT79">
        <v>902804.52467522</v>
      </c>
      <c r="AU79">
        <v>1040036.39539647</v>
      </c>
      <c r="AV79">
        <v>965120.5934683681</v>
      </c>
      <c r="AW79">
        <v>1126712.28564896</v>
      </c>
      <c r="AX79">
        <v>949741.915032501</v>
      </c>
      <c r="AY79">
        <v>754467.638151479</v>
      </c>
      <c r="AZ79">
        <v>895823.428913283</v>
      </c>
      <c r="BA79">
        <v>841583.414532572</v>
      </c>
      <c r="BB79">
        <v>-21679.0595568335</v>
      </c>
      <c r="BC79">
        <v>19812.5704916382</v>
      </c>
      <c r="BD79">
        <v>148336.886523741</v>
      </c>
      <c r="BE79">
        <v>144212.966483188</v>
      </c>
      <c r="BF79">
        <v>123537.178935796</v>
      </c>
      <c r="BG79">
        <v>3324.47853088379</v>
      </c>
      <c r="BH79">
        <v>-398.164828691483</v>
      </c>
      <c r="BI79">
        <v>2950.37417444587</v>
      </c>
      <c r="BJ79">
        <v>-662.548527860641</v>
      </c>
      <c r="BK79">
        <v>-658.191522228718</v>
      </c>
      <c r="BL79">
        <v>3324.47853088379</v>
      </c>
      <c r="BM79" t="s">
        <v>1900</v>
      </c>
      <c r="BN79">
        <v>3413.11836242676</v>
      </c>
      <c r="BO79" t="s">
        <v>1900</v>
      </c>
      <c r="BP79" t="s">
        <v>1900</v>
      </c>
      <c r="BQ79" t="s">
        <v>1900</v>
      </c>
      <c r="BR79">
        <v>398.164828691483</v>
      </c>
      <c r="BS79">
        <v>462.74418798089</v>
      </c>
      <c r="BT79">
        <v>662.548527860641</v>
      </c>
      <c r="BU79">
        <v>658.191522228718</v>
      </c>
      <c r="BV79">
        <v>-18354.5810259497</v>
      </c>
      <c r="BW79">
        <v>19414.4056629467</v>
      </c>
      <c r="BX79">
        <v>151287.260698187</v>
      </c>
      <c r="BY79">
        <v>143550.417955327</v>
      </c>
      <c r="BZ79">
        <v>122878.987413567</v>
      </c>
      <c r="CA79" t="s">
        <v>1900</v>
      </c>
      <c r="CB79">
        <v>4455.98079978943</v>
      </c>
      <c r="CC79">
        <v>18805.1942454934</v>
      </c>
      <c r="CD79">
        <v>32554.2287034273</v>
      </c>
      <c r="CE79">
        <v>29002.602380985</v>
      </c>
      <c r="CF79">
        <v>-18354.5810259497</v>
      </c>
      <c r="CG79">
        <v>14958.4248631573</v>
      </c>
      <c r="CH79">
        <v>132482.066452694</v>
      </c>
      <c r="CI79">
        <v>110996.1892519</v>
      </c>
      <c r="CJ79">
        <v>93876.3850325823</v>
      </c>
      <c r="CK79" t="s">
        <v>1900</v>
      </c>
      <c r="CL79" t="s">
        <v>1900</v>
      </c>
      <c r="CM79" t="s">
        <v>1900</v>
      </c>
      <c r="CN79" t="s">
        <v>1900</v>
      </c>
      <c r="CO79" t="s">
        <v>1900</v>
      </c>
      <c r="CP79" t="s">
        <v>1900</v>
      </c>
      <c r="CQ79" t="s">
        <v>1900</v>
      </c>
      <c r="CR79" t="s">
        <v>1900</v>
      </c>
      <c r="CS79" t="s">
        <v>1900</v>
      </c>
      <c r="CT79" t="s">
        <v>1900</v>
      </c>
      <c r="CU79" t="s">
        <v>1900</v>
      </c>
      <c r="CV79" t="s">
        <v>1900</v>
      </c>
      <c r="CW79" t="s">
        <v>1900</v>
      </c>
      <c r="CX79" t="s">
        <v>1900</v>
      </c>
      <c r="CY79" t="s">
        <v>1900</v>
      </c>
      <c r="CZ79">
        <v>-18354.5810259497</v>
      </c>
      <c r="DA79">
        <v>14958.4248631573</v>
      </c>
      <c r="DB79">
        <v>132482.066452694</v>
      </c>
      <c r="DC79">
        <v>110996.1892519</v>
      </c>
      <c r="DD79">
        <v>93876.3850325823</v>
      </c>
      <c r="DE79" t="s">
        <v>1900</v>
      </c>
      <c r="DF79" t="s">
        <v>1900</v>
      </c>
      <c r="DG79" t="s">
        <v>1900</v>
      </c>
      <c r="DH79" t="s">
        <v>1900</v>
      </c>
      <c r="DI79" t="s">
        <v>1900</v>
      </c>
      <c r="DJ79">
        <v>710.565729994774</v>
      </c>
      <c r="DK79">
        <v>200.855940141678</v>
      </c>
      <c r="DL79" t="s">
        <v>1900</v>
      </c>
      <c r="DM79" t="s">
        <v>1900</v>
      </c>
      <c r="DN79" t="s">
        <v>1900</v>
      </c>
      <c r="DO79">
        <v>229757.059182341</v>
      </c>
      <c r="DP79">
        <v>240833.178482971</v>
      </c>
      <c r="DQ79">
        <v>206299.817135823</v>
      </c>
      <c r="DR79">
        <v>271357.181966758</v>
      </c>
      <c r="DS79">
        <v>258648.567070705</v>
      </c>
      <c r="DT79">
        <v>1876.24218187213</v>
      </c>
      <c r="DU79">
        <v>1792.62020450592</v>
      </c>
      <c r="DV79" t="s">
        <v>1900</v>
      </c>
      <c r="DW79">
        <v>2241.22346642017</v>
      </c>
      <c r="DX79">
        <v>2652.85370444655</v>
      </c>
      <c r="DY79">
        <v>895078.984284749</v>
      </c>
      <c r="DZ79">
        <v>707116.116345024</v>
      </c>
      <c r="EA79">
        <v>548167.821015656</v>
      </c>
      <c r="EB79">
        <v>622225.023480105</v>
      </c>
      <c r="EC79">
        <v>580281.993757421</v>
      </c>
      <c r="ED79" t="s">
        <v>1900</v>
      </c>
      <c r="EE79">
        <v>398.164828691483</v>
      </c>
      <c r="EF79">
        <v>462.74418798089</v>
      </c>
      <c r="EG79">
        <v>648.957324171066</v>
      </c>
      <c r="EH79">
        <v>658.191522228718</v>
      </c>
      <c r="EI79" t="s">
        <v>1900</v>
      </c>
      <c r="EJ79" t="s">
        <v>1900</v>
      </c>
      <c r="EK79" t="s">
        <v>1900</v>
      </c>
      <c r="EL79" t="s">
        <v>1900</v>
      </c>
      <c r="EM79" t="s">
        <v>1900</v>
      </c>
      <c r="EN79">
        <v>-16478.3388440776</v>
      </c>
      <c r="EO79">
        <v>16751.0450676632</v>
      </c>
      <c r="EP79" t="s">
        <v>1900</v>
      </c>
      <c r="EQ79">
        <v>113237.41271832</v>
      </c>
      <c r="ER79">
        <v>96529.23873702881</v>
      </c>
      <c r="ES79">
        <v>213278.719299364</v>
      </c>
      <c r="ET79">
        <v>262438.369179115</v>
      </c>
      <c r="EU79">
        <v>358049.822021991</v>
      </c>
      <c r="EV79">
        <v>417797.780712676</v>
      </c>
      <c r="EW79">
        <v>384838.599710947</v>
      </c>
      <c r="EX79">
        <v>-19802.8173749614</v>
      </c>
      <c r="EY79">
        <v>21605.1895911436</v>
      </c>
      <c r="EZ79">
        <v>148336.886523741</v>
      </c>
      <c r="FA79">
        <v>146454.189949608</v>
      </c>
      <c r="FB79">
        <v>126190.032640243</v>
      </c>
      <c r="FC79">
        <v>35687.6536893129</v>
      </c>
      <c r="FD79">
        <v>18464.9892368603</v>
      </c>
      <c r="FE79">
        <v>28213.9989772618</v>
      </c>
      <c r="FF79">
        <v>8213.94588382244</v>
      </c>
      <c r="FG79">
        <v>8097.29696013331</v>
      </c>
      <c r="FH79">
        <v>0</v>
      </c>
      <c r="FI79">
        <v>0</v>
      </c>
      <c r="FJ79">
        <v>0</v>
      </c>
      <c r="FK79">
        <v>0</v>
      </c>
      <c r="FL79">
        <v>0</v>
      </c>
      <c r="FM79">
        <v>5694.26032865644</v>
      </c>
      <c r="FN79">
        <v>7779.24769123077</v>
      </c>
      <c r="FO79">
        <v>7735.28880270123</v>
      </c>
      <c r="FP79">
        <v>8213.94588382244</v>
      </c>
      <c r="FQ79">
        <v>8097.29696013331</v>
      </c>
      <c r="FR79">
        <v>29993.3933606565</v>
      </c>
      <c r="FS79">
        <v>10685.7415456295</v>
      </c>
      <c r="FT79">
        <v>20478.7101745605</v>
      </c>
      <c r="FU79">
        <v>0</v>
      </c>
      <c r="FV79">
        <v>0</v>
      </c>
      <c r="FW79">
        <v>0</v>
      </c>
      <c r="FX79">
        <v>0</v>
      </c>
      <c r="FY79">
        <v>0</v>
      </c>
      <c r="FZ79">
        <v>0</v>
      </c>
      <c r="GA79">
        <v>0</v>
      </c>
      <c r="GB79">
        <v>5694.26032865644</v>
      </c>
      <c r="GC79">
        <v>7779.24769123077</v>
      </c>
      <c r="GD79">
        <v>7735.28880270123</v>
      </c>
      <c r="GE79">
        <v>8213.94588382244</v>
      </c>
      <c r="GF79">
        <v>8097.29696013331</v>
      </c>
      <c r="GG79">
        <v>29993.3933606565</v>
      </c>
      <c r="GH79">
        <v>10685.7415456295</v>
      </c>
      <c r="GI79">
        <v>20478.7101745605</v>
      </c>
      <c r="GJ79">
        <v>0</v>
      </c>
      <c r="GK79">
        <v>0</v>
      </c>
      <c r="GL79">
        <v>740116.00153425</v>
      </c>
      <c r="GM79">
        <v>666659.230438471</v>
      </c>
      <c r="GN79">
        <v>515967.23579511</v>
      </c>
      <c r="GO79">
        <v>618691.616322899</v>
      </c>
      <c r="GP79">
        <v>594533.856337821</v>
      </c>
      <c r="GQ79">
        <v>0</v>
      </c>
      <c r="GR79">
        <v>0</v>
      </c>
      <c r="GS79">
        <v>0</v>
      </c>
      <c r="GT79">
        <v>0</v>
      </c>
      <c r="GU79">
        <v>0</v>
      </c>
      <c r="GV79">
        <v>259895.306305985</v>
      </c>
      <c r="GW79">
        <v>239405.131092081</v>
      </c>
      <c r="GX79">
        <v>157392.038863188</v>
      </c>
      <c r="GY79">
        <v>101182.309521747</v>
      </c>
      <c r="GZ79">
        <v>125757.001568466</v>
      </c>
      <c r="HA79">
        <v>480220.695228264</v>
      </c>
      <c r="HB79">
        <v>427254.09934639</v>
      </c>
      <c r="HC79">
        <v>358575.196931922</v>
      </c>
      <c r="HD79">
        <v>517509.306801152</v>
      </c>
      <c r="HE79">
        <v>468776.854769355</v>
      </c>
      <c r="HF79">
        <v>409525.378766145</v>
      </c>
      <c r="HG79">
        <v>319436.537909193</v>
      </c>
      <c r="HH79">
        <v>358575.196931922</v>
      </c>
      <c r="HI79">
        <v>517509.306801152</v>
      </c>
      <c r="HJ79">
        <v>468776.854769355</v>
      </c>
      <c r="HK79">
        <v>775803.655223563</v>
      </c>
      <c r="HL79">
        <v>685124.219675331</v>
      </c>
      <c r="HM79">
        <v>544181.2347723719</v>
      </c>
      <c r="HN79">
        <v>626905.562206721</v>
      </c>
      <c r="HO79">
        <v>602631.1532979551</v>
      </c>
      <c r="HP79">
        <v>437481.116123259</v>
      </c>
      <c r="HQ79">
        <v>484838.669739637</v>
      </c>
      <c r="HR79">
        <v>470355.292605174</v>
      </c>
      <c r="HS79">
        <v>359089.862837362</v>
      </c>
      <c r="HT79">
        <v>268793.475547826</v>
      </c>
      <c r="HU79">
        <v>7812.5245475769</v>
      </c>
      <c r="HV79">
        <v>8309.603729248051</v>
      </c>
      <c r="HW79">
        <v>8020.82815170288</v>
      </c>
      <c r="HX79">
        <v>8517.154312133791</v>
      </c>
      <c r="HY79">
        <v>9227.786731719971</v>
      </c>
      <c r="HZ79">
        <v>429668.591575682</v>
      </c>
      <c r="IA79">
        <v>476529.066010389</v>
      </c>
      <c r="IB79">
        <v>462334.464453471</v>
      </c>
      <c r="IC79">
        <v>350572.708525228</v>
      </c>
      <c r="ID79">
        <v>259565.688816106</v>
      </c>
      <c r="IE79">
        <v>0</v>
      </c>
      <c r="IF79">
        <v>0</v>
      </c>
      <c r="IG79">
        <v>0</v>
      </c>
      <c r="IH79">
        <v>0</v>
      </c>
      <c r="II79">
        <v>195698.139861035</v>
      </c>
      <c r="IJ79" t="s">
        <v>1900</v>
      </c>
      <c r="IK79" t="s">
        <v>1900</v>
      </c>
      <c r="IL79" t="s">
        <v>1900</v>
      </c>
      <c r="IM79" t="s">
        <v>1900</v>
      </c>
      <c r="IN79">
        <v>0</v>
      </c>
      <c r="IO79" t="s">
        <v>1900</v>
      </c>
      <c r="IP79" t="s">
        <v>1900</v>
      </c>
      <c r="IQ79" t="s">
        <v>1900</v>
      </c>
      <c r="IR79" t="s">
        <v>1900</v>
      </c>
      <c r="IS79">
        <v>195698.139861035</v>
      </c>
      <c r="IT79" t="s">
        <v>1900</v>
      </c>
      <c r="IU79" t="s">
        <v>1900</v>
      </c>
      <c r="IV79" t="s">
        <v>1900</v>
      </c>
      <c r="IW79" t="s">
        <v>1900</v>
      </c>
      <c r="IX79">
        <v>195698.139861035</v>
      </c>
      <c r="IY79">
        <v>338322.539100304</v>
      </c>
      <c r="IZ79">
        <v>200285.549935694</v>
      </c>
      <c r="JA79">
        <v>73825.94216719869</v>
      </c>
      <c r="JB79">
        <v>267815.699369359</v>
      </c>
      <c r="JC79">
        <v>138139.537889093</v>
      </c>
      <c r="JD79">
        <v>0</v>
      </c>
      <c r="JE79">
        <v>0</v>
      </c>
      <c r="JF79">
        <v>0</v>
      </c>
      <c r="JG79">
        <v>0</v>
      </c>
      <c r="JH79">
        <v>0</v>
      </c>
      <c r="JI79">
        <v>0</v>
      </c>
      <c r="JJ79">
        <v>7027.8031539917</v>
      </c>
      <c r="JK79">
        <v>9129.41966181397</v>
      </c>
      <c r="JL79">
        <v>0</v>
      </c>
      <c r="JM79">
        <v>668.1555685400961</v>
      </c>
      <c r="JN79">
        <v>338322.539100304</v>
      </c>
      <c r="JO79">
        <v>193257.746781702</v>
      </c>
      <c r="JP79">
        <v>64696.5225053847</v>
      </c>
      <c r="JQ79">
        <v>267815.699369359</v>
      </c>
      <c r="JR79">
        <v>137471.381093454</v>
      </c>
      <c r="JS79">
        <v>775803.655223563</v>
      </c>
      <c r="JT79">
        <v>685124.219675331</v>
      </c>
      <c r="JU79">
        <v>544181.2347723719</v>
      </c>
      <c r="JV79">
        <v>626905.562206721</v>
      </c>
      <c r="JW79">
        <v>602631.1532979551</v>
      </c>
      <c r="JX79">
        <v>259895.306305985</v>
      </c>
      <c r="JY79">
        <v>232377.327938089</v>
      </c>
      <c r="JZ79">
        <v>148262.619201374</v>
      </c>
      <c r="KA79">
        <v>101182.309521747</v>
      </c>
      <c r="KB79">
        <v>125088.845999926</v>
      </c>
      <c r="KC79" t="s">
        <v>1900</v>
      </c>
      <c r="KD79" t="s">
        <v>1900</v>
      </c>
      <c r="KE79" t="s">
        <v>1900</v>
      </c>
      <c r="KF79" t="s">
        <v>1900</v>
      </c>
      <c r="KG79" t="s">
        <v>1900</v>
      </c>
      <c r="KH79" t="s">
        <v>1900</v>
      </c>
      <c r="KI79" t="s">
        <v>1900</v>
      </c>
      <c r="KJ79" t="s">
        <v>1900</v>
      </c>
      <c r="KK79" t="s">
        <v>1900</v>
      </c>
      <c r="KL79" t="s">
        <v>1900</v>
      </c>
      <c r="KM79">
        <v>5</v>
      </c>
      <c r="KN79">
        <v>6</v>
      </c>
      <c r="KO79">
        <v>5</v>
      </c>
      <c r="KP79">
        <v>5</v>
      </c>
      <c r="KQ79">
        <v>6</v>
      </c>
      <c r="KR79" t="s">
        <v>1900</v>
      </c>
      <c r="KS79" t="s">
        <v>1900</v>
      </c>
      <c r="KT79" t="s">
        <v>1900</v>
      </c>
      <c r="KU79" t="s">
        <v>1900</v>
      </c>
      <c r="KV79" t="s">
        <v>1900</v>
      </c>
      <c r="KW79" t="s">
        <v>1900</v>
      </c>
      <c r="KX79" t="s">
        <v>1900</v>
      </c>
      <c r="KY79" t="s">
        <v>1900</v>
      </c>
      <c r="KZ79" t="s">
        <v>1900</v>
      </c>
      <c r="LA79" t="s">
        <v>1900</v>
      </c>
      <c r="LB79" t="s">
        <v>1900</v>
      </c>
      <c r="LC79" t="s">
        <v>1900</v>
      </c>
      <c r="LD79" t="s">
        <v>1900</v>
      </c>
      <c r="LE79" t="s">
        <v>1900</v>
      </c>
      <c r="LF79" t="s">
        <v>1900</v>
      </c>
      <c r="LG79" t="s">
        <v>1900</v>
      </c>
      <c r="LH79" t="s">
        <v>1900</v>
      </c>
      <c r="LI79" t="s">
        <v>1900</v>
      </c>
      <c r="LJ79" t="s">
        <v>1900</v>
      </c>
      <c r="LK79" t="s">
        <v>1900</v>
      </c>
      <c r="LL79" t="s">
        <v>1900</v>
      </c>
      <c r="LM79" t="s">
        <v>1900</v>
      </c>
      <c r="LN79" t="s">
        <v>1900</v>
      </c>
      <c r="LO79" t="s">
        <v>1900</v>
      </c>
      <c r="LP79" t="s">
        <v>1900</v>
      </c>
      <c r="LQ79" t="s">
        <v>1900</v>
      </c>
      <c r="LR79" t="s">
        <v>1900</v>
      </c>
      <c r="LS79" t="s">
        <v>1900</v>
      </c>
      <c r="LT79" t="s">
        <v>1900</v>
      </c>
      <c r="LU79" t="s">
        <v>1900</v>
      </c>
      <c r="LV79" t="s">
        <v>1900</v>
      </c>
      <c r="LW79" t="s">
        <v>1900</v>
      </c>
      <c r="LX79" t="s">
        <v>1900</v>
      </c>
      <c r="LY79" t="s">
        <v>1900</v>
      </c>
      <c r="LZ79" t="s">
        <v>1900</v>
      </c>
      <c r="MA79" t="s">
        <v>1900</v>
      </c>
      <c r="MB79" t="s">
        <v>1900</v>
      </c>
      <c r="MC79" t="s">
        <v>1900</v>
      </c>
      <c r="MD79" t="s">
        <v>1900</v>
      </c>
      <c r="ME79" t="s">
        <v>1900</v>
      </c>
      <c r="MF79" t="s">
        <v>1900</v>
      </c>
      <c r="MG79" t="s">
        <v>1900</v>
      </c>
      <c r="MH79" t="s">
        <v>1900</v>
      </c>
      <c r="MI79" t="s">
        <v>1900</v>
      </c>
      <c r="MJ79" t="s">
        <v>1900</v>
      </c>
      <c r="MK79" t="s">
        <v>1900</v>
      </c>
      <c r="ML79" t="s">
        <v>1900</v>
      </c>
      <c r="MM79" t="s">
        <v>1900</v>
      </c>
      <c r="MN79" t="s">
        <v>1900</v>
      </c>
      <c r="MO79" t="s">
        <v>1900</v>
      </c>
      <c r="MP79">
        <v>480220.695228264</v>
      </c>
      <c r="MQ79">
        <v>427254.09934639</v>
      </c>
      <c r="MR79">
        <v>358575.196931922</v>
      </c>
      <c r="MS79">
        <v>517509.306801152</v>
      </c>
      <c r="MT79">
        <v>468776.854769355</v>
      </c>
      <c r="MU79" t="s">
        <v>1900</v>
      </c>
      <c r="MV79" t="s">
        <v>1900</v>
      </c>
      <c r="MW79" t="s">
        <v>1900</v>
      </c>
      <c r="MX79" t="s">
        <v>1900</v>
      </c>
      <c r="MY79" t="s">
        <v>1900</v>
      </c>
      <c r="MZ79" t="s">
        <v>1900</v>
      </c>
      <c r="NA79" t="s">
        <v>1900</v>
      </c>
      <c r="NB79" t="s">
        <v>1900</v>
      </c>
      <c r="NC79" t="s">
        <v>1900</v>
      </c>
      <c r="ND79" t="s">
        <v>1900</v>
      </c>
      <c r="NE79" t="s">
        <v>1900</v>
      </c>
      <c r="NF79" t="s">
        <v>1900</v>
      </c>
      <c r="NG79" t="s">
        <v>1900</v>
      </c>
      <c r="NH79" t="s">
        <v>1900</v>
      </c>
      <c r="NI79" t="s">
        <v>1900</v>
      </c>
      <c r="NJ79" t="s">
        <v>1900</v>
      </c>
      <c r="NK79" t="s">
        <v>1900</v>
      </c>
      <c r="NL79" t="s">
        <v>1900</v>
      </c>
      <c r="NM79" t="s">
        <v>1900</v>
      </c>
      <c r="NN79" t="s">
        <v>1900</v>
      </c>
      <c r="NO79" t="s">
        <v>1900</v>
      </c>
      <c r="NP79" t="s">
        <v>1900</v>
      </c>
      <c r="NQ79" t="s">
        <v>1900</v>
      </c>
      <c r="NR79" t="s">
        <v>1900</v>
      </c>
      <c r="NS79" t="s">
        <v>1900</v>
      </c>
      <c r="NT79">
        <v>35687.6536893129</v>
      </c>
      <c r="NU79">
        <v>18464.9892368603</v>
      </c>
      <c r="NV79">
        <v>28213.9989772618</v>
      </c>
      <c r="NW79">
        <v>8213.94588382244</v>
      </c>
      <c r="NX79">
        <v>8097.29696013331</v>
      </c>
      <c r="NY79" t="s">
        <v>1900</v>
      </c>
      <c r="NZ79" t="s">
        <v>1900</v>
      </c>
      <c r="OA79" t="s">
        <v>1900</v>
      </c>
      <c r="OB79" t="s">
        <v>1900</v>
      </c>
      <c r="OC79" t="s">
        <v>1900</v>
      </c>
      <c r="OD79" t="s">
        <v>1900</v>
      </c>
      <c r="OE79" t="s">
        <v>1900</v>
      </c>
      <c r="OF79" t="s">
        <v>1900</v>
      </c>
      <c r="OG79" t="s">
        <v>1900</v>
      </c>
      <c r="OH79" t="s">
        <v>1900</v>
      </c>
      <c r="OI79" t="s">
        <v>1900</v>
      </c>
      <c r="OJ79" t="s">
        <v>1900</v>
      </c>
      <c r="OK79" t="s">
        <v>1900</v>
      </c>
      <c r="OL79" t="s">
        <v>1900</v>
      </c>
      <c r="OM79" t="s">
        <v>1900</v>
      </c>
      <c r="ON79" t="s">
        <v>1900</v>
      </c>
      <c r="OO79" t="s">
        <v>1900</v>
      </c>
      <c r="OP79" t="s">
        <v>1900</v>
      </c>
      <c r="OQ79" t="s">
        <v>1900</v>
      </c>
      <c r="OR79" t="s">
        <v>1900</v>
      </c>
      <c r="OS79" t="s">
        <v>1900</v>
      </c>
      <c r="OT79" t="s">
        <v>1900</v>
      </c>
      <c r="OU79" t="s">
        <v>1900</v>
      </c>
      <c r="OV79" t="s">
        <v>1900</v>
      </c>
      <c r="OW79" t="s">
        <v>1900</v>
      </c>
      <c r="OX79" t="s">
        <v>1900</v>
      </c>
      <c r="OY79" t="s">
        <v>1900</v>
      </c>
      <c r="OZ79" t="s">
        <v>1900</v>
      </c>
      <c r="PA79" t="s">
        <v>1900</v>
      </c>
      <c r="PB79" t="s">
        <v>1900</v>
      </c>
      <c r="PC79" t="s">
        <v>1900</v>
      </c>
      <c r="PD79" t="s">
        <v>1900</v>
      </c>
      <c r="PE79" t="s">
        <v>1900</v>
      </c>
      <c r="PF79" t="s">
        <v>1900</v>
      </c>
      <c r="PG79" t="s">
        <v>1900</v>
      </c>
      <c r="PH79" t="s">
        <v>1900</v>
      </c>
      <c r="PI79" t="s">
        <v>1900</v>
      </c>
      <c r="PJ79" t="s">
        <v>1900</v>
      </c>
      <c r="PK79" t="s">
        <v>1900</v>
      </c>
      <c r="PL79" t="s">
        <v>1900</v>
      </c>
      <c r="PM79" t="s">
        <v>1900</v>
      </c>
      <c r="PN79" t="s">
        <v>1900</v>
      </c>
      <c r="PO79" t="s">
        <v>1900</v>
      </c>
      <c r="PP79" t="s">
        <v>1900</v>
      </c>
      <c r="PQ79" t="s">
        <v>1900</v>
      </c>
      <c r="PR79" t="s">
        <v>1900</v>
      </c>
      <c r="PS79" t="s">
        <v>1900</v>
      </c>
      <c r="PT79" t="s">
        <v>1900</v>
      </c>
      <c r="PU79" t="s">
        <v>1900</v>
      </c>
      <c r="PV79" t="s">
        <v>1900</v>
      </c>
      <c r="PW79" t="s">
        <v>1900</v>
      </c>
      <c r="PX79" t="s">
        <v>1900</v>
      </c>
      <c r="PY79" t="s">
        <v>1900</v>
      </c>
      <c r="PZ79" t="s">
        <v>1900</v>
      </c>
      <c r="QA79" t="s">
        <v>1900</v>
      </c>
      <c r="QB79" t="s">
        <v>1900</v>
      </c>
      <c r="QC79" t="s">
        <v>1900</v>
      </c>
      <c r="QD79" t="s">
        <v>1900</v>
      </c>
      <c r="QE79" t="s">
        <v>1900</v>
      </c>
      <c r="QF79" t="s">
        <v>1900</v>
      </c>
      <c r="QG79" t="s">
        <v>1900</v>
      </c>
      <c r="QH79" t="s">
        <v>1900</v>
      </c>
      <c r="QI79" t="s">
        <v>1900</v>
      </c>
      <c r="QJ79" t="s">
        <v>1900</v>
      </c>
      <c r="QK79" t="s">
        <v>1900</v>
      </c>
      <c r="QL79" t="s">
        <v>1900</v>
      </c>
      <c r="QM79" t="s">
        <v>1900</v>
      </c>
      <c r="QN79" t="s">
        <v>1900</v>
      </c>
      <c r="QO79" t="s">
        <v>1900</v>
      </c>
      <c r="QP79" t="s">
        <v>1900</v>
      </c>
      <c r="QQ79" t="s">
        <v>1900</v>
      </c>
      <c r="QR79" t="s">
        <v>1900</v>
      </c>
      <c r="QS79" t="s">
        <v>1900</v>
      </c>
      <c r="QT79" t="s">
        <v>1900</v>
      </c>
      <c r="QU79" t="s">
        <v>1900</v>
      </c>
      <c r="QV79" t="s">
        <v>1900</v>
      </c>
      <c r="QW79" t="s">
        <v>1900</v>
      </c>
      <c r="QX79" t="s">
        <v>1900</v>
      </c>
      <c r="QY79" t="s">
        <v>1900</v>
      </c>
      <c r="QZ79" t="s">
        <v>1900</v>
      </c>
      <c r="RA79" t="s">
        <v>1900</v>
      </c>
      <c r="RB79" t="s">
        <v>1900</v>
      </c>
      <c r="RC79" t="s">
        <v>1900</v>
      </c>
      <c r="RD79" t="s">
        <v>1900</v>
      </c>
      <c r="RE79" t="s">
        <v>1900</v>
      </c>
      <c r="RF79" t="s">
        <v>1900</v>
      </c>
      <c r="RG79" t="s">
        <v>1900</v>
      </c>
      <c r="RH79" t="s">
        <v>1900</v>
      </c>
      <c r="RI79" t="s">
        <v>1900</v>
      </c>
      <c r="RJ79" t="s">
        <v>1900</v>
      </c>
      <c r="RK79" t="s">
        <v>1900</v>
      </c>
      <c r="RL79" t="s">
        <v>1900</v>
      </c>
      <c r="RM79" t="s">
        <v>1900</v>
      </c>
      <c r="RN79" t="s">
        <v>1900</v>
      </c>
      <c r="RO79" t="s">
        <v>1900</v>
      </c>
      <c r="RP79" t="s">
        <v>1900</v>
      </c>
      <c r="RQ79" t="s">
        <v>1900</v>
      </c>
      <c r="RR79" t="s">
        <v>1900</v>
      </c>
      <c r="RS79" t="s">
        <v>1900</v>
      </c>
      <c r="RT79" t="s">
        <v>1900</v>
      </c>
      <c r="RU79" t="s">
        <v>1900</v>
      </c>
      <c r="RV79" t="s">
        <v>1900</v>
      </c>
      <c r="RW79" t="s">
        <v>1900</v>
      </c>
      <c r="RX79" t="s">
        <v>1900</v>
      </c>
      <c r="RY79" t="s">
        <v>1900</v>
      </c>
      <c r="RZ79" t="s">
        <v>1900</v>
      </c>
      <c r="SA79" t="s">
        <v>1900</v>
      </c>
      <c r="SB79" t="s">
        <v>1900</v>
      </c>
      <c r="SC79" t="s">
        <v>1900</v>
      </c>
      <c r="SD79" t="s">
        <v>1900</v>
      </c>
      <c r="SE79" t="s">
        <v>1900</v>
      </c>
      <c r="SF79" t="s">
        <v>1900</v>
      </c>
      <c r="SG79" t="s">
        <v>1900</v>
      </c>
      <c r="SH79" t="s">
        <v>1900</v>
      </c>
      <c r="SI79" t="s">
        <v>1900</v>
      </c>
      <c r="SJ79">
        <v>29993.3933606565</v>
      </c>
      <c r="SK79">
        <v>10685.7415456295</v>
      </c>
      <c r="SL79">
        <v>20478.7101745605</v>
      </c>
      <c r="SM79">
        <v>0</v>
      </c>
      <c r="SN79">
        <v>0</v>
      </c>
      <c r="SO79" t="s">
        <v>1900</v>
      </c>
      <c r="SP79" t="s">
        <v>1900</v>
      </c>
      <c r="SQ79" t="s">
        <v>1900</v>
      </c>
      <c r="SR79" t="s">
        <v>1900</v>
      </c>
      <c r="SS79" t="s">
        <v>1900</v>
      </c>
      <c r="ST79" t="s">
        <v>1900</v>
      </c>
      <c r="SU79" t="s">
        <v>1900</v>
      </c>
      <c r="SV79" t="s">
        <v>1900</v>
      </c>
      <c r="SW79" t="s">
        <v>1900</v>
      </c>
      <c r="SX79" t="s">
        <v>1900</v>
      </c>
      <c r="SY79" t="s">
        <v>1900</v>
      </c>
      <c r="SZ79" t="s">
        <v>1900</v>
      </c>
      <c r="TA79" t="s">
        <v>1900</v>
      </c>
      <c r="TB79" t="s">
        <v>1900</v>
      </c>
      <c r="TC79" t="s">
        <v>1900</v>
      </c>
      <c r="TD79" t="s">
        <v>1900</v>
      </c>
      <c r="TE79" t="s">
        <v>1900</v>
      </c>
      <c r="TF79" t="s">
        <v>1900</v>
      </c>
      <c r="TG79" t="s">
        <v>1900</v>
      </c>
      <c r="TH79" t="s">
        <v>1900</v>
      </c>
      <c r="TI79" t="s">
        <v>1900</v>
      </c>
      <c r="TJ79" t="s">
        <v>1900</v>
      </c>
      <c r="TK79" t="s">
        <v>1900</v>
      </c>
      <c r="TL79" t="s">
        <v>1900</v>
      </c>
      <c r="TM79" t="s">
        <v>1900</v>
      </c>
      <c r="TN79" t="s">
        <v>1900</v>
      </c>
      <c r="TO79" t="s">
        <v>1900</v>
      </c>
      <c r="TP79" t="s">
        <v>1900</v>
      </c>
      <c r="TQ79" t="s">
        <v>1900</v>
      </c>
      <c r="TR79" t="s">
        <v>1900</v>
      </c>
      <c r="TS79">
        <v>775803.655223563</v>
      </c>
      <c r="TT79">
        <v>685124.219675331</v>
      </c>
      <c r="TU79">
        <v>544181.2347723719</v>
      </c>
      <c r="TV79">
        <v>626905.562206721</v>
      </c>
      <c r="TW79">
        <v>602631.1532979551</v>
      </c>
      <c r="TX79" t="s">
        <v>1900</v>
      </c>
      <c r="TY79" t="s">
        <v>1900</v>
      </c>
      <c r="TZ79" t="s">
        <v>1900</v>
      </c>
      <c r="UA79" t="s">
        <v>1900</v>
      </c>
      <c r="UB79" t="s">
        <v>1900</v>
      </c>
      <c r="UC79">
        <v>0</v>
      </c>
      <c r="UD79">
        <v>0</v>
      </c>
      <c r="UE79">
        <v>0</v>
      </c>
      <c r="UF79">
        <v>0</v>
      </c>
      <c r="UG79">
        <v>0</v>
      </c>
      <c r="UH79" t="s">
        <v>1900</v>
      </c>
      <c r="UI79" t="s">
        <v>1900</v>
      </c>
      <c r="UJ79" t="s">
        <v>1900</v>
      </c>
      <c r="UK79" t="s">
        <v>1900</v>
      </c>
      <c r="UL79" t="s">
        <v>1900</v>
      </c>
      <c r="UM79" t="s">
        <v>1900</v>
      </c>
      <c r="UN79" t="s">
        <v>1900</v>
      </c>
      <c r="UO79" t="s">
        <v>1900</v>
      </c>
      <c r="UP79" t="s">
        <v>1900</v>
      </c>
      <c r="UQ79" t="s">
        <v>1900</v>
      </c>
      <c r="UR79" t="s">
        <v>1900</v>
      </c>
      <c r="US79" t="s">
        <v>1900</v>
      </c>
      <c r="UT79" t="s">
        <v>1900</v>
      </c>
      <c r="UU79" t="s">
        <v>1900</v>
      </c>
      <c r="UV79" t="s">
        <v>1900</v>
      </c>
      <c r="UW79" t="s">
        <v>1900</v>
      </c>
      <c r="UX79" t="s">
        <v>1900</v>
      </c>
      <c r="UY79" t="s">
        <v>1900</v>
      </c>
      <c r="UZ79" t="s">
        <v>1900</v>
      </c>
      <c r="VA79" t="s">
        <v>1900</v>
      </c>
      <c r="VB79" t="s">
        <v>1900</v>
      </c>
      <c r="VC79" t="s">
        <v>1900</v>
      </c>
      <c r="VD79" t="s">
        <v>1900</v>
      </c>
      <c r="VE79" t="s">
        <v>1900</v>
      </c>
      <c r="VF79" t="s">
        <v>1900</v>
      </c>
      <c r="VG79" t="s">
        <v>1900</v>
      </c>
      <c r="VH79" t="s">
        <v>1900</v>
      </c>
      <c r="VI79" t="s">
        <v>1900</v>
      </c>
      <c r="VJ79" t="s">
        <v>1900</v>
      </c>
      <c r="VK79" t="s">
        <v>1900</v>
      </c>
      <c r="VL79" t="s">
        <v>1900</v>
      </c>
      <c r="VM79" t="s">
        <v>1900</v>
      </c>
      <c r="VN79" t="s">
        <v>1900</v>
      </c>
      <c r="VO79" t="s">
        <v>1900</v>
      </c>
      <c r="VP79" t="s">
        <v>1900</v>
      </c>
      <c r="VQ79" t="s">
        <v>1900</v>
      </c>
      <c r="VR79" t="s">
        <v>1900</v>
      </c>
      <c r="VS79" t="s">
        <v>1900</v>
      </c>
      <c r="VT79" t="s">
        <v>1900</v>
      </c>
      <c r="VU79" t="s">
        <v>1900</v>
      </c>
      <c r="VV79" t="s">
        <v>1900</v>
      </c>
      <c r="VW79" t="s">
        <v>1900</v>
      </c>
      <c r="VX79" t="s">
        <v>1900</v>
      </c>
      <c r="VY79" t="s">
        <v>1900</v>
      </c>
      <c r="VZ79" t="s">
        <v>1900</v>
      </c>
      <c r="WA79">
        <v>338322.539100304</v>
      </c>
      <c r="WB79">
        <v>193257.746781702</v>
      </c>
      <c r="WC79">
        <v>64696.5225053847</v>
      </c>
      <c r="WD79">
        <v>267815.699369359</v>
      </c>
      <c r="WE79">
        <v>137471.381093454</v>
      </c>
      <c r="WF79" t="s">
        <v>1900</v>
      </c>
      <c r="WG79" t="s">
        <v>1900</v>
      </c>
      <c r="WH79" t="s">
        <v>1900</v>
      </c>
      <c r="WI79" t="s">
        <v>1900</v>
      </c>
      <c r="WJ79" t="s">
        <v>1900</v>
      </c>
      <c r="WK79" t="s">
        <v>1900</v>
      </c>
      <c r="WL79" t="s">
        <v>1900</v>
      </c>
      <c r="WM79" t="s">
        <v>1900</v>
      </c>
      <c r="WN79" t="s">
        <v>1900</v>
      </c>
      <c r="WO79" t="s">
        <v>1900</v>
      </c>
      <c r="WP79" t="s">
        <v>1900</v>
      </c>
      <c r="WQ79" t="s">
        <v>1900</v>
      </c>
      <c r="WR79" t="s">
        <v>1900</v>
      </c>
      <c r="WS79" t="s">
        <v>1900</v>
      </c>
      <c r="WT79" t="s">
        <v>1900</v>
      </c>
      <c r="WU79" t="s">
        <v>1900</v>
      </c>
      <c r="WV79" t="s">
        <v>1900</v>
      </c>
      <c r="WW79" t="s">
        <v>1900</v>
      </c>
      <c r="WX79" t="s">
        <v>1900</v>
      </c>
      <c r="WY79" t="s">
        <v>1900</v>
      </c>
      <c r="WZ79" t="s">
        <v>1900</v>
      </c>
      <c r="XA79" t="s">
        <v>1900</v>
      </c>
      <c r="XB79" t="s">
        <v>1900</v>
      </c>
      <c r="XC79" t="s">
        <v>1900</v>
      </c>
      <c r="XD79" t="s">
        <v>1900</v>
      </c>
      <c r="XE79" t="s">
        <v>1900</v>
      </c>
      <c r="XF79" t="s">
        <v>1900</v>
      </c>
      <c r="XG79" t="s">
        <v>1900</v>
      </c>
      <c r="XH79" t="s">
        <v>1900</v>
      </c>
      <c r="XI79" t="s">
        <v>1900</v>
      </c>
      <c r="XJ79" t="s">
        <v>1900</v>
      </c>
      <c r="XK79" t="s">
        <v>1900</v>
      </c>
      <c r="XL79" t="s">
        <v>1900</v>
      </c>
      <c r="XM79" t="s">
        <v>1900</v>
      </c>
      <c r="XN79">
        <v>195698.139861035</v>
      </c>
      <c r="XO79" t="s">
        <v>1900</v>
      </c>
      <c r="XP79" t="s">
        <v>1900</v>
      </c>
      <c r="XQ79" t="s">
        <v>1900</v>
      </c>
      <c r="XR79" t="s">
        <v>1900</v>
      </c>
      <c r="XS79" t="s">
        <v>1900</v>
      </c>
      <c r="XT79" t="s">
        <v>1900</v>
      </c>
      <c r="XU79" t="s">
        <v>1900</v>
      </c>
      <c r="XV79" t="s">
        <v>1900</v>
      </c>
      <c r="XW79" t="s">
        <v>1900</v>
      </c>
      <c r="XX79" t="s">
        <v>1900</v>
      </c>
      <c r="XY79" t="s">
        <v>1900</v>
      </c>
      <c r="XZ79" t="s">
        <v>1900</v>
      </c>
      <c r="YA79" t="s">
        <v>1900</v>
      </c>
      <c r="YB79" t="s">
        <v>1900</v>
      </c>
      <c r="YC79">
        <v>195698.139861035</v>
      </c>
      <c r="YD79" t="s">
        <v>1900</v>
      </c>
      <c r="YE79" t="s">
        <v>1900</v>
      </c>
      <c r="YF79" t="s">
        <v>1900</v>
      </c>
      <c r="YG79" t="s">
        <v>1900</v>
      </c>
      <c r="YH79" t="s">
        <v>1900</v>
      </c>
      <c r="YI79" t="s">
        <v>1900</v>
      </c>
      <c r="YJ79" t="s">
        <v>1900</v>
      </c>
      <c r="YK79" t="s">
        <v>1900</v>
      </c>
      <c r="YL79" t="s">
        <v>1900</v>
      </c>
      <c r="YM79" t="s">
        <v>1900</v>
      </c>
      <c r="YN79" t="s">
        <v>1900</v>
      </c>
      <c r="YO79" t="s">
        <v>1900</v>
      </c>
      <c r="YP79" t="s">
        <v>1900</v>
      </c>
      <c r="YQ79" t="s">
        <v>1900</v>
      </c>
      <c r="YR79" t="s">
        <v>1900</v>
      </c>
      <c r="YS79" t="s">
        <v>1900</v>
      </c>
      <c r="YT79" t="s">
        <v>1900</v>
      </c>
      <c r="YU79" t="s">
        <v>1900</v>
      </c>
      <c r="YV79" t="s">
        <v>1900</v>
      </c>
      <c r="YW79" t="s">
        <v>1900</v>
      </c>
      <c r="YX79" t="s">
        <v>1900</v>
      </c>
      <c r="YY79" t="s">
        <v>1900</v>
      </c>
      <c r="YZ79" t="s">
        <v>1900</v>
      </c>
      <c r="ZA79" t="s">
        <v>1900</v>
      </c>
      <c r="ZB79" t="s">
        <v>1900</v>
      </c>
      <c r="ZC79" t="s">
        <v>1900</v>
      </c>
      <c r="ZD79" t="s">
        <v>1900</v>
      </c>
      <c r="ZE79" t="s">
        <v>1900</v>
      </c>
      <c r="ZF79" t="s">
        <v>1900</v>
      </c>
      <c r="ZG79" t="s">
        <v>1900</v>
      </c>
      <c r="ZH79" t="s">
        <v>1900</v>
      </c>
      <c r="ZI79" t="s">
        <v>1900</v>
      </c>
      <c r="ZJ79" t="s">
        <v>1900</v>
      </c>
      <c r="ZK79" t="s">
        <v>1900</v>
      </c>
      <c r="ZL79" t="s">
        <v>1900</v>
      </c>
      <c r="ZM79" t="s">
        <v>1900</v>
      </c>
      <c r="ZN79" t="s">
        <v>1900</v>
      </c>
      <c r="ZO79" t="s">
        <v>1900</v>
      </c>
      <c r="ZP79" t="s">
        <v>1900</v>
      </c>
      <c r="ZQ79" t="s">
        <v>1900</v>
      </c>
      <c r="ZR79" t="s">
        <v>1900</v>
      </c>
      <c r="ZS79" t="s">
        <v>1900</v>
      </c>
      <c r="ZT79" t="s">
        <v>1900</v>
      </c>
      <c r="ZU79" t="s">
        <v>1900</v>
      </c>
      <c r="ZV79" t="s">
        <v>1900</v>
      </c>
      <c r="ZW79" t="s">
        <v>1900</v>
      </c>
      <c r="ZX79" t="s">
        <v>1900</v>
      </c>
      <c r="ZY79" t="s">
        <v>1900</v>
      </c>
      <c r="ZZ79" t="s">
        <v>1900</v>
      </c>
      <c r="AAA79" t="s">
        <v>1900</v>
      </c>
      <c r="AAB79" t="s">
        <v>1900</v>
      </c>
      <c r="AAC79" t="s">
        <v>1900</v>
      </c>
      <c r="AAD79" t="s">
        <v>1900</v>
      </c>
      <c r="AAE79" t="s">
        <v>1900</v>
      </c>
      <c r="AAF79" t="s">
        <v>1900</v>
      </c>
      <c r="AAG79" t="s">
        <v>1900</v>
      </c>
      <c r="AAH79" t="s">
        <v>1900</v>
      </c>
      <c r="AAI79" t="s">
        <v>1900</v>
      </c>
      <c r="AAJ79" t="s">
        <v>1900</v>
      </c>
      <c r="AAK79" t="s">
        <v>1900</v>
      </c>
      <c r="AAL79" t="s">
        <v>1900</v>
      </c>
      <c r="AAM79" t="s">
        <v>1900</v>
      </c>
      <c r="AAN79" t="s">
        <v>1900</v>
      </c>
      <c r="AAO79" t="s">
        <v>1900</v>
      </c>
      <c r="AAP79" t="s">
        <v>1900</v>
      </c>
      <c r="AAQ79" t="s">
        <v>1900</v>
      </c>
      <c r="AAR79" t="s">
        <v>1900</v>
      </c>
      <c r="AAS79" t="s">
        <v>1900</v>
      </c>
      <c r="AAT79" t="s">
        <v>1900</v>
      </c>
      <c r="AAU79" t="s">
        <v>1900</v>
      </c>
      <c r="AAV79" t="s">
        <v>1900</v>
      </c>
      <c r="AAW79" t="s">
        <v>1900</v>
      </c>
      <c r="AAX79" t="s">
        <v>1900</v>
      </c>
      <c r="AAY79" t="s">
        <v>1900</v>
      </c>
      <c r="AAZ79" t="s">
        <v>1900</v>
      </c>
      <c r="ABA79" t="s">
        <v>1900</v>
      </c>
      <c r="ABB79" t="s">
        <v>1900</v>
      </c>
      <c r="ABC79" t="s">
        <v>1900</v>
      </c>
      <c r="ABD79" t="s">
        <v>1900</v>
      </c>
      <c r="ABE79" t="s">
        <v>1900</v>
      </c>
      <c r="ABF79" t="s">
        <v>1900</v>
      </c>
      <c r="ABG79" t="s">
        <v>1900</v>
      </c>
      <c r="ABH79" t="s">
        <v>1900</v>
      </c>
      <c r="ABI79" t="s">
        <v>1900</v>
      </c>
      <c r="ABJ79" t="s">
        <v>1900</v>
      </c>
      <c r="ABK79" t="s">
        <v>1900</v>
      </c>
      <c r="ABL79" t="s">
        <v>1900</v>
      </c>
      <c r="ABM79" t="s">
        <v>1900</v>
      </c>
      <c r="ABN79" t="s">
        <v>1900</v>
      </c>
      <c r="ABO79" t="s">
        <v>1900</v>
      </c>
      <c r="ABP79" t="s">
        <v>1900</v>
      </c>
      <c r="ABQ79" t="s">
        <v>1900</v>
      </c>
      <c r="ABR79" t="s">
        <v>1900</v>
      </c>
      <c r="ABS79" t="s">
        <v>1900</v>
      </c>
      <c r="ABT79" t="s">
        <v>1900</v>
      </c>
      <c r="ABU79" t="s">
        <v>1900</v>
      </c>
      <c r="ABV79" t="s">
        <v>1900</v>
      </c>
      <c r="ABW79" t="s">
        <v>1900</v>
      </c>
      <c r="ABX79" t="s">
        <v>1900</v>
      </c>
      <c r="ABY79" t="s">
        <v>1900</v>
      </c>
      <c r="ABZ79" t="s">
        <v>1900</v>
      </c>
      <c r="ACA79" t="s">
        <v>1900</v>
      </c>
      <c r="ACB79" t="s">
        <v>1900</v>
      </c>
      <c r="ACC79" t="s">
        <v>1900</v>
      </c>
      <c r="ACD79" t="s">
        <v>1900</v>
      </c>
      <c r="ACE79">
        <v>-4.196</v>
      </c>
      <c r="ACF79">
        <v>4.004</v>
      </c>
      <c r="ACG79">
        <v>32.164</v>
      </c>
      <c r="ACH79">
        <v>39.976</v>
      </c>
      <c r="ACI79">
        <v>45.715</v>
      </c>
      <c r="ACJ79" t="s">
        <v>1900</v>
      </c>
      <c r="ACK79">
        <v>4.086</v>
      </c>
      <c r="ACL79">
        <v>32.263</v>
      </c>
      <c r="ACM79">
        <v>40.157</v>
      </c>
      <c r="ACN79">
        <v>26.596</v>
      </c>
      <c r="ACO79">
        <v>-2.366</v>
      </c>
      <c r="ACP79">
        <v>2.834</v>
      </c>
      <c r="ACQ79">
        <v>27.801</v>
      </c>
      <c r="ACR79">
        <v>22.898</v>
      </c>
      <c r="ACS79">
        <v>20.39</v>
      </c>
      <c r="ACT79">
        <v>-4.196</v>
      </c>
      <c r="ACU79">
        <v>3.085</v>
      </c>
      <c r="ACV79">
        <v>28.166</v>
      </c>
      <c r="ACW79">
        <v>30.91</v>
      </c>
      <c r="ACX79">
        <v>34.925</v>
      </c>
      <c r="ACY79" t="s">
        <v>1900</v>
      </c>
      <c r="ACZ79">
        <v>3.167</v>
      </c>
      <c r="ADA79">
        <v>28.265</v>
      </c>
      <c r="ADB79">
        <v>31.091</v>
      </c>
      <c r="ADC79">
        <v>20.352</v>
      </c>
      <c r="ADD79">
        <v>-2.366</v>
      </c>
      <c r="ADE79">
        <v>2.183</v>
      </c>
      <c r="ADF79">
        <v>24.345</v>
      </c>
      <c r="ADG79">
        <v>17.705</v>
      </c>
      <c r="ADH79">
        <v>15.578</v>
      </c>
      <c r="ADI79">
        <v>-1.66</v>
      </c>
      <c r="ADJ79">
        <v>2.002</v>
      </c>
      <c r="ADK79">
        <v>16.757</v>
      </c>
      <c r="ADL79">
        <v>13.802</v>
      </c>
      <c r="ADM79">
        <v>12.732</v>
      </c>
      <c r="ADN79">
        <v>99.93600000000001</v>
      </c>
      <c r="ADO79">
        <v>99.979</v>
      </c>
      <c r="ADP79">
        <v>100</v>
      </c>
      <c r="ADQ79">
        <v>100</v>
      </c>
      <c r="ADR79">
        <v>100</v>
      </c>
      <c r="ADS79">
        <v>-1.960586145</v>
      </c>
      <c r="ADT79">
        <v>2.043048349</v>
      </c>
      <c r="ADU79">
        <v>16.430676018</v>
      </c>
      <c r="ADV79">
        <v>13.866146139</v>
      </c>
      <c r="ADW79">
        <v>12.800180596</v>
      </c>
      <c r="ADX79">
        <v>-1.791</v>
      </c>
      <c r="ADY79">
        <v>2.228</v>
      </c>
      <c r="ADZ79">
        <v>16.431</v>
      </c>
      <c r="AEA79">
        <v>14.082</v>
      </c>
      <c r="AEB79">
        <v>13.075</v>
      </c>
      <c r="AEC79">
        <v>-1.961</v>
      </c>
      <c r="AED79">
        <v>2.043</v>
      </c>
      <c r="AEE79">
        <v>16.431</v>
      </c>
      <c r="AEF79">
        <v>13.866</v>
      </c>
      <c r="AEG79">
        <v>12.8</v>
      </c>
      <c r="AEH79">
        <v>-1.49</v>
      </c>
      <c r="AEI79">
        <v>1.727</v>
      </c>
      <c r="AEJ79" t="s">
        <v>1900</v>
      </c>
      <c r="AEK79">
        <v>10.888</v>
      </c>
      <c r="AEL79">
        <v>10.002</v>
      </c>
      <c r="AEM79">
        <v>-1.922886302</v>
      </c>
      <c r="AEN79">
        <v>2.085659378</v>
      </c>
      <c r="AEO79">
        <v>19.661133099</v>
      </c>
      <c r="AEP79">
        <v>16.098369593</v>
      </c>
      <c r="AEQ79">
        <v>14.67913659</v>
      </c>
      <c r="AER79">
        <v>0.98075901</v>
      </c>
      <c r="AES79">
        <v>1.020861005</v>
      </c>
      <c r="AET79" t="s">
        <v>1900</v>
      </c>
      <c r="AEU79" t="s">
        <v>1900</v>
      </c>
      <c r="AEV79" t="s">
        <v>1900</v>
      </c>
      <c r="AEW79" t="s">
        <v>1900</v>
      </c>
      <c r="AEX79" t="s">
        <v>1900</v>
      </c>
      <c r="AEY79" t="s">
        <v>1900</v>
      </c>
      <c r="AEZ79" t="s">
        <v>1900</v>
      </c>
      <c r="AFA79" t="s">
        <v>1900</v>
      </c>
      <c r="AFB79" t="s">
        <v>1900</v>
      </c>
      <c r="AFC79" t="s">
        <v>1900</v>
      </c>
      <c r="AFD79" t="s">
        <v>1900</v>
      </c>
      <c r="AFE79" t="s">
        <v>1900</v>
      </c>
      <c r="AFF79" t="s">
        <v>1900</v>
      </c>
      <c r="AFG79">
        <v>2.528</v>
      </c>
      <c r="AFH79">
        <v>2</v>
      </c>
      <c r="AFI79">
        <v>1.919</v>
      </c>
      <c r="AFJ79">
        <v>2.896</v>
      </c>
      <c r="AFK79">
        <v>2.078</v>
      </c>
      <c r="AFL79" t="s">
        <v>1900</v>
      </c>
      <c r="AFM79">
        <v>49.76</v>
      </c>
      <c r="AFN79">
        <v>320.559</v>
      </c>
      <c r="AFO79">
        <v>222.223</v>
      </c>
      <c r="AFP79">
        <v>187.692</v>
      </c>
      <c r="AFQ79" t="s">
        <v>1901</v>
      </c>
      <c r="AFR79" t="s">
        <v>1901</v>
      </c>
      <c r="AFS79" t="s">
        <v>1901</v>
      </c>
      <c r="AFT79" t="s">
        <v>1901</v>
      </c>
      <c r="AFU79" t="s">
        <v>1901</v>
      </c>
      <c r="AFV79">
        <v>84.61499999999999</v>
      </c>
      <c r="AFW79">
        <v>88.874</v>
      </c>
      <c r="AFX79">
        <v>62.761</v>
      </c>
      <c r="AFY79">
        <v>35.023</v>
      </c>
      <c r="AFZ79">
        <v>46.909</v>
      </c>
      <c r="AGA79">
        <v>0</v>
      </c>
      <c r="AGB79">
        <v>2.609</v>
      </c>
      <c r="AGC79">
        <v>3.64</v>
      </c>
      <c r="AGD79">
        <v>0</v>
      </c>
      <c r="AGE79">
        <v>0.249</v>
      </c>
      <c r="AGF79" t="s">
        <v>1900</v>
      </c>
      <c r="AGG79" t="s">
        <v>1900</v>
      </c>
      <c r="AGH79" t="s">
        <v>1900</v>
      </c>
      <c r="AGI79" t="s">
        <v>1900</v>
      </c>
      <c r="AGJ79" t="s">
        <v>1900</v>
      </c>
      <c r="AGK79" t="s">
        <v>1900</v>
      </c>
      <c r="AGL79" t="s">
        <v>1900</v>
      </c>
      <c r="AGM79" t="s">
        <v>1900</v>
      </c>
      <c r="AGN79" t="s">
        <v>1900</v>
      </c>
      <c r="AGO79" t="s">
        <v>1900</v>
      </c>
      <c r="AGP79" t="s">
        <v>1900</v>
      </c>
      <c r="AGQ79" t="s">
        <v>1900</v>
      </c>
      <c r="AGR79" t="s">
        <v>1900</v>
      </c>
      <c r="AGS79" t="s">
        <v>1900</v>
      </c>
      <c r="AGT79" t="s">
        <v>1900</v>
      </c>
      <c r="AGU79">
        <v>0</v>
      </c>
      <c r="AGV79">
        <v>0</v>
      </c>
      <c r="AGW79">
        <v>0</v>
      </c>
      <c r="AGX79">
        <v>0</v>
      </c>
      <c r="AGY79">
        <v>0</v>
      </c>
      <c r="AGZ79">
        <v>2.188</v>
      </c>
      <c r="AHA79">
        <v>3.329</v>
      </c>
      <c r="AHB79">
        <v>6.989</v>
      </c>
      <c r="AHC79">
        <v>2.31</v>
      </c>
      <c r="AHD79">
        <v>4.304</v>
      </c>
      <c r="AHE79">
        <v>2.188</v>
      </c>
      <c r="AHF79">
        <v>3.329</v>
      </c>
      <c r="AHG79">
        <v>6.989</v>
      </c>
      <c r="AHH79">
        <v>2.31</v>
      </c>
      <c r="AHI79">
        <v>4.304</v>
      </c>
      <c r="AHJ79" t="s">
        <v>1901</v>
      </c>
      <c r="AHK79" t="s">
        <v>1901</v>
      </c>
      <c r="AHL79" t="s">
        <v>1901</v>
      </c>
      <c r="AHM79" t="s">
        <v>1901</v>
      </c>
      <c r="AHN79">
        <v>1.374</v>
      </c>
      <c r="AHO79">
        <v>56.391</v>
      </c>
      <c r="AHP79">
        <v>70.767</v>
      </c>
      <c r="AHQ79">
        <v>86.434</v>
      </c>
      <c r="AHR79">
        <v>57.28</v>
      </c>
      <c r="AHS79">
        <v>44.603</v>
      </c>
      <c r="AHT79" t="s">
        <v>1901</v>
      </c>
      <c r="AHU79" t="s">
        <v>1901</v>
      </c>
      <c r="AHV79" t="s">
        <v>1901</v>
      </c>
      <c r="AHW79" t="s">
        <v>1901</v>
      </c>
      <c r="AHX79">
        <v>80.51600000000001</v>
      </c>
      <c r="AHY79">
        <v>0</v>
      </c>
      <c r="AHZ79">
        <v>0</v>
      </c>
      <c r="AIA79">
        <v>0</v>
      </c>
      <c r="AIB79">
        <v>0</v>
      </c>
      <c r="AIC79">
        <v>72.806</v>
      </c>
      <c r="AID79">
        <v>3.866106219</v>
      </c>
      <c r="AIE79">
        <v>1.559679433</v>
      </c>
      <c r="AIF79">
        <v>3.763215059</v>
      </c>
      <c r="AIG79">
        <v>0</v>
      </c>
      <c r="AIH79">
        <v>0</v>
      </c>
      <c r="AII79">
        <v>61.89977219</v>
      </c>
      <c r="AIJ79">
        <v>62.361552413</v>
      </c>
      <c r="AIK79">
        <v>65.892605996</v>
      </c>
      <c r="AIL79">
        <v>82.549803032</v>
      </c>
      <c r="AIM79">
        <v>77.788353988</v>
      </c>
      <c r="AIN79">
        <v>43.609299444</v>
      </c>
      <c r="AIO79">
        <v>28.207694493</v>
      </c>
      <c r="AIP79">
        <v>11.888782334</v>
      </c>
      <c r="AIQ79">
        <v>42.720262112</v>
      </c>
      <c r="AIR79">
        <v>22.81186101</v>
      </c>
      <c r="AIS79">
        <v>0</v>
      </c>
      <c r="AIT79">
        <v>0</v>
      </c>
      <c r="AIU79" t="s">
        <v>1900</v>
      </c>
      <c r="AIV79" t="s">
        <v>1900</v>
      </c>
      <c r="AIW79" t="s">
        <v>1900</v>
      </c>
      <c r="AIX79">
        <v>-3.67091620518994</v>
      </c>
      <c r="AIY79">
        <v>3.23573427715778</v>
      </c>
      <c r="AIZ79">
        <v>30.2574521396375</v>
      </c>
      <c r="AJA79">
        <v>28.7100835910654</v>
      </c>
      <c r="AJB79">
        <v>20.4798308265615</v>
      </c>
      <c r="AJC79">
        <v>221.148758364425</v>
      </c>
      <c r="AJD79">
        <v>161.625889875713</v>
      </c>
      <c r="AJE79">
        <v>180.560904935044</v>
      </c>
      <c r="AJF79">
        <v>208.007279079294</v>
      </c>
      <c r="AJG79">
        <v>160.853431835695</v>
      </c>
      <c r="AJH79">
        <v>20.779</v>
      </c>
      <c r="AJI79">
        <v>24.834</v>
      </c>
      <c r="AJJ79">
        <v>22.851</v>
      </c>
      <c r="AJK79">
        <v>26.091</v>
      </c>
      <c r="AJL79">
        <v>26.8</v>
      </c>
      <c r="AJM79">
        <v>45.9514118364682</v>
      </c>
      <c r="AJN79">
        <v>40.1388634488287</v>
      </c>
      <c r="AJO79">
        <v>41.2599634271646</v>
      </c>
      <c r="AJP79">
        <v>54.2714363933516</v>
      </c>
      <c r="AJQ79">
        <v>43.108094102751</v>
      </c>
      <c r="AJR79">
        <v>87.4962232246518</v>
      </c>
      <c r="AJS79">
        <v>80.8064453249397</v>
      </c>
      <c r="AJT79">
        <v>94.0710585210347</v>
      </c>
      <c r="AJU79">
        <v>71.81797256747249</v>
      </c>
      <c r="AJV79">
        <v>44.7989130003375</v>
      </c>
      <c r="AJW79">
        <v>51.9790612611971</v>
      </c>
      <c r="AJX79">
        <v>38.7295546563482</v>
      </c>
      <c r="AJY79">
        <v>29.6525238402748</v>
      </c>
      <c r="AJZ79">
        <v>20.2364619043493</v>
      </c>
      <c r="AKA79">
        <v>20.8481409999877</v>
      </c>
      <c r="AKB79">
        <v>155.160731044713</v>
      </c>
      <c r="AKC79">
        <v>114.187369945889</v>
      </c>
      <c r="AKD79">
        <v>108.836246954474</v>
      </c>
      <c r="AKE79">
        <v>125.381112441344</v>
      </c>
      <c r="AKF79">
        <v>100.438525549659</v>
      </c>
      <c r="AKG79">
        <v>0</v>
      </c>
      <c r="AKH79">
        <v>0</v>
      </c>
      <c r="AKI79" t="s">
        <v>1900</v>
      </c>
      <c r="AKJ79" t="s">
        <v>1900</v>
      </c>
      <c r="AKK79" t="s">
        <v>1900</v>
      </c>
      <c r="AKL79">
        <v>0</v>
      </c>
      <c r="AKM79">
        <v>0</v>
      </c>
      <c r="AKN79">
        <v>0</v>
      </c>
      <c r="AKO79">
        <v>0</v>
      </c>
      <c r="AKP79">
        <v>0</v>
      </c>
      <c r="AKQ79">
        <v>0</v>
      </c>
      <c r="AKR79">
        <v>0</v>
      </c>
      <c r="AKS79">
        <v>0</v>
      </c>
      <c r="AKT79">
        <v>0</v>
      </c>
      <c r="AKU79">
        <v>0</v>
      </c>
      <c r="AKV79">
        <v>0</v>
      </c>
      <c r="AKW79">
        <v>0</v>
      </c>
      <c r="AKX79">
        <v>0</v>
      </c>
      <c r="AKY79">
        <v>0</v>
      </c>
      <c r="AKZ79">
        <v>0</v>
      </c>
      <c r="ALA79">
        <v>0</v>
      </c>
      <c r="ALB79">
        <v>0</v>
      </c>
      <c r="ALC79">
        <v>0</v>
      </c>
      <c r="ALD79">
        <v>0</v>
      </c>
      <c r="ALE79">
        <v>0</v>
      </c>
      <c r="ALF79">
        <v>0.514971043</v>
      </c>
      <c r="ALG79">
        <v>0.80218663</v>
      </c>
      <c r="ALH79">
        <v>0.856806606</v>
      </c>
      <c r="ALI79">
        <v>0.78977485</v>
      </c>
      <c r="ALJ79">
        <v>0.838993284</v>
      </c>
      <c r="ALK79">
        <v>0.733982147</v>
      </c>
      <c r="ALL79">
        <v>1.135450692</v>
      </c>
      <c r="ALM79">
        <v>1.421454528</v>
      </c>
      <c r="ALN79">
        <v>1.310236562</v>
      </c>
      <c r="ALO79">
        <v>1.343657213</v>
      </c>
      <c r="ALP79">
        <v>23.504116277</v>
      </c>
      <c r="ALQ79">
        <v>24.687168078</v>
      </c>
      <c r="ALR79">
        <v>17.433678561</v>
      </c>
      <c r="ALS79">
        <v>9.728727761</v>
      </c>
      <c r="ALT79">
        <v>13.030185287</v>
      </c>
      <c r="ALU79">
        <v>0</v>
      </c>
      <c r="ALV79">
        <v>2.935527372</v>
      </c>
      <c r="ALW79">
        <v>5.800432937</v>
      </c>
      <c r="ALX79">
        <v>0</v>
      </c>
      <c r="ALY79">
        <v>0.531306854</v>
      </c>
      <c r="ALZ79">
        <v>99.9357386642441</v>
      </c>
      <c r="AMA79">
        <v>99.9792879779514</v>
      </c>
      <c r="AMB79">
        <v>100</v>
      </c>
      <c r="AMC79">
        <v>100</v>
      </c>
      <c r="AMD79">
        <v>100</v>
      </c>
      <c r="AME79" t="s">
        <v>1901</v>
      </c>
      <c r="AMF79" t="s">
        <v>1901</v>
      </c>
      <c r="AMG79" t="s">
        <v>1901</v>
      </c>
      <c r="AMH79" t="s">
        <v>1901</v>
      </c>
      <c r="AMI79" t="s">
        <v>1901</v>
      </c>
      <c r="AMJ79">
        <v>155514.567957191</v>
      </c>
      <c r="AMK79">
        <v>482711.382516367</v>
      </c>
      <c r="AML79" t="s">
        <v>1900</v>
      </c>
      <c r="AMM79" t="s">
        <v>1900</v>
      </c>
      <c r="AMN79" t="s">
        <v>1900</v>
      </c>
      <c r="AMO79">
        <v>0.980759009312438</v>
      </c>
      <c r="AMP79">
        <v>1.0208610046351</v>
      </c>
      <c r="AMQ79">
        <v>1.19661133098721</v>
      </c>
      <c r="AMR79">
        <v>1.16098369592558</v>
      </c>
      <c r="AMS79">
        <v>1.14679136589735</v>
      </c>
      <c r="AMT79">
        <v>0.980759010234501</v>
      </c>
      <c r="AMU79">
        <v>1.0208610046351</v>
      </c>
      <c r="AMV79">
        <v>1.19661133098721</v>
      </c>
      <c r="AMW79">
        <v>1.16098369592558</v>
      </c>
      <c r="AMX79">
        <v>1.14679136589735</v>
      </c>
      <c r="AMY79">
        <v>0.98075901021676</v>
      </c>
      <c r="AMZ79">
        <v>1.0208610046351</v>
      </c>
      <c r="ANA79" t="s">
        <v>1900</v>
      </c>
      <c r="ANB79" t="s">
        <v>1900</v>
      </c>
      <c r="ANC79" t="s">
        <v>1900</v>
      </c>
      <c r="AND79">
        <v>-1.96058614459664</v>
      </c>
      <c r="ANE79">
        <v>2.04304834884665</v>
      </c>
      <c r="ANF79">
        <v>16.4306760178351</v>
      </c>
      <c r="ANG79">
        <v>13.8661461388774</v>
      </c>
      <c r="ANH79">
        <v>12.8001805962754</v>
      </c>
      <c r="ANI79">
        <v>-1.97618258170026</v>
      </c>
      <c r="ANJ79">
        <v>2.06280421248819</v>
      </c>
      <c r="ANK79">
        <v>16.4309646745564</v>
      </c>
      <c r="ANL79">
        <v>13.923027991227</v>
      </c>
      <c r="ANM79">
        <v>12.8119386616593</v>
      </c>
      <c r="ANN79">
        <v>-1.92288630217975</v>
      </c>
      <c r="ANO79">
        <v>2.08565937833836</v>
      </c>
      <c r="ANP79">
        <v>19.6611330987213</v>
      </c>
      <c r="ANQ79">
        <v>16.0983695925581</v>
      </c>
      <c r="ANR79">
        <v>14.6791365897355</v>
      </c>
      <c r="ANS79">
        <v>-4.95542750483554</v>
      </c>
      <c r="ANT79">
        <v>4.08642538811471</v>
      </c>
      <c r="ANU79">
        <v>31.5371994013595</v>
      </c>
      <c r="ANV79">
        <v>40.1606899575731</v>
      </c>
      <c r="ANW79">
        <v>26.596212899786</v>
      </c>
      <c r="ANX79">
        <v>99.9357386642441</v>
      </c>
      <c r="ANY79">
        <v>99.9792879779514</v>
      </c>
      <c r="ANZ79" t="s">
        <v>1900</v>
      </c>
      <c r="AOA79" t="s">
        <v>1900</v>
      </c>
      <c r="AOB79" t="s">
        <v>1900</v>
      </c>
      <c r="AOC79">
        <v>98.0140880344872</v>
      </c>
      <c r="AOD79">
        <v>102.064515374059</v>
      </c>
      <c r="AOE79">
        <v>119.661133098721</v>
      </c>
      <c r="AOF79">
        <v>116.098369592558</v>
      </c>
      <c r="AOG79">
        <v>114.679136589735</v>
      </c>
      <c r="AOH79" t="s">
        <v>1901</v>
      </c>
      <c r="AOI79" t="s">
        <v>1901</v>
      </c>
      <c r="AOJ79" t="s">
        <v>1901</v>
      </c>
      <c r="AOK79" t="s">
        <v>1901</v>
      </c>
      <c r="AOL79" t="s">
        <v>1901</v>
      </c>
      <c r="AOM79">
        <v>-3050.95765834259</v>
      </c>
      <c r="AON79">
        <v>9864.069978544319</v>
      </c>
      <c r="AOO79" t="s">
        <v>1900</v>
      </c>
      <c r="AOP79" t="s">
        <v>1900</v>
      </c>
      <c r="AOQ79" t="s">
        <v>1900</v>
      </c>
      <c r="AOR79">
        <v>-1.92409897654989</v>
      </c>
      <c r="AOS79">
        <v>2.08610046350962</v>
      </c>
      <c r="AOT79">
        <v>19.6611330987213</v>
      </c>
      <c r="AOU79">
        <v>16.0983695925581</v>
      </c>
      <c r="AOV79">
        <v>14.6791365897355</v>
      </c>
      <c r="AOW79">
        <v>-2.79440028554471</v>
      </c>
      <c r="AOX79">
        <v>2.89182164674123</v>
      </c>
      <c r="AOY79">
        <v>27.2587287185288</v>
      </c>
      <c r="AOZ79">
        <v>23.003937941714</v>
      </c>
      <c r="APA79">
        <v>20.4996336913097</v>
      </c>
      <c r="APB79">
        <v>-1.65993073431131</v>
      </c>
      <c r="APC79">
        <v>1.54249471217872</v>
      </c>
      <c r="APD79">
        <v>14.6745018253374</v>
      </c>
      <c r="APE79">
        <v>10.6723370204354</v>
      </c>
      <c r="APF79">
        <v>9.72690725572618</v>
      </c>
      <c r="APG79">
        <v>-1.67313546156362</v>
      </c>
      <c r="APH79">
        <v>1.55741032355855</v>
      </c>
      <c r="API79">
        <v>14.6747596293121</v>
      </c>
      <c r="APJ79">
        <v>10.7161171950089</v>
      </c>
      <c r="APK79">
        <v>9.735842255559611</v>
      </c>
      <c r="APL79">
        <v>-2583.09404058717</v>
      </c>
      <c r="APM79">
        <v>7447.34004511196</v>
      </c>
      <c r="APN79" t="s">
        <v>1900</v>
      </c>
      <c r="APO79" t="s">
        <v>1900</v>
      </c>
      <c r="APP79" t="s">
        <v>1900</v>
      </c>
      <c r="APQ79">
        <v>-1.62903886464483</v>
      </c>
      <c r="APR79">
        <v>1.57499891564177</v>
      </c>
      <c r="APS79">
        <v>17.5596751607913</v>
      </c>
      <c r="APT79">
        <v>12.3904092781485</v>
      </c>
      <c r="APU79">
        <v>11.1547332577511</v>
      </c>
      <c r="APV79">
        <v>-1.62801215359557</v>
      </c>
      <c r="APW79">
        <v>1.57466589780365</v>
      </c>
      <c r="APX79">
        <v>17.5596751607913</v>
      </c>
      <c r="APY79">
        <v>12.3904092781485</v>
      </c>
      <c r="APZ79">
        <v>11.1547332577511</v>
      </c>
      <c r="AQA79">
        <v>-2.36587967875203</v>
      </c>
      <c r="AQB79">
        <v>2.18331573072191</v>
      </c>
      <c r="AQC79">
        <v>24.3452103797939</v>
      </c>
      <c r="AQD79">
        <v>17.7054082693398</v>
      </c>
      <c r="AQE79">
        <v>15.5777517506082</v>
      </c>
      <c r="AQF79">
        <v>-0.0192409897832403</v>
      </c>
      <c r="AQG79">
        <v>0.0208610046350962</v>
      </c>
      <c r="AQH79" t="s">
        <v>1900</v>
      </c>
      <c r="AQI79" t="s">
        <v>1900</v>
      </c>
      <c r="AQJ79" t="s">
        <v>1900</v>
      </c>
      <c r="AQK79">
        <v>5</v>
      </c>
      <c r="AQO79" t="s">
        <v>1902</v>
      </c>
      <c r="AQP79">
        <v>7</v>
      </c>
      <c r="AQQ79">
        <v>0</v>
      </c>
      <c r="AQS79" t="s">
        <v>1905</v>
      </c>
      <c r="AQU79" t="s">
        <v>1906</v>
      </c>
      <c r="AQV79">
        <v>1105743.79078322</v>
      </c>
      <c r="AQW79">
        <v>969755.341464281</v>
      </c>
      <c r="AQX79">
        <v>902804.52467522</v>
      </c>
      <c r="AQY79">
        <v>-21679.0595568335</v>
      </c>
      <c r="AQZ79">
        <v>19812.5704916382</v>
      </c>
      <c r="ARA79">
        <v>148336.886523741</v>
      </c>
      <c r="ARB79">
        <v>2978303.656922721</v>
      </c>
      <c r="ARC79">
        <v>146470.3974585457</v>
      </c>
      <c r="ARD79">
        <v>0.05172281841419577</v>
      </c>
      <c r="ARE79">
        <v>0.05172281841419577</v>
      </c>
      <c r="ARF79">
        <v>0.05172281841419577</v>
      </c>
      <c r="ARG79">
        <v>0.05172281841419577</v>
      </c>
      <c r="ARH79">
        <v>0.05172281841419577</v>
      </c>
      <c r="ARI79">
        <v>0.05172281841419577</v>
      </c>
      <c r="ARJ79" t="s">
        <v>1240</v>
      </c>
      <c r="ARK79" t="s">
        <v>1578</v>
      </c>
      <c r="ARL79" t="s">
        <v>1908</v>
      </c>
      <c r="ARM79" t="s">
        <v>1908</v>
      </c>
      <c r="ARN79" t="s">
        <v>1909</v>
      </c>
      <c r="ARO79" t="s">
        <v>1909</v>
      </c>
      <c r="ARP79" t="s">
        <v>1907</v>
      </c>
      <c r="ARQ79" t="s">
        <v>1973</v>
      </c>
      <c r="ARR79">
        <f>HYPERLINK("C:\Users\Usuario\Documents\Proyectos\llmthon\evidence\lealtadis_es_235153.png", "Ver Evidencia")</f>
        <v>0</v>
      </c>
      <c r="ARS79">
        <v>95</v>
      </c>
    </row>
    <row r="80" spans="1:1163">
      <c r="A80">
        <v>212</v>
      </c>
      <c r="B80" t="s">
        <v>1241</v>
      </c>
      <c r="C80" t="s">
        <v>1364</v>
      </c>
      <c r="E80" s="2">
        <v>38685</v>
      </c>
      <c r="F80" t="s">
        <v>1431</v>
      </c>
      <c r="G80" t="s">
        <v>1433</v>
      </c>
      <c r="H80" t="s">
        <v>1434</v>
      </c>
      <c r="I80" t="s">
        <v>1436</v>
      </c>
      <c r="J80" t="s">
        <v>1487</v>
      </c>
      <c r="L80" t="s">
        <v>1579</v>
      </c>
      <c r="N80" t="s">
        <v>1630</v>
      </c>
      <c r="O80" t="s">
        <v>1654</v>
      </c>
      <c r="P80">
        <v>6209</v>
      </c>
      <c r="Q80">
        <v>6209</v>
      </c>
      <c r="R80" t="s">
        <v>1749</v>
      </c>
      <c r="S80" t="s">
        <v>1826</v>
      </c>
      <c r="Z80" t="s">
        <v>1899</v>
      </c>
      <c r="AA80" s="2">
        <v>45657</v>
      </c>
      <c r="AB80">
        <v>2024</v>
      </c>
      <c r="AC80">
        <v>3925515.22241441</v>
      </c>
      <c r="AD80">
        <v>4091067.86702099</v>
      </c>
      <c r="AE80">
        <v>3040247.29790182</v>
      </c>
      <c r="AF80">
        <v>2978126.9666198</v>
      </c>
      <c r="AG80">
        <v>3294846.54651434</v>
      </c>
      <c r="AH80">
        <v>3799073.66821004</v>
      </c>
      <c r="AI80">
        <v>3866889.63171255</v>
      </c>
      <c r="AJ80">
        <v>2889351.20189996</v>
      </c>
      <c r="AK80">
        <v>2784557.91769602</v>
      </c>
      <c r="AL80">
        <v>3033149.17760824</v>
      </c>
      <c r="AM80">
        <v>1519083.77075556</v>
      </c>
      <c r="AN80">
        <v>1494348.8571454</v>
      </c>
      <c r="AO80">
        <v>875663.130141336</v>
      </c>
      <c r="AP80">
        <v>958193.77864023</v>
      </c>
      <c r="AQ80">
        <v>1172454.18582745</v>
      </c>
      <c r="AR80">
        <v>2406431.45165884</v>
      </c>
      <c r="AS80">
        <v>2596719.00987558</v>
      </c>
      <c r="AT80">
        <v>2164584.16776049</v>
      </c>
      <c r="AU80">
        <v>2019933.18684697</v>
      </c>
      <c r="AV80">
        <v>2122392.35945979</v>
      </c>
      <c r="AW80">
        <v>2124056.50980981</v>
      </c>
      <c r="AX80">
        <v>2254300.53905238</v>
      </c>
      <c r="AY80">
        <v>1855952.38520631</v>
      </c>
      <c r="AZ80">
        <v>1756556.02349653</v>
      </c>
      <c r="BA80">
        <v>1779978.23928608</v>
      </c>
      <c r="BB80">
        <v>282374.941849037</v>
      </c>
      <c r="BC80">
        <v>342418.470823202</v>
      </c>
      <c r="BD80">
        <v>308631.782554173</v>
      </c>
      <c r="BE80">
        <v>263377.163350439</v>
      </c>
      <c r="BF80">
        <v>342414.120173711</v>
      </c>
      <c r="BG80">
        <v>18240.3747994185</v>
      </c>
      <c r="BH80">
        <v>-10985.2187800312</v>
      </c>
      <c r="BI80">
        <v>192344.216111553</v>
      </c>
      <c r="BJ80">
        <v>1826024.11885229</v>
      </c>
      <c r="BK80">
        <v>85413.7069850504</v>
      </c>
      <c r="BL80">
        <v>25785.3931042087</v>
      </c>
      <c r="BM80" t="s">
        <v>1900</v>
      </c>
      <c r="BN80">
        <v>199081.338449162</v>
      </c>
      <c r="BO80">
        <v>1833575.86844695</v>
      </c>
      <c r="BP80">
        <v>94185.0495903611</v>
      </c>
      <c r="BQ80">
        <v>7545.01830479026</v>
      </c>
      <c r="BR80">
        <v>10985.2187800312</v>
      </c>
      <c r="BS80">
        <v>6737.12233760953</v>
      </c>
      <c r="BT80">
        <v>7551.74846205711</v>
      </c>
      <c r="BU80">
        <v>8771.34260531068</v>
      </c>
      <c r="BV80">
        <v>300615.316648456</v>
      </c>
      <c r="BW80">
        <v>331433.252043171</v>
      </c>
      <c r="BX80">
        <v>500975.998665726</v>
      </c>
      <c r="BY80">
        <v>2089401.28333533</v>
      </c>
      <c r="BZ80">
        <v>427827.827158761</v>
      </c>
      <c r="CA80">
        <v>16573.8137118864</v>
      </c>
      <c r="CB80">
        <v>19451.3789795399</v>
      </c>
      <c r="CC80">
        <v>30051.0886038482</v>
      </c>
      <c r="CD80">
        <v>15363.1115665913</v>
      </c>
      <c r="CE80">
        <v>20024.2358528674</v>
      </c>
      <c r="CF80">
        <v>284041.502936569</v>
      </c>
      <c r="CG80">
        <v>311981.873063631</v>
      </c>
      <c r="CH80">
        <v>470924.910061878</v>
      </c>
      <c r="CI80">
        <v>2074038.17176874</v>
      </c>
      <c r="CJ80">
        <v>407803.591305894</v>
      </c>
      <c r="CK80" t="s">
        <v>1900</v>
      </c>
      <c r="CL80" t="s">
        <v>1900</v>
      </c>
      <c r="CM80" t="s">
        <v>1900</v>
      </c>
      <c r="CN80" t="s">
        <v>1900</v>
      </c>
      <c r="CO80" t="s">
        <v>1900</v>
      </c>
      <c r="CP80" t="s">
        <v>1900</v>
      </c>
      <c r="CQ80" t="s">
        <v>1900</v>
      </c>
      <c r="CR80" t="s">
        <v>1900</v>
      </c>
      <c r="CS80" t="s">
        <v>1900</v>
      </c>
      <c r="CT80" t="s">
        <v>1900</v>
      </c>
      <c r="CU80" t="s">
        <v>1900</v>
      </c>
      <c r="CV80" t="s">
        <v>1900</v>
      </c>
      <c r="CW80" t="s">
        <v>1900</v>
      </c>
      <c r="CX80" t="s">
        <v>1900</v>
      </c>
      <c r="CY80" t="s">
        <v>1900</v>
      </c>
      <c r="CZ80">
        <v>284041.502936569</v>
      </c>
      <c r="DA80">
        <v>311981.873063631</v>
      </c>
      <c r="DB80">
        <v>470924.910061878</v>
      </c>
      <c r="DC80">
        <v>2074038.17176874</v>
      </c>
      <c r="DD80">
        <v>407803.591305894</v>
      </c>
      <c r="DE80" t="s">
        <v>1900</v>
      </c>
      <c r="DF80" t="s">
        <v>1900</v>
      </c>
      <c r="DG80" t="s">
        <v>1900</v>
      </c>
      <c r="DH80" t="s">
        <v>1900</v>
      </c>
      <c r="DI80" t="s">
        <v>1900</v>
      </c>
      <c r="DJ80">
        <v>1528204.13476819</v>
      </c>
      <c r="DK80">
        <v>1375452.11873601</v>
      </c>
      <c r="DL80">
        <v>924760.720458901</v>
      </c>
      <c r="DM80">
        <v>990434.719905209</v>
      </c>
      <c r="DN80">
        <v>1052779.22953776</v>
      </c>
      <c r="DO80">
        <v>1928750.45024827</v>
      </c>
      <c r="DP80">
        <v>1976198.37899355</v>
      </c>
      <c r="DQ80">
        <v>1627358.7508848</v>
      </c>
      <c r="DR80">
        <v>1507871.12122457</v>
      </c>
      <c r="DS80">
        <v>1464256.87885607</v>
      </c>
      <c r="DT80">
        <v>18007.1522414815</v>
      </c>
      <c r="DU80">
        <v>17016.8639869595</v>
      </c>
      <c r="DV80">
        <v>13105.5852280974</v>
      </c>
      <c r="DW80">
        <v>10525.028137207</v>
      </c>
      <c r="DX80">
        <v>29279.1046661258</v>
      </c>
      <c r="DY80">
        <v>177298.907320058</v>
      </c>
      <c r="DZ80">
        <v>261085.296071873</v>
      </c>
      <c r="EA80">
        <v>215488.049093419</v>
      </c>
      <c r="EB80">
        <v>238159.874134755</v>
      </c>
      <c r="EC80">
        <v>286442.254536777</v>
      </c>
      <c r="ED80">
        <v>6359.89365350723</v>
      </c>
      <c r="EE80">
        <v>10985.2187800312</v>
      </c>
      <c r="EF80">
        <v>6737.12233760953</v>
      </c>
      <c r="EG80">
        <v>7551.74846205711</v>
      </c>
      <c r="EH80">
        <v>8771.34260531068</v>
      </c>
      <c r="EI80" t="s">
        <v>1900</v>
      </c>
      <c r="EJ80" t="s">
        <v>1900</v>
      </c>
      <c r="EK80" t="s">
        <v>1900</v>
      </c>
      <c r="EL80" t="s">
        <v>1900</v>
      </c>
      <c r="EM80" t="s">
        <v>1900</v>
      </c>
      <c r="EN80">
        <v>302048.655178051</v>
      </c>
      <c r="EO80">
        <v>328998.737050591</v>
      </c>
      <c r="EP80">
        <v>484030.495289975</v>
      </c>
      <c r="EQ80">
        <v>2084563.19990594</v>
      </c>
      <c r="ER80">
        <v>437082.695972019</v>
      </c>
      <c r="ES80">
        <v>2253732.81175281</v>
      </c>
      <c r="ET80">
        <v>2335633.71380371</v>
      </c>
      <c r="EU80">
        <v>2148177.45711623</v>
      </c>
      <c r="EV80">
        <v>3615349.18115916</v>
      </c>
      <c r="EW80">
        <v>1930135.15328627</v>
      </c>
      <c r="EX80">
        <v>300382.093051619</v>
      </c>
      <c r="EY80">
        <v>359435.334810162</v>
      </c>
      <c r="EZ80">
        <v>321737.367782271</v>
      </c>
      <c r="FA80">
        <v>273902.190355046</v>
      </c>
      <c r="FB80">
        <v>371693.224839836</v>
      </c>
      <c r="FC80">
        <v>101644.964905199</v>
      </c>
      <c r="FD80">
        <v>106958.357251596</v>
      </c>
      <c r="FE80">
        <v>409930.970354039</v>
      </c>
      <c r="FF80">
        <v>669531.076712179</v>
      </c>
      <c r="FG80">
        <v>689318.356206947</v>
      </c>
      <c r="FH80">
        <v>23878.9189456964</v>
      </c>
      <c r="FI80">
        <v>15843.1214101982</v>
      </c>
      <c r="FJ80">
        <v>12933.3614087284</v>
      </c>
      <c r="FK80">
        <v>0.022652006149292</v>
      </c>
      <c r="FL80">
        <v>0.0245419859886169</v>
      </c>
      <c r="FM80">
        <v>15495.6229903483</v>
      </c>
      <c r="FN80">
        <v>24452.732774086</v>
      </c>
      <c r="FO80">
        <v>30854.6326603174</v>
      </c>
      <c r="FP80">
        <v>20978.7137810469</v>
      </c>
      <c r="FQ80">
        <v>13325.0835635126</v>
      </c>
      <c r="FR80">
        <v>62270.4229691541</v>
      </c>
      <c r="FS80">
        <v>66662.50306731219</v>
      </c>
      <c r="FT80">
        <v>366142.976284993</v>
      </c>
      <c r="FU80">
        <v>648552.3391465259</v>
      </c>
      <c r="FV80">
        <v>675993.248101449</v>
      </c>
      <c r="FW80">
        <v>23878.9189456964</v>
      </c>
      <c r="FX80">
        <v>15843.1214101982</v>
      </c>
      <c r="FY80">
        <v>12933.3614087284</v>
      </c>
      <c r="FZ80">
        <v>0.022652006149292</v>
      </c>
      <c r="GA80">
        <v>0.0245419859886169</v>
      </c>
      <c r="GB80">
        <v>15495.6229903483</v>
      </c>
      <c r="GC80">
        <v>24452.732774086</v>
      </c>
      <c r="GD80">
        <v>30854.6326603174</v>
      </c>
      <c r="GE80">
        <v>20978.7137810469</v>
      </c>
      <c r="GF80">
        <v>13325.0835635126</v>
      </c>
      <c r="GG80">
        <v>62270.4229691541</v>
      </c>
      <c r="GH80">
        <v>66662.50306731219</v>
      </c>
      <c r="GI80">
        <v>366142.976284993</v>
      </c>
      <c r="GJ80">
        <v>648552.3391465259</v>
      </c>
      <c r="GK80">
        <v>675993.248101449</v>
      </c>
      <c r="GL80">
        <v>2338927.53069642</v>
      </c>
      <c r="GM80">
        <v>2704499.35489608</v>
      </c>
      <c r="GN80">
        <v>3597797.30132602</v>
      </c>
      <c r="GO80">
        <v>3930024.82515149</v>
      </c>
      <c r="GP80">
        <v>2312640.77953815</v>
      </c>
      <c r="GQ80">
        <v>33280.3572291184</v>
      </c>
      <c r="GR80">
        <v>25697.1953825855</v>
      </c>
      <c r="GS80">
        <v>139569.001424468</v>
      </c>
      <c r="GT80">
        <v>96069.7517338514</v>
      </c>
      <c r="GU80">
        <v>69154.39584773179</v>
      </c>
      <c r="GV80">
        <v>1799835.55673989</v>
      </c>
      <c r="GW80">
        <v>1749291.54386055</v>
      </c>
      <c r="GX80">
        <v>1193279.48814682</v>
      </c>
      <c r="GY80">
        <v>1244797.26823647</v>
      </c>
      <c r="GZ80">
        <v>1189146.87285145</v>
      </c>
      <c r="HA80">
        <v>505811.616727412</v>
      </c>
      <c r="HB80">
        <v>929510.615652943</v>
      </c>
      <c r="HC80">
        <v>2264948.81175473</v>
      </c>
      <c r="HD80">
        <v>2589157.80518117</v>
      </c>
      <c r="HE80">
        <v>1054339.51083897</v>
      </c>
      <c r="HF80">
        <v>481411.450715059</v>
      </c>
      <c r="HG80">
        <v>487457.211514807</v>
      </c>
      <c r="HH80">
        <v>481816.650726151</v>
      </c>
      <c r="HI80">
        <v>697448.281192804</v>
      </c>
      <c r="HJ80">
        <v>1003892.53831489</v>
      </c>
      <c r="HK80">
        <v>2440572.49560162</v>
      </c>
      <c r="HL80">
        <v>2811457.71214767</v>
      </c>
      <c r="HM80">
        <v>4007728.27168006</v>
      </c>
      <c r="HN80">
        <v>4599555.90186367</v>
      </c>
      <c r="HO80">
        <v>3001959.1357451</v>
      </c>
      <c r="HP80">
        <v>828736.9166238901</v>
      </c>
      <c r="HQ80">
        <v>1106914.6551197</v>
      </c>
      <c r="HR80">
        <v>2591055.23769078</v>
      </c>
      <c r="HS80">
        <v>2666666.1746222</v>
      </c>
      <c r="HT80">
        <v>822476.987600714</v>
      </c>
      <c r="HU80">
        <v>60474.3422758579</v>
      </c>
      <c r="HV80">
        <v>64322.0788669586</v>
      </c>
      <c r="HW80">
        <v>62086.7562115192</v>
      </c>
      <c r="HX80">
        <v>77583.1210613251</v>
      </c>
      <c r="HY80">
        <v>84056.302011013</v>
      </c>
      <c r="HZ80">
        <v>768262.574348032</v>
      </c>
      <c r="IA80">
        <v>1042592.57625274</v>
      </c>
      <c r="IB80">
        <v>2528968.48147926</v>
      </c>
      <c r="IC80">
        <v>2589083.05356088</v>
      </c>
      <c r="ID80">
        <v>738420.6855897011</v>
      </c>
      <c r="IE80">
        <v>304321.144033818</v>
      </c>
      <c r="IF80">
        <v>465837.744212256</v>
      </c>
      <c r="IG80">
        <v>583471.922765172</v>
      </c>
      <c r="IH80">
        <v>740147.0069821361</v>
      </c>
      <c r="II80">
        <v>892270.935332316</v>
      </c>
      <c r="IJ80">
        <v>304321.144033818</v>
      </c>
      <c r="IK80">
        <v>465837.744212256</v>
      </c>
      <c r="IL80">
        <v>583471.922765172</v>
      </c>
      <c r="IM80">
        <v>740147.0069821361</v>
      </c>
      <c r="IN80">
        <v>892270.935332316</v>
      </c>
      <c r="IO80">
        <v>0</v>
      </c>
      <c r="IP80">
        <v>0</v>
      </c>
      <c r="IQ80">
        <v>0</v>
      </c>
      <c r="IR80">
        <v>0</v>
      </c>
      <c r="IS80">
        <v>0</v>
      </c>
      <c r="IT80">
        <v>0</v>
      </c>
      <c r="IU80">
        <v>0</v>
      </c>
      <c r="IV80">
        <v>0</v>
      </c>
      <c r="IW80">
        <v>0</v>
      </c>
      <c r="IX80">
        <v>0</v>
      </c>
      <c r="IY80">
        <v>1307514.43494391</v>
      </c>
      <c r="IZ80">
        <v>1238705.31281572</v>
      </c>
      <c r="JA80">
        <v>833201.111224103</v>
      </c>
      <c r="JB80">
        <v>1192742.71912673</v>
      </c>
      <c r="JC80">
        <v>1287211.21281207</v>
      </c>
      <c r="JD80">
        <v>0</v>
      </c>
      <c r="JE80">
        <v>2393.46422415733</v>
      </c>
      <c r="JF80">
        <v>0</v>
      </c>
      <c r="JG80">
        <v>0</v>
      </c>
      <c r="JH80">
        <v>0</v>
      </c>
      <c r="JI80">
        <v>386784.937882345</v>
      </c>
      <c r="JJ80">
        <v>471749.121165209</v>
      </c>
      <c r="JK80">
        <v>179683.050892228</v>
      </c>
      <c r="JL80">
        <v>216458.640639567</v>
      </c>
      <c r="JM80">
        <v>176091.191395932</v>
      </c>
      <c r="JN80">
        <v>920729.497061562</v>
      </c>
      <c r="JO80">
        <v>764562.727426357</v>
      </c>
      <c r="JP80">
        <v>653518.060331875</v>
      </c>
      <c r="JQ80">
        <v>976284.078487165</v>
      </c>
      <c r="JR80">
        <v>1111120.02141613</v>
      </c>
      <c r="JS80">
        <v>2440572.49560162</v>
      </c>
      <c r="JT80">
        <v>2811457.71214767</v>
      </c>
      <c r="JU80">
        <v>4007728.27168006</v>
      </c>
      <c r="JV80">
        <v>4599555.90186367</v>
      </c>
      <c r="JW80">
        <v>3001959.1357451</v>
      </c>
      <c r="JX80">
        <v>1446330.97608666</v>
      </c>
      <c r="JY80">
        <v>1303239.61807793</v>
      </c>
      <c r="JZ80">
        <v>1153165.43867906</v>
      </c>
      <c r="KA80">
        <v>1124408.37819815</v>
      </c>
      <c r="KB80">
        <v>1082210.07730325</v>
      </c>
      <c r="KC80" t="s">
        <v>1900</v>
      </c>
      <c r="KD80" t="s">
        <v>1900</v>
      </c>
      <c r="KE80" t="s">
        <v>1900</v>
      </c>
      <c r="KF80" t="s">
        <v>1900</v>
      </c>
      <c r="KG80" t="s">
        <v>1900</v>
      </c>
      <c r="KH80" t="s">
        <v>1900</v>
      </c>
      <c r="KI80" t="s">
        <v>1900</v>
      </c>
      <c r="KJ80" t="s">
        <v>1900</v>
      </c>
      <c r="KK80" t="s">
        <v>1900</v>
      </c>
      <c r="KL80" t="s">
        <v>1900</v>
      </c>
      <c r="KM80">
        <v>41</v>
      </c>
      <c r="KN80">
        <v>42</v>
      </c>
      <c r="KO80">
        <v>42</v>
      </c>
      <c r="KP80">
        <v>32</v>
      </c>
      <c r="KQ80">
        <v>26</v>
      </c>
      <c r="KR80" t="s">
        <v>1900</v>
      </c>
      <c r="KS80" t="s">
        <v>1900</v>
      </c>
      <c r="KT80" t="s">
        <v>1900</v>
      </c>
      <c r="KU80" t="s">
        <v>1900</v>
      </c>
      <c r="KV80" t="s">
        <v>1900</v>
      </c>
      <c r="KW80" t="s">
        <v>1900</v>
      </c>
      <c r="KX80" t="s">
        <v>1900</v>
      </c>
      <c r="KY80" t="s">
        <v>1900</v>
      </c>
      <c r="KZ80" t="s">
        <v>1900</v>
      </c>
      <c r="LA80" t="s">
        <v>1900</v>
      </c>
      <c r="LB80" t="s">
        <v>1900</v>
      </c>
      <c r="LC80" t="s">
        <v>1900</v>
      </c>
      <c r="LD80" t="s">
        <v>1900</v>
      </c>
      <c r="LE80" t="s">
        <v>1900</v>
      </c>
      <c r="LF80" t="s">
        <v>1900</v>
      </c>
      <c r="LG80" t="s">
        <v>1900</v>
      </c>
      <c r="LH80" t="s">
        <v>1900</v>
      </c>
      <c r="LI80" t="s">
        <v>1900</v>
      </c>
      <c r="LJ80" t="s">
        <v>1900</v>
      </c>
      <c r="LK80" t="s">
        <v>1900</v>
      </c>
      <c r="LL80" t="s">
        <v>1900</v>
      </c>
      <c r="LM80" t="s">
        <v>1900</v>
      </c>
      <c r="LN80" t="s">
        <v>1900</v>
      </c>
      <c r="LO80" t="s">
        <v>1900</v>
      </c>
      <c r="LP80" t="s">
        <v>1900</v>
      </c>
      <c r="LQ80" t="s">
        <v>1900</v>
      </c>
      <c r="LR80" t="s">
        <v>1900</v>
      </c>
      <c r="LS80" t="s">
        <v>1900</v>
      </c>
      <c r="LT80" t="s">
        <v>1900</v>
      </c>
      <c r="LU80" t="s">
        <v>1900</v>
      </c>
      <c r="LV80" t="s">
        <v>1900</v>
      </c>
      <c r="LW80" t="s">
        <v>1900</v>
      </c>
      <c r="LX80" t="s">
        <v>1900</v>
      </c>
      <c r="LY80" t="s">
        <v>1900</v>
      </c>
      <c r="LZ80" t="s">
        <v>1900</v>
      </c>
      <c r="MA80" t="s">
        <v>1900</v>
      </c>
      <c r="MB80" t="s">
        <v>1900</v>
      </c>
      <c r="MC80" t="s">
        <v>1900</v>
      </c>
      <c r="MD80" t="s">
        <v>1900</v>
      </c>
      <c r="ME80" t="s">
        <v>1900</v>
      </c>
      <c r="MF80" t="s">
        <v>1900</v>
      </c>
      <c r="MG80" t="s">
        <v>1900</v>
      </c>
      <c r="MH80" t="s">
        <v>1900</v>
      </c>
      <c r="MI80" t="s">
        <v>1900</v>
      </c>
      <c r="MJ80" t="s">
        <v>1900</v>
      </c>
      <c r="MK80" t="s">
        <v>1900</v>
      </c>
      <c r="ML80" t="s">
        <v>1900</v>
      </c>
      <c r="MM80" t="s">
        <v>1900</v>
      </c>
      <c r="MN80" t="s">
        <v>1900</v>
      </c>
      <c r="MO80" t="s">
        <v>1900</v>
      </c>
      <c r="MP80">
        <v>505811.616727412</v>
      </c>
      <c r="MQ80">
        <v>929510.615652943</v>
      </c>
      <c r="MR80">
        <v>2264948.81175473</v>
      </c>
      <c r="MS80">
        <v>2589157.80518117</v>
      </c>
      <c r="MT80">
        <v>1054339.51083897</v>
      </c>
      <c r="MU80" t="s">
        <v>1900</v>
      </c>
      <c r="MV80" t="s">
        <v>1900</v>
      </c>
      <c r="MW80" t="s">
        <v>1900</v>
      </c>
      <c r="MX80" t="s">
        <v>1900</v>
      </c>
      <c r="MY80" t="s">
        <v>1900</v>
      </c>
      <c r="MZ80" t="s">
        <v>1900</v>
      </c>
      <c r="NA80" t="s">
        <v>1900</v>
      </c>
      <c r="NB80" t="s">
        <v>1900</v>
      </c>
      <c r="NC80" t="s">
        <v>1900</v>
      </c>
      <c r="ND80" t="s">
        <v>1900</v>
      </c>
      <c r="NE80" t="s">
        <v>1900</v>
      </c>
      <c r="NF80" t="s">
        <v>1900</v>
      </c>
      <c r="NG80" t="s">
        <v>1900</v>
      </c>
      <c r="NH80" t="s">
        <v>1900</v>
      </c>
      <c r="NI80" t="s">
        <v>1900</v>
      </c>
      <c r="NJ80" t="s">
        <v>1900</v>
      </c>
      <c r="NK80" t="s">
        <v>1900</v>
      </c>
      <c r="NL80" t="s">
        <v>1900</v>
      </c>
      <c r="NM80" t="s">
        <v>1900</v>
      </c>
      <c r="NN80" t="s">
        <v>1900</v>
      </c>
      <c r="NO80" t="s">
        <v>1900</v>
      </c>
      <c r="NP80" t="s">
        <v>1900</v>
      </c>
      <c r="NQ80" t="s">
        <v>1900</v>
      </c>
      <c r="NR80" t="s">
        <v>1900</v>
      </c>
      <c r="NS80" t="s">
        <v>1900</v>
      </c>
      <c r="NT80">
        <v>101644.964905199</v>
      </c>
      <c r="NU80">
        <v>106958.357251596</v>
      </c>
      <c r="NV80">
        <v>409930.970354039</v>
      </c>
      <c r="NW80">
        <v>669531.076712179</v>
      </c>
      <c r="NX80">
        <v>689318.356206947</v>
      </c>
      <c r="NY80" t="s">
        <v>1900</v>
      </c>
      <c r="NZ80" t="s">
        <v>1900</v>
      </c>
      <c r="OA80" t="s">
        <v>1900</v>
      </c>
      <c r="OB80" t="s">
        <v>1900</v>
      </c>
      <c r="OC80" t="s">
        <v>1900</v>
      </c>
      <c r="OD80" t="s">
        <v>1900</v>
      </c>
      <c r="OE80" t="s">
        <v>1900</v>
      </c>
      <c r="OF80" t="s">
        <v>1900</v>
      </c>
      <c r="OG80" t="s">
        <v>1900</v>
      </c>
      <c r="OH80" t="s">
        <v>1900</v>
      </c>
      <c r="OI80" t="s">
        <v>1900</v>
      </c>
      <c r="OJ80" t="s">
        <v>1900</v>
      </c>
      <c r="OK80" t="s">
        <v>1900</v>
      </c>
      <c r="OL80" t="s">
        <v>1900</v>
      </c>
      <c r="OM80" t="s">
        <v>1900</v>
      </c>
      <c r="ON80" t="s">
        <v>1900</v>
      </c>
      <c r="OO80" t="s">
        <v>1900</v>
      </c>
      <c r="OP80" t="s">
        <v>1900</v>
      </c>
      <c r="OQ80" t="s">
        <v>1900</v>
      </c>
      <c r="OR80" t="s">
        <v>1900</v>
      </c>
      <c r="OS80" t="s">
        <v>1900</v>
      </c>
      <c r="OT80" t="s">
        <v>1900</v>
      </c>
      <c r="OU80" t="s">
        <v>1900</v>
      </c>
      <c r="OV80" t="s">
        <v>1900</v>
      </c>
      <c r="OW80" t="s">
        <v>1900</v>
      </c>
      <c r="OX80" t="s">
        <v>1900</v>
      </c>
      <c r="OY80" t="s">
        <v>1900</v>
      </c>
      <c r="OZ80" t="s">
        <v>1900</v>
      </c>
      <c r="PA80" t="s">
        <v>1900</v>
      </c>
      <c r="PB80" t="s">
        <v>1900</v>
      </c>
      <c r="PC80" t="s">
        <v>1900</v>
      </c>
      <c r="PD80" t="s">
        <v>1900</v>
      </c>
      <c r="PE80" t="s">
        <v>1900</v>
      </c>
      <c r="PF80" t="s">
        <v>1900</v>
      </c>
      <c r="PG80" t="s">
        <v>1900</v>
      </c>
      <c r="PH80" t="s">
        <v>1900</v>
      </c>
      <c r="PI80" t="s">
        <v>1900</v>
      </c>
      <c r="PJ80" t="s">
        <v>1900</v>
      </c>
      <c r="PK80" t="s">
        <v>1900</v>
      </c>
      <c r="PL80" t="s">
        <v>1900</v>
      </c>
      <c r="PM80" t="s">
        <v>1900</v>
      </c>
      <c r="PN80" t="s">
        <v>1900</v>
      </c>
      <c r="PO80" t="s">
        <v>1900</v>
      </c>
      <c r="PP80" t="s">
        <v>1900</v>
      </c>
      <c r="PQ80" t="s">
        <v>1900</v>
      </c>
      <c r="PR80" t="s">
        <v>1900</v>
      </c>
      <c r="PS80" t="s">
        <v>1900</v>
      </c>
      <c r="PT80" t="s">
        <v>1900</v>
      </c>
      <c r="PU80" t="s">
        <v>1900</v>
      </c>
      <c r="PV80" t="s">
        <v>1900</v>
      </c>
      <c r="PW80" t="s">
        <v>1900</v>
      </c>
      <c r="PX80" t="s">
        <v>1900</v>
      </c>
      <c r="PY80" t="s">
        <v>1900</v>
      </c>
      <c r="PZ80" t="s">
        <v>1900</v>
      </c>
      <c r="QA80" t="s">
        <v>1900</v>
      </c>
      <c r="QB80" t="s">
        <v>1900</v>
      </c>
      <c r="QC80" t="s">
        <v>1900</v>
      </c>
      <c r="QD80" t="s">
        <v>1900</v>
      </c>
      <c r="QE80" t="s">
        <v>1900</v>
      </c>
      <c r="QF80" t="s">
        <v>1900</v>
      </c>
      <c r="QG80" t="s">
        <v>1900</v>
      </c>
      <c r="QH80" t="s">
        <v>1900</v>
      </c>
      <c r="QI80" t="s">
        <v>1900</v>
      </c>
      <c r="QJ80" t="s">
        <v>1900</v>
      </c>
      <c r="QK80" t="s">
        <v>1900</v>
      </c>
      <c r="QL80" t="s">
        <v>1900</v>
      </c>
      <c r="QM80" t="s">
        <v>1900</v>
      </c>
      <c r="QN80" t="s">
        <v>1900</v>
      </c>
      <c r="QO80" t="s">
        <v>1900</v>
      </c>
      <c r="QP80" t="s">
        <v>1900</v>
      </c>
      <c r="QQ80" t="s">
        <v>1900</v>
      </c>
      <c r="QR80" t="s">
        <v>1900</v>
      </c>
      <c r="QS80" t="s">
        <v>1900</v>
      </c>
      <c r="QT80" t="s">
        <v>1900</v>
      </c>
      <c r="QU80" t="s">
        <v>1900</v>
      </c>
      <c r="QV80" t="s">
        <v>1900</v>
      </c>
      <c r="QW80" t="s">
        <v>1900</v>
      </c>
      <c r="QX80" t="s">
        <v>1900</v>
      </c>
      <c r="QY80" t="s">
        <v>1900</v>
      </c>
      <c r="QZ80" t="s">
        <v>1900</v>
      </c>
      <c r="RA80" t="s">
        <v>1900</v>
      </c>
      <c r="RB80" t="s">
        <v>1900</v>
      </c>
      <c r="RC80" t="s">
        <v>1900</v>
      </c>
      <c r="RD80" t="s">
        <v>1900</v>
      </c>
      <c r="RE80" t="s">
        <v>1900</v>
      </c>
      <c r="RF80" t="s">
        <v>1900</v>
      </c>
      <c r="RG80" t="s">
        <v>1900</v>
      </c>
      <c r="RH80" t="s">
        <v>1900</v>
      </c>
      <c r="RI80" t="s">
        <v>1900</v>
      </c>
      <c r="RJ80" t="s">
        <v>1900</v>
      </c>
      <c r="RK80" t="s">
        <v>1900</v>
      </c>
      <c r="RL80" t="s">
        <v>1900</v>
      </c>
      <c r="RM80" t="s">
        <v>1900</v>
      </c>
      <c r="RN80" t="s">
        <v>1900</v>
      </c>
      <c r="RO80" t="s">
        <v>1900</v>
      </c>
      <c r="RP80" t="s">
        <v>1900</v>
      </c>
      <c r="RQ80" t="s">
        <v>1900</v>
      </c>
      <c r="RR80" t="s">
        <v>1900</v>
      </c>
      <c r="RS80" t="s">
        <v>1900</v>
      </c>
      <c r="RT80" t="s">
        <v>1900</v>
      </c>
      <c r="RU80" t="s">
        <v>1900</v>
      </c>
      <c r="RV80" t="s">
        <v>1900</v>
      </c>
      <c r="RW80" t="s">
        <v>1900</v>
      </c>
      <c r="RX80" t="s">
        <v>1900</v>
      </c>
      <c r="RY80" t="s">
        <v>1900</v>
      </c>
      <c r="RZ80" t="s">
        <v>1900</v>
      </c>
      <c r="SA80" t="s">
        <v>1900</v>
      </c>
      <c r="SB80" t="s">
        <v>1900</v>
      </c>
      <c r="SC80" t="s">
        <v>1900</v>
      </c>
      <c r="SD80" t="s">
        <v>1900</v>
      </c>
      <c r="SE80" t="s">
        <v>1900</v>
      </c>
      <c r="SF80" t="s">
        <v>1900</v>
      </c>
      <c r="SG80" t="s">
        <v>1900</v>
      </c>
      <c r="SH80" t="s">
        <v>1900</v>
      </c>
      <c r="SI80" t="s">
        <v>1900</v>
      </c>
      <c r="SJ80">
        <v>62270.4229691541</v>
      </c>
      <c r="SK80">
        <v>66662.50306731219</v>
      </c>
      <c r="SL80">
        <v>366142.976284993</v>
      </c>
      <c r="SM80">
        <v>648552.3391465259</v>
      </c>
      <c r="SN80">
        <v>675993.248101449</v>
      </c>
      <c r="SO80" t="s">
        <v>1900</v>
      </c>
      <c r="SP80" t="s">
        <v>1900</v>
      </c>
      <c r="SQ80" t="s">
        <v>1900</v>
      </c>
      <c r="SR80" t="s">
        <v>1900</v>
      </c>
      <c r="SS80" t="s">
        <v>1900</v>
      </c>
      <c r="ST80" t="s">
        <v>1900</v>
      </c>
      <c r="SU80" t="s">
        <v>1900</v>
      </c>
      <c r="SV80" t="s">
        <v>1900</v>
      </c>
      <c r="SW80" t="s">
        <v>1900</v>
      </c>
      <c r="SX80" t="s">
        <v>1900</v>
      </c>
      <c r="SY80" t="s">
        <v>1900</v>
      </c>
      <c r="SZ80" t="s">
        <v>1900</v>
      </c>
      <c r="TA80" t="s">
        <v>1900</v>
      </c>
      <c r="TB80" t="s">
        <v>1900</v>
      </c>
      <c r="TC80" t="s">
        <v>1900</v>
      </c>
      <c r="TD80" t="s">
        <v>1900</v>
      </c>
      <c r="TE80" t="s">
        <v>1900</v>
      </c>
      <c r="TF80" t="s">
        <v>1900</v>
      </c>
      <c r="TG80" t="s">
        <v>1900</v>
      </c>
      <c r="TH80" t="s">
        <v>1900</v>
      </c>
      <c r="TI80" t="s">
        <v>1900</v>
      </c>
      <c r="TJ80" t="s">
        <v>1900</v>
      </c>
      <c r="TK80" t="s">
        <v>1900</v>
      </c>
      <c r="TL80" t="s">
        <v>1900</v>
      </c>
      <c r="TM80" t="s">
        <v>1900</v>
      </c>
      <c r="TN80" t="s">
        <v>1900</v>
      </c>
      <c r="TO80" t="s">
        <v>1900</v>
      </c>
      <c r="TP80" t="s">
        <v>1900</v>
      </c>
      <c r="TQ80" t="s">
        <v>1900</v>
      </c>
      <c r="TR80" t="s">
        <v>1900</v>
      </c>
      <c r="TS80">
        <v>2440572.49560162</v>
      </c>
      <c r="TT80">
        <v>2811457.71214767</v>
      </c>
      <c r="TU80">
        <v>4007728.27168006</v>
      </c>
      <c r="TV80">
        <v>4599555.90186367</v>
      </c>
      <c r="TW80">
        <v>3001959.1357451</v>
      </c>
      <c r="TX80" t="s">
        <v>1900</v>
      </c>
      <c r="TY80" t="s">
        <v>1900</v>
      </c>
      <c r="TZ80" t="s">
        <v>1900</v>
      </c>
      <c r="UA80" t="s">
        <v>1900</v>
      </c>
      <c r="UB80" t="s">
        <v>1900</v>
      </c>
      <c r="UC80">
        <v>0</v>
      </c>
      <c r="UD80">
        <v>2393.46422415733</v>
      </c>
      <c r="UE80">
        <v>0</v>
      </c>
      <c r="UF80">
        <v>0</v>
      </c>
      <c r="UG80">
        <v>0</v>
      </c>
      <c r="UH80" t="s">
        <v>1900</v>
      </c>
      <c r="UI80" t="s">
        <v>1900</v>
      </c>
      <c r="UJ80" t="s">
        <v>1900</v>
      </c>
      <c r="UK80" t="s">
        <v>1900</v>
      </c>
      <c r="UL80" t="s">
        <v>1900</v>
      </c>
      <c r="UM80" t="s">
        <v>1900</v>
      </c>
      <c r="UN80" t="s">
        <v>1900</v>
      </c>
      <c r="UO80" t="s">
        <v>1900</v>
      </c>
      <c r="UP80" t="s">
        <v>1900</v>
      </c>
      <c r="UQ80" t="s">
        <v>1900</v>
      </c>
      <c r="UR80" t="s">
        <v>1900</v>
      </c>
      <c r="US80" t="s">
        <v>1900</v>
      </c>
      <c r="UT80" t="s">
        <v>1900</v>
      </c>
      <c r="UU80" t="s">
        <v>1900</v>
      </c>
      <c r="UV80" t="s">
        <v>1900</v>
      </c>
      <c r="UW80" t="s">
        <v>1900</v>
      </c>
      <c r="UX80" t="s">
        <v>1900</v>
      </c>
      <c r="UY80" t="s">
        <v>1900</v>
      </c>
      <c r="UZ80" t="s">
        <v>1900</v>
      </c>
      <c r="VA80" t="s">
        <v>1900</v>
      </c>
      <c r="VB80" t="s">
        <v>1900</v>
      </c>
      <c r="VC80" t="s">
        <v>1900</v>
      </c>
      <c r="VD80" t="s">
        <v>1900</v>
      </c>
      <c r="VE80" t="s">
        <v>1900</v>
      </c>
      <c r="VF80" t="s">
        <v>1900</v>
      </c>
      <c r="VG80" t="s">
        <v>1900</v>
      </c>
      <c r="VH80" t="s">
        <v>1900</v>
      </c>
      <c r="VI80" t="s">
        <v>1900</v>
      </c>
      <c r="VJ80" t="s">
        <v>1900</v>
      </c>
      <c r="VK80" t="s">
        <v>1900</v>
      </c>
      <c r="VL80" t="s">
        <v>1900</v>
      </c>
      <c r="VM80" t="s">
        <v>1900</v>
      </c>
      <c r="VN80" t="s">
        <v>1900</v>
      </c>
      <c r="VO80" t="s">
        <v>1900</v>
      </c>
      <c r="VP80" t="s">
        <v>1900</v>
      </c>
      <c r="VQ80" t="s">
        <v>1900</v>
      </c>
      <c r="VR80" t="s">
        <v>1900</v>
      </c>
      <c r="VS80" t="s">
        <v>1900</v>
      </c>
      <c r="VT80" t="s">
        <v>1900</v>
      </c>
      <c r="VU80" t="s">
        <v>1900</v>
      </c>
      <c r="VV80" t="s">
        <v>1900</v>
      </c>
      <c r="VW80" t="s">
        <v>1900</v>
      </c>
      <c r="VX80" t="s">
        <v>1900</v>
      </c>
      <c r="VY80" t="s">
        <v>1900</v>
      </c>
      <c r="VZ80" t="s">
        <v>1900</v>
      </c>
      <c r="WA80">
        <v>920729.497061562</v>
      </c>
      <c r="WB80">
        <v>764562.727426357</v>
      </c>
      <c r="WC80">
        <v>653518.060331875</v>
      </c>
      <c r="WD80">
        <v>976284.078487165</v>
      </c>
      <c r="WE80">
        <v>1111120.02141613</v>
      </c>
      <c r="WF80" t="s">
        <v>1900</v>
      </c>
      <c r="WG80" t="s">
        <v>1900</v>
      </c>
      <c r="WH80" t="s">
        <v>1900</v>
      </c>
      <c r="WI80" t="s">
        <v>1900</v>
      </c>
      <c r="WJ80" t="s">
        <v>1900</v>
      </c>
      <c r="WK80" t="s">
        <v>1900</v>
      </c>
      <c r="WL80" t="s">
        <v>1900</v>
      </c>
      <c r="WM80" t="s">
        <v>1900</v>
      </c>
      <c r="WN80" t="s">
        <v>1900</v>
      </c>
      <c r="WO80" t="s">
        <v>1900</v>
      </c>
      <c r="WP80" t="s">
        <v>1900</v>
      </c>
      <c r="WQ80" t="s">
        <v>1900</v>
      </c>
      <c r="WR80" t="s">
        <v>1900</v>
      </c>
      <c r="WS80" t="s">
        <v>1900</v>
      </c>
      <c r="WT80" t="s">
        <v>1900</v>
      </c>
      <c r="WU80" t="s">
        <v>1900</v>
      </c>
      <c r="WV80" t="s">
        <v>1900</v>
      </c>
      <c r="WW80" t="s">
        <v>1900</v>
      </c>
      <c r="WX80" t="s">
        <v>1900</v>
      </c>
      <c r="WY80" t="s">
        <v>1900</v>
      </c>
      <c r="WZ80" t="s">
        <v>1900</v>
      </c>
      <c r="XA80" t="s">
        <v>1900</v>
      </c>
      <c r="XB80" t="s">
        <v>1900</v>
      </c>
      <c r="XC80" t="s">
        <v>1900</v>
      </c>
      <c r="XD80" t="s">
        <v>1900</v>
      </c>
      <c r="XE80" t="s">
        <v>1900</v>
      </c>
      <c r="XF80" t="s">
        <v>1900</v>
      </c>
      <c r="XG80" t="s">
        <v>1900</v>
      </c>
      <c r="XH80" t="s">
        <v>1900</v>
      </c>
      <c r="XI80" t="s">
        <v>1900</v>
      </c>
      <c r="XJ80">
        <v>0</v>
      </c>
      <c r="XK80">
        <v>0</v>
      </c>
      <c r="XL80">
        <v>0</v>
      </c>
      <c r="XM80">
        <v>0</v>
      </c>
      <c r="XN80">
        <v>0</v>
      </c>
      <c r="XO80" t="s">
        <v>1900</v>
      </c>
      <c r="XP80" t="s">
        <v>1900</v>
      </c>
      <c r="XQ80" t="s">
        <v>1900</v>
      </c>
      <c r="XR80" t="s">
        <v>1900</v>
      </c>
      <c r="XS80" t="s">
        <v>1900</v>
      </c>
      <c r="XT80" t="s">
        <v>1900</v>
      </c>
      <c r="XU80" t="s">
        <v>1900</v>
      </c>
      <c r="XV80" t="s">
        <v>1900</v>
      </c>
      <c r="XW80" t="s">
        <v>1900</v>
      </c>
      <c r="XX80" t="s">
        <v>1900</v>
      </c>
      <c r="XY80">
        <v>0</v>
      </c>
      <c r="XZ80">
        <v>0</v>
      </c>
      <c r="YA80">
        <v>0</v>
      </c>
      <c r="YB80">
        <v>0</v>
      </c>
      <c r="YC80">
        <v>0</v>
      </c>
      <c r="YD80" t="s">
        <v>1900</v>
      </c>
      <c r="YE80" t="s">
        <v>1900</v>
      </c>
      <c r="YF80" t="s">
        <v>1900</v>
      </c>
      <c r="YG80" t="s">
        <v>1900</v>
      </c>
      <c r="YH80" t="s">
        <v>1900</v>
      </c>
      <c r="YI80" t="s">
        <v>1900</v>
      </c>
      <c r="YJ80" t="s">
        <v>1900</v>
      </c>
      <c r="YK80" t="s">
        <v>1900</v>
      </c>
      <c r="YL80" t="s">
        <v>1900</v>
      </c>
      <c r="YM80" t="s">
        <v>1900</v>
      </c>
      <c r="YN80" t="s">
        <v>1900</v>
      </c>
      <c r="YO80" t="s">
        <v>1900</v>
      </c>
      <c r="YP80" t="s">
        <v>1900</v>
      </c>
      <c r="YQ80" t="s">
        <v>1900</v>
      </c>
      <c r="YR80" t="s">
        <v>1900</v>
      </c>
      <c r="YS80" t="s">
        <v>1900</v>
      </c>
      <c r="YT80" t="s">
        <v>1900</v>
      </c>
      <c r="YU80" t="s">
        <v>1900</v>
      </c>
      <c r="YV80" t="s">
        <v>1900</v>
      </c>
      <c r="YW80" t="s">
        <v>1900</v>
      </c>
      <c r="YX80" t="s">
        <v>1900</v>
      </c>
      <c r="YY80" t="s">
        <v>1900</v>
      </c>
      <c r="YZ80" t="s">
        <v>1900</v>
      </c>
      <c r="ZA80" t="s">
        <v>1900</v>
      </c>
      <c r="ZB80" t="s">
        <v>1900</v>
      </c>
      <c r="ZC80" t="s">
        <v>1900</v>
      </c>
      <c r="ZD80" t="s">
        <v>1900</v>
      </c>
      <c r="ZE80" t="s">
        <v>1900</v>
      </c>
      <c r="ZF80" t="s">
        <v>1900</v>
      </c>
      <c r="ZG80" t="s">
        <v>1900</v>
      </c>
      <c r="ZH80" t="s">
        <v>1900</v>
      </c>
      <c r="ZI80" t="s">
        <v>1900</v>
      </c>
      <c r="ZJ80" t="s">
        <v>1900</v>
      </c>
      <c r="ZK80" t="s">
        <v>1900</v>
      </c>
      <c r="ZL80" t="s">
        <v>1900</v>
      </c>
      <c r="ZM80" t="s">
        <v>1900</v>
      </c>
      <c r="ZN80" t="s">
        <v>1900</v>
      </c>
      <c r="ZO80" t="s">
        <v>1900</v>
      </c>
      <c r="ZP80" t="s">
        <v>1900</v>
      </c>
      <c r="ZQ80" t="s">
        <v>1900</v>
      </c>
      <c r="ZR80" t="s">
        <v>1900</v>
      </c>
      <c r="ZS80" t="s">
        <v>1900</v>
      </c>
      <c r="ZT80" t="s">
        <v>1900</v>
      </c>
      <c r="ZU80" t="s">
        <v>1900</v>
      </c>
      <c r="ZV80" t="s">
        <v>1900</v>
      </c>
      <c r="ZW80" t="s">
        <v>1900</v>
      </c>
      <c r="ZX80" t="s">
        <v>1900</v>
      </c>
      <c r="ZY80" t="s">
        <v>1900</v>
      </c>
      <c r="ZZ80" t="s">
        <v>1900</v>
      </c>
      <c r="AAA80" t="s">
        <v>1900</v>
      </c>
      <c r="AAB80" t="s">
        <v>1900</v>
      </c>
      <c r="AAC80" t="s">
        <v>1900</v>
      </c>
      <c r="AAD80" t="s">
        <v>1900</v>
      </c>
      <c r="AAE80" t="s">
        <v>1900</v>
      </c>
      <c r="AAF80" t="s">
        <v>1900</v>
      </c>
      <c r="AAG80" t="s">
        <v>1900</v>
      </c>
      <c r="AAH80" t="s">
        <v>1900</v>
      </c>
      <c r="AAI80" t="s">
        <v>1900</v>
      </c>
      <c r="AAJ80" t="s">
        <v>1900</v>
      </c>
      <c r="AAK80" t="s">
        <v>1900</v>
      </c>
      <c r="AAL80" t="s">
        <v>1900</v>
      </c>
      <c r="AAM80" t="s">
        <v>1900</v>
      </c>
      <c r="AAN80" t="s">
        <v>1900</v>
      </c>
      <c r="AAO80" t="s">
        <v>1900</v>
      </c>
      <c r="AAP80" t="s">
        <v>1900</v>
      </c>
      <c r="AAQ80" t="s">
        <v>1900</v>
      </c>
      <c r="AAR80" t="s">
        <v>1900</v>
      </c>
      <c r="AAS80" t="s">
        <v>1900</v>
      </c>
      <c r="AAT80" t="s">
        <v>1900</v>
      </c>
      <c r="AAU80" t="s">
        <v>1900</v>
      </c>
      <c r="AAV80" t="s">
        <v>1900</v>
      </c>
      <c r="AAW80" t="s">
        <v>1900</v>
      </c>
      <c r="AAX80" t="s">
        <v>1900</v>
      </c>
      <c r="AAY80" t="s">
        <v>1900</v>
      </c>
      <c r="AAZ80" t="s">
        <v>1900</v>
      </c>
      <c r="ABA80" t="s">
        <v>1900</v>
      </c>
      <c r="ABB80" t="s">
        <v>1900</v>
      </c>
      <c r="ABC80" t="s">
        <v>1900</v>
      </c>
      <c r="ABD80" t="s">
        <v>1900</v>
      </c>
      <c r="ABE80" t="s">
        <v>1900</v>
      </c>
      <c r="ABF80" t="s">
        <v>1900</v>
      </c>
      <c r="ABG80" t="s">
        <v>1900</v>
      </c>
      <c r="ABH80" t="s">
        <v>1900</v>
      </c>
      <c r="ABI80" t="s">
        <v>1900</v>
      </c>
      <c r="ABJ80" t="s">
        <v>1900</v>
      </c>
      <c r="ABK80" t="s">
        <v>1900</v>
      </c>
      <c r="ABL80" t="s">
        <v>1900</v>
      </c>
      <c r="ABM80" t="s">
        <v>1900</v>
      </c>
      <c r="ABN80" t="s">
        <v>1900</v>
      </c>
      <c r="ABO80" t="s">
        <v>1900</v>
      </c>
      <c r="ABP80" t="s">
        <v>1900</v>
      </c>
      <c r="ABQ80" t="s">
        <v>1900</v>
      </c>
      <c r="ABR80" t="s">
        <v>1900</v>
      </c>
      <c r="ABS80" t="s">
        <v>1900</v>
      </c>
      <c r="ABT80" t="s">
        <v>1900</v>
      </c>
      <c r="ABU80" t="s">
        <v>1900</v>
      </c>
      <c r="ABV80" t="s">
        <v>1900</v>
      </c>
      <c r="ABW80" t="s">
        <v>1900</v>
      </c>
      <c r="ABX80" t="s">
        <v>1900</v>
      </c>
      <c r="ABY80" t="s">
        <v>1900</v>
      </c>
      <c r="ABZ80" t="s">
        <v>1900</v>
      </c>
      <c r="ACA80" t="s">
        <v>1900</v>
      </c>
      <c r="ACB80" t="s">
        <v>1900</v>
      </c>
      <c r="ACC80" t="s">
        <v>1900</v>
      </c>
      <c r="ACD80" t="s">
        <v>1900</v>
      </c>
      <c r="ACE80">
        <v>36.274</v>
      </c>
      <c r="ACF80">
        <v>29.942</v>
      </c>
      <c r="ACG80">
        <v>19.335</v>
      </c>
      <c r="ACH80">
        <v>78.35299999999999</v>
      </c>
      <c r="ACI80">
        <v>52.017</v>
      </c>
      <c r="ACJ80">
        <v>27.093</v>
      </c>
      <c r="ACK80">
        <v>21.772</v>
      </c>
      <c r="ACL80">
        <v>15.993</v>
      </c>
      <c r="ACM80">
        <v>61.552</v>
      </c>
      <c r="ACN80">
        <v>25.461</v>
      </c>
      <c r="ACO80">
        <v>12.317</v>
      </c>
      <c r="ACP80">
        <v>11.789</v>
      </c>
      <c r="ACQ80">
        <v>12.5</v>
      </c>
      <c r="ACR80">
        <v>45.426</v>
      </c>
      <c r="ACS80">
        <v>14.252</v>
      </c>
      <c r="ACT80">
        <v>34.274</v>
      </c>
      <c r="ACU80">
        <v>28.185</v>
      </c>
      <c r="ACV80">
        <v>18.175</v>
      </c>
      <c r="ACW80">
        <v>77.776</v>
      </c>
      <c r="ACX80">
        <v>49.582</v>
      </c>
      <c r="ACY80">
        <v>25.63</v>
      </c>
      <c r="ACZ80">
        <v>20.535</v>
      </c>
      <c r="ADA80">
        <v>15.047</v>
      </c>
      <c r="ADB80">
        <v>61.101</v>
      </c>
      <c r="ADC80">
        <v>24.294</v>
      </c>
      <c r="ADD80">
        <v>11.638</v>
      </c>
      <c r="ADE80">
        <v>11.097</v>
      </c>
      <c r="ADF80">
        <v>11.75</v>
      </c>
      <c r="ADG80">
        <v>45.092</v>
      </c>
      <c r="ADH80">
        <v>13.585</v>
      </c>
      <c r="ADI80">
        <v>7.658</v>
      </c>
      <c r="ADJ80">
        <v>8.101000000000001</v>
      </c>
      <c r="ADK80">
        <v>16.478</v>
      </c>
      <c r="ADL80">
        <v>70.158</v>
      </c>
      <c r="ADM80">
        <v>12.985</v>
      </c>
      <c r="ADN80">
        <v>61.302</v>
      </c>
      <c r="ADO80">
        <v>63.473</v>
      </c>
      <c r="ADP80">
        <v>71.19799999999999</v>
      </c>
      <c r="ADQ80">
        <v>67.82599999999999</v>
      </c>
      <c r="ADR80">
        <v>64.416</v>
      </c>
      <c r="ADS80">
        <v>7.19332179</v>
      </c>
      <c r="ADT80">
        <v>8.369904435</v>
      </c>
      <c r="ADU80">
        <v>10.151535461</v>
      </c>
      <c r="ADV80">
        <v>8.843718428000001</v>
      </c>
      <c r="ADW80">
        <v>10.392414801</v>
      </c>
      <c r="ADX80">
        <v>7.652</v>
      </c>
      <c r="ADY80">
        <v>8.786</v>
      </c>
      <c r="ADZ80">
        <v>10.583</v>
      </c>
      <c r="AEA80">
        <v>9.196999999999999</v>
      </c>
      <c r="AEB80">
        <v>11.281</v>
      </c>
      <c r="AEC80">
        <v>7.193</v>
      </c>
      <c r="AED80">
        <v>8.369999999999999</v>
      </c>
      <c r="AEE80">
        <v>10.152</v>
      </c>
      <c r="AEF80">
        <v>8.843999999999999</v>
      </c>
      <c r="AEG80">
        <v>10.392</v>
      </c>
      <c r="AEH80">
        <v>7.694</v>
      </c>
      <c r="AEI80">
        <v>8.042</v>
      </c>
      <c r="AEJ80">
        <v>15.921</v>
      </c>
      <c r="AEK80">
        <v>69.996</v>
      </c>
      <c r="AEL80">
        <v>13.266</v>
      </c>
      <c r="AEM80">
        <v>7.750866563</v>
      </c>
      <c r="AEN80">
        <v>9.134449094000001</v>
      </c>
      <c r="AEO80">
        <v>11.298507452</v>
      </c>
      <c r="AEP80">
        <v>9.701710375999999</v>
      </c>
      <c r="AEQ80">
        <v>11.597695416</v>
      </c>
      <c r="AER80">
        <v>1.132941351</v>
      </c>
      <c r="AES80">
        <v>1.151895661</v>
      </c>
      <c r="AET80">
        <v>1.166292942</v>
      </c>
      <c r="AEU80">
        <v>1.149939518</v>
      </c>
      <c r="AEV80">
        <v>1.192369835</v>
      </c>
      <c r="AEW80" t="s">
        <v>1900</v>
      </c>
      <c r="AEX80" t="s">
        <v>1900</v>
      </c>
      <c r="AEY80" t="s">
        <v>1900</v>
      </c>
      <c r="AEZ80" t="s">
        <v>1900</v>
      </c>
      <c r="AFA80" t="s">
        <v>1900</v>
      </c>
      <c r="AFB80" t="s">
        <v>1900</v>
      </c>
      <c r="AFC80" t="s">
        <v>1900</v>
      </c>
      <c r="AFD80" t="s">
        <v>1900</v>
      </c>
      <c r="AFE80" t="s">
        <v>1900</v>
      </c>
      <c r="AFF80" t="s">
        <v>1900</v>
      </c>
      <c r="AFG80">
        <v>3.465</v>
      </c>
      <c r="AFH80">
        <v>2.601</v>
      </c>
      <c r="AFI80">
        <v>0.958</v>
      </c>
      <c r="AFJ80">
        <v>0.874</v>
      </c>
      <c r="AFK80">
        <v>1.921</v>
      </c>
      <c r="AFL80">
        <v>44.399</v>
      </c>
      <c r="AFM80">
        <v>31.171</v>
      </c>
      <c r="AFN80">
        <v>45.811</v>
      </c>
      <c r="AFO80">
        <v>34.876</v>
      </c>
      <c r="AFP80">
        <v>39.038</v>
      </c>
      <c r="AFQ80">
        <v>117.953</v>
      </c>
      <c r="AFR80">
        <v>159.203</v>
      </c>
      <c r="AFS80">
        <v>21.783</v>
      </c>
      <c r="AFT80">
        <v>31</v>
      </c>
      <c r="AFU80">
        <v>47.645</v>
      </c>
      <c r="AFV80">
        <v>165.059</v>
      </c>
      <c r="AFW80">
        <v>153.932</v>
      </c>
      <c r="AFX80">
        <v>141.298</v>
      </c>
      <c r="AFY80">
        <v>150.473</v>
      </c>
      <c r="AFZ80">
        <v>129.928</v>
      </c>
      <c r="AGA80">
        <v>35.471</v>
      </c>
      <c r="AGB80">
        <v>41.512</v>
      </c>
      <c r="AGC80">
        <v>21.277</v>
      </c>
      <c r="AGD80">
        <v>26.166</v>
      </c>
      <c r="AGE80">
        <v>19.24</v>
      </c>
      <c r="AGF80" t="s">
        <v>1900</v>
      </c>
      <c r="AGG80" t="s">
        <v>1900</v>
      </c>
      <c r="AGH80" t="s">
        <v>1900</v>
      </c>
      <c r="AGI80" t="s">
        <v>1900</v>
      </c>
      <c r="AGJ80" t="s">
        <v>1900</v>
      </c>
      <c r="AGK80" t="s">
        <v>1900</v>
      </c>
      <c r="AGL80" t="s">
        <v>1900</v>
      </c>
      <c r="AGM80" t="s">
        <v>1900</v>
      </c>
      <c r="AGN80" t="s">
        <v>1900</v>
      </c>
      <c r="AGO80" t="s">
        <v>1900</v>
      </c>
      <c r="AGP80" t="s">
        <v>1900</v>
      </c>
      <c r="AGQ80" t="s">
        <v>1900</v>
      </c>
      <c r="AGR80" t="s">
        <v>1900</v>
      </c>
      <c r="AGS80" t="s">
        <v>1900</v>
      </c>
      <c r="AGT80" t="s">
        <v>1900</v>
      </c>
      <c r="AGU80">
        <v>0</v>
      </c>
      <c r="AGV80">
        <v>0</v>
      </c>
      <c r="AGW80">
        <v>0</v>
      </c>
      <c r="AGX80">
        <v>0</v>
      </c>
      <c r="AGY80">
        <v>0</v>
      </c>
      <c r="AGZ80">
        <v>1.789</v>
      </c>
      <c r="AHA80">
        <v>2.183</v>
      </c>
      <c r="AHB80">
        <v>4.318</v>
      </c>
      <c r="AHC80">
        <v>3.295</v>
      </c>
      <c r="AHD80">
        <v>1.797</v>
      </c>
      <c r="AHE80">
        <v>1.763</v>
      </c>
      <c r="AHF80">
        <v>2.163</v>
      </c>
      <c r="AHG80">
        <v>4.151</v>
      </c>
      <c r="AHH80">
        <v>3.214</v>
      </c>
      <c r="AHI80">
        <v>1.743</v>
      </c>
      <c r="AHJ80">
        <v>2.723</v>
      </c>
      <c r="AHK80">
        <v>2.376</v>
      </c>
      <c r="AHL80">
        <v>4.441</v>
      </c>
      <c r="AHM80">
        <v>3.603</v>
      </c>
      <c r="AHN80">
        <v>0.922</v>
      </c>
      <c r="AHO80">
        <v>33.957</v>
      </c>
      <c r="AHP80">
        <v>39.372</v>
      </c>
      <c r="AHQ80">
        <v>64.651</v>
      </c>
      <c r="AHR80">
        <v>57.977</v>
      </c>
      <c r="AHS80">
        <v>27.398</v>
      </c>
      <c r="AHT80">
        <v>51.416</v>
      </c>
      <c r="AHU80">
        <v>64.93899999999999</v>
      </c>
      <c r="AHV80" t="s">
        <v>1901</v>
      </c>
      <c r="AHW80" t="s">
        <v>1901</v>
      </c>
      <c r="AHX80">
        <v>37.737</v>
      </c>
      <c r="AHY80">
        <v>36.721</v>
      </c>
      <c r="AHZ80">
        <v>42.301</v>
      </c>
      <c r="AIA80">
        <v>22.519</v>
      </c>
      <c r="AIB80">
        <v>27.756</v>
      </c>
      <c r="AIC80">
        <v>108.486</v>
      </c>
      <c r="AID80">
        <v>2.551467866</v>
      </c>
      <c r="AIE80">
        <v>2.371101041</v>
      </c>
      <c r="AIF80">
        <v>9.135923182999999</v>
      </c>
      <c r="AIG80">
        <v>14.100325183</v>
      </c>
      <c r="AIH80">
        <v>22.518402734</v>
      </c>
      <c r="AII80">
        <v>20.72512157</v>
      </c>
      <c r="AIJ80">
        <v>33.061518643</v>
      </c>
      <c r="AIK80">
        <v>56.514530383</v>
      </c>
      <c r="AIL80">
        <v>56.291473795</v>
      </c>
      <c r="AIM80">
        <v>35.121714293</v>
      </c>
      <c r="AIN80">
        <v>37.725963835</v>
      </c>
      <c r="AIO80">
        <v>27.194530585</v>
      </c>
      <c r="AIP80">
        <v>16.306446346</v>
      </c>
      <c r="AIQ80">
        <v>21.22561611</v>
      </c>
      <c r="AIR80">
        <v>37.013162777</v>
      </c>
      <c r="AIS80">
        <v>2.190817773</v>
      </c>
      <c r="AIT80">
        <v>1.719624923</v>
      </c>
      <c r="AIU80">
        <v>15.938663696</v>
      </c>
      <c r="AIV80">
        <v>10.026129774</v>
      </c>
      <c r="AIW80">
        <v>5.898259965</v>
      </c>
      <c r="AIX80">
        <v>7.33208129928899</v>
      </c>
      <c r="AIY80">
        <v>7.89126822150421</v>
      </c>
      <c r="AIZ80">
        <v>11.9279996634889</v>
      </c>
      <c r="AJA80">
        <v>65.2937904581666</v>
      </c>
      <c r="AJB80">
        <v>16.4549169011444</v>
      </c>
      <c r="AJC80">
        <v>95.7442741988658</v>
      </c>
      <c r="AJD80">
        <v>97.4063782597857</v>
      </c>
      <c r="AJE80">
        <v>72.3868402738625</v>
      </c>
      <c r="AJF80">
        <v>93.0664672113562</v>
      </c>
      <c r="AJG80">
        <v>126.724867551197</v>
      </c>
      <c r="AJH80">
        <v>49.134</v>
      </c>
      <c r="AJI80">
        <v>48.305</v>
      </c>
      <c r="AJJ80">
        <v>53.527</v>
      </c>
      <c r="AJK80">
        <v>50.632</v>
      </c>
      <c r="AJL80">
        <v>44.441</v>
      </c>
      <c r="AJM80">
        <v>47.0426937311212</v>
      </c>
      <c r="AJN80">
        <v>47.052342146513</v>
      </c>
      <c r="AJO80">
        <v>38.7466369258285</v>
      </c>
      <c r="AJP80">
        <v>47.1209727506304</v>
      </c>
      <c r="AJQ80">
        <v>56.3175726412642</v>
      </c>
      <c r="AJR80">
        <v>20.2130954260559</v>
      </c>
      <c r="AJS80">
        <v>26.3551104678497</v>
      </c>
      <c r="AJT80">
        <v>61.6917912212187</v>
      </c>
      <c r="AJU80">
        <v>83.3333180985188</v>
      </c>
      <c r="AJV80">
        <v>31.6337302923352</v>
      </c>
      <c r="AJW80">
        <v>35.2763647889651</v>
      </c>
      <c r="AJX80">
        <v>31.0295145056648</v>
      </c>
      <c r="AJY80">
        <v>27.4563197653872</v>
      </c>
      <c r="AJZ80">
        <v>35.1377613585734</v>
      </c>
      <c r="AKA80">
        <v>41.6234647004479</v>
      </c>
      <c r="AKB80">
        <v>59.5261584039687</v>
      </c>
      <c r="AKC80">
        <v>66.9394692316113</v>
      </c>
      <c r="AKD80">
        <v>95.4221019606203</v>
      </c>
      <c r="AKE80">
        <v>143.73612249954</v>
      </c>
      <c r="AKF80">
        <v>115.459967136996</v>
      </c>
      <c r="AKG80">
        <v>2.190817773</v>
      </c>
      <c r="AKH80">
        <v>1.719624923</v>
      </c>
      <c r="AKI80">
        <v>15.938663696</v>
      </c>
      <c r="AKJ80">
        <v>10.026129774</v>
      </c>
      <c r="AKK80">
        <v>5.898259965</v>
      </c>
      <c r="AKL80">
        <v>0.847795903</v>
      </c>
      <c r="AKM80">
        <v>0.628129286</v>
      </c>
      <c r="AKN80">
        <v>4.590712128</v>
      </c>
      <c r="AKO80">
        <v>3.225844728</v>
      </c>
      <c r="AKP80">
        <v>2.098865452</v>
      </c>
      <c r="AKQ80">
        <v>1.363629119</v>
      </c>
      <c r="AKR80">
        <v>0.9140167850000001</v>
      </c>
      <c r="AKS80">
        <v>3.482496616</v>
      </c>
      <c r="AKT80">
        <v>2.088674511</v>
      </c>
      <c r="AKU80">
        <v>2.303642146</v>
      </c>
      <c r="AKV80">
        <v>0.608300251</v>
      </c>
      <c r="AKW80">
        <v>0.387261271</v>
      </c>
      <c r="AKX80">
        <v>0.425404914</v>
      </c>
      <c r="AKY80">
        <v>7.61E-07</v>
      </c>
      <c r="AKZ80">
        <v>7.45E-07</v>
      </c>
      <c r="ALA80">
        <v>0.9784146540000001</v>
      </c>
      <c r="ALB80">
        <v>0.563519819</v>
      </c>
      <c r="ALC80">
        <v>0.322710537</v>
      </c>
      <c r="ALD80">
        <v>4.92E-07</v>
      </c>
      <c r="ALE80">
        <v>8.18E-07</v>
      </c>
      <c r="ALF80">
        <v>0.394741126</v>
      </c>
      <c r="ALG80">
        <v>0.59771027</v>
      </c>
      <c r="ALH80">
        <v>1.014872464</v>
      </c>
      <c r="ALI80">
        <v>0.70442644</v>
      </c>
      <c r="ALJ80">
        <v>0.404421978</v>
      </c>
      <c r="ALK80">
        <v>0.6349175460000001</v>
      </c>
      <c r="ALL80">
        <v>0.869752821</v>
      </c>
      <c r="ALM80">
        <v>0.769878359</v>
      </c>
      <c r="ALN80">
        <v>0.456103029</v>
      </c>
      <c r="ALO80">
        <v>0.443879579</v>
      </c>
      <c r="ALP80">
        <v>45.849664433</v>
      </c>
      <c r="ALQ80">
        <v>42.758800409</v>
      </c>
      <c r="ALR80">
        <v>39.24942188</v>
      </c>
      <c r="ALS80">
        <v>41.797991899</v>
      </c>
      <c r="ALT80">
        <v>36.091115506</v>
      </c>
      <c r="ALU80">
        <v>21.490015376</v>
      </c>
      <c r="ALV80">
        <v>26.968010154</v>
      </c>
      <c r="ALW80">
        <v>15.05791834</v>
      </c>
      <c r="ALX80">
        <v>17.389067775</v>
      </c>
      <c r="ALY80">
        <v>14.808195305</v>
      </c>
      <c r="ALZ80">
        <v>61.3023084949026</v>
      </c>
      <c r="AMA80">
        <v>63.472890068833</v>
      </c>
      <c r="AMB80">
        <v>71.1976347862998</v>
      </c>
      <c r="AMC80">
        <v>67.8256236046112</v>
      </c>
      <c r="AMD80">
        <v>64.4155146377028</v>
      </c>
      <c r="AME80">
        <v>63.3425845830637</v>
      </c>
      <c r="AMF80">
        <v>67.1526538688812</v>
      </c>
      <c r="AMG80">
        <v>74.91592459709</v>
      </c>
      <c r="AMH80">
        <v>72.54053413686179</v>
      </c>
      <c r="AMI80">
        <v>69.9732270053852</v>
      </c>
      <c r="AMJ80">
        <v>158.413347439156</v>
      </c>
      <c r="AMK80">
        <v>173.769263947911</v>
      </c>
      <c r="AML80">
        <v>247.193708773728</v>
      </c>
      <c r="AMM80">
        <v>210.806334989302</v>
      </c>
      <c r="AMN80">
        <v>181.021346941751</v>
      </c>
      <c r="AMO80">
        <v>1.13294135092212</v>
      </c>
      <c r="AMP80">
        <v>1.15189566115578</v>
      </c>
      <c r="AMQ80">
        <v>1.16629294211116</v>
      </c>
      <c r="AMR80">
        <v>1.14993951791311</v>
      </c>
      <c r="AMS80">
        <v>1.19236983498801</v>
      </c>
      <c r="AMT80">
        <v>1.13294135092212</v>
      </c>
      <c r="AMU80">
        <v>1.15189566115578</v>
      </c>
      <c r="AMV80">
        <v>1.16629294211116</v>
      </c>
      <c r="AMW80">
        <v>1.14993951791311</v>
      </c>
      <c r="AMX80">
        <v>1.19236983498801</v>
      </c>
      <c r="AMY80">
        <v>1.13351464175889</v>
      </c>
      <c r="AMZ80">
        <v>1.1442857170262</v>
      </c>
      <c r="ANA80">
        <v>1.17081161332235</v>
      </c>
      <c r="ANB80">
        <v>1.15274306064561</v>
      </c>
      <c r="ANC80">
        <v>1.18025085881465</v>
      </c>
      <c r="AND80">
        <v>7.19332178962642</v>
      </c>
      <c r="ANE80">
        <v>8.36990443457352</v>
      </c>
      <c r="ANF80">
        <v>10.1515354611834</v>
      </c>
      <c r="ANG80">
        <v>8.843718427806801</v>
      </c>
      <c r="ANH80">
        <v>10.3924148011067</v>
      </c>
      <c r="ANI80">
        <v>7.43273141060412</v>
      </c>
      <c r="ANJ80">
        <v>8.85513949027693</v>
      </c>
      <c r="ANK80">
        <v>10.6816984501997</v>
      </c>
      <c r="ANL80">
        <v>9.458491119062829</v>
      </c>
      <c r="ANM80">
        <v>11.2890629548171</v>
      </c>
      <c r="ANN80">
        <v>7.7508665629866</v>
      </c>
      <c r="ANO80">
        <v>9.13444909439953</v>
      </c>
      <c r="ANP80">
        <v>11.2985074517302</v>
      </c>
      <c r="ANQ80">
        <v>9.70171037615529</v>
      </c>
      <c r="ANR80">
        <v>11.5976954161188</v>
      </c>
      <c r="ANS80">
        <v>24.9214891675654</v>
      </c>
      <c r="ANT80">
        <v>21.7719248731491</v>
      </c>
      <c r="ANU80">
        <v>9.722133941668501</v>
      </c>
      <c r="ANV80">
        <v>7.73089539177048</v>
      </c>
      <c r="ANW80">
        <v>19.9687729953928</v>
      </c>
      <c r="ANX80">
        <v>61.0699730307436</v>
      </c>
      <c r="ANY80">
        <v>66.3791419882365</v>
      </c>
      <c r="ANZ80">
        <v>69.5827138438011</v>
      </c>
      <c r="AOA80">
        <v>66.7430324157952</v>
      </c>
      <c r="AOB80">
        <v>68.0477007145749</v>
      </c>
      <c r="AOC80">
        <v>66.053768626373</v>
      </c>
      <c r="AOD80">
        <v>69.2707889009147</v>
      </c>
      <c r="AOE80">
        <v>79.2419048580855</v>
      </c>
      <c r="AOF80">
        <v>74.4058691675518</v>
      </c>
      <c r="AOG80">
        <v>71.8862298261089</v>
      </c>
      <c r="AOH80">
        <v>98.601105109383</v>
      </c>
      <c r="AOI80">
        <v>92.3620155713439</v>
      </c>
      <c r="AOJ80">
        <v>54.010252717385</v>
      </c>
      <c r="AOK80">
        <v>43.9158307876751</v>
      </c>
      <c r="AOL80">
        <v>70.70024152520659</v>
      </c>
      <c r="AOM80">
        <v>18.5885036286438</v>
      </c>
      <c r="AON80">
        <v>22.9142257636755</v>
      </c>
      <c r="AOO80">
        <v>35.2454924651628</v>
      </c>
      <c r="AOP80">
        <v>27.4868371326932</v>
      </c>
      <c r="AOQ80">
        <v>29.2049040647208</v>
      </c>
      <c r="AOR80">
        <v>13.2941350922119</v>
      </c>
      <c r="AOS80">
        <v>15.1895661155784</v>
      </c>
      <c r="AOT80">
        <v>16.6292942111155</v>
      </c>
      <c r="AOU80">
        <v>14.993951791311</v>
      </c>
      <c r="AOV80">
        <v>19.236983498801</v>
      </c>
      <c r="AOW80">
        <v>11.5700288501133</v>
      </c>
      <c r="AOX80">
        <v>12.1793925387421</v>
      </c>
      <c r="AOY80">
        <v>7.70091587134458</v>
      </c>
      <c r="AOZ80">
        <v>5.72614332709214</v>
      </c>
      <c r="APA80">
        <v>11.4063551397652</v>
      </c>
      <c r="APB80">
        <v>7.2357763718432</v>
      </c>
      <c r="APC80">
        <v>7.62592758674542</v>
      </c>
      <c r="APD80">
        <v>15.4896909335921</v>
      </c>
      <c r="APE80">
        <v>69.6423690129903</v>
      </c>
      <c r="APF80">
        <v>12.3770131794852</v>
      </c>
      <c r="APG80">
        <v>7.47659897499165</v>
      </c>
      <c r="APH80">
        <v>8.0680314872463</v>
      </c>
      <c r="API80">
        <v>16.2986385923667</v>
      </c>
      <c r="APJ80">
        <v>74.483570931964</v>
      </c>
      <c r="APK80">
        <v>13.4448906870932</v>
      </c>
      <c r="APL80">
        <v>18.6982119356915</v>
      </c>
      <c r="APM80">
        <v>20.8774458234336</v>
      </c>
      <c r="APN80">
        <v>53.7792324299264</v>
      </c>
      <c r="APO80">
        <v>216.452894811319</v>
      </c>
      <c r="APP80">
        <v>34.7820491611013</v>
      </c>
      <c r="APQ80">
        <v>13.3725963327597</v>
      </c>
      <c r="APR80">
        <v>13.8394090609931</v>
      </c>
      <c r="APS80">
        <v>25.3737603300383</v>
      </c>
      <c r="APT80">
        <v>118.074125961564</v>
      </c>
      <c r="APU80">
        <v>22.9105942030762</v>
      </c>
      <c r="APV80">
        <v>7.79661174322088</v>
      </c>
      <c r="APW80">
        <v>8.32251406013245</v>
      </c>
      <c r="APX80">
        <v>17.239794817974</v>
      </c>
      <c r="APY80">
        <v>76.3988699537239</v>
      </c>
      <c r="APZ80">
        <v>13.8124614696548</v>
      </c>
      <c r="AQA80">
        <v>11.6383145122084</v>
      </c>
      <c r="AQB80">
        <v>11.0968011973158</v>
      </c>
      <c r="AQC80">
        <v>11.7504201417444</v>
      </c>
      <c r="AQD80">
        <v>45.0921396765363</v>
      </c>
      <c r="AQE80">
        <v>13.5845816970015</v>
      </c>
      <c r="AQF80">
        <v>0.13351464175889</v>
      </c>
      <c r="AQG80">
        <v>0.144285717026202</v>
      </c>
      <c r="AQH80">
        <v>0.170811613322352</v>
      </c>
      <c r="AQI80">
        <v>0.152743060645615</v>
      </c>
      <c r="AQJ80">
        <v>0.180250858814649</v>
      </c>
      <c r="AQK80">
        <v>2</v>
      </c>
      <c r="AQO80" t="s">
        <v>1902</v>
      </c>
      <c r="AQP80">
        <v>2</v>
      </c>
      <c r="AQQ80">
        <v>0</v>
      </c>
      <c r="AQS80" t="s">
        <v>1905</v>
      </c>
      <c r="AQU80" t="s">
        <v>1906</v>
      </c>
      <c r="AQV80">
        <v>3925515.22241441</v>
      </c>
      <c r="AQW80">
        <v>4091067.86702099</v>
      </c>
      <c r="AQX80">
        <v>3040247.29790182</v>
      </c>
      <c r="AQY80">
        <v>282374.941849037</v>
      </c>
      <c r="AQZ80">
        <v>342418.470823202</v>
      </c>
      <c r="ARA80">
        <v>308631.782554173</v>
      </c>
      <c r="ARB80">
        <v>11056830.38733722</v>
      </c>
      <c r="ARC80">
        <v>933425.195226412</v>
      </c>
      <c r="ARD80">
        <v>0.0922046660696573</v>
      </c>
      <c r="ARE80">
        <v>0.0922046660696573</v>
      </c>
      <c r="ARF80">
        <v>0.0922046660696573</v>
      </c>
      <c r="ARG80">
        <v>0.0922046660696573</v>
      </c>
      <c r="ARH80">
        <v>0.0922046660696573</v>
      </c>
      <c r="ARI80">
        <v>0.0922046660696573</v>
      </c>
      <c r="ARJ80" t="s">
        <v>1241</v>
      </c>
      <c r="ARK80" t="s">
        <v>1579</v>
      </c>
      <c r="ARL80" t="s">
        <v>1908</v>
      </c>
      <c r="ARM80" t="s">
        <v>1908</v>
      </c>
      <c r="ARN80" t="s">
        <v>1909</v>
      </c>
      <c r="ARO80" t="s">
        <v>1908</v>
      </c>
      <c r="ARP80" t="s">
        <v>1907</v>
      </c>
      <c r="ARQ80" t="s">
        <v>1974</v>
      </c>
      <c r="ARR80">
        <f>HYPERLINK("C:\Users\Usuario\Documents\Proyectos\llmthon\evidence\merkatu_com_235213.png", "Ver Evidencia")</f>
        <v>0</v>
      </c>
      <c r="ARS80">
        <v>100</v>
      </c>
    </row>
    <row r="81" spans="1:1163">
      <c r="A81">
        <v>398</v>
      </c>
      <c r="B81" t="s">
        <v>1242</v>
      </c>
      <c r="C81" t="s">
        <v>1365</v>
      </c>
      <c r="E81" s="2">
        <v>43235</v>
      </c>
      <c r="F81" t="s">
        <v>1432</v>
      </c>
      <c r="G81" t="s">
        <v>1433</v>
      </c>
      <c r="H81" t="s">
        <v>1434</v>
      </c>
      <c r="I81" t="s">
        <v>1437</v>
      </c>
      <c r="J81" t="s">
        <v>1453</v>
      </c>
      <c r="L81" t="s">
        <v>1580</v>
      </c>
      <c r="N81" t="s">
        <v>1630</v>
      </c>
      <c r="O81" t="s">
        <v>1654</v>
      </c>
      <c r="P81">
        <v>6209</v>
      </c>
      <c r="Q81">
        <v>6209</v>
      </c>
      <c r="R81" t="s">
        <v>1750</v>
      </c>
      <c r="Z81" t="s">
        <v>1899</v>
      </c>
      <c r="AA81" s="2">
        <v>45291</v>
      </c>
      <c r="AB81">
        <v>2023</v>
      </c>
      <c r="AC81" t="s">
        <v>1900</v>
      </c>
      <c r="AD81">
        <v>1775445.93319832</v>
      </c>
      <c r="AE81">
        <v>2723104.01943336</v>
      </c>
      <c r="AF81">
        <v>983845.364576411</v>
      </c>
      <c r="AG81">
        <v>1113389.6029254</v>
      </c>
      <c r="AH81" t="s">
        <v>1900</v>
      </c>
      <c r="AI81">
        <v>1775445.93319832</v>
      </c>
      <c r="AJ81">
        <v>2722264.07233636</v>
      </c>
      <c r="AK81">
        <v>975265.679401302</v>
      </c>
      <c r="AL81">
        <v>1102369.74810579</v>
      </c>
      <c r="AM81" t="s">
        <v>1900</v>
      </c>
      <c r="AN81">
        <v>1327846.89622137</v>
      </c>
      <c r="AO81">
        <v>1261087.52667733</v>
      </c>
      <c r="AP81">
        <v>-29076.9418914556</v>
      </c>
      <c r="AQ81">
        <v>252062.823298603</v>
      </c>
      <c r="AR81" t="s">
        <v>1900</v>
      </c>
      <c r="AS81">
        <v>447599.035871947</v>
      </c>
      <c r="AT81">
        <v>1462016.49275603</v>
      </c>
      <c r="AU81">
        <v>1012922.30533527</v>
      </c>
      <c r="AV81">
        <v>861326.779626793</v>
      </c>
      <c r="AW81" t="s">
        <v>1900</v>
      </c>
      <c r="AX81">
        <v>2118472.54104445</v>
      </c>
      <c r="AY81">
        <v>2116421.21617589</v>
      </c>
      <c r="AZ81">
        <v>1532258.30502291</v>
      </c>
      <c r="BA81">
        <v>771326.2478593281</v>
      </c>
      <c r="BB81" t="s">
        <v>1900</v>
      </c>
      <c r="BC81">
        <v>-1670873.5040675</v>
      </c>
      <c r="BD81">
        <v>-654404.7244864641</v>
      </c>
      <c r="BE81">
        <v>-519335.99855504</v>
      </c>
      <c r="BF81">
        <v>90000.530540365</v>
      </c>
      <c r="BG81" t="s">
        <v>1900</v>
      </c>
      <c r="BH81">
        <v>-78103.976552105</v>
      </c>
      <c r="BI81">
        <v>-55144.7827761948</v>
      </c>
      <c r="BJ81">
        <v>-40218.3764199972</v>
      </c>
      <c r="BK81">
        <v>-5904.60549297333</v>
      </c>
      <c r="BL81" t="s">
        <v>1900</v>
      </c>
      <c r="BM81">
        <v>14278.5832530527</v>
      </c>
      <c r="BN81">
        <v>13797.7549660027</v>
      </c>
      <c r="BO81" t="s">
        <v>1900</v>
      </c>
      <c r="BP81" t="s">
        <v>1900</v>
      </c>
      <c r="BQ81" t="s">
        <v>1900</v>
      </c>
      <c r="BR81">
        <v>92382.56091015819</v>
      </c>
      <c r="BS81">
        <v>68942.5377421975</v>
      </c>
      <c r="BT81">
        <v>40218.3764199972</v>
      </c>
      <c r="BU81">
        <v>5904.60549297333</v>
      </c>
      <c r="BV81" t="s">
        <v>1900</v>
      </c>
      <c r="BW81">
        <v>-1748977.4806196</v>
      </c>
      <c r="BX81">
        <v>-709549.507262659</v>
      </c>
      <c r="BY81">
        <v>-559554.374975038</v>
      </c>
      <c r="BZ81">
        <v>84095.9250473916</v>
      </c>
      <c r="CA81" t="s">
        <v>1900</v>
      </c>
      <c r="CB81">
        <v>-616663.16255085</v>
      </c>
      <c r="CC81">
        <v>-229676.094144166</v>
      </c>
      <c r="CD81">
        <v>-172501.10889051</v>
      </c>
      <c r="CE81">
        <v>-26691.6798963249</v>
      </c>
      <c r="CF81" t="s">
        <v>1900</v>
      </c>
      <c r="CG81">
        <v>-1132314.31806875</v>
      </c>
      <c r="CH81">
        <v>-479873.413118494</v>
      </c>
      <c r="CI81">
        <v>-387053.266084528</v>
      </c>
      <c r="CJ81">
        <v>110787.603716617</v>
      </c>
      <c r="CK81" t="s">
        <v>1900</v>
      </c>
      <c r="CL81" t="s">
        <v>1900</v>
      </c>
      <c r="CM81" t="s">
        <v>1900</v>
      </c>
      <c r="CN81" t="s">
        <v>1900</v>
      </c>
      <c r="CO81" t="s">
        <v>1900</v>
      </c>
      <c r="CP81" t="s">
        <v>1900</v>
      </c>
      <c r="CQ81" t="s">
        <v>1900</v>
      </c>
      <c r="CR81" t="s">
        <v>1900</v>
      </c>
      <c r="CS81" t="s">
        <v>1900</v>
      </c>
      <c r="CT81" t="s">
        <v>1900</v>
      </c>
      <c r="CU81" t="s">
        <v>1900</v>
      </c>
      <c r="CV81" t="s">
        <v>1900</v>
      </c>
      <c r="CW81" t="s">
        <v>1900</v>
      </c>
      <c r="CX81" t="s">
        <v>1900</v>
      </c>
      <c r="CY81" t="s">
        <v>1900</v>
      </c>
      <c r="CZ81" t="s">
        <v>1900</v>
      </c>
      <c r="DA81">
        <v>-1132314.31806875</v>
      </c>
      <c r="DB81">
        <v>-479873.413118494</v>
      </c>
      <c r="DC81">
        <v>-387053.266084528</v>
      </c>
      <c r="DD81">
        <v>110787.603716617</v>
      </c>
      <c r="DE81" t="s">
        <v>1900</v>
      </c>
      <c r="DF81" t="s">
        <v>1900</v>
      </c>
      <c r="DG81" t="s">
        <v>1900</v>
      </c>
      <c r="DH81" t="s">
        <v>1900</v>
      </c>
      <c r="DI81" t="s">
        <v>1900</v>
      </c>
      <c r="DJ81" t="s">
        <v>1900</v>
      </c>
      <c r="DK81">
        <v>1327846.89622137</v>
      </c>
      <c r="DL81">
        <v>1261087.52667733</v>
      </c>
      <c r="DM81">
        <v>214290.311328936</v>
      </c>
      <c r="DN81">
        <v>252062.823298603</v>
      </c>
      <c r="DO81" t="s">
        <v>1900</v>
      </c>
      <c r="DP81">
        <v>2126566.21662679</v>
      </c>
      <c r="DQ81">
        <v>1751738.97028866</v>
      </c>
      <c r="DR81">
        <v>1288645.51538186</v>
      </c>
      <c r="DS81">
        <v>498380.514929187</v>
      </c>
      <c r="DT81" t="s">
        <v>1900</v>
      </c>
      <c r="DU81">
        <v>831747.486878052</v>
      </c>
      <c r="DV81">
        <v>645081.6743535521</v>
      </c>
      <c r="DW81">
        <v>399771.144329023</v>
      </c>
      <c r="DX81">
        <v>141718.765667659</v>
      </c>
      <c r="DY81" t="s">
        <v>1900</v>
      </c>
      <c r="DZ81">
        <v>-839841.162460394</v>
      </c>
      <c r="EA81">
        <v>-280399.427399719</v>
      </c>
      <c r="EB81">
        <v>-156158.354687977</v>
      </c>
      <c r="EC81">
        <v>131226.967262482</v>
      </c>
      <c r="ED81" t="s">
        <v>1900</v>
      </c>
      <c r="EE81">
        <v>82432.92649488449</v>
      </c>
      <c r="EF81">
        <v>56420.4464301467</v>
      </c>
      <c r="EG81">
        <v>27486.2953676462</v>
      </c>
      <c r="EH81">
        <v>4601.62237286568</v>
      </c>
      <c r="EI81" t="s">
        <v>1900</v>
      </c>
      <c r="EJ81" t="s">
        <v>1900</v>
      </c>
      <c r="EK81" t="s">
        <v>1900</v>
      </c>
      <c r="EL81" t="s">
        <v>1900</v>
      </c>
      <c r="EM81" t="s">
        <v>1900</v>
      </c>
      <c r="EN81" t="s">
        <v>1900</v>
      </c>
      <c r="EO81">
        <v>-300566.831190701</v>
      </c>
      <c r="EP81">
        <v>165208.261235058</v>
      </c>
      <c r="EQ81">
        <v>12717.8771118951</v>
      </c>
      <c r="ER81">
        <v>252506.369384276</v>
      </c>
      <c r="ES81" t="s">
        <v>1900</v>
      </c>
      <c r="ET81">
        <v>1291769.14827512</v>
      </c>
      <c r="EU81">
        <v>1743691.5827431</v>
      </c>
      <c r="EV81">
        <v>1156348.58010349</v>
      </c>
      <c r="EW81">
        <v>728796.826790004</v>
      </c>
      <c r="EX81" t="s">
        <v>1900</v>
      </c>
      <c r="EY81">
        <v>-839126.017189445</v>
      </c>
      <c r="EZ81">
        <v>-9323.049066312909</v>
      </c>
      <c r="FA81">
        <v>-119564.854226017</v>
      </c>
      <c r="FB81">
        <v>231719.296208024</v>
      </c>
      <c r="FC81" t="s">
        <v>1900</v>
      </c>
      <c r="FD81">
        <v>2513258.15666938</v>
      </c>
      <c r="FE81">
        <v>1769757.50474758</v>
      </c>
      <c r="FF81">
        <v>1364490.06099322</v>
      </c>
      <c r="FG81">
        <v>842023.231463474</v>
      </c>
      <c r="FH81" t="s">
        <v>1900</v>
      </c>
      <c r="FI81">
        <v>1302942.41714455</v>
      </c>
      <c r="FJ81">
        <v>1191746.73135222</v>
      </c>
      <c r="FK81">
        <v>1042538.4680397</v>
      </c>
      <c r="FL81">
        <v>720395.173617732</v>
      </c>
      <c r="FM81" t="s">
        <v>1900</v>
      </c>
      <c r="FN81">
        <v>57321.1714250374</v>
      </c>
      <c r="FO81">
        <v>62291.1806694388</v>
      </c>
      <c r="FP81">
        <v>75062.20194897649</v>
      </c>
      <c r="FQ81">
        <v>36906.9134342968</v>
      </c>
      <c r="FR81" t="s">
        <v>1900</v>
      </c>
      <c r="FS81">
        <v>1152994.56809979</v>
      </c>
      <c r="FT81">
        <v>515719.592725927</v>
      </c>
      <c r="FU81">
        <v>246889.391004539</v>
      </c>
      <c r="FV81">
        <v>84721.14441144469</v>
      </c>
      <c r="FW81" t="s">
        <v>1900</v>
      </c>
      <c r="FX81">
        <v>1302942.41714455</v>
      </c>
      <c r="FY81">
        <v>1191746.73135222</v>
      </c>
      <c r="FZ81">
        <v>1042538.4680397</v>
      </c>
      <c r="GA81">
        <v>720395.173617732</v>
      </c>
      <c r="GB81" t="s">
        <v>1900</v>
      </c>
      <c r="GC81">
        <v>57321.1714250374</v>
      </c>
      <c r="GD81">
        <v>62291.1806694388</v>
      </c>
      <c r="GE81">
        <v>75062.20194897649</v>
      </c>
      <c r="GF81">
        <v>36906.9134342968</v>
      </c>
      <c r="GG81" t="s">
        <v>1900</v>
      </c>
      <c r="GH81">
        <v>1152994.56809979</v>
      </c>
      <c r="GI81">
        <v>515719.592725927</v>
      </c>
      <c r="GJ81">
        <v>246889.391004539</v>
      </c>
      <c r="GK81">
        <v>84721.14441144469</v>
      </c>
      <c r="GL81" t="s">
        <v>1900</v>
      </c>
      <c r="GM81">
        <v>1939179.73528004</v>
      </c>
      <c r="GN81">
        <v>4544317.14198115</v>
      </c>
      <c r="GO81">
        <v>3662624.20114281</v>
      </c>
      <c r="GP81">
        <v>3362257.60238737</v>
      </c>
      <c r="GQ81" t="s">
        <v>1900</v>
      </c>
      <c r="GR81">
        <v>0</v>
      </c>
      <c r="GS81">
        <v>2860.67315748334</v>
      </c>
      <c r="GT81">
        <v>243367.253220391</v>
      </c>
      <c r="GU81">
        <v>0</v>
      </c>
      <c r="GV81" t="s">
        <v>1900</v>
      </c>
      <c r="GW81">
        <v>734856.291894474</v>
      </c>
      <c r="GX81">
        <v>2302300.32588392</v>
      </c>
      <c r="GY81">
        <v>1412296.78019121</v>
      </c>
      <c r="GZ81">
        <v>670890.601084626</v>
      </c>
      <c r="HA81" t="s">
        <v>1900</v>
      </c>
      <c r="HB81">
        <v>1204323.44338556</v>
      </c>
      <c r="HC81">
        <v>2239156.14293975</v>
      </c>
      <c r="HD81">
        <v>2006960.16773121</v>
      </c>
      <c r="HE81">
        <v>2691367.00130274</v>
      </c>
      <c r="HF81" t="s">
        <v>1900</v>
      </c>
      <c r="HG81">
        <v>756786.242236366</v>
      </c>
      <c r="HH81">
        <v>1819732.55446615</v>
      </c>
      <c r="HI81">
        <v>384169.076749563</v>
      </c>
      <c r="HJ81">
        <v>2200780.59163879</v>
      </c>
      <c r="HK81" t="s">
        <v>1900</v>
      </c>
      <c r="HL81">
        <v>4452437.89194942</v>
      </c>
      <c r="HM81">
        <v>6314074.64672874</v>
      </c>
      <c r="HN81">
        <v>5027114.26213603</v>
      </c>
      <c r="HO81">
        <v>4204280.83385084</v>
      </c>
      <c r="HP81" t="s">
        <v>1900</v>
      </c>
      <c r="HQ81">
        <v>1339946.2317514</v>
      </c>
      <c r="HR81">
        <v>1263600.24308376</v>
      </c>
      <c r="HS81">
        <v>693261.397636199</v>
      </c>
      <c r="HT81">
        <v>2143874.14386052</v>
      </c>
      <c r="HU81" t="s">
        <v>1900</v>
      </c>
      <c r="HV81">
        <v>4933.82721424103</v>
      </c>
      <c r="HW81">
        <v>4358.12550902367</v>
      </c>
      <c r="HX81">
        <v>4627.80485630035</v>
      </c>
      <c r="HY81">
        <v>4739.05749440193</v>
      </c>
      <c r="HZ81" t="s">
        <v>1900</v>
      </c>
      <c r="IA81">
        <v>1335012.40564216</v>
      </c>
      <c r="IB81">
        <v>1259242.11650814</v>
      </c>
      <c r="IC81">
        <v>688633.592779899</v>
      </c>
      <c r="ID81">
        <v>2139135.08636612</v>
      </c>
      <c r="IE81" t="s">
        <v>1900</v>
      </c>
      <c r="IF81">
        <v>1708177.73515918</v>
      </c>
      <c r="IG81">
        <v>3393265.10619211</v>
      </c>
      <c r="IH81">
        <v>1966969.12684493</v>
      </c>
      <c r="II81">
        <v>1283379.44799768</v>
      </c>
      <c r="IJ81" t="s">
        <v>1900</v>
      </c>
      <c r="IK81">
        <v>1330867.30457689</v>
      </c>
      <c r="IL81">
        <v>2741940.48637585</v>
      </c>
      <c r="IM81">
        <v>1859524.34176912</v>
      </c>
      <c r="IN81">
        <v>1091115.1614612</v>
      </c>
      <c r="IO81" t="s">
        <v>1900</v>
      </c>
      <c r="IP81">
        <v>377310.430582285</v>
      </c>
      <c r="IQ81">
        <v>651324.619816261</v>
      </c>
      <c r="IR81">
        <v>107444.785075808</v>
      </c>
      <c r="IS81">
        <v>192264.286536473</v>
      </c>
      <c r="IT81" t="s">
        <v>1900</v>
      </c>
      <c r="IU81" t="s">
        <v>1900</v>
      </c>
      <c r="IV81" t="s">
        <v>1900</v>
      </c>
      <c r="IW81" t="s">
        <v>1900</v>
      </c>
      <c r="IX81" t="s">
        <v>1900</v>
      </c>
      <c r="IY81" t="s">
        <v>1900</v>
      </c>
      <c r="IZ81">
        <v>1404313.92503883</v>
      </c>
      <c r="JA81">
        <v>1657209.29745286</v>
      </c>
      <c r="JB81">
        <v>2366883.7376549</v>
      </c>
      <c r="JC81">
        <v>777027.241992646</v>
      </c>
      <c r="JD81" t="s">
        <v>1900</v>
      </c>
      <c r="JE81">
        <v>109092.477859364</v>
      </c>
      <c r="JF81">
        <v>103734.522413421</v>
      </c>
      <c r="JG81">
        <v>72523.68222785</v>
      </c>
      <c r="JH81">
        <v>119664.662153673</v>
      </c>
      <c r="JI81" t="s">
        <v>1900</v>
      </c>
      <c r="JJ81">
        <v>52124.6192928886</v>
      </c>
      <c r="JK81">
        <v>29383.0560123622</v>
      </c>
      <c r="JL81">
        <v>124720.643367648</v>
      </c>
      <c r="JM81">
        <v>4473.75862586498</v>
      </c>
      <c r="JN81" t="s">
        <v>1900</v>
      </c>
      <c r="JO81">
        <v>1243096.82788658</v>
      </c>
      <c r="JP81">
        <v>1524091.71902708</v>
      </c>
      <c r="JQ81">
        <v>2169639.4120594</v>
      </c>
      <c r="JR81">
        <v>652888.819986009</v>
      </c>
      <c r="JS81" t="s">
        <v>1900</v>
      </c>
      <c r="JT81">
        <v>4452437.89194942</v>
      </c>
      <c r="JU81">
        <v>6314074.64672874</v>
      </c>
      <c r="JV81">
        <v>5027114.26213603</v>
      </c>
      <c r="JW81">
        <v>4204280.83385084</v>
      </c>
      <c r="JX81" t="s">
        <v>1900</v>
      </c>
      <c r="JY81">
        <v>682731.672601586</v>
      </c>
      <c r="JZ81">
        <v>2275777.94196245</v>
      </c>
      <c r="KA81">
        <v>1530943.39004395</v>
      </c>
      <c r="KB81">
        <v>666416.841231661</v>
      </c>
      <c r="KC81" t="s">
        <v>1900</v>
      </c>
      <c r="KD81" t="s">
        <v>1900</v>
      </c>
      <c r="KE81" t="s">
        <v>1900</v>
      </c>
      <c r="KF81" t="s">
        <v>1900</v>
      </c>
      <c r="KG81" t="s">
        <v>1900</v>
      </c>
      <c r="KH81" t="s">
        <v>1900</v>
      </c>
      <c r="KI81" t="s">
        <v>1900</v>
      </c>
      <c r="KJ81" t="s">
        <v>1900</v>
      </c>
      <c r="KK81" t="s">
        <v>1900</v>
      </c>
      <c r="KL81" t="s">
        <v>1900</v>
      </c>
      <c r="KM81" t="s">
        <v>1900</v>
      </c>
      <c r="KN81">
        <v>32</v>
      </c>
      <c r="KO81">
        <v>27</v>
      </c>
      <c r="KP81">
        <v>23</v>
      </c>
      <c r="KQ81">
        <v>14</v>
      </c>
      <c r="KR81" t="s">
        <v>1900</v>
      </c>
      <c r="KS81" t="s">
        <v>1900</v>
      </c>
      <c r="KT81" t="s">
        <v>1900</v>
      </c>
      <c r="KU81" t="s">
        <v>1900</v>
      </c>
      <c r="KV81" t="s">
        <v>1900</v>
      </c>
      <c r="KW81" t="s">
        <v>1900</v>
      </c>
      <c r="KX81" t="s">
        <v>1900</v>
      </c>
      <c r="KY81" t="s">
        <v>1900</v>
      </c>
      <c r="KZ81" t="s">
        <v>1900</v>
      </c>
      <c r="LA81" t="s">
        <v>1900</v>
      </c>
      <c r="LB81" t="s">
        <v>1900</v>
      </c>
      <c r="LC81" t="s">
        <v>1900</v>
      </c>
      <c r="LD81" t="s">
        <v>1900</v>
      </c>
      <c r="LE81" t="s">
        <v>1900</v>
      </c>
      <c r="LF81" t="s">
        <v>1900</v>
      </c>
      <c r="LG81" t="s">
        <v>1900</v>
      </c>
      <c r="LH81" t="s">
        <v>1900</v>
      </c>
      <c r="LI81" t="s">
        <v>1900</v>
      </c>
      <c r="LJ81" t="s">
        <v>1900</v>
      </c>
      <c r="LK81" t="s">
        <v>1900</v>
      </c>
      <c r="LL81" t="s">
        <v>1900</v>
      </c>
      <c r="LM81" t="s">
        <v>1900</v>
      </c>
      <c r="LN81" t="s">
        <v>1900</v>
      </c>
      <c r="LO81" t="s">
        <v>1900</v>
      </c>
      <c r="LP81" t="s">
        <v>1900</v>
      </c>
      <c r="LQ81" t="s">
        <v>1900</v>
      </c>
      <c r="LR81" t="s">
        <v>1900</v>
      </c>
      <c r="LS81" t="s">
        <v>1900</v>
      </c>
      <c r="LT81" t="s">
        <v>1900</v>
      </c>
      <c r="LU81" t="s">
        <v>1900</v>
      </c>
      <c r="LV81" t="s">
        <v>1900</v>
      </c>
      <c r="LW81" t="s">
        <v>1900</v>
      </c>
      <c r="LX81" t="s">
        <v>1900</v>
      </c>
      <c r="LY81" t="s">
        <v>1900</v>
      </c>
      <c r="LZ81" t="s">
        <v>1900</v>
      </c>
      <c r="MA81" t="s">
        <v>1900</v>
      </c>
      <c r="MB81" t="s">
        <v>1900</v>
      </c>
      <c r="MC81" t="s">
        <v>1900</v>
      </c>
      <c r="MD81" t="s">
        <v>1900</v>
      </c>
      <c r="ME81" t="s">
        <v>1900</v>
      </c>
      <c r="MF81" t="s">
        <v>1900</v>
      </c>
      <c r="MG81" t="s">
        <v>1900</v>
      </c>
      <c r="MH81" t="s">
        <v>1900</v>
      </c>
      <c r="MI81" t="s">
        <v>1900</v>
      </c>
      <c r="MJ81" t="s">
        <v>1900</v>
      </c>
      <c r="MK81" t="s">
        <v>1900</v>
      </c>
      <c r="ML81" t="s">
        <v>1900</v>
      </c>
      <c r="MM81" t="s">
        <v>1900</v>
      </c>
      <c r="MN81" t="s">
        <v>1900</v>
      </c>
      <c r="MO81" t="s">
        <v>1900</v>
      </c>
      <c r="MP81" t="s">
        <v>1900</v>
      </c>
      <c r="MQ81">
        <v>1204323.44338556</v>
      </c>
      <c r="MR81">
        <v>2239156.14293975</v>
      </c>
      <c r="MS81">
        <v>2006960.16773121</v>
      </c>
      <c r="MT81">
        <v>2691367.00130274</v>
      </c>
      <c r="MU81" t="s">
        <v>1900</v>
      </c>
      <c r="MV81" t="s">
        <v>1900</v>
      </c>
      <c r="MW81" t="s">
        <v>1900</v>
      </c>
      <c r="MX81" t="s">
        <v>1900</v>
      </c>
      <c r="MY81" t="s">
        <v>1900</v>
      </c>
      <c r="MZ81" t="s">
        <v>1900</v>
      </c>
      <c r="NA81" t="s">
        <v>1900</v>
      </c>
      <c r="NB81" t="s">
        <v>1900</v>
      </c>
      <c r="NC81" t="s">
        <v>1900</v>
      </c>
      <c r="ND81" t="s">
        <v>1900</v>
      </c>
      <c r="NE81" t="s">
        <v>1900</v>
      </c>
      <c r="NF81" t="s">
        <v>1900</v>
      </c>
      <c r="NG81" t="s">
        <v>1900</v>
      </c>
      <c r="NH81" t="s">
        <v>1900</v>
      </c>
      <c r="NI81" t="s">
        <v>1900</v>
      </c>
      <c r="NJ81" t="s">
        <v>1900</v>
      </c>
      <c r="NK81" t="s">
        <v>1900</v>
      </c>
      <c r="NL81" t="s">
        <v>1900</v>
      </c>
      <c r="NM81" t="s">
        <v>1900</v>
      </c>
      <c r="NN81" t="s">
        <v>1900</v>
      </c>
      <c r="NO81" t="s">
        <v>1900</v>
      </c>
      <c r="NP81" t="s">
        <v>1900</v>
      </c>
      <c r="NQ81" t="s">
        <v>1900</v>
      </c>
      <c r="NR81" t="s">
        <v>1900</v>
      </c>
      <c r="NS81" t="s">
        <v>1900</v>
      </c>
      <c r="NT81" t="s">
        <v>1900</v>
      </c>
      <c r="NU81">
        <v>2513258.15666938</v>
      </c>
      <c r="NV81">
        <v>1769757.50474758</v>
      </c>
      <c r="NW81">
        <v>1364490.06099322</v>
      </c>
      <c r="NX81">
        <v>842023.231463474</v>
      </c>
      <c r="NY81" t="s">
        <v>1900</v>
      </c>
      <c r="NZ81" t="s">
        <v>1900</v>
      </c>
      <c r="OA81" t="s">
        <v>1900</v>
      </c>
      <c r="OB81" t="s">
        <v>1900</v>
      </c>
      <c r="OC81" t="s">
        <v>1900</v>
      </c>
      <c r="OD81" t="s">
        <v>1900</v>
      </c>
      <c r="OE81" t="s">
        <v>1900</v>
      </c>
      <c r="OF81" t="s">
        <v>1900</v>
      </c>
      <c r="OG81" t="s">
        <v>1900</v>
      </c>
      <c r="OH81" t="s">
        <v>1900</v>
      </c>
      <c r="OI81" t="s">
        <v>1900</v>
      </c>
      <c r="OJ81" t="s">
        <v>1900</v>
      </c>
      <c r="OK81" t="s">
        <v>1900</v>
      </c>
      <c r="OL81" t="s">
        <v>1900</v>
      </c>
      <c r="OM81" t="s">
        <v>1900</v>
      </c>
      <c r="ON81" t="s">
        <v>1900</v>
      </c>
      <c r="OO81" t="s">
        <v>1900</v>
      </c>
      <c r="OP81" t="s">
        <v>1900</v>
      </c>
      <c r="OQ81" t="s">
        <v>1900</v>
      </c>
      <c r="OR81" t="s">
        <v>1900</v>
      </c>
      <c r="OS81" t="s">
        <v>1900</v>
      </c>
      <c r="OT81" t="s">
        <v>1900</v>
      </c>
      <c r="OU81" t="s">
        <v>1900</v>
      </c>
      <c r="OV81" t="s">
        <v>1900</v>
      </c>
      <c r="OW81" t="s">
        <v>1900</v>
      </c>
      <c r="OX81" t="s">
        <v>1900</v>
      </c>
      <c r="OY81" t="s">
        <v>1900</v>
      </c>
      <c r="OZ81" t="s">
        <v>1900</v>
      </c>
      <c r="PA81" t="s">
        <v>1900</v>
      </c>
      <c r="PB81" t="s">
        <v>1900</v>
      </c>
      <c r="PC81" t="s">
        <v>1900</v>
      </c>
      <c r="PD81" t="s">
        <v>1900</v>
      </c>
      <c r="PE81" t="s">
        <v>1900</v>
      </c>
      <c r="PF81" t="s">
        <v>1900</v>
      </c>
      <c r="PG81" t="s">
        <v>1900</v>
      </c>
      <c r="PH81" t="s">
        <v>1900</v>
      </c>
      <c r="PI81" t="s">
        <v>1900</v>
      </c>
      <c r="PJ81" t="s">
        <v>1900</v>
      </c>
      <c r="PK81" t="s">
        <v>1900</v>
      </c>
      <c r="PL81" t="s">
        <v>1900</v>
      </c>
      <c r="PM81" t="s">
        <v>1900</v>
      </c>
      <c r="PN81" t="s">
        <v>1900</v>
      </c>
      <c r="PO81" t="s">
        <v>1900</v>
      </c>
      <c r="PP81" t="s">
        <v>1900</v>
      </c>
      <c r="PQ81" t="s">
        <v>1900</v>
      </c>
      <c r="PR81" t="s">
        <v>1900</v>
      </c>
      <c r="PS81" t="s">
        <v>1900</v>
      </c>
      <c r="PT81" t="s">
        <v>1900</v>
      </c>
      <c r="PU81" t="s">
        <v>1900</v>
      </c>
      <c r="PV81" t="s">
        <v>1900</v>
      </c>
      <c r="PW81" t="s">
        <v>1900</v>
      </c>
      <c r="PX81" t="s">
        <v>1900</v>
      </c>
      <c r="PY81" t="s">
        <v>1900</v>
      </c>
      <c r="PZ81" t="s">
        <v>1900</v>
      </c>
      <c r="QA81" t="s">
        <v>1900</v>
      </c>
      <c r="QB81" t="s">
        <v>1900</v>
      </c>
      <c r="QC81" t="s">
        <v>1900</v>
      </c>
      <c r="QD81" t="s">
        <v>1900</v>
      </c>
      <c r="QE81" t="s">
        <v>1900</v>
      </c>
      <c r="QF81" t="s">
        <v>1900</v>
      </c>
      <c r="QG81" t="s">
        <v>1900</v>
      </c>
      <c r="QH81" t="s">
        <v>1900</v>
      </c>
      <c r="QI81" t="s">
        <v>1900</v>
      </c>
      <c r="QJ81" t="s">
        <v>1900</v>
      </c>
      <c r="QK81" t="s">
        <v>1900</v>
      </c>
      <c r="QL81" t="s">
        <v>1900</v>
      </c>
      <c r="QM81" t="s">
        <v>1900</v>
      </c>
      <c r="QN81" t="s">
        <v>1900</v>
      </c>
      <c r="QO81" t="s">
        <v>1900</v>
      </c>
      <c r="QP81" t="s">
        <v>1900</v>
      </c>
      <c r="QQ81" t="s">
        <v>1900</v>
      </c>
      <c r="QR81" t="s">
        <v>1900</v>
      </c>
      <c r="QS81" t="s">
        <v>1900</v>
      </c>
      <c r="QT81" t="s">
        <v>1900</v>
      </c>
      <c r="QU81" t="s">
        <v>1900</v>
      </c>
      <c r="QV81" t="s">
        <v>1900</v>
      </c>
      <c r="QW81" t="s">
        <v>1900</v>
      </c>
      <c r="QX81" t="s">
        <v>1900</v>
      </c>
      <c r="QY81" t="s">
        <v>1900</v>
      </c>
      <c r="QZ81" t="s">
        <v>1900</v>
      </c>
      <c r="RA81" t="s">
        <v>1900</v>
      </c>
      <c r="RB81" t="s">
        <v>1900</v>
      </c>
      <c r="RC81" t="s">
        <v>1900</v>
      </c>
      <c r="RD81" t="s">
        <v>1900</v>
      </c>
      <c r="RE81" t="s">
        <v>1900</v>
      </c>
      <c r="RF81" t="s">
        <v>1900</v>
      </c>
      <c r="RG81" t="s">
        <v>1900</v>
      </c>
      <c r="RH81" t="s">
        <v>1900</v>
      </c>
      <c r="RI81" t="s">
        <v>1900</v>
      </c>
      <c r="RJ81" t="s">
        <v>1900</v>
      </c>
      <c r="RK81" t="s">
        <v>1900</v>
      </c>
      <c r="RL81" t="s">
        <v>1900</v>
      </c>
      <c r="RM81" t="s">
        <v>1900</v>
      </c>
      <c r="RN81" t="s">
        <v>1900</v>
      </c>
      <c r="RO81" t="s">
        <v>1900</v>
      </c>
      <c r="RP81" t="s">
        <v>1900</v>
      </c>
      <c r="RQ81" t="s">
        <v>1900</v>
      </c>
      <c r="RR81" t="s">
        <v>1900</v>
      </c>
      <c r="RS81" t="s">
        <v>1900</v>
      </c>
      <c r="RT81" t="s">
        <v>1900</v>
      </c>
      <c r="RU81" t="s">
        <v>1900</v>
      </c>
      <c r="RV81" t="s">
        <v>1900</v>
      </c>
      <c r="RW81" t="s">
        <v>1900</v>
      </c>
      <c r="RX81" t="s">
        <v>1900</v>
      </c>
      <c r="RY81" t="s">
        <v>1900</v>
      </c>
      <c r="RZ81" t="s">
        <v>1900</v>
      </c>
      <c r="SA81" t="s">
        <v>1900</v>
      </c>
      <c r="SB81" t="s">
        <v>1900</v>
      </c>
      <c r="SC81" t="s">
        <v>1900</v>
      </c>
      <c r="SD81" t="s">
        <v>1900</v>
      </c>
      <c r="SE81" t="s">
        <v>1900</v>
      </c>
      <c r="SF81" t="s">
        <v>1900</v>
      </c>
      <c r="SG81" t="s">
        <v>1900</v>
      </c>
      <c r="SH81" t="s">
        <v>1900</v>
      </c>
      <c r="SI81" t="s">
        <v>1900</v>
      </c>
      <c r="SJ81" t="s">
        <v>1900</v>
      </c>
      <c r="SK81">
        <v>1152994.56809979</v>
      </c>
      <c r="SL81">
        <v>515719.592725927</v>
      </c>
      <c r="SM81">
        <v>246889.391004539</v>
      </c>
      <c r="SN81">
        <v>84721.14441144469</v>
      </c>
      <c r="SO81" t="s">
        <v>1900</v>
      </c>
      <c r="SP81" t="s">
        <v>1900</v>
      </c>
      <c r="SQ81" t="s">
        <v>1900</v>
      </c>
      <c r="SR81" t="s">
        <v>1900</v>
      </c>
      <c r="SS81" t="s">
        <v>1900</v>
      </c>
      <c r="ST81" t="s">
        <v>1900</v>
      </c>
      <c r="SU81" t="s">
        <v>1900</v>
      </c>
      <c r="SV81" t="s">
        <v>1900</v>
      </c>
      <c r="SW81" t="s">
        <v>1900</v>
      </c>
      <c r="SX81" t="s">
        <v>1900</v>
      </c>
      <c r="SY81" t="s">
        <v>1900</v>
      </c>
      <c r="SZ81" t="s">
        <v>1900</v>
      </c>
      <c r="TA81" t="s">
        <v>1900</v>
      </c>
      <c r="TB81" t="s">
        <v>1900</v>
      </c>
      <c r="TC81" t="s">
        <v>1900</v>
      </c>
      <c r="TD81" t="s">
        <v>1900</v>
      </c>
      <c r="TE81" t="s">
        <v>1900</v>
      </c>
      <c r="TF81" t="s">
        <v>1900</v>
      </c>
      <c r="TG81" t="s">
        <v>1900</v>
      </c>
      <c r="TH81" t="s">
        <v>1900</v>
      </c>
      <c r="TI81" t="s">
        <v>1900</v>
      </c>
      <c r="TJ81" t="s">
        <v>1900</v>
      </c>
      <c r="TK81" t="s">
        <v>1900</v>
      </c>
      <c r="TL81" t="s">
        <v>1900</v>
      </c>
      <c r="TM81" t="s">
        <v>1900</v>
      </c>
      <c r="TN81" t="s">
        <v>1900</v>
      </c>
      <c r="TO81" t="s">
        <v>1900</v>
      </c>
      <c r="TP81" t="s">
        <v>1900</v>
      </c>
      <c r="TQ81" t="s">
        <v>1900</v>
      </c>
      <c r="TR81" t="s">
        <v>1900</v>
      </c>
      <c r="TS81" t="s">
        <v>1900</v>
      </c>
      <c r="TT81">
        <v>4452437.89194942</v>
      </c>
      <c r="TU81">
        <v>6314074.64672874</v>
      </c>
      <c r="TV81">
        <v>5027114.26213603</v>
      </c>
      <c r="TW81">
        <v>4204280.83385084</v>
      </c>
      <c r="TX81" t="s">
        <v>1900</v>
      </c>
      <c r="TY81" t="s">
        <v>1900</v>
      </c>
      <c r="TZ81" t="s">
        <v>1900</v>
      </c>
      <c r="UA81" t="s">
        <v>1900</v>
      </c>
      <c r="UB81" t="s">
        <v>1900</v>
      </c>
      <c r="UC81" t="s">
        <v>1900</v>
      </c>
      <c r="UD81">
        <v>109092.477859364</v>
      </c>
      <c r="UE81">
        <v>103734.522413421</v>
      </c>
      <c r="UF81">
        <v>72523.68222785</v>
      </c>
      <c r="UG81">
        <v>119664.662153673</v>
      </c>
      <c r="UH81" t="s">
        <v>1900</v>
      </c>
      <c r="UI81" t="s">
        <v>1900</v>
      </c>
      <c r="UJ81" t="s">
        <v>1900</v>
      </c>
      <c r="UK81" t="s">
        <v>1900</v>
      </c>
      <c r="UL81" t="s">
        <v>1900</v>
      </c>
      <c r="UM81" t="s">
        <v>1900</v>
      </c>
      <c r="UN81" t="s">
        <v>1900</v>
      </c>
      <c r="UO81" t="s">
        <v>1900</v>
      </c>
      <c r="UP81" t="s">
        <v>1900</v>
      </c>
      <c r="UQ81" t="s">
        <v>1900</v>
      </c>
      <c r="UR81" t="s">
        <v>1900</v>
      </c>
      <c r="US81" t="s">
        <v>1900</v>
      </c>
      <c r="UT81" t="s">
        <v>1900</v>
      </c>
      <c r="UU81" t="s">
        <v>1900</v>
      </c>
      <c r="UV81" t="s">
        <v>1900</v>
      </c>
      <c r="UW81" t="s">
        <v>1900</v>
      </c>
      <c r="UX81" t="s">
        <v>1900</v>
      </c>
      <c r="UY81" t="s">
        <v>1900</v>
      </c>
      <c r="UZ81" t="s">
        <v>1900</v>
      </c>
      <c r="VA81" t="s">
        <v>1900</v>
      </c>
      <c r="VB81" t="s">
        <v>1900</v>
      </c>
      <c r="VC81" t="s">
        <v>1900</v>
      </c>
      <c r="VD81" t="s">
        <v>1900</v>
      </c>
      <c r="VE81" t="s">
        <v>1900</v>
      </c>
      <c r="VF81" t="s">
        <v>1900</v>
      </c>
      <c r="VG81" t="s">
        <v>1900</v>
      </c>
      <c r="VH81" t="s">
        <v>1900</v>
      </c>
      <c r="VI81" t="s">
        <v>1900</v>
      </c>
      <c r="VJ81" t="s">
        <v>1900</v>
      </c>
      <c r="VK81" t="s">
        <v>1900</v>
      </c>
      <c r="VL81" t="s">
        <v>1900</v>
      </c>
      <c r="VM81" t="s">
        <v>1900</v>
      </c>
      <c r="VN81" t="s">
        <v>1900</v>
      </c>
      <c r="VO81" t="s">
        <v>1900</v>
      </c>
      <c r="VP81" t="s">
        <v>1900</v>
      </c>
      <c r="VQ81" t="s">
        <v>1900</v>
      </c>
      <c r="VR81" t="s">
        <v>1900</v>
      </c>
      <c r="VS81" t="s">
        <v>1900</v>
      </c>
      <c r="VT81" t="s">
        <v>1900</v>
      </c>
      <c r="VU81" t="s">
        <v>1900</v>
      </c>
      <c r="VV81" t="s">
        <v>1900</v>
      </c>
      <c r="VW81" t="s">
        <v>1900</v>
      </c>
      <c r="VX81" t="s">
        <v>1900</v>
      </c>
      <c r="VY81" t="s">
        <v>1900</v>
      </c>
      <c r="VZ81" t="s">
        <v>1900</v>
      </c>
      <c r="WA81" t="s">
        <v>1900</v>
      </c>
      <c r="WB81">
        <v>1243096.82788658</v>
      </c>
      <c r="WC81">
        <v>1524091.71902708</v>
      </c>
      <c r="WD81">
        <v>2169639.4120594</v>
      </c>
      <c r="WE81">
        <v>652888.819986009</v>
      </c>
      <c r="WF81" t="s">
        <v>1900</v>
      </c>
      <c r="WG81" t="s">
        <v>1900</v>
      </c>
      <c r="WH81" t="s">
        <v>1900</v>
      </c>
      <c r="WI81" t="s">
        <v>1900</v>
      </c>
      <c r="WJ81" t="s">
        <v>1900</v>
      </c>
      <c r="WK81" t="s">
        <v>1900</v>
      </c>
      <c r="WL81" t="s">
        <v>1900</v>
      </c>
      <c r="WM81" t="s">
        <v>1900</v>
      </c>
      <c r="WN81" t="s">
        <v>1900</v>
      </c>
      <c r="WO81" t="s">
        <v>1900</v>
      </c>
      <c r="WP81" t="s">
        <v>1900</v>
      </c>
      <c r="WQ81" t="s">
        <v>1900</v>
      </c>
      <c r="WR81" t="s">
        <v>1900</v>
      </c>
      <c r="WS81" t="s">
        <v>1900</v>
      </c>
      <c r="WT81" t="s">
        <v>1900</v>
      </c>
      <c r="WU81" t="s">
        <v>1900</v>
      </c>
      <c r="WV81" t="s">
        <v>1900</v>
      </c>
      <c r="WW81" t="s">
        <v>1900</v>
      </c>
      <c r="WX81" t="s">
        <v>1900</v>
      </c>
      <c r="WY81" t="s">
        <v>1900</v>
      </c>
      <c r="WZ81" t="s">
        <v>1900</v>
      </c>
      <c r="XA81" t="s">
        <v>1900</v>
      </c>
      <c r="XB81" t="s">
        <v>1900</v>
      </c>
      <c r="XC81" t="s">
        <v>1900</v>
      </c>
      <c r="XD81" t="s">
        <v>1900</v>
      </c>
      <c r="XE81" t="s">
        <v>1900</v>
      </c>
      <c r="XF81" t="s">
        <v>1900</v>
      </c>
      <c r="XG81" t="s">
        <v>1900</v>
      </c>
      <c r="XH81" t="s">
        <v>1900</v>
      </c>
      <c r="XI81" t="s">
        <v>1900</v>
      </c>
      <c r="XJ81" t="s">
        <v>1900</v>
      </c>
      <c r="XK81">
        <v>377310.430582285</v>
      </c>
      <c r="XL81">
        <v>651324.619816261</v>
      </c>
      <c r="XM81">
        <v>107444.785075808</v>
      </c>
      <c r="XN81">
        <v>192264.286536473</v>
      </c>
      <c r="XO81" t="s">
        <v>1900</v>
      </c>
      <c r="XP81" t="s">
        <v>1900</v>
      </c>
      <c r="XQ81" t="s">
        <v>1900</v>
      </c>
      <c r="XR81" t="s">
        <v>1900</v>
      </c>
      <c r="XS81" t="s">
        <v>1900</v>
      </c>
      <c r="XT81" t="s">
        <v>1900</v>
      </c>
      <c r="XU81" t="s">
        <v>1900</v>
      </c>
      <c r="XV81" t="s">
        <v>1900</v>
      </c>
      <c r="XW81" t="s">
        <v>1900</v>
      </c>
      <c r="XX81" t="s">
        <v>1900</v>
      </c>
      <c r="XY81" t="s">
        <v>1900</v>
      </c>
      <c r="XZ81" t="s">
        <v>1900</v>
      </c>
      <c r="YA81" t="s">
        <v>1900</v>
      </c>
      <c r="YB81" t="s">
        <v>1900</v>
      </c>
      <c r="YC81" t="s">
        <v>1900</v>
      </c>
      <c r="YD81" t="s">
        <v>1900</v>
      </c>
      <c r="YE81" t="s">
        <v>1900</v>
      </c>
      <c r="YF81" t="s">
        <v>1900</v>
      </c>
      <c r="YG81" t="s">
        <v>1900</v>
      </c>
      <c r="YH81" t="s">
        <v>1900</v>
      </c>
      <c r="YI81" t="s">
        <v>1900</v>
      </c>
      <c r="YJ81" t="s">
        <v>1900</v>
      </c>
      <c r="YK81" t="s">
        <v>1900</v>
      </c>
      <c r="YL81" t="s">
        <v>1900</v>
      </c>
      <c r="YM81" t="s">
        <v>1900</v>
      </c>
      <c r="YN81" t="s">
        <v>1900</v>
      </c>
      <c r="YO81" t="s">
        <v>1900</v>
      </c>
      <c r="YP81" t="s">
        <v>1900</v>
      </c>
      <c r="YQ81" t="s">
        <v>1900</v>
      </c>
      <c r="YR81" t="s">
        <v>1900</v>
      </c>
      <c r="YS81" t="s">
        <v>1900</v>
      </c>
      <c r="YT81" t="s">
        <v>1900</v>
      </c>
      <c r="YU81" t="s">
        <v>1900</v>
      </c>
      <c r="YV81" t="s">
        <v>1900</v>
      </c>
      <c r="YW81" t="s">
        <v>1900</v>
      </c>
      <c r="YX81" t="s">
        <v>1900</v>
      </c>
      <c r="YY81" t="s">
        <v>1900</v>
      </c>
      <c r="YZ81" t="s">
        <v>1900</v>
      </c>
      <c r="ZA81" t="s">
        <v>1900</v>
      </c>
      <c r="ZB81" t="s">
        <v>1900</v>
      </c>
      <c r="ZC81" t="s">
        <v>1900</v>
      </c>
      <c r="ZD81" t="s">
        <v>1900</v>
      </c>
      <c r="ZE81" t="s">
        <v>1900</v>
      </c>
      <c r="ZF81" t="s">
        <v>1900</v>
      </c>
      <c r="ZG81" t="s">
        <v>1900</v>
      </c>
      <c r="ZH81" t="s">
        <v>1900</v>
      </c>
      <c r="ZI81" t="s">
        <v>1900</v>
      </c>
      <c r="ZJ81" t="s">
        <v>1900</v>
      </c>
      <c r="ZK81" t="s">
        <v>1900</v>
      </c>
      <c r="ZL81" t="s">
        <v>1900</v>
      </c>
      <c r="ZM81" t="s">
        <v>1900</v>
      </c>
      <c r="ZN81" t="s">
        <v>1900</v>
      </c>
      <c r="ZO81" t="s">
        <v>1900</v>
      </c>
      <c r="ZP81" t="s">
        <v>1900</v>
      </c>
      <c r="ZQ81" t="s">
        <v>1900</v>
      </c>
      <c r="ZR81" t="s">
        <v>1900</v>
      </c>
      <c r="ZS81" t="s">
        <v>1900</v>
      </c>
      <c r="ZT81" t="s">
        <v>1900</v>
      </c>
      <c r="ZU81" t="s">
        <v>1900</v>
      </c>
      <c r="ZV81" t="s">
        <v>1900</v>
      </c>
      <c r="ZW81" t="s">
        <v>1900</v>
      </c>
      <c r="ZX81" t="s">
        <v>1900</v>
      </c>
      <c r="ZY81" t="s">
        <v>1900</v>
      </c>
      <c r="ZZ81" t="s">
        <v>1900</v>
      </c>
      <c r="AAA81" t="s">
        <v>1900</v>
      </c>
      <c r="AAB81" t="s">
        <v>1900</v>
      </c>
      <c r="AAC81" t="s">
        <v>1900</v>
      </c>
      <c r="AAD81" t="s">
        <v>1900</v>
      </c>
      <c r="AAE81" t="s">
        <v>1900</v>
      </c>
      <c r="AAF81" t="s">
        <v>1900</v>
      </c>
      <c r="AAG81" t="s">
        <v>1900</v>
      </c>
      <c r="AAH81" t="s">
        <v>1900</v>
      </c>
      <c r="AAI81" t="s">
        <v>1900</v>
      </c>
      <c r="AAJ81" t="s">
        <v>1900</v>
      </c>
      <c r="AAK81" t="s">
        <v>1900</v>
      </c>
      <c r="AAL81" t="s">
        <v>1900</v>
      </c>
      <c r="AAM81" t="s">
        <v>1900</v>
      </c>
      <c r="AAN81" t="s">
        <v>1900</v>
      </c>
      <c r="AAO81" t="s">
        <v>1900</v>
      </c>
      <c r="AAP81" t="s">
        <v>1900</v>
      </c>
      <c r="AAQ81" t="s">
        <v>1900</v>
      </c>
      <c r="AAR81" t="s">
        <v>1900</v>
      </c>
      <c r="AAS81" t="s">
        <v>1900</v>
      </c>
      <c r="AAT81" t="s">
        <v>1900</v>
      </c>
      <c r="AAU81" t="s">
        <v>1900</v>
      </c>
      <c r="AAV81" t="s">
        <v>1900</v>
      </c>
      <c r="AAW81" t="s">
        <v>1900</v>
      </c>
      <c r="AAX81" t="s">
        <v>1900</v>
      </c>
      <c r="AAY81" t="s">
        <v>1900</v>
      </c>
      <c r="AAZ81" t="s">
        <v>1900</v>
      </c>
      <c r="ABA81" t="s">
        <v>1900</v>
      </c>
      <c r="ABB81" t="s">
        <v>1900</v>
      </c>
      <c r="ABC81" t="s">
        <v>1900</v>
      </c>
      <c r="ABD81" t="s">
        <v>1900</v>
      </c>
      <c r="ABE81" t="s">
        <v>1900</v>
      </c>
      <c r="ABF81" t="s">
        <v>1900</v>
      </c>
      <c r="ABG81" t="s">
        <v>1900</v>
      </c>
      <c r="ABH81" t="s">
        <v>1900</v>
      </c>
      <c r="ABI81" t="s">
        <v>1900</v>
      </c>
      <c r="ABJ81" t="s">
        <v>1900</v>
      </c>
      <c r="ABK81" t="s">
        <v>1900</v>
      </c>
      <c r="ABL81" t="s">
        <v>1900</v>
      </c>
      <c r="ABM81" t="s">
        <v>1900</v>
      </c>
      <c r="ABN81" t="s">
        <v>1900</v>
      </c>
      <c r="ABO81" t="s">
        <v>1900</v>
      </c>
      <c r="ABP81" t="s">
        <v>1900</v>
      </c>
      <c r="ABQ81" t="s">
        <v>1900</v>
      </c>
      <c r="ABR81" t="s">
        <v>1900</v>
      </c>
      <c r="ABS81" t="s">
        <v>1900</v>
      </c>
      <c r="ABT81" t="s">
        <v>1900</v>
      </c>
      <c r="ABU81" t="s">
        <v>1900</v>
      </c>
      <c r="ABV81" t="s">
        <v>1900</v>
      </c>
      <c r="ABW81" t="s">
        <v>1900</v>
      </c>
      <c r="ABX81" t="s">
        <v>1900</v>
      </c>
      <c r="ABY81" t="s">
        <v>1900</v>
      </c>
      <c r="ABZ81" t="s">
        <v>1900</v>
      </c>
      <c r="ACA81" t="s">
        <v>1900</v>
      </c>
      <c r="ACB81" t="s">
        <v>1900</v>
      </c>
      <c r="ACC81" t="s">
        <v>1900</v>
      </c>
      <c r="ACD81" t="s">
        <v>1900</v>
      </c>
      <c r="ACE81" t="s">
        <v>1900</v>
      </c>
      <c r="ACF81">
        <v>-130.526</v>
      </c>
      <c r="ACG81">
        <v>-56.153</v>
      </c>
      <c r="ACH81">
        <v>-80.71299999999999</v>
      </c>
      <c r="ACI81">
        <v>3.923</v>
      </c>
      <c r="ACJ81" t="s">
        <v>1900</v>
      </c>
      <c r="ACK81">
        <v>-54.674</v>
      </c>
      <c r="ACL81">
        <v>-14.025</v>
      </c>
      <c r="ACM81">
        <v>-20.001</v>
      </c>
      <c r="ACN81">
        <v>2.588</v>
      </c>
      <c r="ACO81" t="s">
        <v>1900</v>
      </c>
      <c r="ACP81">
        <v>-39.281</v>
      </c>
      <c r="ACQ81">
        <v>-11.238</v>
      </c>
      <c r="ACR81">
        <v>-11.131</v>
      </c>
      <c r="ACS81">
        <v>2</v>
      </c>
      <c r="ACT81" t="s">
        <v>1900</v>
      </c>
      <c r="ACU81">
        <v>-84.504</v>
      </c>
      <c r="ACV81">
        <v>-37.977</v>
      </c>
      <c r="ACW81">
        <v>-55.831</v>
      </c>
      <c r="ACX81">
        <v>5.168</v>
      </c>
      <c r="ACY81" t="s">
        <v>1900</v>
      </c>
      <c r="ACZ81">
        <v>-34.444</v>
      </c>
      <c r="ADA81">
        <v>-9.093</v>
      </c>
      <c r="ADB81">
        <v>-13.516</v>
      </c>
      <c r="ADC81">
        <v>3.367</v>
      </c>
      <c r="ADD81" t="s">
        <v>1900</v>
      </c>
      <c r="ADE81">
        <v>-25.431</v>
      </c>
      <c r="ADF81">
        <v>-7.6</v>
      </c>
      <c r="ADG81">
        <v>-7.699</v>
      </c>
      <c r="ADH81">
        <v>2.635</v>
      </c>
      <c r="ADI81" t="s">
        <v>1900</v>
      </c>
      <c r="ADJ81">
        <v>-98.509</v>
      </c>
      <c r="ADK81">
        <v>-26.057</v>
      </c>
      <c r="ADL81">
        <v>-56.874</v>
      </c>
      <c r="ADM81">
        <v>7.553</v>
      </c>
      <c r="ADN81" t="s">
        <v>1900</v>
      </c>
      <c r="ADO81">
        <v>25.211</v>
      </c>
      <c r="ADP81">
        <v>53.689</v>
      </c>
      <c r="ADQ81" t="s">
        <v>1901</v>
      </c>
      <c r="ADR81">
        <v>77.361</v>
      </c>
      <c r="ADS81" t="s">
        <v>1900</v>
      </c>
      <c r="ADT81">
        <v>-94.110075268</v>
      </c>
      <c r="ADU81">
        <v>-24.031572787</v>
      </c>
      <c r="ADV81">
        <v>-52.786343998</v>
      </c>
      <c r="ADW81">
        <v>8.083471437</v>
      </c>
      <c r="ADX81" t="s">
        <v>1900</v>
      </c>
      <c r="ADY81">
        <v>-47.263</v>
      </c>
      <c r="ADZ81">
        <v>-0.342</v>
      </c>
      <c r="AEA81">
        <v>-12.153</v>
      </c>
      <c r="AEB81">
        <v>20.812</v>
      </c>
      <c r="AEC81" t="s">
        <v>1900</v>
      </c>
      <c r="AED81">
        <v>-94.11</v>
      </c>
      <c r="AEE81">
        <v>-24.032</v>
      </c>
      <c r="AEF81">
        <v>-52.786</v>
      </c>
      <c r="AEG81">
        <v>8.083</v>
      </c>
      <c r="AEH81" t="s">
        <v>1900</v>
      </c>
      <c r="AEI81">
        <v>-16.929</v>
      </c>
      <c r="AEJ81">
        <v>6.067</v>
      </c>
      <c r="AEK81">
        <v>1.293</v>
      </c>
      <c r="AEL81">
        <v>22.679</v>
      </c>
      <c r="AEM81" t="s">
        <v>1900</v>
      </c>
      <c r="AEN81">
        <v>-48.482838996</v>
      </c>
      <c r="AEO81">
        <v>-19.375367293</v>
      </c>
      <c r="AEP81">
        <v>-34.549124363</v>
      </c>
      <c r="AEQ81">
        <v>8.794361106</v>
      </c>
      <c r="AER81" t="s">
        <v>1900</v>
      </c>
      <c r="AES81">
        <v>0.211283851</v>
      </c>
      <c r="AET81">
        <v>0.6907965579999999</v>
      </c>
      <c r="AEU81">
        <v>0.66106498</v>
      </c>
      <c r="AEV81">
        <v>1.116682831</v>
      </c>
      <c r="AEW81" t="s">
        <v>1900</v>
      </c>
      <c r="AEX81" t="s">
        <v>1900</v>
      </c>
      <c r="AEY81" t="s">
        <v>1900</v>
      </c>
      <c r="AEZ81" t="s">
        <v>1900</v>
      </c>
      <c r="AFA81" t="s">
        <v>1900</v>
      </c>
      <c r="AFB81" t="s">
        <v>1900</v>
      </c>
      <c r="AFC81" t="s">
        <v>1900</v>
      </c>
      <c r="AFD81" t="s">
        <v>1900</v>
      </c>
      <c r="AFE81" t="s">
        <v>1900</v>
      </c>
      <c r="AFF81" t="s">
        <v>1900</v>
      </c>
      <c r="AFG81" t="s">
        <v>1900</v>
      </c>
      <c r="AFH81">
        <v>0.582</v>
      </c>
      <c r="AFI81">
        <v>0.585</v>
      </c>
      <c r="AFJ81">
        <v>0.37</v>
      </c>
      <c r="AFK81">
        <v>0.325</v>
      </c>
      <c r="AFL81" t="s">
        <v>1900</v>
      </c>
      <c r="AFM81">
        <v>-20.269</v>
      </c>
      <c r="AFN81">
        <v>-11.599</v>
      </c>
      <c r="AFO81">
        <v>-18.894</v>
      </c>
      <c r="AFP81">
        <v>19.558</v>
      </c>
      <c r="AFQ81" t="s">
        <v>1900</v>
      </c>
      <c r="AFR81" t="s">
        <v>1901</v>
      </c>
      <c r="AFS81">
        <v>951.91</v>
      </c>
      <c r="AFT81">
        <v>4.043</v>
      </c>
      <c r="AFU81" t="s">
        <v>1901</v>
      </c>
      <c r="AFV81" t="s">
        <v>1900</v>
      </c>
      <c r="AFW81">
        <v>149.004</v>
      </c>
      <c r="AFX81">
        <v>304.369</v>
      </c>
      <c r="AFY81">
        <v>516.775</v>
      </c>
      <c r="AFZ81">
        <v>216.924</v>
      </c>
      <c r="AGA81" t="s">
        <v>1900</v>
      </c>
      <c r="AGB81">
        <v>10.569</v>
      </c>
      <c r="AGC81">
        <v>3.885</v>
      </c>
      <c r="AGD81">
        <v>45.637</v>
      </c>
      <c r="AGE81">
        <v>1.447</v>
      </c>
      <c r="AGF81" t="s">
        <v>1900</v>
      </c>
      <c r="AGG81" t="s">
        <v>1900</v>
      </c>
      <c r="AGH81" t="s">
        <v>1900</v>
      </c>
      <c r="AGI81" t="s">
        <v>1900</v>
      </c>
      <c r="AGJ81" t="s">
        <v>1900</v>
      </c>
      <c r="AGK81" t="s">
        <v>1900</v>
      </c>
      <c r="AGL81" t="s">
        <v>1900</v>
      </c>
      <c r="AGM81" t="s">
        <v>1900</v>
      </c>
      <c r="AGN81" t="s">
        <v>1900</v>
      </c>
      <c r="AGO81" t="s">
        <v>1900</v>
      </c>
      <c r="AGP81" t="s">
        <v>1900</v>
      </c>
      <c r="AGQ81" t="s">
        <v>1900</v>
      </c>
      <c r="AGR81" t="s">
        <v>1900</v>
      </c>
      <c r="AGS81" t="s">
        <v>1900</v>
      </c>
      <c r="AGT81" t="s">
        <v>1900</v>
      </c>
      <c r="AGU81">
        <v>0</v>
      </c>
      <c r="AGV81">
        <v>0</v>
      </c>
      <c r="AGW81">
        <v>0</v>
      </c>
      <c r="AGX81">
        <v>0</v>
      </c>
      <c r="AGY81">
        <v>0</v>
      </c>
      <c r="AGZ81" t="s">
        <v>1900</v>
      </c>
      <c r="AHA81">
        <v>1.381</v>
      </c>
      <c r="AHB81">
        <v>2.742</v>
      </c>
      <c r="AHC81">
        <v>1.547</v>
      </c>
      <c r="AHD81">
        <v>4.327</v>
      </c>
      <c r="AHE81" t="s">
        <v>1900</v>
      </c>
      <c r="AHF81">
        <v>1.381</v>
      </c>
      <c r="AHG81">
        <v>2.74</v>
      </c>
      <c r="AHH81">
        <v>1.445</v>
      </c>
      <c r="AHI81">
        <v>4.327</v>
      </c>
      <c r="AHJ81" t="s">
        <v>1900</v>
      </c>
      <c r="AHK81">
        <v>0.784</v>
      </c>
      <c r="AHL81">
        <v>0.372</v>
      </c>
      <c r="AHM81">
        <v>0.352</v>
      </c>
      <c r="AHN81">
        <v>1.67</v>
      </c>
      <c r="AHO81" t="s">
        <v>1900</v>
      </c>
      <c r="AHP81">
        <v>30.095</v>
      </c>
      <c r="AHQ81">
        <v>20.012</v>
      </c>
      <c r="AHR81">
        <v>13.79</v>
      </c>
      <c r="AHS81">
        <v>50.993</v>
      </c>
      <c r="AHT81" t="s">
        <v>1900</v>
      </c>
      <c r="AHU81">
        <v>43.051</v>
      </c>
      <c r="AHV81">
        <v>25.019</v>
      </c>
      <c r="AHW81">
        <v>15.996</v>
      </c>
      <c r="AHX81" t="s">
        <v>1901</v>
      </c>
      <c r="AHY81" t="s">
        <v>1900</v>
      </c>
      <c r="AHZ81">
        <v>135.623</v>
      </c>
      <c r="AIA81">
        <v>276.749</v>
      </c>
      <c r="AIB81">
        <v>294.188</v>
      </c>
      <c r="AIC81">
        <v>65.444</v>
      </c>
      <c r="AID81" t="s">
        <v>1900</v>
      </c>
      <c r="AIE81">
        <v>25.895803514</v>
      </c>
      <c r="AIF81">
        <v>8.167777886</v>
      </c>
      <c r="AIG81">
        <v>4.911155349</v>
      </c>
      <c r="AIH81">
        <v>2.015116206</v>
      </c>
      <c r="AII81" t="s">
        <v>1900</v>
      </c>
      <c r="AIJ81">
        <v>27.048629821</v>
      </c>
      <c r="AIK81">
        <v>35.462934289</v>
      </c>
      <c r="AIL81">
        <v>39.922708398</v>
      </c>
      <c r="AIM81">
        <v>64.014919737</v>
      </c>
      <c r="AIN81" t="s">
        <v>1900</v>
      </c>
      <c r="AIO81">
        <v>27.919464753</v>
      </c>
      <c r="AIP81">
        <v>24.138006031</v>
      </c>
      <c r="AIQ81">
        <v>43.158744738</v>
      </c>
      <c r="AIR81">
        <v>15.529143884</v>
      </c>
      <c r="AIS81" t="s">
        <v>1900</v>
      </c>
      <c r="AIT81">
        <v>0</v>
      </c>
      <c r="AIU81">
        <v>0.226841761</v>
      </c>
      <c r="AIV81">
        <v>-836.976784315</v>
      </c>
      <c r="AIW81">
        <v>0</v>
      </c>
      <c r="AIX81" t="s">
        <v>1900</v>
      </c>
      <c r="AIY81">
        <v>-54.6555466837378</v>
      </c>
      <c r="AIZ81">
        <v>-26.279610945558</v>
      </c>
      <c r="AJA81">
        <v>-24.3284505441928</v>
      </c>
      <c r="AJB81">
        <v>6.0068523149991</v>
      </c>
      <c r="AJC81" t="s">
        <v>1900</v>
      </c>
      <c r="AJD81">
        <v>55.4826859649477</v>
      </c>
      <c r="AJE81">
        <v>100.855704265443</v>
      </c>
      <c r="AJF81">
        <v>42.7758853178787</v>
      </c>
      <c r="AJG81">
        <v>79.5278282544857</v>
      </c>
      <c r="AJH81" t="s">
        <v>1900</v>
      </c>
      <c r="AJI81" t="s">
        <v>1901</v>
      </c>
      <c r="AJJ81">
        <v>64.32899999999999</v>
      </c>
      <c r="AJK81" t="s">
        <v>1901</v>
      </c>
      <c r="AJL81">
        <v>44.762</v>
      </c>
      <c r="AJM81" t="s">
        <v>1900</v>
      </c>
      <c r="AJN81">
        <v>66.4551939242744</v>
      </c>
      <c r="AJO81">
        <v>64.8792213983279</v>
      </c>
      <c r="AJP81">
        <v>56.0280654922199</v>
      </c>
      <c r="AJQ81">
        <v>35.5986083845276</v>
      </c>
      <c r="AJR81" t="s">
        <v>1900</v>
      </c>
      <c r="AJS81">
        <v>41.8733197422314</v>
      </c>
      <c r="AJT81">
        <v>46.8000091611171</v>
      </c>
      <c r="AJU81">
        <v>30.1418002419305</v>
      </c>
      <c r="AJV81">
        <v>153.133867944508</v>
      </c>
      <c r="AJW81" t="s">
        <v>1900</v>
      </c>
      <c r="AJX81">
        <v>21.3353650450497</v>
      </c>
      <c r="AJY81">
        <v>84.28807148999449</v>
      </c>
      <c r="AJZ81">
        <v>66.56275584264991</v>
      </c>
      <c r="AKA81">
        <v>47.6012028574687</v>
      </c>
      <c r="AKB81" t="s">
        <v>1900</v>
      </c>
      <c r="AKC81">
        <v>139.138684468732</v>
      </c>
      <c r="AKD81">
        <v>233.854616031961</v>
      </c>
      <c r="AKE81">
        <v>218.570184768584</v>
      </c>
      <c r="AKF81">
        <v>300.305773320589</v>
      </c>
      <c r="AKG81" t="s">
        <v>1900</v>
      </c>
      <c r="AKH81">
        <v>0</v>
      </c>
      <c r="AKI81">
        <v>0.226841761</v>
      </c>
      <c r="AKJ81">
        <v>-836.976784315</v>
      </c>
      <c r="AKK81">
        <v>0</v>
      </c>
      <c r="AKL81" t="s">
        <v>1900</v>
      </c>
      <c r="AKM81">
        <v>0</v>
      </c>
      <c r="AKN81">
        <v>0.105051924</v>
      </c>
      <c r="AKO81">
        <v>24.736331743</v>
      </c>
      <c r="AKP81">
        <v>0</v>
      </c>
      <c r="AKQ81" t="s">
        <v>1900</v>
      </c>
      <c r="AKR81">
        <v>0</v>
      </c>
      <c r="AKS81">
        <v>0.045306293</v>
      </c>
      <c r="AKT81">
        <v>4.841092534</v>
      </c>
      <c r="AKU81">
        <v>0</v>
      </c>
      <c r="AKV81" t="s">
        <v>1900</v>
      </c>
      <c r="AKW81">
        <v>73.386769644</v>
      </c>
      <c r="AKX81">
        <v>43.764274991</v>
      </c>
      <c r="AKY81">
        <v>105.965683793</v>
      </c>
      <c r="AKZ81">
        <v>64.70288313499999</v>
      </c>
      <c r="ALA81" t="s">
        <v>1900</v>
      </c>
      <c r="ALB81">
        <v>29.263573098</v>
      </c>
      <c r="ALC81">
        <v>18.874447928</v>
      </c>
      <c r="ALD81">
        <v>20.738308574</v>
      </c>
      <c r="ALE81">
        <v>17.134801458</v>
      </c>
      <c r="ALF81" t="s">
        <v>1900</v>
      </c>
      <c r="ALG81">
        <v>3.228550662</v>
      </c>
      <c r="ALH81">
        <v>2.287506471</v>
      </c>
      <c r="ALI81">
        <v>7.629471526</v>
      </c>
      <c r="ALJ81">
        <v>3.314824688</v>
      </c>
      <c r="ALK81" t="s">
        <v>1900</v>
      </c>
      <c r="ALL81">
        <v>1.287410915</v>
      </c>
      <c r="ALM81">
        <v>0.986544888</v>
      </c>
      <c r="ALN81">
        <v>1.493146924</v>
      </c>
      <c r="ALO81">
        <v>0.877841298</v>
      </c>
      <c r="ALP81" t="s">
        <v>1900</v>
      </c>
      <c r="ALQ81">
        <v>41.389956075</v>
      </c>
      <c r="ALR81">
        <v>84.54691078499999</v>
      </c>
      <c r="ALS81">
        <v>143.548654193</v>
      </c>
      <c r="ALT81">
        <v>60.256589367</v>
      </c>
      <c r="ALU81" t="s">
        <v>1900</v>
      </c>
      <c r="ALV81">
        <v>7.093171803</v>
      </c>
      <c r="ALW81">
        <v>1.276247746</v>
      </c>
      <c r="ALX81">
        <v>8.831050606</v>
      </c>
      <c r="ALY81">
        <v>0.6668387690000001</v>
      </c>
      <c r="ALZ81" t="s">
        <v>1900</v>
      </c>
      <c r="AMA81">
        <v>25.2105134548161</v>
      </c>
      <c r="AMB81">
        <v>53.6893369596749</v>
      </c>
      <c r="AMC81" t="s">
        <v>1901</v>
      </c>
      <c r="AMD81">
        <v>77.36077087155149</v>
      </c>
      <c r="AME81" t="s">
        <v>1900</v>
      </c>
      <c r="AMF81">
        <v>25.2105134548161</v>
      </c>
      <c r="AMG81">
        <v>53.7059026570213</v>
      </c>
      <c r="AMH81" t="s">
        <v>1901</v>
      </c>
      <c r="AMI81">
        <v>78.13410891461901</v>
      </c>
      <c r="AMJ81" t="s">
        <v>1900</v>
      </c>
      <c r="AMK81">
        <v>33.7086329113448</v>
      </c>
      <c r="AML81">
        <v>115.932991313307</v>
      </c>
      <c r="AMM81" t="s">
        <v>1901</v>
      </c>
      <c r="AMN81">
        <v>341.711152940008</v>
      </c>
      <c r="AMO81" t="s">
        <v>1900</v>
      </c>
      <c r="AMP81">
        <v>0.211283850604584</v>
      </c>
      <c r="AMQ81">
        <v>0.69079655863482</v>
      </c>
      <c r="AMR81">
        <v>0.661064979719672</v>
      </c>
      <c r="AMS81">
        <v>1.11668283299997</v>
      </c>
      <c r="AMT81" t="s">
        <v>1900</v>
      </c>
      <c r="AMU81">
        <v>0.211283851126186</v>
      </c>
      <c r="AMV81">
        <v>0.6907965581308571</v>
      </c>
      <c r="AMW81">
        <v>0.661064980458842</v>
      </c>
      <c r="AMX81">
        <v>1.11668283140908</v>
      </c>
      <c r="AMY81" t="s">
        <v>1900</v>
      </c>
      <c r="AMZ81">
        <v>0.211283851126186</v>
      </c>
      <c r="ANA81">
        <v>0.690796558286684</v>
      </c>
      <c r="ANB81">
        <v>0.597067573842841</v>
      </c>
      <c r="ANC81">
        <v>1.11668283122345</v>
      </c>
      <c r="AND81" t="s">
        <v>1900</v>
      </c>
      <c r="ANE81">
        <v>-94.1100752675446</v>
      </c>
      <c r="ANF81">
        <v>-24.0315727866553</v>
      </c>
      <c r="ANG81">
        <v>-52.7863439981381</v>
      </c>
      <c r="ANH81">
        <v>8.08347143748167</v>
      </c>
      <c r="ANI81" t="s">
        <v>1900</v>
      </c>
      <c r="ANJ81">
        <v>-94.1100752675446</v>
      </c>
      <c r="ANK81">
        <v>-24.0389876623845</v>
      </c>
      <c r="ANL81">
        <v>-53.2507202420833</v>
      </c>
      <c r="ANM81">
        <v>8.16427797433785</v>
      </c>
      <c r="ANN81" t="s">
        <v>1900</v>
      </c>
      <c r="ANO81">
        <v>-48.4828389962919</v>
      </c>
      <c r="ANP81">
        <v>-19.3753672929647</v>
      </c>
      <c r="ANQ81">
        <v>-34.5491243633537</v>
      </c>
      <c r="ANR81">
        <v>8.79436110555849</v>
      </c>
      <c r="ANS81" t="s">
        <v>1900</v>
      </c>
      <c r="ANT81">
        <v>-54.8164550459871</v>
      </c>
      <c r="ANU81">
        <v>-14.0524725411745</v>
      </c>
      <c r="ANV81">
        <v>-19.5222178595344</v>
      </c>
      <c r="ANW81">
        <v>2.62602483674306</v>
      </c>
      <c r="ANX81" t="s">
        <v>1900</v>
      </c>
      <c r="ANY81">
        <v>25.210513517054</v>
      </c>
      <c r="ANZ81">
        <v>53.6893369596748</v>
      </c>
      <c r="AOA81">
        <v>78.2191064729774</v>
      </c>
      <c r="AOB81">
        <v>77.36077087155149</v>
      </c>
      <c r="AOC81" t="s">
        <v>1900</v>
      </c>
      <c r="AOD81">
        <v>12.9877408063791</v>
      </c>
      <c r="AOE81">
        <v>43.2868307265804</v>
      </c>
      <c r="AOF81">
        <v>67.3852357525994</v>
      </c>
      <c r="AOG81">
        <v>84.1641564160394</v>
      </c>
      <c r="AOH81" t="s">
        <v>1900</v>
      </c>
      <c r="AOI81">
        <v>10.0528979119791</v>
      </c>
      <c r="AOJ81">
        <v>23.1548813492961</v>
      </c>
      <c r="AOK81">
        <v>20.1491800766206</v>
      </c>
      <c r="AOL81">
        <v>20.4868992739925</v>
      </c>
      <c r="AOM81" t="s">
        <v>1900</v>
      </c>
      <c r="AON81">
        <v>-125.833295150387</v>
      </c>
      <c r="AOO81">
        <v>-51.8920939778593</v>
      </c>
      <c r="AOP81" t="s">
        <v>1901</v>
      </c>
      <c r="AOQ81">
        <v>35.7055948840765</v>
      </c>
      <c r="AOR81" t="s">
        <v>1900</v>
      </c>
      <c r="AOS81">
        <v>-78.8716148873814</v>
      </c>
      <c r="AOT81">
        <v>-30.9203441869143</v>
      </c>
      <c r="AOU81">
        <v>-33.8935019541158</v>
      </c>
      <c r="AOV81">
        <v>11.6682831409076</v>
      </c>
      <c r="AOW81" t="s">
        <v>1900</v>
      </c>
      <c r="AOX81">
        <v>-37.5271602797347</v>
      </c>
      <c r="AOY81">
        <v>-10.3642221718982</v>
      </c>
      <c r="AOZ81">
        <v>-10.3306981197275</v>
      </c>
      <c r="APA81">
        <v>2.14068788687293</v>
      </c>
      <c r="APB81" t="s">
        <v>1900</v>
      </c>
      <c r="APC81">
        <v>-63.7763334211469</v>
      </c>
      <c r="APD81">
        <v>-17.6222946201794</v>
      </c>
      <c r="APE81">
        <v>-39.3408639223677</v>
      </c>
      <c r="APF81">
        <v>9.95047945710345</v>
      </c>
      <c r="APG81" t="s">
        <v>1900</v>
      </c>
      <c r="APH81">
        <v>-63.7763334211469</v>
      </c>
      <c r="API81">
        <v>-17.6277319307471</v>
      </c>
      <c r="APJ81">
        <v>-39.6869565144682</v>
      </c>
      <c r="APK81">
        <v>10.0499495661037</v>
      </c>
      <c r="APL81" t="s">
        <v>1900</v>
      </c>
      <c r="APM81">
        <v>-85.2744635914696</v>
      </c>
      <c r="APN81">
        <v>-38.0523479113972</v>
      </c>
      <c r="APO81" t="s">
        <v>1901</v>
      </c>
      <c r="APP81">
        <v>43.9523775330303</v>
      </c>
      <c r="APQ81" t="s">
        <v>1900</v>
      </c>
      <c r="APR81">
        <v>-53.4495631229896</v>
      </c>
      <c r="APS81">
        <v>-22.6738141467682</v>
      </c>
      <c r="APT81">
        <v>-25.2603144532306</v>
      </c>
      <c r="APU81">
        <v>14.3632612042035</v>
      </c>
      <c r="APV81" t="s">
        <v>1900</v>
      </c>
      <c r="APW81">
        <v>-32.855756370834</v>
      </c>
      <c r="APX81">
        <v>-14.2079103120713</v>
      </c>
      <c r="APY81">
        <v>-25.7489399202111</v>
      </c>
      <c r="APZ81">
        <v>10.8255605522955</v>
      </c>
      <c r="AQA81" t="s">
        <v>1900</v>
      </c>
      <c r="AQB81">
        <v>-25.4313332504003</v>
      </c>
      <c r="AQC81">
        <v>-7.6000592322283</v>
      </c>
      <c r="AQD81">
        <v>-7.69931308305032</v>
      </c>
      <c r="AQE81">
        <v>2.63511425841511</v>
      </c>
      <c r="AQF81" t="s">
        <v>1900</v>
      </c>
      <c r="AQG81">
        <v>-0.788716148873814</v>
      </c>
      <c r="AQH81">
        <v>-0.309203441713316</v>
      </c>
      <c r="AQI81">
        <v>-0.402932426157159</v>
      </c>
      <c r="AQJ81">
        <v>0.116682831223446</v>
      </c>
      <c r="AQK81">
        <v>13</v>
      </c>
      <c r="AQO81" t="s">
        <v>1902</v>
      </c>
      <c r="AQP81">
        <v>1</v>
      </c>
      <c r="AQQ81">
        <v>0</v>
      </c>
      <c r="AQS81" t="s">
        <v>1905</v>
      </c>
      <c r="AQU81" t="s">
        <v>1906</v>
      </c>
      <c r="AQV81" t="s">
        <v>1900</v>
      </c>
      <c r="AQW81">
        <v>1775445.93319832</v>
      </c>
      <c r="AQX81">
        <v>2723104.01943336</v>
      </c>
      <c r="AQY81" t="s">
        <v>1900</v>
      </c>
      <c r="AQZ81">
        <v>-1670873.5040675</v>
      </c>
      <c r="ARA81">
        <v>-654404.7244864641</v>
      </c>
      <c r="ARB81">
        <v>4498549.95263168</v>
      </c>
      <c r="ARC81">
        <v>-2325278.228553964</v>
      </c>
      <c r="ARD81">
        <v>-0.3407586133198837</v>
      </c>
      <c r="ARE81">
        <v>-0.3407586133198837</v>
      </c>
      <c r="ARF81">
        <v>-0.3407586133198837</v>
      </c>
      <c r="ARG81" t="s">
        <v>1907</v>
      </c>
      <c r="ARH81" t="s">
        <v>1907</v>
      </c>
      <c r="ARI81" t="s">
        <v>1907</v>
      </c>
      <c r="ARJ81" t="s">
        <v>1242</v>
      </c>
      <c r="ARK81" t="s">
        <v>1580</v>
      </c>
      <c r="ARL81" t="s">
        <v>1908</v>
      </c>
      <c r="ARM81" t="s">
        <v>1908</v>
      </c>
      <c r="ARN81" t="s">
        <v>1909</v>
      </c>
      <c r="ARO81" t="s">
        <v>1908</v>
      </c>
      <c r="ARP81" t="s">
        <v>1907</v>
      </c>
      <c r="ARQ81" t="s">
        <v>1975</v>
      </c>
      <c r="ARR81">
        <f>HYPERLINK("C:\Users\Usuario\Documents\Proyectos\llmthon\evidence\mollitiamindustries_com_235231.png", "Ver Evidencia")</f>
        <v>0</v>
      </c>
      <c r="ARS81">
        <v>100</v>
      </c>
    </row>
    <row r="82" spans="1:1163">
      <c r="A82">
        <v>315</v>
      </c>
      <c r="B82" t="s">
        <v>1243</v>
      </c>
      <c r="C82" t="s">
        <v>1366</v>
      </c>
      <c r="E82" s="2">
        <v>35509</v>
      </c>
      <c r="F82" t="s">
        <v>1431</v>
      </c>
      <c r="G82" t="s">
        <v>1433</v>
      </c>
      <c r="H82" t="s">
        <v>1434</v>
      </c>
      <c r="I82" t="s">
        <v>1437</v>
      </c>
      <c r="J82" t="s">
        <v>1453</v>
      </c>
      <c r="L82" t="s">
        <v>1581</v>
      </c>
      <c r="N82" t="s">
        <v>1629</v>
      </c>
      <c r="O82" t="s">
        <v>1653</v>
      </c>
      <c r="P82">
        <v>7022</v>
      </c>
      <c r="Q82">
        <v>7022</v>
      </c>
      <c r="R82" t="s">
        <v>1751</v>
      </c>
      <c r="Z82" t="s">
        <v>1899</v>
      </c>
      <c r="AA82" s="2">
        <v>45657</v>
      </c>
      <c r="AB82">
        <v>2024</v>
      </c>
      <c r="AC82">
        <v>2346386.06061443</v>
      </c>
      <c r="AD82">
        <v>2449374.58619922</v>
      </c>
      <c r="AE82">
        <v>2413707.64503603</v>
      </c>
      <c r="AF82">
        <v>2476031.67044306</v>
      </c>
      <c r="AG82">
        <v>2395755.012875</v>
      </c>
      <c r="AH82">
        <v>2262873.61195831</v>
      </c>
      <c r="AI82">
        <v>2449374.58619922</v>
      </c>
      <c r="AJ82">
        <v>2404108.2496417</v>
      </c>
      <c r="AK82">
        <v>2322035.40443802</v>
      </c>
      <c r="AL82">
        <v>2395734.82709153</v>
      </c>
      <c r="AM82" t="s">
        <v>1900</v>
      </c>
      <c r="AN82" t="s">
        <v>1900</v>
      </c>
      <c r="AO82" t="s">
        <v>1900</v>
      </c>
      <c r="AP82" t="s">
        <v>1900</v>
      </c>
      <c r="AQ82">
        <v>440770.325702697</v>
      </c>
      <c r="AR82">
        <v>2346386.06061443</v>
      </c>
      <c r="AS82">
        <v>2449374.58619922</v>
      </c>
      <c r="AT82">
        <v>2413707.64503603</v>
      </c>
      <c r="AU82">
        <v>2476031.67044306</v>
      </c>
      <c r="AV82">
        <v>1954984.68717231</v>
      </c>
      <c r="AW82">
        <v>2179525.55772665</v>
      </c>
      <c r="AX82">
        <v>2277463.23789252</v>
      </c>
      <c r="AY82">
        <v>2226771.93094354</v>
      </c>
      <c r="AZ82">
        <v>2239560.93262225</v>
      </c>
      <c r="BA82">
        <v>1861155.53319176</v>
      </c>
      <c r="BB82">
        <v>166860.501848881</v>
      </c>
      <c r="BC82">
        <v>171911.3472017</v>
      </c>
      <c r="BD82">
        <v>186935.714092487</v>
      </c>
      <c r="BE82">
        <v>236470.736688209</v>
      </c>
      <c r="BF82">
        <v>93829.1539805472</v>
      </c>
      <c r="BG82">
        <v>52177.8255991614</v>
      </c>
      <c r="BH82">
        <v>50449.206490984</v>
      </c>
      <c r="BI82">
        <v>17598.6131737965</v>
      </c>
      <c r="BJ82">
        <v>-5795.17599320412</v>
      </c>
      <c r="BK82">
        <v>54257.4103526413</v>
      </c>
      <c r="BL82">
        <v>56368.1333964276</v>
      </c>
      <c r="BM82">
        <v>58934.5052990818</v>
      </c>
      <c r="BN82">
        <v>41445.4536109686</v>
      </c>
      <c r="BO82">
        <v>841.703244495392</v>
      </c>
      <c r="BP82">
        <v>58886.0411810875</v>
      </c>
      <c r="BQ82">
        <v>4190.30779726624</v>
      </c>
      <c r="BR82">
        <v>8485.298808097839</v>
      </c>
      <c r="BS82">
        <v>23846.8393705726</v>
      </c>
      <c r="BT82">
        <v>6636.87923769951</v>
      </c>
      <c r="BU82">
        <v>4628.63082844615</v>
      </c>
      <c r="BV82">
        <v>219038.327448043</v>
      </c>
      <c r="BW82">
        <v>222360.553692684</v>
      </c>
      <c r="BX82">
        <v>204534.328332883</v>
      </c>
      <c r="BY82">
        <v>230675.560695004</v>
      </c>
      <c r="BZ82">
        <v>148086.564333189</v>
      </c>
      <c r="CA82">
        <v>152459.754306698</v>
      </c>
      <c r="CB82">
        <v>124140.606662779</v>
      </c>
      <c r="CC82">
        <v>114005.843487364</v>
      </c>
      <c r="CD82">
        <v>105909.885139132</v>
      </c>
      <c r="CE82">
        <v>57838.5278641284</v>
      </c>
      <c r="CF82">
        <v>66578.57210244521</v>
      </c>
      <c r="CG82">
        <v>98219.94702990531</v>
      </c>
      <c r="CH82">
        <v>90528.48484551909</v>
      </c>
      <c r="CI82">
        <v>124765.674423273</v>
      </c>
      <c r="CJ82">
        <v>90248.0352419609</v>
      </c>
      <c r="CK82" t="s">
        <v>1900</v>
      </c>
      <c r="CL82" t="s">
        <v>1900</v>
      </c>
      <c r="CM82" t="s">
        <v>1900</v>
      </c>
      <c r="CN82" t="s">
        <v>1900</v>
      </c>
      <c r="CO82" t="s">
        <v>1900</v>
      </c>
      <c r="CP82" t="s">
        <v>1900</v>
      </c>
      <c r="CQ82" t="s">
        <v>1900</v>
      </c>
      <c r="CR82" t="s">
        <v>1900</v>
      </c>
      <c r="CS82" t="s">
        <v>1900</v>
      </c>
      <c r="CT82" t="s">
        <v>1900</v>
      </c>
      <c r="CU82" t="s">
        <v>1900</v>
      </c>
      <c r="CV82" t="s">
        <v>1900</v>
      </c>
      <c r="CW82" t="s">
        <v>1900</v>
      </c>
      <c r="CX82" t="s">
        <v>1900</v>
      </c>
      <c r="CY82" t="s">
        <v>1900</v>
      </c>
      <c r="CZ82">
        <v>66578.57210244521</v>
      </c>
      <c r="DA82">
        <v>98219.94702990531</v>
      </c>
      <c r="DB82">
        <v>90528.48484551909</v>
      </c>
      <c r="DC82">
        <v>124765.674423273</v>
      </c>
      <c r="DD82">
        <v>90248.0352419609</v>
      </c>
      <c r="DE82" t="s">
        <v>1900</v>
      </c>
      <c r="DF82" t="s">
        <v>1900</v>
      </c>
      <c r="DG82" t="s">
        <v>1900</v>
      </c>
      <c r="DH82" t="s">
        <v>1900</v>
      </c>
      <c r="DI82" t="s">
        <v>1900</v>
      </c>
      <c r="DJ82" t="s">
        <v>1900</v>
      </c>
      <c r="DK82" t="s">
        <v>1900</v>
      </c>
      <c r="DL82" t="s">
        <v>1900</v>
      </c>
      <c r="DM82" t="s">
        <v>1900</v>
      </c>
      <c r="DN82">
        <v>440770.325702697</v>
      </c>
      <c r="DO82">
        <v>1277601.85757854</v>
      </c>
      <c r="DP82">
        <v>1247030.28710187</v>
      </c>
      <c r="DQ82">
        <v>1247082.94740456</v>
      </c>
      <c r="DR82">
        <v>1345080.65554619</v>
      </c>
      <c r="DS82">
        <v>1271248.8719762</v>
      </c>
      <c r="DT82">
        <v>16326.4828981841</v>
      </c>
      <c r="DU82">
        <v>85416.99138409609</v>
      </c>
      <c r="DV82">
        <v>183026.392316133</v>
      </c>
      <c r="DW82">
        <v>266146.314472175</v>
      </c>
      <c r="DX82">
        <v>236712.805013156</v>
      </c>
      <c r="DY82">
        <v>885597.217249925</v>
      </c>
      <c r="DZ82">
        <v>945015.960511551</v>
      </c>
      <c r="EA82">
        <v>796662.591222847</v>
      </c>
      <c r="EB82">
        <v>628333.962603886</v>
      </c>
      <c r="EC82">
        <v>353193.8549753</v>
      </c>
      <c r="ED82">
        <v>4190.30779726624</v>
      </c>
      <c r="EE82">
        <v>8485.298808097839</v>
      </c>
      <c r="EF82">
        <v>23846.8393705726</v>
      </c>
      <c r="EG82">
        <v>6636.87923769951</v>
      </c>
      <c r="EH82">
        <v>4628.63082844615</v>
      </c>
      <c r="EI82" t="s">
        <v>1900</v>
      </c>
      <c r="EJ82" t="s">
        <v>1900</v>
      </c>
      <c r="EK82" t="s">
        <v>1900</v>
      </c>
      <c r="EL82" t="s">
        <v>1900</v>
      </c>
      <c r="EM82" t="s">
        <v>1900</v>
      </c>
      <c r="EN82">
        <v>82905.05500062931</v>
      </c>
      <c r="EO82">
        <v>183636.938414001</v>
      </c>
      <c r="EP82">
        <v>273554.876095052</v>
      </c>
      <c r="EQ82">
        <v>390911.988895447</v>
      </c>
      <c r="ER82">
        <v>326960.840255117</v>
      </c>
      <c r="ES82">
        <v>1517156.97572203</v>
      </c>
      <c r="ET82">
        <v>1563293.12988175</v>
      </c>
      <c r="EU82">
        <v>1658490.50742415</v>
      </c>
      <c r="EV82">
        <v>1848539.40995107</v>
      </c>
      <c r="EW82">
        <v>1660676.87215099</v>
      </c>
      <c r="EX82">
        <v>183186.984747065</v>
      </c>
      <c r="EY82">
        <v>257328.338585796</v>
      </c>
      <c r="EZ82">
        <v>369962.10534202</v>
      </c>
      <c r="FA82">
        <v>502617.051160383</v>
      </c>
      <c r="FB82">
        <v>330541.958993703</v>
      </c>
      <c r="FC82">
        <v>517343.038016576</v>
      </c>
      <c r="FD82">
        <v>563385.585740528</v>
      </c>
      <c r="FE82">
        <v>615631.5185673831</v>
      </c>
      <c r="FF82">
        <v>838871.6304666999</v>
      </c>
      <c r="FG82">
        <v>1190313.19392258</v>
      </c>
      <c r="FH82">
        <v>607.04977973938</v>
      </c>
      <c r="FI82">
        <v>657.563695106506</v>
      </c>
      <c r="FJ82">
        <v>66209.0032437146</v>
      </c>
      <c r="FK82">
        <v>246026.292940235</v>
      </c>
      <c r="FL82">
        <v>531389.228393024</v>
      </c>
      <c r="FM82">
        <v>25607.3880568707</v>
      </c>
      <c r="FN82">
        <v>40350.9053089905</v>
      </c>
      <c r="FO82">
        <v>45199.0625280321</v>
      </c>
      <c r="FP82">
        <v>57420.7062998772</v>
      </c>
      <c r="FQ82">
        <v>79685.4602033913</v>
      </c>
      <c r="FR82">
        <v>491128.600179965</v>
      </c>
      <c r="FS82">
        <v>522377.116736431</v>
      </c>
      <c r="FT82">
        <v>504223.452795637</v>
      </c>
      <c r="FU82">
        <v>535424.631226587</v>
      </c>
      <c r="FV82">
        <v>579238.505326164</v>
      </c>
      <c r="FW82">
        <v>607.04977973938</v>
      </c>
      <c r="FX82">
        <v>657.563695106506</v>
      </c>
      <c r="FY82">
        <v>66209.0032437146</v>
      </c>
      <c r="FZ82">
        <v>246026.292940235</v>
      </c>
      <c r="GA82">
        <v>531389.228393024</v>
      </c>
      <c r="GB82">
        <v>25607.3880568707</v>
      </c>
      <c r="GC82">
        <v>40350.9053089905</v>
      </c>
      <c r="GD82">
        <v>45199.0625280321</v>
      </c>
      <c r="GE82">
        <v>57420.7062998772</v>
      </c>
      <c r="GF82">
        <v>79685.4602033913</v>
      </c>
      <c r="GG82">
        <v>491128.600179965</v>
      </c>
      <c r="GH82">
        <v>522377.116736431</v>
      </c>
      <c r="GI82">
        <v>504223.452795637</v>
      </c>
      <c r="GJ82">
        <v>535424.631226587</v>
      </c>
      <c r="GK82">
        <v>579238.505326164</v>
      </c>
      <c r="GL82">
        <v>1116915.24480936</v>
      </c>
      <c r="GM82">
        <v>1306156.38843694</v>
      </c>
      <c r="GN82">
        <v>1775282.95940053</v>
      </c>
      <c r="GO82">
        <v>1920882.41977787</v>
      </c>
      <c r="GP82">
        <v>1639307.08510332</v>
      </c>
      <c r="GQ82">
        <v>0</v>
      </c>
      <c r="GR82">
        <v>0</v>
      </c>
      <c r="GS82">
        <v>0</v>
      </c>
      <c r="GT82">
        <v>0</v>
      </c>
      <c r="GU82">
        <v>0</v>
      </c>
      <c r="GV82">
        <v>631311.200718045</v>
      </c>
      <c r="GW82">
        <v>749967.626726256</v>
      </c>
      <c r="GX82">
        <v>603523.0545368789</v>
      </c>
      <c r="GY82">
        <v>911678.893159532</v>
      </c>
      <c r="GZ82">
        <v>1162155.21626039</v>
      </c>
      <c r="HA82">
        <v>485604.044091315</v>
      </c>
      <c r="HB82">
        <v>556188.761710682</v>
      </c>
      <c r="HC82">
        <v>1171759.90486366</v>
      </c>
      <c r="HD82">
        <v>1009203.52661834</v>
      </c>
      <c r="HE82">
        <v>477151.868842936</v>
      </c>
      <c r="HF82">
        <v>244268.158633759</v>
      </c>
      <c r="HG82">
        <v>268307.910813293</v>
      </c>
      <c r="HH82">
        <v>468655.421002752</v>
      </c>
      <c r="HI82">
        <v>699669.842717886</v>
      </c>
      <c r="HJ82">
        <v>454226.892956144</v>
      </c>
      <c r="HK82">
        <v>1634258.28282594</v>
      </c>
      <c r="HL82">
        <v>1869541.97417747</v>
      </c>
      <c r="HM82">
        <v>2390914.47796792</v>
      </c>
      <c r="HN82">
        <v>2759754.05024457</v>
      </c>
      <c r="HO82">
        <v>2829620.2790259</v>
      </c>
      <c r="HP82">
        <v>844877.841675074</v>
      </c>
      <c r="HQ82">
        <v>832924.8538564401</v>
      </c>
      <c r="HR82">
        <v>1201707.90662696</v>
      </c>
      <c r="HS82">
        <v>1312483.37670507</v>
      </c>
      <c r="HT82">
        <v>1286815.43647502</v>
      </c>
      <c r="HU82">
        <v>70183.5233812857</v>
      </c>
      <c r="HV82">
        <v>74649.015701561</v>
      </c>
      <c r="HW82">
        <v>72054.81105296611</v>
      </c>
      <c r="HX82">
        <v>76513.5386349678</v>
      </c>
      <c r="HY82">
        <v>82897.4785166025</v>
      </c>
      <c r="HZ82">
        <v>774694.318293788</v>
      </c>
      <c r="IA82">
        <v>758275.838154879</v>
      </c>
      <c r="IB82">
        <v>1129653.095574</v>
      </c>
      <c r="IC82">
        <v>1235969.83807011</v>
      </c>
      <c r="ID82">
        <v>1203917.95795842</v>
      </c>
      <c r="IE82">
        <v>70308.3263831341</v>
      </c>
      <c r="IF82">
        <v>345522.45036623</v>
      </c>
      <c r="IG82">
        <v>604829.2122702</v>
      </c>
      <c r="IH82">
        <v>795113.164547682</v>
      </c>
      <c r="II82">
        <v>861453.772133291</v>
      </c>
      <c r="IJ82">
        <v>70308.3263831341</v>
      </c>
      <c r="IK82">
        <v>345522.45036623</v>
      </c>
      <c r="IL82">
        <v>604829.2122702</v>
      </c>
      <c r="IM82">
        <v>795113.164547682</v>
      </c>
      <c r="IN82">
        <v>861453.772133291</v>
      </c>
      <c r="IO82">
        <v>0</v>
      </c>
      <c r="IP82">
        <v>0</v>
      </c>
      <c r="IQ82">
        <v>0</v>
      </c>
      <c r="IR82">
        <v>0</v>
      </c>
      <c r="IS82">
        <v>0</v>
      </c>
      <c r="IT82">
        <v>0</v>
      </c>
      <c r="IU82">
        <v>0</v>
      </c>
      <c r="IV82">
        <v>0</v>
      </c>
      <c r="IW82">
        <v>0</v>
      </c>
      <c r="IX82">
        <v>0</v>
      </c>
      <c r="IY82">
        <v>719072.114767728</v>
      </c>
      <c r="IZ82">
        <v>691094.669954796</v>
      </c>
      <c r="JA82">
        <v>584377.359070754</v>
      </c>
      <c r="JB82">
        <v>652157.508991814</v>
      </c>
      <c r="JC82">
        <v>681351.070417589</v>
      </c>
      <c r="JD82">
        <v>29564.0992923653</v>
      </c>
      <c r="JE82">
        <v>36701.8953213596</v>
      </c>
      <c r="JF82">
        <v>36267.9770410597</v>
      </c>
      <c r="JG82">
        <v>38814.1785588026</v>
      </c>
      <c r="JH82">
        <v>40940.499270463</v>
      </c>
      <c r="JI82">
        <v>117565.819866633</v>
      </c>
      <c r="JJ82">
        <v>134393.132763987</v>
      </c>
      <c r="JK82">
        <v>105156.704839075</v>
      </c>
      <c r="JL82">
        <v>106344.667745161</v>
      </c>
      <c r="JM82">
        <v>111491.150056052</v>
      </c>
      <c r="JN82">
        <v>571942.195608729</v>
      </c>
      <c r="JO82">
        <v>519999.64186945</v>
      </c>
      <c r="JP82">
        <v>442952.67719062</v>
      </c>
      <c r="JQ82">
        <v>506998.66268785</v>
      </c>
      <c r="JR82">
        <v>528919.421091074</v>
      </c>
      <c r="JS82">
        <v>1634258.28282594</v>
      </c>
      <c r="JT82">
        <v>1869541.97417747</v>
      </c>
      <c r="JU82">
        <v>2390914.47796792</v>
      </c>
      <c r="JV82">
        <v>2759754.05024457</v>
      </c>
      <c r="JW82">
        <v>2829620.2790259</v>
      </c>
      <c r="JX82">
        <v>513745.380851412</v>
      </c>
      <c r="JY82">
        <v>615574.493962269</v>
      </c>
      <c r="JZ82">
        <v>498366.349697804</v>
      </c>
      <c r="KA82">
        <v>805334.225414372</v>
      </c>
      <c r="KB82">
        <v>1050664.06620433</v>
      </c>
      <c r="KC82" t="s">
        <v>1900</v>
      </c>
      <c r="KD82" t="s">
        <v>1900</v>
      </c>
      <c r="KE82" t="s">
        <v>1900</v>
      </c>
      <c r="KF82" t="s">
        <v>1900</v>
      </c>
      <c r="KG82" t="s">
        <v>1900</v>
      </c>
      <c r="KH82" t="s">
        <v>1900</v>
      </c>
      <c r="KI82" t="s">
        <v>1900</v>
      </c>
      <c r="KJ82" t="s">
        <v>1900</v>
      </c>
      <c r="KK82" t="s">
        <v>1900</v>
      </c>
      <c r="KL82" t="s">
        <v>1900</v>
      </c>
      <c r="KM82">
        <v>20</v>
      </c>
      <c r="KN82">
        <v>19</v>
      </c>
      <c r="KO82">
        <v>19</v>
      </c>
      <c r="KP82">
        <v>19</v>
      </c>
      <c r="KQ82">
        <v>17</v>
      </c>
      <c r="KR82" t="s">
        <v>1900</v>
      </c>
      <c r="KS82" t="s">
        <v>1900</v>
      </c>
      <c r="KT82" t="s">
        <v>1900</v>
      </c>
      <c r="KU82" t="s">
        <v>1900</v>
      </c>
      <c r="KV82" t="s">
        <v>1900</v>
      </c>
      <c r="KW82" t="s">
        <v>1900</v>
      </c>
      <c r="KX82" t="s">
        <v>1900</v>
      </c>
      <c r="KY82" t="s">
        <v>1900</v>
      </c>
      <c r="KZ82" t="s">
        <v>1900</v>
      </c>
      <c r="LA82" t="s">
        <v>1900</v>
      </c>
      <c r="LB82" t="s">
        <v>1900</v>
      </c>
      <c r="LC82" t="s">
        <v>1900</v>
      </c>
      <c r="LD82" t="s">
        <v>1900</v>
      </c>
      <c r="LE82" t="s">
        <v>1900</v>
      </c>
      <c r="LF82" t="s">
        <v>1900</v>
      </c>
      <c r="LG82" t="s">
        <v>1900</v>
      </c>
      <c r="LH82" t="s">
        <v>1900</v>
      </c>
      <c r="LI82" t="s">
        <v>1900</v>
      </c>
      <c r="LJ82" t="s">
        <v>1900</v>
      </c>
      <c r="LK82" t="s">
        <v>1900</v>
      </c>
      <c r="LL82" t="s">
        <v>1900</v>
      </c>
      <c r="LM82" t="s">
        <v>1900</v>
      </c>
      <c r="LN82" t="s">
        <v>1900</v>
      </c>
      <c r="LO82" t="s">
        <v>1900</v>
      </c>
      <c r="LP82" t="s">
        <v>1900</v>
      </c>
      <c r="LQ82" t="s">
        <v>1900</v>
      </c>
      <c r="LR82" t="s">
        <v>1900</v>
      </c>
      <c r="LS82" t="s">
        <v>1900</v>
      </c>
      <c r="LT82" t="s">
        <v>1900</v>
      </c>
      <c r="LU82" t="s">
        <v>1900</v>
      </c>
      <c r="LV82" t="s">
        <v>1900</v>
      </c>
      <c r="LW82" t="s">
        <v>1900</v>
      </c>
      <c r="LX82" t="s">
        <v>1900</v>
      </c>
      <c r="LY82" t="s">
        <v>1900</v>
      </c>
      <c r="LZ82" t="s">
        <v>1900</v>
      </c>
      <c r="MA82" t="s">
        <v>1900</v>
      </c>
      <c r="MB82" t="s">
        <v>1900</v>
      </c>
      <c r="MC82" t="s">
        <v>1900</v>
      </c>
      <c r="MD82" t="s">
        <v>1900</v>
      </c>
      <c r="ME82" t="s">
        <v>1900</v>
      </c>
      <c r="MF82" t="s">
        <v>1900</v>
      </c>
      <c r="MG82" t="s">
        <v>1900</v>
      </c>
      <c r="MH82" t="s">
        <v>1900</v>
      </c>
      <c r="MI82" t="s">
        <v>1900</v>
      </c>
      <c r="MJ82" t="s">
        <v>1900</v>
      </c>
      <c r="MK82" t="s">
        <v>1900</v>
      </c>
      <c r="ML82" t="s">
        <v>1900</v>
      </c>
      <c r="MM82" t="s">
        <v>1900</v>
      </c>
      <c r="MN82" t="s">
        <v>1900</v>
      </c>
      <c r="MO82" t="s">
        <v>1900</v>
      </c>
      <c r="MP82">
        <v>485604.044091315</v>
      </c>
      <c r="MQ82">
        <v>556188.761710682</v>
      </c>
      <c r="MR82">
        <v>1171759.90486366</v>
      </c>
      <c r="MS82">
        <v>1009203.52661834</v>
      </c>
      <c r="MT82">
        <v>477151.868842936</v>
      </c>
      <c r="MU82" t="s">
        <v>1900</v>
      </c>
      <c r="MV82" t="s">
        <v>1900</v>
      </c>
      <c r="MW82" t="s">
        <v>1900</v>
      </c>
      <c r="MX82" t="s">
        <v>1900</v>
      </c>
      <c r="MY82" t="s">
        <v>1900</v>
      </c>
      <c r="MZ82" t="s">
        <v>1900</v>
      </c>
      <c r="NA82" t="s">
        <v>1900</v>
      </c>
      <c r="NB82" t="s">
        <v>1900</v>
      </c>
      <c r="NC82" t="s">
        <v>1900</v>
      </c>
      <c r="ND82" t="s">
        <v>1900</v>
      </c>
      <c r="NE82" t="s">
        <v>1900</v>
      </c>
      <c r="NF82" t="s">
        <v>1900</v>
      </c>
      <c r="NG82" t="s">
        <v>1900</v>
      </c>
      <c r="NH82" t="s">
        <v>1900</v>
      </c>
      <c r="NI82" t="s">
        <v>1900</v>
      </c>
      <c r="NJ82" t="s">
        <v>1900</v>
      </c>
      <c r="NK82" t="s">
        <v>1900</v>
      </c>
      <c r="NL82" t="s">
        <v>1900</v>
      </c>
      <c r="NM82" t="s">
        <v>1900</v>
      </c>
      <c r="NN82" t="s">
        <v>1900</v>
      </c>
      <c r="NO82" t="s">
        <v>1900</v>
      </c>
      <c r="NP82" t="s">
        <v>1900</v>
      </c>
      <c r="NQ82" t="s">
        <v>1900</v>
      </c>
      <c r="NR82" t="s">
        <v>1900</v>
      </c>
      <c r="NS82" t="s">
        <v>1900</v>
      </c>
      <c r="NT82">
        <v>517343.038016576</v>
      </c>
      <c r="NU82">
        <v>563385.585740528</v>
      </c>
      <c r="NV82">
        <v>615631.5185673831</v>
      </c>
      <c r="NW82">
        <v>838871.6304666999</v>
      </c>
      <c r="NX82">
        <v>1190313.19392258</v>
      </c>
      <c r="NY82" t="s">
        <v>1900</v>
      </c>
      <c r="NZ82" t="s">
        <v>1900</v>
      </c>
      <c r="OA82" t="s">
        <v>1900</v>
      </c>
      <c r="OB82" t="s">
        <v>1900</v>
      </c>
      <c r="OC82" t="s">
        <v>1900</v>
      </c>
      <c r="OD82" t="s">
        <v>1900</v>
      </c>
      <c r="OE82" t="s">
        <v>1900</v>
      </c>
      <c r="OF82" t="s">
        <v>1900</v>
      </c>
      <c r="OG82" t="s">
        <v>1900</v>
      </c>
      <c r="OH82" t="s">
        <v>1900</v>
      </c>
      <c r="OI82" t="s">
        <v>1900</v>
      </c>
      <c r="OJ82" t="s">
        <v>1900</v>
      </c>
      <c r="OK82" t="s">
        <v>1900</v>
      </c>
      <c r="OL82" t="s">
        <v>1900</v>
      </c>
      <c r="OM82" t="s">
        <v>1900</v>
      </c>
      <c r="ON82" t="s">
        <v>1900</v>
      </c>
      <c r="OO82" t="s">
        <v>1900</v>
      </c>
      <c r="OP82" t="s">
        <v>1900</v>
      </c>
      <c r="OQ82" t="s">
        <v>1900</v>
      </c>
      <c r="OR82" t="s">
        <v>1900</v>
      </c>
      <c r="OS82" t="s">
        <v>1900</v>
      </c>
      <c r="OT82" t="s">
        <v>1900</v>
      </c>
      <c r="OU82" t="s">
        <v>1900</v>
      </c>
      <c r="OV82" t="s">
        <v>1900</v>
      </c>
      <c r="OW82" t="s">
        <v>1900</v>
      </c>
      <c r="OX82" t="s">
        <v>1900</v>
      </c>
      <c r="OY82" t="s">
        <v>1900</v>
      </c>
      <c r="OZ82" t="s">
        <v>1900</v>
      </c>
      <c r="PA82" t="s">
        <v>1900</v>
      </c>
      <c r="PB82" t="s">
        <v>1900</v>
      </c>
      <c r="PC82" t="s">
        <v>1900</v>
      </c>
      <c r="PD82" t="s">
        <v>1900</v>
      </c>
      <c r="PE82" t="s">
        <v>1900</v>
      </c>
      <c r="PF82" t="s">
        <v>1900</v>
      </c>
      <c r="PG82" t="s">
        <v>1900</v>
      </c>
      <c r="PH82" t="s">
        <v>1900</v>
      </c>
      <c r="PI82" t="s">
        <v>1900</v>
      </c>
      <c r="PJ82" t="s">
        <v>1900</v>
      </c>
      <c r="PK82" t="s">
        <v>1900</v>
      </c>
      <c r="PL82" t="s">
        <v>1900</v>
      </c>
      <c r="PM82" t="s">
        <v>1900</v>
      </c>
      <c r="PN82" t="s">
        <v>1900</v>
      </c>
      <c r="PO82" t="s">
        <v>1900</v>
      </c>
      <c r="PP82" t="s">
        <v>1900</v>
      </c>
      <c r="PQ82" t="s">
        <v>1900</v>
      </c>
      <c r="PR82" t="s">
        <v>1900</v>
      </c>
      <c r="PS82" t="s">
        <v>1900</v>
      </c>
      <c r="PT82" t="s">
        <v>1900</v>
      </c>
      <c r="PU82" t="s">
        <v>1900</v>
      </c>
      <c r="PV82" t="s">
        <v>1900</v>
      </c>
      <c r="PW82" t="s">
        <v>1900</v>
      </c>
      <c r="PX82" t="s">
        <v>1900</v>
      </c>
      <c r="PY82" t="s">
        <v>1900</v>
      </c>
      <c r="PZ82" t="s">
        <v>1900</v>
      </c>
      <c r="QA82" t="s">
        <v>1900</v>
      </c>
      <c r="QB82" t="s">
        <v>1900</v>
      </c>
      <c r="QC82" t="s">
        <v>1900</v>
      </c>
      <c r="QD82" t="s">
        <v>1900</v>
      </c>
      <c r="QE82" t="s">
        <v>1900</v>
      </c>
      <c r="QF82" t="s">
        <v>1900</v>
      </c>
      <c r="QG82" t="s">
        <v>1900</v>
      </c>
      <c r="QH82" t="s">
        <v>1900</v>
      </c>
      <c r="QI82" t="s">
        <v>1900</v>
      </c>
      <c r="QJ82" t="s">
        <v>1900</v>
      </c>
      <c r="QK82" t="s">
        <v>1900</v>
      </c>
      <c r="QL82" t="s">
        <v>1900</v>
      </c>
      <c r="QM82" t="s">
        <v>1900</v>
      </c>
      <c r="QN82" t="s">
        <v>1900</v>
      </c>
      <c r="QO82" t="s">
        <v>1900</v>
      </c>
      <c r="QP82" t="s">
        <v>1900</v>
      </c>
      <c r="QQ82" t="s">
        <v>1900</v>
      </c>
      <c r="QR82" t="s">
        <v>1900</v>
      </c>
      <c r="QS82" t="s">
        <v>1900</v>
      </c>
      <c r="QT82" t="s">
        <v>1900</v>
      </c>
      <c r="QU82" t="s">
        <v>1900</v>
      </c>
      <c r="QV82" t="s">
        <v>1900</v>
      </c>
      <c r="QW82" t="s">
        <v>1900</v>
      </c>
      <c r="QX82" t="s">
        <v>1900</v>
      </c>
      <c r="QY82" t="s">
        <v>1900</v>
      </c>
      <c r="QZ82" t="s">
        <v>1900</v>
      </c>
      <c r="RA82" t="s">
        <v>1900</v>
      </c>
      <c r="RB82" t="s">
        <v>1900</v>
      </c>
      <c r="RC82" t="s">
        <v>1900</v>
      </c>
      <c r="RD82" t="s">
        <v>1900</v>
      </c>
      <c r="RE82" t="s">
        <v>1900</v>
      </c>
      <c r="RF82" t="s">
        <v>1900</v>
      </c>
      <c r="RG82" t="s">
        <v>1900</v>
      </c>
      <c r="RH82" t="s">
        <v>1900</v>
      </c>
      <c r="RI82" t="s">
        <v>1900</v>
      </c>
      <c r="RJ82" t="s">
        <v>1900</v>
      </c>
      <c r="RK82" t="s">
        <v>1900</v>
      </c>
      <c r="RL82" t="s">
        <v>1900</v>
      </c>
      <c r="RM82" t="s">
        <v>1900</v>
      </c>
      <c r="RN82" t="s">
        <v>1900</v>
      </c>
      <c r="RO82" t="s">
        <v>1900</v>
      </c>
      <c r="RP82" t="s">
        <v>1900</v>
      </c>
      <c r="RQ82" t="s">
        <v>1900</v>
      </c>
      <c r="RR82" t="s">
        <v>1900</v>
      </c>
      <c r="RS82" t="s">
        <v>1900</v>
      </c>
      <c r="RT82" t="s">
        <v>1900</v>
      </c>
      <c r="RU82" t="s">
        <v>1900</v>
      </c>
      <c r="RV82" t="s">
        <v>1900</v>
      </c>
      <c r="RW82" t="s">
        <v>1900</v>
      </c>
      <c r="RX82" t="s">
        <v>1900</v>
      </c>
      <c r="RY82" t="s">
        <v>1900</v>
      </c>
      <c r="RZ82" t="s">
        <v>1900</v>
      </c>
      <c r="SA82" t="s">
        <v>1900</v>
      </c>
      <c r="SB82" t="s">
        <v>1900</v>
      </c>
      <c r="SC82" t="s">
        <v>1900</v>
      </c>
      <c r="SD82" t="s">
        <v>1900</v>
      </c>
      <c r="SE82" t="s">
        <v>1900</v>
      </c>
      <c r="SF82" t="s">
        <v>1900</v>
      </c>
      <c r="SG82" t="s">
        <v>1900</v>
      </c>
      <c r="SH82" t="s">
        <v>1900</v>
      </c>
      <c r="SI82" t="s">
        <v>1900</v>
      </c>
      <c r="SJ82">
        <v>491128.600179965</v>
      </c>
      <c r="SK82">
        <v>522377.116736431</v>
      </c>
      <c r="SL82">
        <v>504223.452795637</v>
      </c>
      <c r="SM82">
        <v>535424.631226587</v>
      </c>
      <c r="SN82">
        <v>579238.505326164</v>
      </c>
      <c r="SO82" t="s">
        <v>1900</v>
      </c>
      <c r="SP82" t="s">
        <v>1900</v>
      </c>
      <c r="SQ82" t="s">
        <v>1900</v>
      </c>
      <c r="SR82" t="s">
        <v>1900</v>
      </c>
      <c r="SS82" t="s">
        <v>1900</v>
      </c>
      <c r="ST82" t="s">
        <v>1900</v>
      </c>
      <c r="SU82" t="s">
        <v>1900</v>
      </c>
      <c r="SV82" t="s">
        <v>1900</v>
      </c>
      <c r="SW82" t="s">
        <v>1900</v>
      </c>
      <c r="SX82" t="s">
        <v>1900</v>
      </c>
      <c r="SY82" t="s">
        <v>1900</v>
      </c>
      <c r="SZ82" t="s">
        <v>1900</v>
      </c>
      <c r="TA82" t="s">
        <v>1900</v>
      </c>
      <c r="TB82" t="s">
        <v>1900</v>
      </c>
      <c r="TC82" t="s">
        <v>1900</v>
      </c>
      <c r="TD82" t="s">
        <v>1900</v>
      </c>
      <c r="TE82" t="s">
        <v>1900</v>
      </c>
      <c r="TF82" t="s">
        <v>1900</v>
      </c>
      <c r="TG82" t="s">
        <v>1900</v>
      </c>
      <c r="TH82" t="s">
        <v>1900</v>
      </c>
      <c r="TI82" t="s">
        <v>1900</v>
      </c>
      <c r="TJ82" t="s">
        <v>1900</v>
      </c>
      <c r="TK82" t="s">
        <v>1900</v>
      </c>
      <c r="TL82" t="s">
        <v>1900</v>
      </c>
      <c r="TM82" t="s">
        <v>1900</v>
      </c>
      <c r="TN82" t="s">
        <v>1900</v>
      </c>
      <c r="TO82" t="s">
        <v>1900</v>
      </c>
      <c r="TP82" t="s">
        <v>1900</v>
      </c>
      <c r="TQ82" t="s">
        <v>1900</v>
      </c>
      <c r="TR82" t="s">
        <v>1900</v>
      </c>
      <c r="TS82">
        <v>1634258.28282594</v>
      </c>
      <c r="TT82">
        <v>1869541.97417747</v>
      </c>
      <c r="TU82">
        <v>2390914.47796792</v>
      </c>
      <c r="TV82">
        <v>2759754.05024457</v>
      </c>
      <c r="TW82">
        <v>2829620.2790259</v>
      </c>
      <c r="TX82" t="s">
        <v>1900</v>
      </c>
      <c r="TY82" t="s">
        <v>1900</v>
      </c>
      <c r="TZ82" t="s">
        <v>1900</v>
      </c>
      <c r="UA82" t="s">
        <v>1900</v>
      </c>
      <c r="UB82" t="s">
        <v>1900</v>
      </c>
      <c r="UC82">
        <v>29564.0992923653</v>
      </c>
      <c r="UD82">
        <v>36701.8953213596</v>
      </c>
      <c r="UE82">
        <v>36267.9770410597</v>
      </c>
      <c r="UF82">
        <v>38814.1785588026</v>
      </c>
      <c r="UG82">
        <v>40940.499270463</v>
      </c>
      <c r="UH82" t="s">
        <v>1900</v>
      </c>
      <c r="UI82" t="s">
        <v>1900</v>
      </c>
      <c r="UJ82" t="s">
        <v>1900</v>
      </c>
      <c r="UK82" t="s">
        <v>1900</v>
      </c>
      <c r="UL82" t="s">
        <v>1900</v>
      </c>
      <c r="UM82" t="s">
        <v>1900</v>
      </c>
      <c r="UN82" t="s">
        <v>1900</v>
      </c>
      <c r="UO82" t="s">
        <v>1900</v>
      </c>
      <c r="UP82" t="s">
        <v>1900</v>
      </c>
      <c r="UQ82" t="s">
        <v>1900</v>
      </c>
      <c r="UR82" t="s">
        <v>1900</v>
      </c>
      <c r="US82" t="s">
        <v>1900</v>
      </c>
      <c r="UT82" t="s">
        <v>1900</v>
      </c>
      <c r="UU82" t="s">
        <v>1900</v>
      </c>
      <c r="UV82" t="s">
        <v>1900</v>
      </c>
      <c r="UW82" t="s">
        <v>1900</v>
      </c>
      <c r="UX82" t="s">
        <v>1900</v>
      </c>
      <c r="UY82" t="s">
        <v>1900</v>
      </c>
      <c r="UZ82" t="s">
        <v>1900</v>
      </c>
      <c r="VA82" t="s">
        <v>1900</v>
      </c>
      <c r="VB82" t="s">
        <v>1900</v>
      </c>
      <c r="VC82" t="s">
        <v>1900</v>
      </c>
      <c r="VD82" t="s">
        <v>1900</v>
      </c>
      <c r="VE82" t="s">
        <v>1900</v>
      </c>
      <c r="VF82" t="s">
        <v>1900</v>
      </c>
      <c r="VG82" t="s">
        <v>1900</v>
      </c>
      <c r="VH82" t="s">
        <v>1900</v>
      </c>
      <c r="VI82" t="s">
        <v>1900</v>
      </c>
      <c r="VJ82" t="s">
        <v>1900</v>
      </c>
      <c r="VK82" t="s">
        <v>1900</v>
      </c>
      <c r="VL82" t="s">
        <v>1900</v>
      </c>
      <c r="VM82" t="s">
        <v>1900</v>
      </c>
      <c r="VN82" t="s">
        <v>1900</v>
      </c>
      <c r="VO82" t="s">
        <v>1900</v>
      </c>
      <c r="VP82" t="s">
        <v>1900</v>
      </c>
      <c r="VQ82" t="s">
        <v>1900</v>
      </c>
      <c r="VR82" t="s">
        <v>1900</v>
      </c>
      <c r="VS82" t="s">
        <v>1900</v>
      </c>
      <c r="VT82" t="s">
        <v>1900</v>
      </c>
      <c r="VU82" t="s">
        <v>1900</v>
      </c>
      <c r="VV82" t="s">
        <v>1900</v>
      </c>
      <c r="VW82" t="s">
        <v>1900</v>
      </c>
      <c r="VX82" t="s">
        <v>1900</v>
      </c>
      <c r="VY82" t="s">
        <v>1900</v>
      </c>
      <c r="VZ82" t="s">
        <v>1900</v>
      </c>
      <c r="WA82">
        <v>571942.195608729</v>
      </c>
      <c r="WB82">
        <v>519999.64186945</v>
      </c>
      <c r="WC82">
        <v>442952.67719062</v>
      </c>
      <c r="WD82">
        <v>506998.66268785</v>
      </c>
      <c r="WE82">
        <v>528919.421091074</v>
      </c>
      <c r="WF82" t="s">
        <v>1900</v>
      </c>
      <c r="WG82" t="s">
        <v>1900</v>
      </c>
      <c r="WH82" t="s">
        <v>1900</v>
      </c>
      <c r="WI82" t="s">
        <v>1900</v>
      </c>
      <c r="WJ82" t="s">
        <v>1900</v>
      </c>
      <c r="WK82" t="s">
        <v>1900</v>
      </c>
      <c r="WL82" t="s">
        <v>1900</v>
      </c>
      <c r="WM82" t="s">
        <v>1900</v>
      </c>
      <c r="WN82" t="s">
        <v>1900</v>
      </c>
      <c r="WO82" t="s">
        <v>1900</v>
      </c>
      <c r="WP82" t="s">
        <v>1900</v>
      </c>
      <c r="WQ82" t="s">
        <v>1900</v>
      </c>
      <c r="WR82" t="s">
        <v>1900</v>
      </c>
      <c r="WS82" t="s">
        <v>1900</v>
      </c>
      <c r="WT82" t="s">
        <v>1900</v>
      </c>
      <c r="WU82" t="s">
        <v>1900</v>
      </c>
      <c r="WV82" t="s">
        <v>1900</v>
      </c>
      <c r="WW82" t="s">
        <v>1900</v>
      </c>
      <c r="WX82" t="s">
        <v>1900</v>
      </c>
      <c r="WY82" t="s">
        <v>1900</v>
      </c>
      <c r="WZ82" t="s">
        <v>1900</v>
      </c>
      <c r="XA82" t="s">
        <v>1900</v>
      </c>
      <c r="XB82" t="s">
        <v>1900</v>
      </c>
      <c r="XC82" t="s">
        <v>1900</v>
      </c>
      <c r="XD82" t="s">
        <v>1900</v>
      </c>
      <c r="XE82" t="s">
        <v>1900</v>
      </c>
      <c r="XF82" t="s">
        <v>1900</v>
      </c>
      <c r="XG82" t="s">
        <v>1900</v>
      </c>
      <c r="XH82" t="s">
        <v>1900</v>
      </c>
      <c r="XI82" t="s">
        <v>1900</v>
      </c>
      <c r="XJ82">
        <v>0</v>
      </c>
      <c r="XK82">
        <v>0</v>
      </c>
      <c r="XL82">
        <v>0</v>
      </c>
      <c r="XM82">
        <v>0</v>
      </c>
      <c r="XN82">
        <v>0</v>
      </c>
      <c r="XO82" t="s">
        <v>1900</v>
      </c>
      <c r="XP82" t="s">
        <v>1900</v>
      </c>
      <c r="XQ82" t="s">
        <v>1900</v>
      </c>
      <c r="XR82" t="s">
        <v>1900</v>
      </c>
      <c r="XS82" t="s">
        <v>1900</v>
      </c>
      <c r="XT82" t="s">
        <v>1900</v>
      </c>
      <c r="XU82" t="s">
        <v>1900</v>
      </c>
      <c r="XV82" t="s">
        <v>1900</v>
      </c>
      <c r="XW82" t="s">
        <v>1900</v>
      </c>
      <c r="XX82" t="s">
        <v>1900</v>
      </c>
      <c r="XY82">
        <v>0</v>
      </c>
      <c r="XZ82">
        <v>0</v>
      </c>
      <c r="YA82">
        <v>0</v>
      </c>
      <c r="YB82">
        <v>0</v>
      </c>
      <c r="YC82">
        <v>0</v>
      </c>
      <c r="YD82" t="s">
        <v>1900</v>
      </c>
      <c r="YE82" t="s">
        <v>1900</v>
      </c>
      <c r="YF82" t="s">
        <v>1900</v>
      </c>
      <c r="YG82" t="s">
        <v>1900</v>
      </c>
      <c r="YH82" t="s">
        <v>1900</v>
      </c>
      <c r="YI82" t="s">
        <v>1900</v>
      </c>
      <c r="YJ82" t="s">
        <v>1900</v>
      </c>
      <c r="YK82" t="s">
        <v>1900</v>
      </c>
      <c r="YL82" t="s">
        <v>1900</v>
      </c>
      <c r="YM82" t="s">
        <v>1900</v>
      </c>
      <c r="YN82" t="s">
        <v>1900</v>
      </c>
      <c r="YO82" t="s">
        <v>1900</v>
      </c>
      <c r="YP82" t="s">
        <v>1900</v>
      </c>
      <c r="YQ82" t="s">
        <v>1900</v>
      </c>
      <c r="YR82" t="s">
        <v>1900</v>
      </c>
      <c r="YS82" t="s">
        <v>1900</v>
      </c>
      <c r="YT82" t="s">
        <v>1900</v>
      </c>
      <c r="YU82" t="s">
        <v>1900</v>
      </c>
      <c r="YV82" t="s">
        <v>1900</v>
      </c>
      <c r="YW82" t="s">
        <v>1900</v>
      </c>
      <c r="YX82" t="s">
        <v>1900</v>
      </c>
      <c r="YY82" t="s">
        <v>1900</v>
      </c>
      <c r="YZ82" t="s">
        <v>1900</v>
      </c>
      <c r="ZA82" t="s">
        <v>1900</v>
      </c>
      <c r="ZB82" t="s">
        <v>1900</v>
      </c>
      <c r="ZC82" t="s">
        <v>1900</v>
      </c>
      <c r="ZD82" t="s">
        <v>1900</v>
      </c>
      <c r="ZE82" t="s">
        <v>1900</v>
      </c>
      <c r="ZF82" t="s">
        <v>1900</v>
      </c>
      <c r="ZG82" t="s">
        <v>1900</v>
      </c>
      <c r="ZH82" t="s">
        <v>1900</v>
      </c>
      <c r="ZI82" t="s">
        <v>1900</v>
      </c>
      <c r="ZJ82" t="s">
        <v>1900</v>
      </c>
      <c r="ZK82" t="s">
        <v>1900</v>
      </c>
      <c r="ZL82" t="s">
        <v>1900</v>
      </c>
      <c r="ZM82" t="s">
        <v>1900</v>
      </c>
      <c r="ZN82" t="s">
        <v>1900</v>
      </c>
      <c r="ZO82" t="s">
        <v>1900</v>
      </c>
      <c r="ZP82" t="s">
        <v>1900</v>
      </c>
      <c r="ZQ82" t="s">
        <v>1900</v>
      </c>
      <c r="ZR82" t="s">
        <v>1900</v>
      </c>
      <c r="ZS82" t="s">
        <v>1900</v>
      </c>
      <c r="ZT82" t="s">
        <v>1900</v>
      </c>
      <c r="ZU82" t="s">
        <v>1900</v>
      </c>
      <c r="ZV82" t="s">
        <v>1900</v>
      </c>
      <c r="ZW82" t="s">
        <v>1900</v>
      </c>
      <c r="ZX82" t="s">
        <v>1900</v>
      </c>
      <c r="ZY82" t="s">
        <v>1900</v>
      </c>
      <c r="ZZ82" t="s">
        <v>1900</v>
      </c>
      <c r="AAA82" t="s">
        <v>1900</v>
      </c>
      <c r="AAB82" t="s">
        <v>1900</v>
      </c>
      <c r="AAC82" t="s">
        <v>1900</v>
      </c>
      <c r="AAD82" t="s">
        <v>1900</v>
      </c>
      <c r="AAE82" t="s">
        <v>1900</v>
      </c>
      <c r="AAF82" t="s">
        <v>1900</v>
      </c>
      <c r="AAG82" t="s">
        <v>1900</v>
      </c>
      <c r="AAH82" t="s">
        <v>1900</v>
      </c>
      <c r="AAI82" t="s">
        <v>1900</v>
      </c>
      <c r="AAJ82" t="s">
        <v>1900</v>
      </c>
      <c r="AAK82" t="s">
        <v>1900</v>
      </c>
      <c r="AAL82" t="s">
        <v>1900</v>
      </c>
      <c r="AAM82" t="s">
        <v>1900</v>
      </c>
      <c r="AAN82" t="s">
        <v>1900</v>
      </c>
      <c r="AAO82" t="s">
        <v>1900</v>
      </c>
      <c r="AAP82" t="s">
        <v>1900</v>
      </c>
      <c r="AAQ82" t="s">
        <v>1900</v>
      </c>
      <c r="AAR82" t="s">
        <v>1900</v>
      </c>
      <c r="AAS82" t="s">
        <v>1900</v>
      </c>
      <c r="AAT82" t="s">
        <v>1900</v>
      </c>
      <c r="AAU82" t="s">
        <v>1900</v>
      </c>
      <c r="AAV82" t="s">
        <v>1900</v>
      </c>
      <c r="AAW82" t="s">
        <v>1900</v>
      </c>
      <c r="AAX82" t="s">
        <v>1900</v>
      </c>
      <c r="AAY82" t="s">
        <v>1900</v>
      </c>
      <c r="AAZ82" t="s">
        <v>1900</v>
      </c>
      <c r="ABA82" t="s">
        <v>1900</v>
      </c>
      <c r="ABB82" t="s">
        <v>1900</v>
      </c>
      <c r="ABC82" t="s">
        <v>1900</v>
      </c>
      <c r="ABD82" t="s">
        <v>1900</v>
      </c>
      <c r="ABE82" t="s">
        <v>1900</v>
      </c>
      <c r="ABF82" t="s">
        <v>1900</v>
      </c>
      <c r="ABG82" t="s">
        <v>1900</v>
      </c>
      <c r="ABH82" t="s">
        <v>1900</v>
      </c>
      <c r="ABI82" t="s">
        <v>1900</v>
      </c>
      <c r="ABJ82" t="s">
        <v>1900</v>
      </c>
      <c r="ABK82" t="s">
        <v>1900</v>
      </c>
      <c r="ABL82" t="s">
        <v>1900</v>
      </c>
      <c r="ABM82" t="s">
        <v>1900</v>
      </c>
      <c r="ABN82" t="s">
        <v>1900</v>
      </c>
      <c r="ABO82" t="s">
        <v>1900</v>
      </c>
      <c r="ABP82" t="s">
        <v>1900</v>
      </c>
      <c r="ABQ82" t="s">
        <v>1900</v>
      </c>
      <c r="ABR82" t="s">
        <v>1900</v>
      </c>
      <c r="ABS82" t="s">
        <v>1900</v>
      </c>
      <c r="ABT82" t="s">
        <v>1900</v>
      </c>
      <c r="ABU82" t="s">
        <v>1900</v>
      </c>
      <c r="ABV82" t="s">
        <v>1900</v>
      </c>
      <c r="ABW82" t="s">
        <v>1900</v>
      </c>
      <c r="ABX82" t="s">
        <v>1900</v>
      </c>
      <c r="ABY82" t="s">
        <v>1900</v>
      </c>
      <c r="ABZ82" t="s">
        <v>1900</v>
      </c>
      <c r="ACA82" t="s">
        <v>1900</v>
      </c>
      <c r="ACB82" t="s">
        <v>1900</v>
      </c>
      <c r="ACC82" t="s">
        <v>1900</v>
      </c>
      <c r="ACD82" t="s">
        <v>1900</v>
      </c>
      <c r="ACE82">
        <v>25.925</v>
      </c>
      <c r="ACF82">
        <v>26.696</v>
      </c>
      <c r="ACG82">
        <v>17.02</v>
      </c>
      <c r="ACH82">
        <v>17.576</v>
      </c>
      <c r="ACI82">
        <v>11.508</v>
      </c>
      <c r="ACJ82">
        <v>24.392</v>
      </c>
      <c r="ACK82">
        <v>19.589</v>
      </c>
      <c r="ACL82">
        <v>12.642</v>
      </c>
      <c r="ACM82">
        <v>11.26</v>
      </c>
      <c r="ACN82">
        <v>7.109</v>
      </c>
      <c r="ACO82">
        <v>13.403</v>
      </c>
      <c r="ACP82">
        <v>11.894</v>
      </c>
      <c r="ACQ82">
        <v>8.555</v>
      </c>
      <c r="ACR82">
        <v>8.359</v>
      </c>
      <c r="ACS82">
        <v>5.233</v>
      </c>
      <c r="ACT82">
        <v>7.88</v>
      </c>
      <c r="ACU82">
        <v>11.792</v>
      </c>
      <c r="ACV82">
        <v>7.533</v>
      </c>
      <c r="ACW82">
        <v>9.506</v>
      </c>
      <c r="ACX82">
        <v>7.013</v>
      </c>
      <c r="ACY82">
        <v>7.733</v>
      </c>
      <c r="ACZ82">
        <v>9.055</v>
      </c>
      <c r="ADA82">
        <v>6.331</v>
      </c>
      <c r="ADB82">
        <v>6.235</v>
      </c>
      <c r="ADC82">
        <v>4.416</v>
      </c>
      <c r="ADD82">
        <v>4.074</v>
      </c>
      <c r="ADE82">
        <v>5.254</v>
      </c>
      <c r="ADF82">
        <v>3.786</v>
      </c>
      <c r="ADG82">
        <v>4.521</v>
      </c>
      <c r="ADH82">
        <v>3.189</v>
      </c>
      <c r="ADI82">
        <v>9.335000000000001</v>
      </c>
      <c r="ADJ82">
        <v>9.077999999999999</v>
      </c>
      <c r="ADK82">
        <v>8.474</v>
      </c>
      <c r="ADL82">
        <v>9.316000000000001</v>
      </c>
      <c r="ADM82">
        <v>6.181</v>
      </c>
      <c r="ADN82">
        <v>100</v>
      </c>
      <c r="ADO82">
        <v>100</v>
      </c>
      <c r="ADP82">
        <v>100</v>
      </c>
      <c r="ADQ82">
        <v>100</v>
      </c>
      <c r="ADR82">
        <v>81.602</v>
      </c>
      <c r="ADS82">
        <v>7.111383103</v>
      </c>
      <c r="ADT82">
        <v>7.018581322</v>
      </c>
      <c r="ADU82">
        <v>7.744753781</v>
      </c>
      <c r="ADV82">
        <v>9.550392247</v>
      </c>
      <c r="ADW82">
        <v>3.916475327</v>
      </c>
      <c r="ADX82">
        <v>7.807</v>
      </c>
      <c r="ADY82">
        <v>10.506</v>
      </c>
      <c r="ADZ82">
        <v>15.328</v>
      </c>
      <c r="AEA82">
        <v>20.299</v>
      </c>
      <c r="AEB82">
        <v>13.797</v>
      </c>
      <c r="AEC82">
        <v>7.111</v>
      </c>
      <c r="AED82">
        <v>7.019</v>
      </c>
      <c r="AEE82">
        <v>7.745</v>
      </c>
      <c r="AEF82">
        <v>9.550000000000001</v>
      </c>
      <c r="AEG82">
        <v>3.916</v>
      </c>
      <c r="AEH82">
        <v>3.533</v>
      </c>
      <c r="AEI82">
        <v>7.497</v>
      </c>
      <c r="AEJ82">
        <v>11.333</v>
      </c>
      <c r="AEK82">
        <v>15.788</v>
      </c>
      <c r="AEL82">
        <v>13.648</v>
      </c>
      <c r="AEM82">
        <v>7.655817624</v>
      </c>
      <c r="AEN82">
        <v>7.548369794</v>
      </c>
      <c r="AEO82">
        <v>8.394919636999999</v>
      </c>
      <c r="AEP82">
        <v>10.558798965</v>
      </c>
      <c r="AEQ82">
        <v>4.07611538</v>
      </c>
      <c r="AER82" t="s">
        <v>1900</v>
      </c>
      <c r="AES82" t="s">
        <v>1900</v>
      </c>
      <c r="AET82" t="s">
        <v>1900</v>
      </c>
      <c r="AEU82" t="s">
        <v>1900</v>
      </c>
      <c r="AEV82">
        <v>1.050414462</v>
      </c>
      <c r="AEW82" t="s">
        <v>1900</v>
      </c>
      <c r="AEX82" t="s">
        <v>1900</v>
      </c>
      <c r="AEY82" t="s">
        <v>1900</v>
      </c>
      <c r="AEZ82" t="s">
        <v>1900</v>
      </c>
      <c r="AFA82" t="s">
        <v>1900</v>
      </c>
      <c r="AFB82" t="s">
        <v>1900</v>
      </c>
      <c r="AFC82" t="s">
        <v>1900</v>
      </c>
      <c r="AFD82" t="s">
        <v>1900</v>
      </c>
      <c r="AFE82" t="s">
        <v>1900</v>
      </c>
      <c r="AFF82" t="s">
        <v>1900</v>
      </c>
      <c r="AFG82">
        <v>2.564</v>
      </c>
      <c r="AFH82">
        <v>2.078</v>
      </c>
      <c r="AFI82">
        <v>1.336</v>
      </c>
      <c r="AFJ82">
        <v>1.175</v>
      </c>
      <c r="AFK82">
        <v>1.115</v>
      </c>
      <c r="AFL82">
        <v>39.821</v>
      </c>
      <c r="AFM82">
        <v>20.26</v>
      </c>
      <c r="AFN82">
        <v>7.839</v>
      </c>
      <c r="AFO82">
        <v>35.63</v>
      </c>
      <c r="AFP82">
        <v>20.271</v>
      </c>
      <c r="AFQ82" t="s">
        <v>1901</v>
      </c>
      <c r="AFR82" t="s">
        <v>1901</v>
      </c>
      <c r="AFS82" t="s">
        <v>1901</v>
      </c>
      <c r="AFT82" t="s">
        <v>1901</v>
      </c>
      <c r="AFU82" t="s">
        <v>1901</v>
      </c>
      <c r="AFV82">
        <v>96.86</v>
      </c>
      <c r="AFW82">
        <v>110.227</v>
      </c>
      <c r="AFX82">
        <v>90.014</v>
      </c>
      <c r="AFY82">
        <v>132.553</v>
      </c>
      <c r="AFZ82">
        <v>174.632</v>
      </c>
      <c r="AGA82">
        <v>18.038</v>
      </c>
      <c r="AGB82">
        <v>19.753</v>
      </c>
      <c r="AGC82">
        <v>15.684</v>
      </c>
      <c r="AGD82">
        <v>15.462</v>
      </c>
      <c r="AGE82">
        <v>16.753</v>
      </c>
      <c r="AGF82" t="s">
        <v>1900</v>
      </c>
      <c r="AGG82" t="s">
        <v>1900</v>
      </c>
      <c r="AGH82" t="s">
        <v>1900</v>
      </c>
      <c r="AGI82" t="s">
        <v>1900</v>
      </c>
      <c r="AGJ82" t="s">
        <v>1900</v>
      </c>
      <c r="AGK82" t="s">
        <v>1900</v>
      </c>
      <c r="AGL82" t="s">
        <v>1900</v>
      </c>
      <c r="AGM82" t="s">
        <v>1900</v>
      </c>
      <c r="AGN82" t="s">
        <v>1900</v>
      </c>
      <c r="AGO82" t="s">
        <v>1900</v>
      </c>
      <c r="AGP82" t="s">
        <v>1900</v>
      </c>
      <c r="AGQ82" t="s">
        <v>1900</v>
      </c>
      <c r="AGR82" t="s">
        <v>1900</v>
      </c>
      <c r="AGS82" t="s">
        <v>1900</v>
      </c>
      <c r="AGT82" t="s">
        <v>1900</v>
      </c>
      <c r="AGU82">
        <v>0</v>
      </c>
      <c r="AGV82">
        <v>0</v>
      </c>
      <c r="AGW82">
        <v>0</v>
      </c>
      <c r="AGX82">
        <v>0</v>
      </c>
      <c r="AGY82">
        <v>0</v>
      </c>
      <c r="AGZ82">
        <v>1.553</v>
      </c>
      <c r="AHA82">
        <v>1.89</v>
      </c>
      <c r="AHB82">
        <v>3.038</v>
      </c>
      <c r="AHC82">
        <v>2.945</v>
      </c>
      <c r="AHD82">
        <v>2.406</v>
      </c>
      <c r="AHE82">
        <v>1.553</v>
      </c>
      <c r="AHF82">
        <v>1.89</v>
      </c>
      <c r="AHG82">
        <v>3.038</v>
      </c>
      <c r="AHH82">
        <v>2.945</v>
      </c>
      <c r="AHI82">
        <v>2.406</v>
      </c>
      <c r="AHJ82">
        <v>12.017</v>
      </c>
      <c r="AHK82">
        <v>2.411</v>
      </c>
      <c r="AHL82">
        <v>1.987</v>
      </c>
      <c r="AHM82">
        <v>1.651</v>
      </c>
      <c r="AHN82">
        <v>1.494</v>
      </c>
      <c r="AHO82">
        <v>51.698</v>
      </c>
      <c r="AHP82">
        <v>44.552</v>
      </c>
      <c r="AHQ82">
        <v>50.261</v>
      </c>
      <c r="AHR82">
        <v>47.558</v>
      </c>
      <c r="AHS82">
        <v>45.477</v>
      </c>
      <c r="AHT82" t="s">
        <v>1901</v>
      </c>
      <c r="AHU82">
        <v>80.34999999999999</v>
      </c>
      <c r="AHV82" t="s">
        <v>1901</v>
      </c>
      <c r="AHW82">
        <v>90.687</v>
      </c>
      <c r="AHX82">
        <v>83.408</v>
      </c>
      <c r="AHY82">
        <v>11.821</v>
      </c>
      <c r="AHZ82">
        <v>45.889</v>
      </c>
      <c r="AIA82">
        <v>53.349</v>
      </c>
      <c r="AIB82">
        <v>63.538</v>
      </c>
      <c r="AIC82">
        <v>70.126</v>
      </c>
      <c r="AID82">
        <v>30.05207961</v>
      </c>
      <c r="AIE82">
        <v>27.941448973</v>
      </c>
      <c r="AIF82">
        <v>21.089146326</v>
      </c>
      <c r="AIG82">
        <v>19.401172042</v>
      </c>
      <c r="AIH82">
        <v>20.470538384</v>
      </c>
      <c r="AII82">
        <v>29.714032916</v>
      </c>
      <c r="AIJ82">
        <v>29.750001305</v>
      </c>
      <c r="AIK82">
        <v>49.008858981</v>
      </c>
      <c r="AIL82">
        <v>36.568603877</v>
      </c>
      <c r="AIM82">
        <v>16.862752659</v>
      </c>
      <c r="AIN82">
        <v>34.997050443</v>
      </c>
      <c r="AIO82">
        <v>27.814280131</v>
      </c>
      <c r="AIP82">
        <v>18.526496086</v>
      </c>
      <c r="AIQ82">
        <v>18.371153859</v>
      </c>
      <c r="AIR82">
        <v>18.692240263</v>
      </c>
      <c r="AIS82" t="s">
        <v>1900</v>
      </c>
      <c r="AIT82" t="s">
        <v>1900</v>
      </c>
      <c r="AIU82" t="s">
        <v>1900</v>
      </c>
      <c r="AIV82" t="s">
        <v>1900</v>
      </c>
      <c r="AIW82">
        <v>0</v>
      </c>
      <c r="AIX82">
        <v>10.9519158529524</v>
      </c>
      <c r="AIY82">
        <v>11.7031873272467</v>
      </c>
      <c r="AIZ82">
        <v>10.7649646490991</v>
      </c>
      <c r="AJA82">
        <v>12.1408195204425</v>
      </c>
      <c r="AJB82">
        <v>8.71097422817588</v>
      </c>
      <c r="AJC82">
        <v>117.319303550171</v>
      </c>
      <c r="AJD82">
        <v>128.914451905222</v>
      </c>
      <c r="AJE82">
        <v>127.037244587854</v>
      </c>
      <c r="AJF82">
        <v>130.317456875603</v>
      </c>
      <c r="AJG82">
        <v>140.926765102324</v>
      </c>
      <c r="AJH82">
        <v>54.45</v>
      </c>
      <c r="AJI82">
        <v>50.912</v>
      </c>
      <c r="AJJ82">
        <v>51.667</v>
      </c>
      <c r="AJK82">
        <v>54.324</v>
      </c>
      <c r="AJL82">
        <v>53.063</v>
      </c>
      <c r="AJM82">
        <v>63.8800928789269</v>
      </c>
      <c r="AJN82">
        <v>65.6331730053616</v>
      </c>
      <c r="AJO82">
        <v>65.6359449370611</v>
      </c>
      <c r="AJP82">
        <v>70.7937190706205</v>
      </c>
      <c r="AJQ82">
        <v>74.7793454103649</v>
      </c>
      <c r="AJR82">
        <v>42.2438920837537</v>
      </c>
      <c r="AJS82">
        <v>43.838149854023</v>
      </c>
      <c r="AJT82">
        <v>63.2477849522716</v>
      </c>
      <c r="AJU82">
        <v>69.0780719812775</v>
      </c>
      <c r="AJV82">
        <v>75.69502531408961</v>
      </c>
      <c r="AJW82">
        <v>25.6872690425706</v>
      </c>
      <c r="AJX82">
        <v>32.3986576351194</v>
      </c>
      <c r="AJY82">
        <v>26.2298082156527</v>
      </c>
      <c r="AJZ82">
        <v>42.3860114466405</v>
      </c>
      <c r="AKA82">
        <v>61.8037691777134</v>
      </c>
      <c r="AKB82">
        <v>81.71291466074661</v>
      </c>
      <c r="AKC82">
        <v>98.3969460093403</v>
      </c>
      <c r="AKD82">
        <v>125.837603879027</v>
      </c>
      <c r="AKE82">
        <v>145.250213170767</v>
      </c>
      <c r="AKF82">
        <v>166.44825120213</v>
      </c>
      <c r="AKG82" t="s">
        <v>1900</v>
      </c>
      <c r="AKH82" t="s">
        <v>1900</v>
      </c>
      <c r="AKI82" t="s">
        <v>1900</v>
      </c>
      <c r="AKJ82" t="s">
        <v>1900</v>
      </c>
      <c r="AKK82">
        <v>0</v>
      </c>
      <c r="AKL82">
        <v>0</v>
      </c>
      <c r="AKM82">
        <v>0</v>
      </c>
      <c r="AKN82">
        <v>0</v>
      </c>
      <c r="AKO82">
        <v>0</v>
      </c>
      <c r="AKP82">
        <v>0</v>
      </c>
      <c r="AKQ82">
        <v>0</v>
      </c>
      <c r="AKR82">
        <v>0</v>
      </c>
      <c r="AKS82">
        <v>0</v>
      </c>
      <c r="AKT82">
        <v>0</v>
      </c>
      <c r="AKU82">
        <v>0</v>
      </c>
      <c r="AKV82">
        <v>0.025871692</v>
      </c>
      <c r="AKW82">
        <v>0.026846188</v>
      </c>
      <c r="AKX82">
        <v>2.743041535</v>
      </c>
      <c r="AKY82">
        <v>9.936314461</v>
      </c>
      <c r="AKZ82">
        <v>22.180449401</v>
      </c>
      <c r="ALA82">
        <v>0.037145278</v>
      </c>
      <c r="ALB82">
        <v>0.035172449</v>
      </c>
      <c r="ALC82">
        <v>2.769191615</v>
      </c>
      <c r="ALD82">
        <v>8.914790538</v>
      </c>
      <c r="ALE82">
        <v>18.779524318</v>
      </c>
      <c r="ALF82">
        <v>1.091354423</v>
      </c>
      <c r="ALG82">
        <v>1.647396259</v>
      </c>
      <c r="ALH82">
        <v>1.872598888</v>
      </c>
      <c r="ALI82">
        <v>2.319061868</v>
      </c>
      <c r="ALJ82">
        <v>3.326110549</v>
      </c>
      <c r="ALK82">
        <v>1.566911933</v>
      </c>
      <c r="ALL82">
        <v>2.158331071</v>
      </c>
      <c r="ALM82">
        <v>1.890450827</v>
      </c>
      <c r="ALN82">
        <v>2.080645784</v>
      </c>
      <c r="ALO82">
        <v>2.816118502</v>
      </c>
      <c r="ALP82">
        <v>26.905683226</v>
      </c>
      <c r="ALQ82">
        <v>30.618739614</v>
      </c>
      <c r="ALR82">
        <v>25.00398322</v>
      </c>
      <c r="ALS82">
        <v>36.820162845</v>
      </c>
      <c r="ALT82">
        <v>48.508933928</v>
      </c>
      <c r="ALU82">
        <v>18.622482816</v>
      </c>
      <c r="ALV82">
        <v>17.919857868</v>
      </c>
      <c r="ALW82">
        <v>17.42380909</v>
      </c>
      <c r="ALX82">
        <v>11.66470657</v>
      </c>
      <c r="ALY82">
        <v>9.593481877</v>
      </c>
      <c r="ALZ82">
        <v>100</v>
      </c>
      <c r="AMA82">
        <v>100</v>
      </c>
      <c r="AMB82">
        <v>100</v>
      </c>
      <c r="AMC82">
        <v>100</v>
      </c>
      <c r="AMD82">
        <v>81.60202844890409</v>
      </c>
      <c r="AME82" t="s">
        <v>1901</v>
      </c>
      <c r="AMF82">
        <v>100</v>
      </c>
      <c r="AMG82" t="s">
        <v>1901</v>
      </c>
      <c r="AMH82" t="s">
        <v>1901</v>
      </c>
      <c r="AMI82">
        <v>81.6027160044961</v>
      </c>
      <c r="AMJ82" t="s">
        <v>1900</v>
      </c>
      <c r="AMK82" t="s">
        <v>1900</v>
      </c>
      <c r="AML82" t="s">
        <v>1900</v>
      </c>
      <c r="AMM82" t="s">
        <v>1900</v>
      </c>
      <c r="AMN82">
        <v>443.538181490684</v>
      </c>
      <c r="AMO82">
        <v>1.07655817675376</v>
      </c>
      <c r="AMP82">
        <v>1.07548369846171</v>
      </c>
      <c r="AMQ82">
        <v>1.08394919636574</v>
      </c>
      <c r="AMR82">
        <v>1.1055879902066</v>
      </c>
      <c r="AMS82">
        <v>1.05041446150373</v>
      </c>
      <c r="AMT82">
        <v>1.0765581762771</v>
      </c>
      <c r="AMU82">
        <v>1.07548369797652</v>
      </c>
      <c r="AMV82">
        <v>1.08394919636574</v>
      </c>
      <c r="AMW82">
        <v>1.10558798970088</v>
      </c>
      <c r="AMX82">
        <v>1.05041446150373</v>
      </c>
      <c r="AMY82" t="s">
        <v>1900</v>
      </c>
      <c r="AMZ82" t="s">
        <v>1900</v>
      </c>
      <c r="ANA82" t="s">
        <v>1900</v>
      </c>
      <c r="ANB82" t="s">
        <v>1900</v>
      </c>
      <c r="ANC82">
        <v>1.05041446150373</v>
      </c>
      <c r="AND82">
        <v>7.11138310313636</v>
      </c>
      <c r="ANE82">
        <v>7.01858132154712</v>
      </c>
      <c r="ANF82">
        <v>7.74475378063845</v>
      </c>
      <c r="ANG82">
        <v>9.55039224703838</v>
      </c>
      <c r="ANH82">
        <v>3.91647532724761</v>
      </c>
      <c r="ANI82">
        <v>7.37383214719088</v>
      </c>
      <c r="ANJ82">
        <v>7.01858132154712</v>
      </c>
      <c r="ANK82">
        <v>7.77567790969259</v>
      </c>
      <c r="ANL82">
        <v>10.1837696460722</v>
      </c>
      <c r="ANM82">
        <v>3.91650832636005</v>
      </c>
      <c r="ANN82">
        <v>7.65581762406075</v>
      </c>
      <c r="ANO82">
        <v>7.54836979398936</v>
      </c>
      <c r="ANP82">
        <v>8.39491963657353</v>
      </c>
      <c r="ANQ82">
        <v>10.558798964748</v>
      </c>
      <c r="ANR82">
        <v>4.07611538043238</v>
      </c>
      <c r="ANS82">
        <v>18.2324108113343</v>
      </c>
      <c r="ANT82">
        <v>14.5879537070261</v>
      </c>
      <c r="ANU82">
        <v>10.3477372336864</v>
      </c>
      <c r="ANV82">
        <v>11.2199243099749</v>
      </c>
      <c r="ANW82">
        <v>4.3676627493689</v>
      </c>
      <c r="ANX82" t="s">
        <v>1900</v>
      </c>
      <c r="ANY82" t="s">
        <v>1900</v>
      </c>
      <c r="ANZ82" t="s">
        <v>1900</v>
      </c>
      <c r="AOA82" t="s">
        <v>1900</v>
      </c>
      <c r="AOB82">
        <v>81.60202844890409</v>
      </c>
      <c r="AOC82">
        <v>107.655817624061</v>
      </c>
      <c r="AOD82">
        <v>107.548369793989</v>
      </c>
      <c r="AOE82">
        <v>108.394919636574</v>
      </c>
      <c r="AOF82">
        <v>110.558798964748</v>
      </c>
      <c r="AOG82">
        <v>84.92822128125469</v>
      </c>
      <c r="AOH82" t="s">
        <v>1901</v>
      </c>
      <c r="AOI82" t="s">
        <v>1901</v>
      </c>
      <c r="AOJ82" t="s">
        <v>1901</v>
      </c>
      <c r="AOK82">
        <v>89.71928749316019</v>
      </c>
      <c r="AOL82">
        <v>69.0900012861553</v>
      </c>
      <c r="AOM82" t="s">
        <v>1900</v>
      </c>
      <c r="AON82" t="s">
        <v>1900</v>
      </c>
      <c r="AOO82" t="s">
        <v>1900</v>
      </c>
      <c r="AOP82" t="s">
        <v>1900</v>
      </c>
      <c r="AOQ82">
        <v>21.2875387722529</v>
      </c>
      <c r="AOR82">
        <v>7.65581762771</v>
      </c>
      <c r="AOS82">
        <v>7.54836979765175</v>
      </c>
      <c r="AOT82">
        <v>8.39491963657353</v>
      </c>
      <c r="AOU82">
        <v>10.5587989700879</v>
      </c>
      <c r="AOV82">
        <v>5.04144615037285</v>
      </c>
      <c r="AOW82">
        <v>10.2101671199945</v>
      </c>
      <c r="AOX82">
        <v>9.195372426839221</v>
      </c>
      <c r="AOY82">
        <v>7.81858639508374</v>
      </c>
      <c r="AOZ82">
        <v>8.56854387684484</v>
      </c>
      <c r="APA82">
        <v>3.31596273450684</v>
      </c>
      <c r="APB82">
        <v>2.83749435866538</v>
      </c>
      <c r="APC82">
        <v>4.01000106653008</v>
      </c>
      <c r="APD82">
        <v>3.75059858768305</v>
      </c>
      <c r="APE82">
        <v>5.03893693738365</v>
      </c>
      <c r="APF82">
        <v>3.76699765864873</v>
      </c>
      <c r="APG82">
        <v>2.94221346480008</v>
      </c>
      <c r="APH82">
        <v>4.01000106653008</v>
      </c>
      <c r="API82">
        <v>3.76557440202665</v>
      </c>
      <c r="APJ82">
        <v>5.37311680023537</v>
      </c>
      <c r="APK82">
        <v>3.76702939830465</v>
      </c>
      <c r="APL82" t="s">
        <v>1900</v>
      </c>
      <c r="APM82" t="s">
        <v>1900</v>
      </c>
      <c r="APN82" t="s">
        <v>1900</v>
      </c>
      <c r="APO82" t="s">
        <v>1900</v>
      </c>
      <c r="APP82">
        <v>20.4750705706159</v>
      </c>
      <c r="APQ82">
        <v>3.05472775331389</v>
      </c>
      <c r="APR82">
        <v>4.31269077786716</v>
      </c>
      <c r="APS82">
        <v>4.0654583250095</v>
      </c>
      <c r="APT82">
        <v>5.5709881613798</v>
      </c>
      <c r="APU82">
        <v>4.84903242273318</v>
      </c>
      <c r="APV82">
        <v>3.05472775185781</v>
      </c>
      <c r="APW82">
        <v>4.31269077577469</v>
      </c>
      <c r="APX82">
        <v>4.0654583250095</v>
      </c>
      <c r="APY82">
        <v>5.57098815856242</v>
      </c>
      <c r="APZ82">
        <v>3.92054482959344</v>
      </c>
      <c r="AQA82">
        <v>4.07393205848212</v>
      </c>
      <c r="AQB82">
        <v>5.25369038976077</v>
      </c>
      <c r="AQC82">
        <v>3.7863539528382</v>
      </c>
      <c r="AQD82">
        <v>4.52089831745028</v>
      </c>
      <c r="AQE82">
        <v>3.18940445511045</v>
      </c>
      <c r="AQF82" t="s">
        <v>1900</v>
      </c>
      <c r="AQG82" t="s">
        <v>1900</v>
      </c>
      <c r="AQH82" t="s">
        <v>1900</v>
      </c>
      <c r="AQI82" t="s">
        <v>1900</v>
      </c>
      <c r="AQJ82">
        <v>0.0504144615037285</v>
      </c>
      <c r="AQK82">
        <v>9</v>
      </c>
      <c r="AQO82" t="s">
        <v>1902</v>
      </c>
      <c r="AQP82">
        <v>3</v>
      </c>
      <c r="AQQ82">
        <v>0</v>
      </c>
      <c r="AQS82" t="s">
        <v>1905</v>
      </c>
      <c r="AQU82" t="s">
        <v>1906</v>
      </c>
      <c r="AQV82">
        <v>2346386.06061443</v>
      </c>
      <c r="AQW82">
        <v>2449374.58619922</v>
      </c>
      <c r="AQX82">
        <v>2413707.64503603</v>
      </c>
      <c r="AQY82">
        <v>166860.501848881</v>
      </c>
      <c r="AQZ82">
        <v>171911.3472017</v>
      </c>
      <c r="ARA82">
        <v>186935.714092487</v>
      </c>
      <c r="ARB82">
        <v>7209468.29184968</v>
      </c>
      <c r="ARC82">
        <v>525707.563143068</v>
      </c>
      <c r="ARD82">
        <v>0.07865445584925938</v>
      </c>
      <c r="ARE82">
        <v>0.07865445584925938</v>
      </c>
      <c r="ARF82">
        <v>0.07865445584925938</v>
      </c>
      <c r="ARG82">
        <v>0.07865445584925938</v>
      </c>
      <c r="ARH82">
        <v>0.07865445584925938</v>
      </c>
      <c r="ARI82">
        <v>0.07865445584925938</v>
      </c>
      <c r="ARJ82" t="s">
        <v>1243</v>
      </c>
      <c r="ARK82" t="s">
        <v>1581</v>
      </c>
      <c r="ARL82" t="s">
        <v>1909</v>
      </c>
      <c r="ARP82" t="s">
        <v>1907</v>
      </c>
      <c r="ARQ82" t="s">
        <v>1926</v>
      </c>
    </row>
    <row r="83" spans="1:1163">
      <c r="A83">
        <v>676</v>
      </c>
      <c r="B83" t="s">
        <v>1244</v>
      </c>
      <c r="C83" t="s">
        <v>1367</v>
      </c>
      <c r="E83" s="2">
        <v>42782</v>
      </c>
      <c r="F83" t="s">
        <v>1431</v>
      </c>
      <c r="G83" t="s">
        <v>1433</v>
      </c>
      <c r="H83" t="s">
        <v>1434</v>
      </c>
      <c r="I83" t="s">
        <v>1436</v>
      </c>
      <c r="J83" t="s">
        <v>1474</v>
      </c>
      <c r="L83" t="s">
        <v>1582</v>
      </c>
      <c r="N83" t="s">
        <v>1624</v>
      </c>
      <c r="O83" t="s">
        <v>1648</v>
      </c>
      <c r="P83">
        <v>6209</v>
      </c>
      <c r="Q83">
        <v>6209</v>
      </c>
      <c r="R83" t="s">
        <v>1752</v>
      </c>
      <c r="S83" t="s">
        <v>1827</v>
      </c>
      <c r="Z83" t="s">
        <v>1899</v>
      </c>
      <c r="AA83" s="2">
        <v>45657</v>
      </c>
      <c r="AB83">
        <v>2024</v>
      </c>
      <c r="AC83">
        <v>549007.4805107811</v>
      </c>
      <c r="AD83">
        <v>74916.9661668139</v>
      </c>
      <c r="AE83">
        <v>25161.8701450366</v>
      </c>
      <c r="AF83">
        <v>61655.2723294258</v>
      </c>
      <c r="AG83">
        <v>27397.4460583925</v>
      </c>
      <c r="AH83">
        <v>535831.5020263609</v>
      </c>
      <c r="AI83">
        <v>71919.60922663689</v>
      </c>
      <c r="AJ83">
        <v>17556.2275767326</v>
      </c>
      <c r="AK83">
        <v>57577.9112225533</v>
      </c>
      <c r="AL83">
        <v>13323.8441932201</v>
      </c>
      <c r="AM83" t="s">
        <v>1900</v>
      </c>
      <c r="AN83">
        <v>39.7800178527832</v>
      </c>
      <c r="AO83" t="s">
        <v>1900</v>
      </c>
      <c r="AP83" t="s">
        <v>1900</v>
      </c>
      <c r="AQ83">
        <v>22936.4369942486</v>
      </c>
      <c r="AR83">
        <v>549007.4805107811</v>
      </c>
      <c r="AS83">
        <v>74877.1861489611</v>
      </c>
      <c r="AT83">
        <v>25161.8701450366</v>
      </c>
      <c r="AU83">
        <v>61655.2723294258</v>
      </c>
      <c r="AV83">
        <v>4461.0090641439</v>
      </c>
      <c r="AW83">
        <v>790949.262569586</v>
      </c>
      <c r="AX83">
        <v>504907.169396133</v>
      </c>
      <c r="AY83">
        <v>364261.664377024</v>
      </c>
      <c r="AZ83">
        <v>346245.473138523</v>
      </c>
      <c r="BA83">
        <v>174266.961035413</v>
      </c>
      <c r="BB83">
        <v>-241941.782058805</v>
      </c>
      <c r="BC83">
        <v>-430029.982142172</v>
      </c>
      <c r="BD83">
        <v>-339099.794231987</v>
      </c>
      <c r="BE83">
        <v>-284590.200809097</v>
      </c>
      <c r="BF83">
        <v>-169805.951971269</v>
      </c>
      <c r="BG83">
        <v>-146767.145828311</v>
      </c>
      <c r="BH83">
        <v>-102238.424983349</v>
      </c>
      <c r="BI83">
        <v>-23816.8572589576</v>
      </c>
      <c r="BJ83">
        <v>-7101.24536376</v>
      </c>
      <c r="BK83">
        <v>-11560.2079961061</v>
      </c>
      <c r="BL83" t="s">
        <v>1900</v>
      </c>
      <c r="BM83">
        <v>366.705464572907</v>
      </c>
      <c r="BN83" t="s">
        <v>1900</v>
      </c>
      <c r="BO83" t="s">
        <v>1900</v>
      </c>
      <c r="BP83" t="s">
        <v>1900</v>
      </c>
      <c r="BQ83">
        <v>146767.145828311</v>
      </c>
      <c r="BR83">
        <v>102605.130447922</v>
      </c>
      <c r="BS83">
        <v>23816.8572589576</v>
      </c>
      <c r="BT83">
        <v>7101.24536376</v>
      </c>
      <c r="BU83">
        <v>11560.2079961061</v>
      </c>
      <c r="BV83">
        <v>-388708.927887117</v>
      </c>
      <c r="BW83">
        <v>-532268.407125521</v>
      </c>
      <c r="BX83">
        <v>-362916.651490945</v>
      </c>
      <c r="BY83">
        <v>-291691.446172857</v>
      </c>
      <c r="BZ83">
        <v>-181366.159967375</v>
      </c>
      <c r="CA83">
        <v>-324797.687761054</v>
      </c>
      <c r="CB83">
        <v>-390797.503085117</v>
      </c>
      <c r="CC83">
        <v>-247277.193561369</v>
      </c>
      <c r="CD83">
        <v>-257866.507880473</v>
      </c>
      <c r="CE83">
        <v>-141243.816883814</v>
      </c>
      <c r="CF83">
        <v>-63911.2390871631</v>
      </c>
      <c r="CG83">
        <v>-141470.904040403</v>
      </c>
      <c r="CH83">
        <v>-115639.456862976</v>
      </c>
      <c r="CI83">
        <v>-33824.9382923841</v>
      </c>
      <c r="CJ83">
        <v>-40122.3418564612</v>
      </c>
      <c r="CK83" t="s">
        <v>1900</v>
      </c>
      <c r="CL83" t="s">
        <v>1900</v>
      </c>
      <c r="CM83" t="s">
        <v>1900</v>
      </c>
      <c r="CN83" t="s">
        <v>1900</v>
      </c>
      <c r="CO83" t="s">
        <v>1900</v>
      </c>
      <c r="CP83" t="s">
        <v>1900</v>
      </c>
      <c r="CQ83" t="s">
        <v>1900</v>
      </c>
      <c r="CR83" t="s">
        <v>1900</v>
      </c>
      <c r="CS83" t="s">
        <v>1900</v>
      </c>
      <c r="CT83" t="s">
        <v>1900</v>
      </c>
      <c r="CU83" t="s">
        <v>1900</v>
      </c>
      <c r="CV83" t="s">
        <v>1900</v>
      </c>
      <c r="CW83" t="s">
        <v>1900</v>
      </c>
      <c r="CX83" t="s">
        <v>1900</v>
      </c>
      <c r="CY83" t="s">
        <v>1900</v>
      </c>
      <c r="CZ83">
        <v>-63911.2390871631</v>
      </c>
      <c r="DA83">
        <v>-141470.904040403</v>
      </c>
      <c r="DB83">
        <v>-115639.456862976</v>
      </c>
      <c r="DC83">
        <v>-33824.9382923841</v>
      </c>
      <c r="DD83">
        <v>-40122.3418564612</v>
      </c>
      <c r="DE83" t="s">
        <v>1900</v>
      </c>
      <c r="DF83" t="s">
        <v>1900</v>
      </c>
      <c r="DG83" t="s">
        <v>1900</v>
      </c>
      <c r="DH83" t="s">
        <v>1900</v>
      </c>
      <c r="DI83" t="s">
        <v>1900</v>
      </c>
      <c r="DJ83" t="s">
        <v>1900</v>
      </c>
      <c r="DK83">
        <v>39.7800178527832</v>
      </c>
      <c r="DL83" t="s">
        <v>1900</v>
      </c>
      <c r="DM83" t="s">
        <v>1900</v>
      </c>
      <c r="DN83">
        <v>22936.4369942486</v>
      </c>
      <c r="DO83">
        <v>955250.88212626</v>
      </c>
      <c r="DP83">
        <v>812068.31204628</v>
      </c>
      <c r="DQ83">
        <v>537746.109413868</v>
      </c>
      <c r="DR83">
        <v>453400.833531761</v>
      </c>
      <c r="DS83">
        <v>278230.44589712</v>
      </c>
      <c r="DT83">
        <v>271963.173762089</v>
      </c>
      <c r="DU83">
        <v>222353.205439386</v>
      </c>
      <c r="DV83">
        <v>93699.6877780139</v>
      </c>
      <c r="DW83">
        <v>49973.4062381744</v>
      </c>
      <c r="DX83">
        <v>3913.74731858373</v>
      </c>
      <c r="DY83">
        <v>-436264.793318763</v>
      </c>
      <c r="DZ83">
        <v>-529514.348089533</v>
      </c>
      <c r="EA83">
        <v>-267184.131748259</v>
      </c>
      <c r="EB83">
        <v>-157128.766631413</v>
      </c>
      <c r="EC83">
        <v>-107877.230953192</v>
      </c>
      <c r="ED83">
        <v>146191.709761602</v>
      </c>
      <c r="EE83">
        <v>102605.130447922</v>
      </c>
      <c r="EF83">
        <v>23657.581957376</v>
      </c>
      <c r="EG83">
        <v>7101.24536376</v>
      </c>
      <c r="EH83">
        <v>11560.2079961061</v>
      </c>
      <c r="EI83" t="s">
        <v>1900</v>
      </c>
      <c r="EJ83" t="s">
        <v>1900</v>
      </c>
      <c r="EK83" t="s">
        <v>1900</v>
      </c>
      <c r="EL83" t="s">
        <v>1900</v>
      </c>
      <c r="EM83" t="s">
        <v>1900</v>
      </c>
      <c r="EN83">
        <v>208051.933636026</v>
      </c>
      <c r="EO83">
        <v>80882.30029398249</v>
      </c>
      <c r="EP83">
        <v>-21939.769084962</v>
      </c>
      <c r="EQ83">
        <v>16148.46681319</v>
      </c>
      <c r="ER83">
        <v>-36208.5945378774</v>
      </c>
      <c r="ES83">
        <v>984696.836723934</v>
      </c>
      <c r="ET83">
        <v>604758.240808067</v>
      </c>
      <c r="EU83">
        <v>292186.727658314</v>
      </c>
      <c r="EV83">
        <v>218784.037828238</v>
      </c>
      <c r="EW83">
        <v>112338.240017336</v>
      </c>
      <c r="EX83">
        <v>30021.3906643842</v>
      </c>
      <c r="EY83">
        <v>-207676.775597785</v>
      </c>
      <c r="EZ83">
        <v>-245400.106453973</v>
      </c>
      <c r="FA83">
        <v>-234616.794570923</v>
      </c>
      <c r="FB83">
        <v>-165892.204652685</v>
      </c>
      <c r="FC83">
        <v>3313357.48530228</v>
      </c>
      <c r="FD83">
        <v>2816449.52978794</v>
      </c>
      <c r="FE83">
        <v>1980295.83892581</v>
      </c>
      <c r="FF83">
        <v>1525786.77410409</v>
      </c>
      <c r="FG83">
        <v>1009059.23991514</v>
      </c>
      <c r="FH83">
        <v>2161142.27294528</v>
      </c>
      <c r="FI83">
        <v>1849292.48648974</v>
      </c>
      <c r="FJ83">
        <v>1323798.14759553</v>
      </c>
      <c r="FK83">
        <v>1017125.57875092</v>
      </c>
      <c r="FL83">
        <v>737661.246104276</v>
      </c>
      <c r="FM83">
        <v>17396.7883722067</v>
      </c>
      <c r="FN83">
        <v>17156.5691996574</v>
      </c>
      <c r="FO83">
        <v>9822.058703494071</v>
      </c>
      <c r="FP83">
        <v>11557.2007754087</v>
      </c>
      <c r="FQ83">
        <v>13205.6745306849</v>
      </c>
      <c r="FR83">
        <v>1134818.42398479</v>
      </c>
      <c r="FS83">
        <v>950000.474098539</v>
      </c>
      <c r="FT83">
        <v>646675.63262679</v>
      </c>
      <c r="FU83">
        <v>497103.994577765</v>
      </c>
      <c r="FV83">
        <v>258192.319280183</v>
      </c>
      <c r="FW83">
        <v>2161142.27294528</v>
      </c>
      <c r="FX83">
        <v>1849292.48648974</v>
      </c>
      <c r="FY83">
        <v>1323798.14759553</v>
      </c>
      <c r="FZ83">
        <v>1017125.57875092</v>
      </c>
      <c r="GA83">
        <v>737661.246104276</v>
      </c>
      <c r="GB83">
        <v>17396.7883722067</v>
      </c>
      <c r="GC83">
        <v>17156.5691996574</v>
      </c>
      <c r="GD83">
        <v>9822.058703494071</v>
      </c>
      <c r="GE83">
        <v>11557.2007754087</v>
      </c>
      <c r="GF83">
        <v>13205.6745306849</v>
      </c>
      <c r="GG83">
        <v>1134818.42398479</v>
      </c>
      <c r="GH83">
        <v>950000.474098539</v>
      </c>
      <c r="GI83">
        <v>646675.63262679</v>
      </c>
      <c r="GJ83">
        <v>497103.994577765</v>
      </c>
      <c r="GK83">
        <v>258192.319280183</v>
      </c>
      <c r="GL83">
        <v>1049584.32139849</v>
      </c>
      <c r="GM83">
        <v>783123.9622064109</v>
      </c>
      <c r="GN83">
        <v>444455.985173351</v>
      </c>
      <c r="GO83">
        <v>1083907.28322201</v>
      </c>
      <c r="GP83">
        <v>1013425.92185614</v>
      </c>
      <c r="GQ83">
        <v>0</v>
      </c>
      <c r="GR83">
        <v>0</v>
      </c>
      <c r="GS83">
        <v>0</v>
      </c>
      <c r="GT83">
        <v>0</v>
      </c>
      <c r="GU83">
        <v>0</v>
      </c>
      <c r="GV83">
        <v>333144.632621466</v>
      </c>
      <c r="GW83">
        <v>86815.1816615868</v>
      </c>
      <c r="GX83">
        <v>79579.36112877729</v>
      </c>
      <c r="GY83">
        <v>54529.9478831291</v>
      </c>
      <c r="GZ83">
        <v>94135.5852176011</v>
      </c>
      <c r="HA83">
        <v>716439.68877702</v>
      </c>
      <c r="HB83">
        <v>696308.7794398241</v>
      </c>
      <c r="HC83">
        <v>364876.624044573</v>
      </c>
      <c r="HD83">
        <v>1029377.33533888</v>
      </c>
      <c r="HE83">
        <v>919290.33663854</v>
      </c>
      <c r="HF83">
        <v>682709.498435687</v>
      </c>
      <c r="HG83">
        <v>664841.725622797</v>
      </c>
      <c r="HH83">
        <v>360948.914093041</v>
      </c>
      <c r="HI83">
        <v>1029377.33533888</v>
      </c>
      <c r="HJ83">
        <v>918266.38362813</v>
      </c>
      <c r="HK83">
        <v>4362941.80670076</v>
      </c>
      <c r="HL83">
        <v>3599573.49199435</v>
      </c>
      <c r="HM83">
        <v>2424751.82409916</v>
      </c>
      <c r="HN83">
        <v>2609694.0573261</v>
      </c>
      <c r="HO83">
        <v>2022485.16177129</v>
      </c>
      <c r="HP83">
        <v>1358059.68185952</v>
      </c>
      <c r="HQ83">
        <v>1331238.29744339</v>
      </c>
      <c r="HR83">
        <v>1452616.02883226</v>
      </c>
      <c r="HS83">
        <v>1527066.98620963</v>
      </c>
      <c r="HT83">
        <v>1184267.55790712</v>
      </c>
      <c r="HU83">
        <v>97396.83195948599</v>
      </c>
      <c r="HV83">
        <v>103593.796491623</v>
      </c>
      <c r="HW83">
        <v>99993.70202422141</v>
      </c>
      <c r="HX83">
        <v>106181.278824806</v>
      </c>
      <c r="HY83">
        <v>99701.8180787563</v>
      </c>
      <c r="HZ83">
        <v>1260662.84886113</v>
      </c>
      <c r="IA83">
        <v>1227644.50095177</v>
      </c>
      <c r="IB83">
        <v>1352622.32680804</v>
      </c>
      <c r="IC83">
        <v>1420885.70738482</v>
      </c>
      <c r="ID83">
        <v>1084565.73982837</v>
      </c>
      <c r="IE83">
        <v>710262.319383854</v>
      </c>
      <c r="IF83">
        <v>1907776.85878681</v>
      </c>
      <c r="IG83">
        <v>774723.183715111</v>
      </c>
      <c r="IH83">
        <v>923882.310366368</v>
      </c>
      <c r="II83">
        <v>718615.990072495</v>
      </c>
      <c r="IJ83">
        <v>573675.0384869711</v>
      </c>
      <c r="IK83">
        <v>1807800.63501871</v>
      </c>
      <c r="IL83">
        <v>670449.676582289</v>
      </c>
      <c r="IM83">
        <v>851410.512558603</v>
      </c>
      <c r="IN83">
        <v>640097.476760876</v>
      </c>
      <c r="IO83">
        <v>136587.280896883</v>
      </c>
      <c r="IP83">
        <v>99976.2237681008</v>
      </c>
      <c r="IQ83">
        <v>104273.507132822</v>
      </c>
      <c r="IR83">
        <v>72471.797807765</v>
      </c>
      <c r="IS83">
        <v>78518.5133116186</v>
      </c>
      <c r="IT83" t="s">
        <v>1900</v>
      </c>
      <c r="IU83" t="s">
        <v>1900</v>
      </c>
      <c r="IV83" t="s">
        <v>1900</v>
      </c>
      <c r="IW83" t="s">
        <v>1900</v>
      </c>
      <c r="IX83" t="s">
        <v>1900</v>
      </c>
      <c r="IY83">
        <v>2294619.80545739</v>
      </c>
      <c r="IZ83">
        <v>360558.335764151</v>
      </c>
      <c r="JA83">
        <v>197412.611551797</v>
      </c>
      <c r="JB83">
        <v>158744.760750103</v>
      </c>
      <c r="JC83">
        <v>119601.613791668</v>
      </c>
      <c r="JD83">
        <v>0</v>
      </c>
      <c r="JE83">
        <v>14450.0251849937</v>
      </c>
      <c r="JF83">
        <v>34869.5904499888</v>
      </c>
      <c r="JG83">
        <v>29621.8472253799</v>
      </c>
      <c r="JH83">
        <v>47078.1309203982</v>
      </c>
      <c r="JI83">
        <v>0</v>
      </c>
      <c r="JJ83">
        <v>0</v>
      </c>
      <c r="JK83" t="s">
        <v>1900</v>
      </c>
      <c r="JL83">
        <v>0</v>
      </c>
      <c r="JM83">
        <v>0</v>
      </c>
      <c r="JN83">
        <v>2294619.80545739</v>
      </c>
      <c r="JO83">
        <v>346108.310579157</v>
      </c>
      <c r="JP83">
        <v>162543.021101809</v>
      </c>
      <c r="JQ83">
        <v>129122.913524723</v>
      </c>
      <c r="JR83">
        <v>72523.4828712702</v>
      </c>
      <c r="JS83">
        <v>4362941.80670076</v>
      </c>
      <c r="JT83">
        <v>3599573.49199435</v>
      </c>
      <c r="JU83">
        <v>2424751.82409916</v>
      </c>
      <c r="JV83">
        <v>2609694.0573261</v>
      </c>
      <c r="JW83">
        <v>2022485.16177129</v>
      </c>
      <c r="JX83">
        <v>333144.632621466</v>
      </c>
      <c r="JY83">
        <v>86815.1816615868</v>
      </c>
      <c r="JZ83">
        <v>79579.36112877729</v>
      </c>
      <c r="KA83">
        <v>54529.9478831291</v>
      </c>
      <c r="KB83">
        <v>94135.5852176011</v>
      </c>
      <c r="KC83" t="s">
        <v>1900</v>
      </c>
      <c r="KD83" t="s">
        <v>1900</v>
      </c>
      <c r="KE83" t="s">
        <v>1900</v>
      </c>
      <c r="KF83" t="s">
        <v>1900</v>
      </c>
      <c r="KG83" t="s">
        <v>1900</v>
      </c>
      <c r="KH83" t="s">
        <v>1900</v>
      </c>
      <c r="KI83" t="s">
        <v>1900</v>
      </c>
      <c r="KJ83" t="s">
        <v>1900</v>
      </c>
      <c r="KK83" t="s">
        <v>1900</v>
      </c>
      <c r="KL83" t="s">
        <v>1900</v>
      </c>
      <c r="KM83">
        <v>20</v>
      </c>
      <c r="KN83">
        <v>17</v>
      </c>
      <c r="KO83">
        <v>10</v>
      </c>
      <c r="KP83">
        <v>11</v>
      </c>
      <c r="KQ83">
        <v>9</v>
      </c>
      <c r="KR83" t="s">
        <v>1900</v>
      </c>
      <c r="KS83" t="s">
        <v>1900</v>
      </c>
      <c r="KT83" t="s">
        <v>1900</v>
      </c>
      <c r="KU83" t="s">
        <v>1900</v>
      </c>
      <c r="KV83" t="s">
        <v>1900</v>
      </c>
      <c r="KW83" t="s">
        <v>1900</v>
      </c>
      <c r="KX83" t="s">
        <v>1900</v>
      </c>
      <c r="KY83" t="s">
        <v>1900</v>
      </c>
      <c r="KZ83" t="s">
        <v>1900</v>
      </c>
      <c r="LA83" t="s">
        <v>1900</v>
      </c>
      <c r="LB83" t="s">
        <v>1900</v>
      </c>
      <c r="LC83" t="s">
        <v>1900</v>
      </c>
      <c r="LD83" t="s">
        <v>1900</v>
      </c>
      <c r="LE83" t="s">
        <v>1900</v>
      </c>
      <c r="LF83" t="s">
        <v>1900</v>
      </c>
      <c r="LG83" t="s">
        <v>1900</v>
      </c>
      <c r="LH83" t="s">
        <v>1900</v>
      </c>
      <c r="LI83" t="s">
        <v>1900</v>
      </c>
      <c r="LJ83" t="s">
        <v>1900</v>
      </c>
      <c r="LK83" t="s">
        <v>1900</v>
      </c>
      <c r="LL83" t="s">
        <v>1900</v>
      </c>
      <c r="LM83" t="s">
        <v>1900</v>
      </c>
      <c r="LN83" t="s">
        <v>1900</v>
      </c>
      <c r="LO83" t="s">
        <v>1900</v>
      </c>
      <c r="LP83" t="s">
        <v>1900</v>
      </c>
      <c r="LQ83" t="s">
        <v>1900</v>
      </c>
      <c r="LR83" t="s">
        <v>1900</v>
      </c>
      <c r="LS83" t="s">
        <v>1900</v>
      </c>
      <c r="LT83" t="s">
        <v>1900</v>
      </c>
      <c r="LU83" t="s">
        <v>1900</v>
      </c>
      <c r="LV83" t="s">
        <v>1900</v>
      </c>
      <c r="LW83" t="s">
        <v>1900</v>
      </c>
      <c r="LX83" t="s">
        <v>1900</v>
      </c>
      <c r="LY83" t="s">
        <v>1900</v>
      </c>
      <c r="LZ83" t="s">
        <v>1900</v>
      </c>
      <c r="MA83" t="s">
        <v>1900</v>
      </c>
      <c r="MB83" t="s">
        <v>1900</v>
      </c>
      <c r="MC83" t="s">
        <v>1900</v>
      </c>
      <c r="MD83" t="s">
        <v>1900</v>
      </c>
      <c r="ME83" t="s">
        <v>1900</v>
      </c>
      <c r="MF83" t="s">
        <v>1900</v>
      </c>
      <c r="MG83" t="s">
        <v>1900</v>
      </c>
      <c r="MH83" t="s">
        <v>1900</v>
      </c>
      <c r="MI83" t="s">
        <v>1900</v>
      </c>
      <c r="MJ83" t="s">
        <v>1900</v>
      </c>
      <c r="MK83" t="s">
        <v>1900</v>
      </c>
      <c r="ML83" t="s">
        <v>1900</v>
      </c>
      <c r="MM83" t="s">
        <v>1900</v>
      </c>
      <c r="MN83" t="s">
        <v>1900</v>
      </c>
      <c r="MO83" t="s">
        <v>1900</v>
      </c>
      <c r="MP83">
        <v>716439.68877702</v>
      </c>
      <c r="MQ83">
        <v>696308.7794398241</v>
      </c>
      <c r="MR83">
        <v>364876.624044573</v>
      </c>
      <c r="MS83">
        <v>1029377.33533888</v>
      </c>
      <c r="MT83">
        <v>919290.33663854</v>
      </c>
      <c r="MU83" t="s">
        <v>1900</v>
      </c>
      <c r="MV83" t="s">
        <v>1900</v>
      </c>
      <c r="MW83" t="s">
        <v>1900</v>
      </c>
      <c r="MX83" t="s">
        <v>1900</v>
      </c>
      <c r="MY83" t="s">
        <v>1900</v>
      </c>
      <c r="MZ83" t="s">
        <v>1900</v>
      </c>
      <c r="NA83" t="s">
        <v>1900</v>
      </c>
      <c r="NB83" t="s">
        <v>1900</v>
      </c>
      <c r="NC83" t="s">
        <v>1900</v>
      </c>
      <c r="ND83" t="s">
        <v>1900</v>
      </c>
      <c r="NE83" t="s">
        <v>1900</v>
      </c>
      <c r="NF83" t="s">
        <v>1900</v>
      </c>
      <c r="NG83" t="s">
        <v>1900</v>
      </c>
      <c r="NH83" t="s">
        <v>1900</v>
      </c>
      <c r="NI83" t="s">
        <v>1900</v>
      </c>
      <c r="NJ83" t="s">
        <v>1900</v>
      </c>
      <c r="NK83" t="s">
        <v>1900</v>
      </c>
      <c r="NL83" t="s">
        <v>1900</v>
      </c>
      <c r="NM83" t="s">
        <v>1900</v>
      </c>
      <c r="NN83" t="s">
        <v>1900</v>
      </c>
      <c r="NO83" t="s">
        <v>1900</v>
      </c>
      <c r="NP83" t="s">
        <v>1900</v>
      </c>
      <c r="NQ83" t="s">
        <v>1900</v>
      </c>
      <c r="NR83" t="s">
        <v>1900</v>
      </c>
      <c r="NS83" t="s">
        <v>1900</v>
      </c>
      <c r="NT83">
        <v>3313357.48530228</v>
      </c>
      <c r="NU83">
        <v>2816449.52978794</v>
      </c>
      <c r="NV83">
        <v>1980295.83892581</v>
      </c>
      <c r="NW83">
        <v>1525786.77410409</v>
      </c>
      <c r="NX83">
        <v>1009059.23991514</v>
      </c>
      <c r="NY83" t="s">
        <v>1900</v>
      </c>
      <c r="NZ83" t="s">
        <v>1900</v>
      </c>
      <c r="OA83" t="s">
        <v>1900</v>
      </c>
      <c r="OB83" t="s">
        <v>1900</v>
      </c>
      <c r="OC83" t="s">
        <v>1900</v>
      </c>
      <c r="OD83" t="s">
        <v>1900</v>
      </c>
      <c r="OE83" t="s">
        <v>1900</v>
      </c>
      <c r="OF83" t="s">
        <v>1900</v>
      </c>
      <c r="OG83" t="s">
        <v>1900</v>
      </c>
      <c r="OH83" t="s">
        <v>1900</v>
      </c>
      <c r="OI83" t="s">
        <v>1900</v>
      </c>
      <c r="OJ83" t="s">
        <v>1900</v>
      </c>
      <c r="OK83" t="s">
        <v>1900</v>
      </c>
      <c r="OL83" t="s">
        <v>1900</v>
      </c>
      <c r="OM83" t="s">
        <v>1900</v>
      </c>
      <c r="ON83" t="s">
        <v>1900</v>
      </c>
      <c r="OO83" t="s">
        <v>1900</v>
      </c>
      <c r="OP83" t="s">
        <v>1900</v>
      </c>
      <c r="OQ83" t="s">
        <v>1900</v>
      </c>
      <c r="OR83" t="s">
        <v>1900</v>
      </c>
      <c r="OS83" t="s">
        <v>1900</v>
      </c>
      <c r="OT83" t="s">
        <v>1900</v>
      </c>
      <c r="OU83" t="s">
        <v>1900</v>
      </c>
      <c r="OV83" t="s">
        <v>1900</v>
      </c>
      <c r="OW83" t="s">
        <v>1900</v>
      </c>
      <c r="OX83" t="s">
        <v>1900</v>
      </c>
      <c r="OY83" t="s">
        <v>1900</v>
      </c>
      <c r="OZ83" t="s">
        <v>1900</v>
      </c>
      <c r="PA83" t="s">
        <v>1900</v>
      </c>
      <c r="PB83" t="s">
        <v>1900</v>
      </c>
      <c r="PC83" t="s">
        <v>1900</v>
      </c>
      <c r="PD83" t="s">
        <v>1900</v>
      </c>
      <c r="PE83" t="s">
        <v>1900</v>
      </c>
      <c r="PF83" t="s">
        <v>1900</v>
      </c>
      <c r="PG83" t="s">
        <v>1900</v>
      </c>
      <c r="PH83" t="s">
        <v>1900</v>
      </c>
      <c r="PI83" t="s">
        <v>1900</v>
      </c>
      <c r="PJ83" t="s">
        <v>1900</v>
      </c>
      <c r="PK83" t="s">
        <v>1900</v>
      </c>
      <c r="PL83" t="s">
        <v>1900</v>
      </c>
      <c r="PM83" t="s">
        <v>1900</v>
      </c>
      <c r="PN83" t="s">
        <v>1900</v>
      </c>
      <c r="PO83" t="s">
        <v>1900</v>
      </c>
      <c r="PP83" t="s">
        <v>1900</v>
      </c>
      <c r="PQ83" t="s">
        <v>1900</v>
      </c>
      <c r="PR83" t="s">
        <v>1900</v>
      </c>
      <c r="PS83" t="s">
        <v>1900</v>
      </c>
      <c r="PT83" t="s">
        <v>1900</v>
      </c>
      <c r="PU83" t="s">
        <v>1900</v>
      </c>
      <c r="PV83" t="s">
        <v>1900</v>
      </c>
      <c r="PW83" t="s">
        <v>1900</v>
      </c>
      <c r="PX83" t="s">
        <v>1900</v>
      </c>
      <c r="PY83" t="s">
        <v>1900</v>
      </c>
      <c r="PZ83" t="s">
        <v>1900</v>
      </c>
      <c r="QA83" t="s">
        <v>1900</v>
      </c>
      <c r="QB83" t="s">
        <v>1900</v>
      </c>
      <c r="QC83" t="s">
        <v>1900</v>
      </c>
      <c r="QD83" t="s">
        <v>1900</v>
      </c>
      <c r="QE83" t="s">
        <v>1900</v>
      </c>
      <c r="QF83" t="s">
        <v>1900</v>
      </c>
      <c r="QG83" t="s">
        <v>1900</v>
      </c>
      <c r="QH83" t="s">
        <v>1900</v>
      </c>
      <c r="QI83" t="s">
        <v>1900</v>
      </c>
      <c r="QJ83" t="s">
        <v>1900</v>
      </c>
      <c r="QK83" t="s">
        <v>1900</v>
      </c>
      <c r="QL83" t="s">
        <v>1900</v>
      </c>
      <c r="QM83" t="s">
        <v>1900</v>
      </c>
      <c r="QN83" t="s">
        <v>1900</v>
      </c>
      <c r="QO83" t="s">
        <v>1900</v>
      </c>
      <c r="QP83" t="s">
        <v>1900</v>
      </c>
      <c r="QQ83" t="s">
        <v>1900</v>
      </c>
      <c r="QR83" t="s">
        <v>1900</v>
      </c>
      <c r="QS83" t="s">
        <v>1900</v>
      </c>
      <c r="QT83" t="s">
        <v>1900</v>
      </c>
      <c r="QU83" t="s">
        <v>1900</v>
      </c>
      <c r="QV83" t="s">
        <v>1900</v>
      </c>
      <c r="QW83" t="s">
        <v>1900</v>
      </c>
      <c r="QX83" t="s">
        <v>1900</v>
      </c>
      <c r="QY83" t="s">
        <v>1900</v>
      </c>
      <c r="QZ83" t="s">
        <v>1900</v>
      </c>
      <c r="RA83" t="s">
        <v>1900</v>
      </c>
      <c r="RB83" t="s">
        <v>1900</v>
      </c>
      <c r="RC83" t="s">
        <v>1900</v>
      </c>
      <c r="RD83" t="s">
        <v>1900</v>
      </c>
      <c r="RE83" t="s">
        <v>1900</v>
      </c>
      <c r="RF83" t="s">
        <v>1900</v>
      </c>
      <c r="RG83" t="s">
        <v>1900</v>
      </c>
      <c r="RH83" t="s">
        <v>1900</v>
      </c>
      <c r="RI83" t="s">
        <v>1900</v>
      </c>
      <c r="RJ83" t="s">
        <v>1900</v>
      </c>
      <c r="RK83" t="s">
        <v>1900</v>
      </c>
      <c r="RL83" t="s">
        <v>1900</v>
      </c>
      <c r="RM83" t="s">
        <v>1900</v>
      </c>
      <c r="RN83" t="s">
        <v>1900</v>
      </c>
      <c r="RO83" t="s">
        <v>1900</v>
      </c>
      <c r="RP83" t="s">
        <v>1900</v>
      </c>
      <c r="RQ83" t="s">
        <v>1900</v>
      </c>
      <c r="RR83" t="s">
        <v>1900</v>
      </c>
      <c r="RS83" t="s">
        <v>1900</v>
      </c>
      <c r="RT83" t="s">
        <v>1900</v>
      </c>
      <c r="RU83" t="s">
        <v>1900</v>
      </c>
      <c r="RV83" t="s">
        <v>1900</v>
      </c>
      <c r="RW83" t="s">
        <v>1900</v>
      </c>
      <c r="RX83" t="s">
        <v>1900</v>
      </c>
      <c r="RY83" t="s">
        <v>1900</v>
      </c>
      <c r="RZ83" t="s">
        <v>1900</v>
      </c>
      <c r="SA83" t="s">
        <v>1900</v>
      </c>
      <c r="SB83" t="s">
        <v>1900</v>
      </c>
      <c r="SC83" t="s">
        <v>1900</v>
      </c>
      <c r="SD83" t="s">
        <v>1900</v>
      </c>
      <c r="SE83" t="s">
        <v>1900</v>
      </c>
      <c r="SF83" t="s">
        <v>1900</v>
      </c>
      <c r="SG83" t="s">
        <v>1900</v>
      </c>
      <c r="SH83" t="s">
        <v>1900</v>
      </c>
      <c r="SI83" t="s">
        <v>1900</v>
      </c>
      <c r="SJ83">
        <v>1134818.42398479</v>
      </c>
      <c r="SK83">
        <v>950000.474098539</v>
      </c>
      <c r="SL83">
        <v>646675.63262679</v>
      </c>
      <c r="SM83">
        <v>497103.994577765</v>
      </c>
      <c r="SN83">
        <v>258192.319280183</v>
      </c>
      <c r="SO83" t="s">
        <v>1900</v>
      </c>
      <c r="SP83" t="s">
        <v>1900</v>
      </c>
      <c r="SQ83" t="s">
        <v>1900</v>
      </c>
      <c r="SR83" t="s">
        <v>1900</v>
      </c>
      <c r="SS83" t="s">
        <v>1900</v>
      </c>
      <c r="ST83" t="s">
        <v>1900</v>
      </c>
      <c r="SU83" t="s">
        <v>1900</v>
      </c>
      <c r="SV83" t="s">
        <v>1900</v>
      </c>
      <c r="SW83" t="s">
        <v>1900</v>
      </c>
      <c r="SX83" t="s">
        <v>1900</v>
      </c>
      <c r="SY83" t="s">
        <v>1900</v>
      </c>
      <c r="SZ83" t="s">
        <v>1900</v>
      </c>
      <c r="TA83" t="s">
        <v>1900</v>
      </c>
      <c r="TB83" t="s">
        <v>1900</v>
      </c>
      <c r="TC83" t="s">
        <v>1900</v>
      </c>
      <c r="TD83" t="s">
        <v>1900</v>
      </c>
      <c r="TE83" t="s">
        <v>1900</v>
      </c>
      <c r="TF83" t="s">
        <v>1900</v>
      </c>
      <c r="TG83" t="s">
        <v>1900</v>
      </c>
      <c r="TH83" t="s">
        <v>1900</v>
      </c>
      <c r="TI83" t="s">
        <v>1900</v>
      </c>
      <c r="TJ83" t="s">
        <v>1900</v>
      </c>
      <c r="TK83" t="s">
        <v>1900</v>
      </c>
      <c r="TL83" t="s">
        <v>1900</v>
      </c>
      <c r="TM83" t="s">
        <v>1900</v>
      </c>
      <c r="TN83" t="s">
        <v>1900</v>
      </c>
      <c r="TO83" t="s">
        <v>1900</v>
      </c>
      <c r="TP83" t="s">
        <v>1900</v>
      </c>
      <c r="TQ83" t="s">
        <v>1900</v>
      </c>
      <c r="TR83" t="s">
        <v>1900</v>
      </c>
      <c r="TS83">
        <v>4362941.80670076</v>
      </c>
      <c r="TT83">
        <v>3599573.49199435</v>
      </c>
      <c r="TU83">
        <v>2424751.82409916</v>
      </c>
      <c r="TV83">
        <v>2609694.0573261</v>
      </c>
      <c r="TW83">
        <v>2022485.16177129</v>
      </c>
      <c r="TX83" t="s">
        <v>1900</v>
      </c>
      <c r="TY83" t="s">
        <v>1900</v>
      </c>
      <c r="TZ83" t="s">
        <v>1900</v>
      </c>
      <c r="UA83" t="s">
        <v>1900</v>
      </c>
      <c r="UB83" t="s">
        <v>1900</v>
      </c>
      <c r="UC83">
        <v>0</v>
      </c>
      <c r="UD83">
        <v>14450.0251849937</v>
      </c>
      <c r="UE83">
        <v>34869.5904499888</v>
      </c>
      <c r="UF83">
        <v>29621.8472253799</v>
      </c>
      <c r="UG83">
        <v>47078.1309203982</v>
      </c>
      <c r="UH83" t="s">
        <v>1900</v>
      </c>
      <c r="UI83" t="s">
        <v>1900</v>
      </c>
      <c r="UJ83" t="s">
        <v>1900</v>
      </c>
      <c r="UK83" t="s">
        <v>1900</v>
      </c>
      <c r="UL83" t="s">
        <v>1900</v>
      </c>
      <c r="UM83" t="s">
        <v>1900</v>
      </c>
      <c r="UN83" t="s">
        <v>1900</v>
      </c>
      <c r="UO83" t="s">
        <v>1900</v>
      </c>
      <c r="UP83" t="s">
        <v>1900</v>
      </c>
      <c r="UQ83" t="s">
        <v>1900</v>
      </c>
      <c r="UR83" t="s">
        <v>1900</v>
      </c>
      <c r="US83" t="s">
        <v>1900</v>
      </c>
      <c r="UT83" t="s">
        <v>1900</v>
      </c>
      <c r="UU83" t="s">
        <v>1900</v>
      </c>
      <c r="UV83" t="s">
        <v>1900</v>
      </c>
      <c r="UW83" t="s">
        <v>1900</v>
      </c>
      <c r="UX83" t="s">
        <v>1900</v>
      </c>
      <c r="UY83" t="s">
        <v>1900</v>
      </c>
      <c r="UZ83" t="s">
        <v>1900</v>
      </c>
      <c r="VA83" t="s">
        <v>1900</v>
      </c>
      <c r="VB83" t="s">
        <v>1900</v>
      </c>
      <c r="VC83" t="s">
        <v>1900</v>
      </c>
      <c r="VD83" t="s">
        <v>1900</v>
      </c>
      <c r="VE83" t="s">
        <v>1900</v>
      </c>
      <c r="VF83" t="s">
        <v>1900</v>
      </c>
      <c r="VG83" t="s">
        <v>1900</v>
      </c>
      <c r="VH83" t="s">
        <v>1900</v>
      </c>
      <c r="VI83" t="s">
        <v>1900</v>
      </c>
      <c r="VJ83" t="s">
        <v>1900</v>
      </c>
      <c r="VK83" t="s">
        <v>1900</v>
      </c>
      <c r="VL83" t="s">
        <v>1900</v>
      </c>
      <c r="VM83" t="s">
        <v>1900</v>
      </c>
      <c r="VN83" t="s">
        <v>1900</v>
      </c>
      <c r="VO83" t="s">
        <v>1900</v>
      </c>
      <c r="VP83" t="s">
        <v>1900</v>
      </c>
      <c r="VQ83" t="s">
        <v>1900</v>
      </c>
      <c r="VR83" t="s">
        <v>1900</v>
      </c>
      <c r="VS83" t="s">
        <v>1900</v>
      </c>
      <c r="VT83" t="s">
        <v>1900</v>
      </c>
      <c r="VU83" t="s">
        <v>1900</v>
      </c>
      <c r="VV83" t="s">
        <v>1900</v>
      </c>
      <c r="VW83" t="s">
        <v>1900</v>
      </c>
      <c r="VX83" t="s">
        <v>1900</v>
      </c>
      <c r="VY83" t="s">
        <v>1900</v>
      </c>
      <c r="VZ83" t="s">
        <v>1900</v>
      </c>
      <c r="WA83">
        <v>2294619.80545739</v>
      </c>
      <c r="WB83">
        <v>346108.310579157</v>
      </c>
      <c r="WC83">
        <v>162543.021101809</v>
      </c>
      <c r="WD83">
        <v>129122.913524723</v>
      </c>
      <c r="WE83">
        <v>72523.4828712702</v>
      </c>
      <c r="WF83" t="s">
        <v>1900</v>
      </c>
      <c r="WG83" t="s">
        <v>1900</v>
      </c>
      <c r="WH83" t="s">
        <v>1900</v>
      </c>
      <c r="WI83" t="s">
        <v>1900</v>
      </c>
      <c r="WJ83" t="s">
        <v>1900</v>
      </c>
      <c r="WK83" t="s">
        <v>1900</v>
      </c>
      <c r="WL83" t="s">
        <v>1900</v>
      </c>
      <c r="WM83" t="s">
        <v>1900</v>
      </c>
      <c r="WN83" t="s">
        <v>1900</v>
      </c>
      <c r="WO83" t="s">
        <v>1900</v>
      </c>
      <c r="WP83" t="s">
        <v>1900</v>
      </c>
      <c r="WQ83" t="s">
        <v>1900</v>
      </c>
      <c r="WR83" t="s">
        <v>1900</v>
      </c>
      <c r="WS83" t="s">
        <v>1900</v>
      </c>
      <c r="WT83" t="s">
        <v>1900</v>
      </c>
      <c r="WU83" t="s">
        <v>1900</v>
      </c>
      <c r="WV83" t="s">
        <v>1900</v>
      </c>
      <c r="WW83" t="s">
        <v>1900</v>
      </c>
      <c r="WX83" t="s">
        <v>1900</v>
      </c>
      <c r="WY83" t="s">
        <v>1900</v>
      </c>
      <c r="WZ83" t="s">
        <v>1900</v>
      </c>
      <c r="XA83" t="s">
        <v>1900</v>
      </c>
      <c r="XB83" t="s">
        <v>1900</v>
      </c>
      <c r="XC83" t="s">
        <v>1900</v>
      </c>
      <c r="XD83" t="s">
        <v>1900</v>
      </c>
      <c r="XE83" t="s">
        <v>1900</v>
      </c>
      <c r="XF83" t="s">
        <v>1900</v>
      </c>
      <c r="XG83" t="s">
        <v>1900</v>
      </c>
      <c r="XH83" t="s">
        <v>1900</v>
      </c>
      <c r="XI83" t="s">
        <v>1900</v>
      </c>
      <c r="XJ83">
        <v>136587.280896883</v>
      </c>
      <c r="XK83">
        <v>99976.2237681008</v>
      </c>
      <c r="XL83">
        <v>104273.507132822</v>
      </c>
      <c r="XM83">
        <v>72471.797807765</v>
      </c>
      <c r="XN83">
        <v>78518.5133116186</v>
      </c>
      <c r="XO83" t="s">
        <v>1900</v>
      </c>
      <c r="XP83" t="s">
        <v>1900</v>
      </c>
      <c r="XQ83" t="s">
        <v>1900</v>
      </c>
      <c r="XR83" t="s">
        <v>1900</v>
      </c>
      <c r="XS83" t="s">
        <v>1900</v>
      </c>
      <c r="XT83" t="s">
        <v>1900</v>
      </c>
      <c r="XU83" t="s">
        <v>1900</v>
      </c>
      <c r="XV83" t="s">
        <v>1900</v>
      </c>
      <c r="XW83" t="s">
        <v>1900</v>
      </c>
      <c r="XX83" t="s">
        <v>1900</v>
      </c>
      <c r="XY83" t="s">
        <v>1900</v>
      </c>
      <c r="XZ83" t="s">
        <v>1900</v>
      </c>
      <c r="YA83" t="s">
        <v>1900</v>
      </c>
      <c r="YB83" t="s">
        <v>1900</v>
      </c>
      <c r="YC83" t="s">
        <v>1900</v>
      </c>
      <c r="YD83" t="s">
        <v>1900</v>
      </c>
      <c r="YE83" t="s">
        <v>1900</v>
      </c>
      <c r="YF83" t="s">
        <v>1900</v>
      </c>
      <c r="YG83" t="s">
        <v>1900</v>
      </c>
      <c r="YH83" t="s">
        <v>1900</v>
      </c>
      <c r="YI83" t="s">
        <v>1900</v>
      </c>
      <c r="YJ83" t="s">
        <v>1900</v>
      </c>
      <c r="YK83" t="s">
        <v>1900</v>
      </c>
      <c r="YL83" t="s">
        <v>1900</v>
      </c>
      <c r="YM83" t="s">
        <v>1900</v>
      </c>
      <c r="YN83" t="s">
        <v>1900</v>
      </c>
      <c r="YO83" t="s">
        <v>1900</v>
      </c>
      <c r="YP83" t="s">
        <v>1900</v>
      </c>
      <c r="YQ83" t="s">
        <v>1900</v>
      </c>
      <c r="YR83" t="s">
        <v>1900</v>
      </c>
      <c r="YS83" t="s">
        <v>1900</v>
      </c>
      <c r="YT83" t="s">
        <v>1900</v>
      </c>
      <c r="YU83" t="s">
        <v>1900</v>
      </c>
      <c r="YV83" t="s">
        <v>1900</v>
      </c>
      <c r="YW83" t="s">
        <v>1900</v>
      </c>
      <c r="YX83" t="s">
        <v>1900</v>
      </c>
      <c r="YY83" t="s">
        <v>1900</v>
      </c>
      <c r="YZ83" t="s">
        <v>1900</v>
      </c>
      <c r="ZA83" t="s">
        <v>1900</v>
      </c>
      <c r="ZB83" t="s">
        <v>1900</v>
      </c>
      <c r="ZC83" t="s">
        <v>1900</v>
      </c>
      <c r="ZD83" t="s">
        <v>1900</v>
      </c>
      <c r="ZE83" t="s">
        <v>1900</v>
      </c>
      <c r="ZF83" t="s">
        <v>1900</v>
      </c>
      <c r="ZG83" t="s">
        <v>1900</v>
      </c>
      <c r="ZH83" t="s">
        <v>1900</v>
      </c>
      <c r="ZI83" t="s">
        <v>1900</v>
      </c>
      <c r="ZJ83" t="s">
        <v>1900</v>
      </c>
      <c r="ZK83" t="s">
        <v>1900</v>
      </c>
      <c r="ZL83" t="s">
        <v>1900</v>
      </c>
      <c r="ZM83" t="s">
        <v>1900</v>
      </c>
      <c r="ZN83" t="s">
        <v>1900</v>
      </c>
      <c r="ZO83" t="s">
        <v>1900</v>
      </c>
      <c r="ZP83" t="s">
        <v>1900</v>
      </c>
      <c r="ZQ83" t="s">
        <v>1900</v>
      </c>
      <c r="ZR83" t="s">
        <v>1900</v>
      </c>
      <c r="ZS83" t="s">
        <v>1900</v>
      </c>
      <c r="ZT83" t="s">
        <v>1900</v>
      </c>
      <c r="ZU83" t="s">
        <v>1900</v>
      </c>
      <c r="ZV83" t="s">
        <v>1900</v>
      </c>
      <c r="ZW83" t="s">
        <v>1900</v>
      </c>
      <c r="ZX83" t="s">
        <v>1900</v>
      </c>
      <c r="ZY83" t="s">
        <v>1900</v>
      </c>
      <c r="ZZ83" t="s">
        <v>1900</v>
      </c>
      <c r="AAA83" t="s">
        <v>1900</v>
      </c>
      <c r="AAB83" t="s">
        <v>1900</v>
      </c>
      <c r="AAC83" t="s">
        <v>1900</v>
      </c>
      <c r="AAD83" t="s">
        <v>1900</v>
      </c>
      <c r="AAE83" t="s">
        <v>1900</v>
      </c>
      <c r="AAF83" t="s">
        <v>1900</v>
      </c>
      <c r="AAG83" t="s">
        <v>1900</v>
      </c>
      <c r="AAH83" t="s">
        <v>1900</v>
      </c>
      <c r="AAI83" t="s">
        <v>1900</v>
      </c>
      <c r="AAJ83" t="s">
        <v>1900</v>
      </c>
      <c r="AAK83" t="s">
        <v>1900</v>
      </c>
      <c r="AAL83" t="s">
        <v>1900</v>
      </c>
      <c r="AAM83" t="s">
        <v>1900</v>
      </c>
      <c r="AAN83" t="s">
        <v>1900</v>
      </c>
      <c r="AAO83" t="s">
        <v>1900</v>
      </c>
      <c r="AAP83" t="s">
        <v>1900</v>
      </c>
      <c r="AAQ83" t="s">
        <v>1900</v>
      </c>
      <c r="AAR83" t="s">
        <v>1900</v>
      </c>
      <c r="AAS83" t="s">
        <v>1900</v>
      </c>
      <c r="AAT83" t="s">
        <v>1900</v>
      </c>
      <c r="AAU83" t="s">
        <v>1900</v>
      </c>
      <c r="AAV83" t="s">
        <v>1900</v>
      </c>
      <c r="AAW83" t="s">
        <v>1900</v>
      </c>
      <c r="AAX83" t="s">
        <v>1900</v>
      </c>
      <c r="AAY83" t="s">
        <v>1900</v>
      </c>
      <c r="AAZ83" t="s">
        <v>1900</v>
      </c>
      <c r="ABA83" t="s">
        <v>1900</v>
      </c>
      <c r="ABB83" t="s">
        <v>1900</v>
      </c>
      <c r="ABC83" t="s">
        <v>1900</v>
      </c>
      <c r="ABD83" t="s">
        <v>1900</v>
      </c>
      <c r="ABE83" t="s">
        <v>1900</v>
      </c>
      <c r="ABF83" t="s">
        <v>1900</v>
      </c>
      <c r="ABG83" t="s">
        <v>1900</v>
      </c>
      <c r="ABH83" t="s">
        <v>1900</v>
      </c>
      <c r="ABI83" t="s">
        <v>1900</v>
      </c>
      <c r="ABJ83" t="s">
        <v>1900</v>
      </c>
      <c r="ABK83" t="s">
        <v>1900</v>
      </c>
      <c r="ABL83" t="s">
        <v>1900</v>
      </c>
      <c r="ABM83" t="s">
        <v>1900</v>
      </c>
      <c r="ABN83" t="s">
        <v>1900</v>
      </c>
      <c r="ABO83" t="s">
        <v>1900</v>
      </c>
      <c r="ABP83" t="s">
        <v>1900</v>
      </c>
      <c r="ABQ83" t="s">
        <v>1900</v>
      </c>
      <c r="ABR83" t="s">
        <v>1900</v>
      </c>
      <c r="ABS83" t="s">
        <v>1900</v>
      </c>
      <c r="ABT83" t="s">
        <v>1900</v>
      </c>
      <c r="ABU83" t="s">
        <v>1900</v>
      </c>
      <c r="ABV83" t="s">
        <v>1900</v>
      </c>
      <c r="ABW83" t="s">
        <v>1900</v>
      </c>
      <c r="ABX83" t="s">
        <v>1900</v>
      </c>
      <c r="ABY83" t="s">
        <v>1900</v>
      </c>
      <c r="ABZ83" t="s">
        <v>1900</v>
      </c>
      <c r="ACA83" t="s">
        <v>1900</v>
      </c>
      <c r="ACB83" t="s">
        <v>1900</v>
      </c>
      <c r="ACC83" t="s">
        <v>1900</v>
      </c>
      <c r="ACD83" t="s">
        <v>1900</v>
      </c>
      <c r="ACE83">
        <v>-28.622</v>
      </c>
      <c r="ACF83">
        <v>-39.983</v>
      </c>
      <c r="ACG83">
        <v>-24.984</v>
      </c>
      <c r="ACH83">
        <v>-19.101</v>
      </c>
      <c r="ACI83">
        <v>-15.315</v>
      </c>
      <c r="ACJ83">
        <v>-11.725</v>
      </c>
      <c r="ACK83">
        <v>-13.265</v>
      </c>
      <c r="ACL83">
        <v>-15.232</v>
      </c>
      <c r="ACM83">
        <v>-11.611</v>
      </c>
      <c r="ACN83">
        <v>-8.923999999999999</v>
      </c>
      <c r="ACO83">
        <v>-8.909000000000001</v>
      </c>
      <c r="ACP83">
        <v>-14.787</v>
      </c>
      <c r="ACQ83">
        <v>-14.967</v>
      </c>
      <c r="ACR83">
        <v>-11.177</v>
      </c>
      <c r="ACS83">
        <v>-8.967000000000001</v>
      </c>
      <c r="ACT83">
        <v>-4.706</v>
      </c>
      <c r="ACU83">
        <v>-10.627</v>
      </c>
      <c r="ACV83">
        <v>-7.961</v>
      </c>
      <c r="ACW83">
        <v>-2.215</v>
      </c>
      <c r="ACX83">
        <v>-3.388</v>
      </c>
      <c r="ACY83">
        <v>3.978</v>
      </c>
      <c r="ACZ83">
        <v>-1.2</v>
      </c>
      <c r="ADA83">
        <v>-4.13</v>
      </c>
      <c r="ADB83">
        <v>-1.09</v>
      </c>
      <c r="ADC83">
        <v>-1.501</v>
      </c>
      <c r="ADD83">
        <v>-1.465</v>
      </c>
      <c r="ADE83">
        <v>-3.93</v>
      </c>
      <c r="ADF83">
        <v>-4.769</v>
      </c>
      <c r="ADG83">
        <v>-1.296</v>
      </c>
      <c r="ADH83">
        <v>-1.984</v>
      </c>
      <c r="ADI83">
        <v>-70.80200000000001</v>
      </c>
      <c r="ADJ83" t="s">
        <v>1901</v>
      </c>
      <c r="ADK83" t="s">
        <v>1901</v>
      </c>
      <c r="ADL83" t="s">
        <v>1901</v>
      </c>
      <c r="ADM83" t="s">
        <v>1901</v>
      </c>
      <c r="ADN83">
        <v>100</v>
      </c>
      <c r="ADO83">
        <v>99.947</v>
      </c>
      <c r="ADP83">
        <v>100</v>
      </c>
      <c r="ADQ83">
        <v>100</v>
      </c>
      <c r="ADR83">
        <v>16.283</v>
      </c>
      <c r="ADS83">
        <v>-44.068940888</v>
      </c>
      <c r="ADT83">
        <v>-574.008804874</v>
      </c>
      <c r="ADU83" t="s">
        <v>1901</v>
      </c>
      <c r="ADV83">
        <v>-461.58291101</v>
      </c>
      <c r="ADW83">
        <v>-619.787521835</v>
      </c>
      <c r="ADX83">
        <v>5.468</v>
      </c>
      <c r="ADY83" t="s">
        <v>1901</v>
      </c>
      <c r="ADZ83" t="s">
        <v>1901</v>
      </c>
      <c r="AEA83" t="s">
        <v>1901</v>
      </c>
      <c r="AEB83" t="s">
        <v>1901</v>
      </c>
      <c r="AEC83">
        <v>-44.069</v>
      </c>
      <c r="AED83" t="s">
        <v>1901</v>
      </c>
      <c r="AEE83" t="s">
        <v>1901</v>
      </c>
      <c r="AEF83" t="s">
        <v>1901</v>
      </c>
      <c r="AEG83" t="s">
        <v>1901</v>
      </c>
      <c r="AEH83">
        <v>37.896</v>
      </c>
      <c r="AEI83" t="s">
        <v>1901</v>
      </c>
      <c r="AEJ83">
        <v>-87.19499999999999</v>
      </c>
      <c r="AEK83">
        <v>26.192</v>
      </c>
      <c r="AEL83" t="s">
        <v>1901</v>
      </c>
      <c r="AEM83">
        <v>-30.588786602</v>
      </c>
      <c r="AEN83">
        <v>-85.163398567</v>
      </c>
      <c r="AEO83">
        <v>-93.092363922</v>
      </c>
      <c r="AEP83">
        <v>-82.193190348</v>
      </c>
      <c r="AEQ83">
        <v>-86.107011171</v>
      </c>
      <c r="AER83" t="s">
        <v>1900</v>
      </c>
      <c r="AES83">
        <v>0.148298917</v>
      </c>
      <c r="AET83" t="s">
        <v>1900</v>
      </c>
      <c r="AEU83" t="s">
        <v>1900</v>
      </c>
      <c r="AEV83">
        <v>0.025598708</v>
      </c>
      <c r="AEW83" t="s">
        <v>1900</v>
      </c>
      <c r="AEX83" t="s">
        <v>1900</v>
      </c>
      <c r="AEY83" t="s">
        <v>1900</v>
      </c>
      <c r="AEZ83" t="s">
        <v>1900</v>
      </c>
      <c r="AFA83" t="s">
        <v>1900</v>
      </c>
      <c r="AFB83" t="s">
        <v>1900</v>
      </c>
      <c r="AFC83" t="s">
        <v>1900</v>
      </c>
      <c r="AFD83" t="s">
        <v>1900</v>
      </c>
      <c r="AFE83" t="s">
        <v>1900</v>
      </c>
      <c r="AFF83" t="s">
        <v>1900</v>
      </c>
      <c r="AFG83">
        <v>0.265</v>
      </c>
      <c r="AFH83">
        <v>0.023</v>
      </c>
      <c r="AFI83">
        <v>0.011</v>
      </c>
      <c r="AFJ83">
        <v>0.025</v>
      </c>
      <c r="AFK83">
        <v>0.014</v>
      </c>
      <c r="AFL83">
        <v>-1.655</v>
      </c>
      <c r="AFM83">
        <v>-4.191</v>
      </c>
      <c r="AFN83">
        <v>-14.334</v>
      </c>
      <c r="AFO83">
        <v>-40.076</v>
      </c>
      <c r="AFP83">
        <v>-14.689</v>
      </c>
      <c r="AFQ83" t="s">
        <v>1901</v>
      </c>
      <c r="AFR83" t="s">
        <v>1901</v>
      </c>
      <c r="AFS83" t="s">
        <v>1901</v>
      </c>
      <c r="AFT83" t="s">
        <v>1901</v>
      </c>
      <c r="AFU83" t="s">
        <v>1901</v>
      </c>
      <c r="AFV83">
        <v>218.453</v>
      </c>
      <c r="AFW83">
        <v>417.175</v>
      </c>
      <c r="AFX83" t="s">
        <v>1901</v>
      </c>
      <c r="AFY83">
        <v>318.396</v>
      </c>
      <c r="AFZ83" t="s">
        <v>1901</v>
      </c>
      <c r="AGA83">
        <v>0</v>
      </c>
      <c r="AGB83">
        <v>0</v>
      </c>
      <c r="AGC83" t="s">
        <v>1900</v>
      </c>
      <c r="AGD83">
        <v>0</v>
      </c>
      <c r="AGE83">
        <v>0</v>
      </c>
      <c r="AGF83" t="s">
        <v>1900</v>
      </c>
      <c r="AGG83" t="s">
        <v>1900</v>
      </c>
      <c r="AGH83" t="s">
        <v>1900</v>
      </c>
      <c r="AGI83" t="s">
        <v>1900</v>
      </c>
      <c r="AGJ83" t="s">
        <v>1900</v>
      </c>
      <c r="AGK83" t="s">
        <v>1900</v>
      </c>
      <c r="AGL83" t="s">
        <v>1900</v>
      </c>
      <c r="AGM83" t="s">
        <v>1900</v>
      </c>
      <c r="AGN83" t="s">
        <v>1900</v>
      </c>
      <c r="AGO83" t="s">
        <v>1900</v>
      </c>
      <c r="AGP83" t="s">
        <v>1900</v>
      </c>
      <c r="AGQ83" t="s">
        <v>1900</v>
      </c>
      <c r="AGR83" t="s">
        <v>1900</v>
      </c>
      <c r="AGS83" t="s">
        <v>1900</v>
      </c>
      <c r="AGT83" t="s">
        <v>1900</v>
      </c>
      <c r="AGU83">
        <v>0</v>
      </c>
      <c r="AGV83">
        <v>0</v>
      </c>
      <c r="AGW83">
        <v>0</v>
      </c>
      <c r="AGX83">
        <v>0</v>
      </c>
      <c r="AGY83">
        <v>0</v>
      </c>
      <c r="AGZ83">
        <v>0.457</v>
      </c>
      <c r="AHA83">
        <v>2.172</v>
      </c>
      <c r="AHB83">
        <v>2.251</v>
      </c>
      <c r="AHC83">
        <v>6.828</v>
      </c>
      <c r="AHD83">
        <v>8.473000000000001</v>
      </c>
      <c r="AHE83">
        <v>0.457</v>
      </c>
      <c r="AHF83">
        <v>2.172</v>
      </c>
      <c r="AHG83">
        <v>2.251</v>
      </c>
      <c r="AHH83">
        <v>6.828</v>
      </c>
      <c r="AHI83">
        <v>8.473000000000001</v>
      </c>
      <c r="AHJ83">
        <v>1.912</v>
      </c>
      <c r="AHK83">
        <v>0.698</v>
      </c>
      <c r="AHL83">
        <v>1.875</v>
      </c>
      <c r="AHM83">
        <v>1.653</v>
      </c>
      <c r="AHN83">
        <v>1.648</v>
      </c>
      <c r="AHO83">
        <v>31.127</v>
      </c>
      <c r="AHP83">
        <v>36.983</v>
      </c>
      <c r="AHQ83">
        <v>59.908</v>
      </c>
      <c r="AHR83">
        <v>58.515</v>
      </c>
      <c r="AHS83">
        <v>58.555</v>
      </c>
      <c r="AHT83">
        <v>45.195</v>
      </c>
      <c r="AHU83">
        <v>58.688</v>
      </c>
      <c r="AHV83" t="s">
        <v>1901</v>
      </c>
      <c r="AHW83" t="s">
        <v>1901</v>
      </c>
      <c r="AHX83" t="s">
        <v>1901</v>
      </c>
      <c r="AHY83">
        <v>52.3</v>
      </c>
      <c r="AHZ83">
        <v>144.394</v>
      </c>
      <c r="AIA83">
        <v>55.733</v>
      </c>
      <c r="AIB83">
        <v>62.44</v>
      </c>
      <c r="AIC83">
        <v>64.65600000000001</v>
      </c>
      <c r="AID83">
        <v>26.010395606</v>
      </c>
      <c r="AIE83">
        <v>26.392028839</v>
      </c>
      <c r="AIF83">
        <v>26.669765796</v>
      </c>
      <c r="AIG83">
        <v>19.048362898</v>
      </c>
      <c r="AIH83">
        <v>12.766092141</v>
      </c>
      <c r="AII83">
        <v>16.421023257</v>
      </c>
      <c r="AIJ83">
        <v>19.344202334</v>
      </c>
      <c r="AIK83">
        <v>15.047998744</v>
      </c>
      <c r="AIL83">
        <v>39.444368295</v>
      </c>
      <c r="AIM83">
        <v>45.453502157</v>
      </c>
      <c r="AIN83">
        <v>52.593408464</v>
      </c>
      <c r="AIO83">
        <v>9.615258901000001</v>
      </c>
      <c r="AIP83">
        <v>6.703491033</v>
      </c>
      <c r="AIQ83">
        <v>4.947818046</v>
      </c>
      <c r="AIR83">
        <v>3.585859824</v>
      </c>
      <c r="AIS83" t="s">
        <v>1900</v>
      </c>
      <c r="AIT83">
        <v>0</v>
      </c>
      <c r="AIU83" t="s">
        <v>1900</v>
      </c>
      <c r="AIV83" t="s">
        <v>1900</v>
      </c>
      <c r="AIW83">
        <v>0</v>
      </c>
      <c r="AIX83">
        <v>-19.4354458749061</v>
      </c>
      <c r="AIY83">
        <v>-31.3099061715012</v>
      </c>
      <c r="AIZ83">
        <v>-36.2916651490945</v>
      </c>
      <c r="AJA83">
        <v>-26.5174045064235</v>
      </c>
      <c r="AJB83">
        <v>-20.1517952792418</v>
      </c>
      <c r="AJC83">
        <v>27.450374025539</v>
      </c>
      <c r="AJD83">
        <v>4.40688010275364</v>
      </c>
      <c r="AJE83">
        <v>2.51618712116361</v>
      </c>
      <c r="AJF83">
        <v>5.60502486018419</v>
      </c>
      <c r="AJG83">
        <v>3.04416094584346</v>
      </c>
      <c r="AJH83" t="s">
        <v>1901</v>
      </c>
      <c r="AJI83" t="s">
        <v>1901</v>
      </c>
      <c r="AJJ83" t="s">
        <v>1901</v>
      </c>
      <c r="AJK83" t="s">
        <v>1901</v>
      </c>
      <c r="AJL83" t="s">
        <v>1901</v>
      </c>
      <c r="AJM83">
        <v>47.762544106313</v>
      </c>
      <c r="AJN83">
        <v>47.7687239130163</v>
      </c>
      <c r="AJO83">
        <v>53.7746109413868</v>
      </c>
      <c r="AJP83">
        <v>41.2182574908328</v>
      </c>
      <c r="AJQ83">
        <v>30.9144942612576</v>
      </c>
      <c r="AJR83">
        <v>67.902984092976</v>
      </c>
      <c r="AJS83">
        <v>78.3081353387289</v>
      </c>
      <c r="AJT83">
        <v>145.261602883226</v>
      </c>
      <c r="AJU83">
        <v>138.82427167953</v>
      </c>
      <c r="AJV83">
        <v>131.585283939214</v>
      </c>
      <c r="AJW83">
        <v>16.6572321505231</v>
      </c>
      <c r="AJX83">
        <v>5.10677526185799</v>
      </c>
      <c r="AJY83">
        <v>7.95793611287773</v>
      </c>
      <c r="AJZ83">
        <v>4.95726809233904</v>
      </c>
      <c r="AKA83">
        <v>10.4595097413111</v>
      </c>
      <c r="AKB83">
        <v>218.147090854488</v>
      </c>
      <c r="AKC83">
        <v>211.739617111138</v>
      </c>
      <c r="AKD83">
        <v>242.475182409916</v>
      </c>
      <c r="AKE83">
        <v>237.244914302373</v>
      </c>
      <c r="AKF83">
        <v>224.720573393798</v>
      </c>
      <c r="AKG83" t="s">
        <v>1900</v>
      </c>
      <c r="AKH83">
        <v>0</v>
      </c>
      <c r="AKI83" t="s">
        <v>1900</v>
      </c>
      <c r="AKJ83" t="s">
        <v>1900</v>
      </c>
      <c r="AKK83">
        <v>0</v>
      </c>
      <c r="AKL83">
        <v>0</v>
      </c>
      <c r="AKM83">
        <v>0</v>
      </c>
      <c r="AKN83">
        <v>0</v>
      </c>
      <c r="AKO83">
        <v>0</v>
      </c>
      <c r="AKP83">
        <v>0</v>
      </c>
      <c r="AKQ83">
        <v>0</v>
      </c>
      <c r="AKR83">
        <v>0</v>
      </c>
      <c r="AKS83">
        <v>0</v>
      </c>
      <c r="AKT83">
        <v>0</v>
      </c>
      <c r="AKU83">
        <v>0</v>
      </c>
      <c r="AKV83">
        <v>393.645323545</v>
      </c>
      <c r="AKW83" t="s">
        <v>1901</v>
      </c>
      <c r="AKX83" t="s">
        <v>1901</v>
      </c>
      <c r="AKY83" t="s">
        <v>1901</v>
      </c>
      <c r="AKZ83" t="s">
        <v>1901</v>
      </c>
      <c r="ALA83">
        <v>49.53406139</v>
      </c>
      <c r="ALB83">
        <v>51.375322399</v>
      </c>
      <c r="ALC83">
        <v>54.595201638</v>
      </c>
      <c r="ALD83">
        <v>38.974897302</v>
      </c>
      <c r="ALE83">
        <v>36.473011523</v>
      </c>
      <c r="ALF83">
        <v>3.168770734</v>
      </c>
      <c r="ALG83">
        <v>22.90077946</v>
      </c>
      <c r="ALH83">
        <v>39.035487612</v>
      </c>
      <c r="ALI83">
        <v>18.744870209</v>
      </c>
      <c r="ALJ83">
        <v>48.200385184</v>
      </c>
      <c r="ALK83">
        <v>0.398739867</v>
      </c>
      <c r="ALL83">
        <v>0.476627835</v>
      </c>
      <c r="ALM83">
        <v>0.405074804</v>
      </c>
      <c r="ALN83">
        <v>0.442856539</v>
      </c>
      <c r="ALO83">
        <v>0.652942962</v>
      </c>
      <c r="ALP83">
        <v>60.68125562</v>
      </c>
      <c r="ALQ83">
        <v>115.881870427</v>
      </c>
      <c r="ALR83">
        <v>316.269659886</v>
      </c>
      <c r="ALS83">
        <v>88.443284447</v>
      </c>
      <c r="ALT83">
        <v>343.592556098</v>
      </c>
      <c r="ALU83">
        <v>0</v>
      </c>
      <c r="ALV83">
        <v>0</v>
      </c>
      <c r="ALW83" t="s">
        <v>1900</v>
      </c>
      <c r="ALX83">
        <v>0</v>
      </c>
      <c r="ALY83">
        <v>0</v>
      </c>
      <c r="ALZ83">
        <v>100</v>
      </c>
      <c r="AMA83">
        <v>99.9469011895594</v>
      </c>
      <c r="AMB83">
        <v>100</v>
      </c>
      <c r="AMC83">
        <v>100</v>
      </c>
      <c r="AMD83">
        <v>16.2825726698616</v>
      </c>
      <c r="AME83" t="s">
        <v>1901</v>
      </c>
      <c r="AMF83" t="s">
        <v>1901</v>
      </c>
      <c r="AMG83" t="s">
        <v>1901</v>
      </c>
      <c r="AMH83" t="s">
        <v>1901</v>
      </c>
      <c r="AMI83">
        <v>33.4813962055627</v>
      </c>
      <c r="AMJ83" t="s">
        <v>1900</v>
      </c>
      <c r="AMK83">
        <v>188228.136111111</v>
      </c>
      <c r="AML83" t="s">
        <v>1900</v>
      </c>
      <c r="AMM83" t="s">
        <v>1900</v>
      </c>
      <c r="AMN83">
        <v>19.4494422357863</v>
      </c>
      <c r="AMO83">
        <v>0.694112133978354</v>
      </c>
      <c r="AMP83">
        <v>0.148298916488973</v>
      </c>
      <c r="AMQ83">
        <v>0.06907636077507499</v>
      </c>
      <c r="AMR83">
        <v>0.17806809651706</v>
      </c>
      <c r="AMS83">
        <v>0.0255987080834983</v>
      </c>
      <c r="AMT83">
        <v>0.694112133978354</v>
      </c>
      <c r="AMU83">
        <v>0.148298918677495</v>
      </c>
      <c r="AMV83">
        <v>0.0690763607750751</v>
      </c>
      <c r="AMW83">
        <v>0.178068096517061</v>
      </c>
      <c r="AMX83">
        <v>0.0255987080834983</v>
      </c>
      <c r="AMY83" t="s">
        <v>1900</v>
      </c>
      <c r="AMZ83">
        <v>0.148298916813529</v>
      </c>
      <c r="ANA83" t="s">
        <v>1900</v>
      </c>
      <c r="ANB83" t="s">
        <v>1900</v>
      </c>
      <c r="ANC83">
        <v>0.0255987080834983</v>
      </c>
      <c r="AND83">
        <v>-44.0689408883299</v>
      </c>
      <c r="ANE83" t="s">
        <v>1901</v>
      </c>
      <c r="ANF83" t="s">
        <v>1901</v>
      </c>
      <c r="ANG83" t="s">
        <v>1901</v>
      </c>
      <c r="ANH83" t="s">
        <v>1901</v>
      </c>
      <c r="ANI83">
        <v>-45.1525864276084</v>
      </c>
      <c r="ANJ83" t="s">
        <v>1901</v>
      </c>
      <c r="ANK83" t="s">
        <v>1901</v>
      </c>
      <c r="ANL83" t="s">
        <v>1901</v>
      </c>
      <c r="ANM83" t="s">
        <v>1901</v>
      </c>
      <c r="ANN83">
        <v>-30.5887866021646</v>
      </c>
      <c r="ANO83">
        <v>-85.1633985673737</v>
      </c>
      <c r="ANP83">
        <v>-93.0923639224925</v>
      </c>
      <c r="ANQ83">
        <v>-82.1931903482939</v>
      </c>
      <c r="ANR83">
        <v>-86.1070111711403</v>
      </c>
      <c r="ANS83">
        <v>-11.6974911021283</v>
      </c>
      <c r="ANT83">
        <v>-13.2765659127903</v>
      </c>
      <c r="ANU83">
        <v>-15.2244342631657</v>
      </c>
      <c r="ANV83">
        <v>-11.611427507157</v>
      </c>
      <c r="ANW83">
        <v>-8.923612385611291</v>
      </c>
      <c r="ANX83" t="s">
        <v>1900</v>
      </c>
      <c r="ANY83">
        <v>99.9469011895594</v>
      </c>
      <c r="ANZ83" t="s">
        <v>1900</v>
      </c>
      <c r="AOA83" t="s">
        <v>1900</v>
      </c>
      <c r="AOB83">
        <v>16.2825726698616</v>
      </c>
      <c r="AOC83">
        <v>69.4112133978354</v>
      </c>
      <c r="AOD83">
        <v>14.8287233737558</v>
      </c>
      <c r="AOE83">
        <v>6.9076360775075</v>
      </c>
      <c r="AOF83">
        <v>17.8068096517061</v>
      </c>
      <c r="AOG83">
        <v>2.26213600207483</v>
      </c>
      <c r="AOH83">
        <v>12.5834243231848</v>
      </c>
      <c r="AOI83">
        <v>2.08016828425623</v>
      </c>
      <c r="AOJ83">
        <v>1.03770909232678</v>
      </c>
      <c r="AOK83">
        <v>2.36254790696033</v>
      </c>
      <c r="AOL83">
        <v>0.22057066961307</v>
      </c>
      <c r="AOM83" t="s">
        <v>1900</v>
      </c>
      <c r="AON83">
        <v>-1081020.08333333</v>
      </c>
      <c r="AOO83" t="s">
        <v>1900</v>
      </c>
      <c r="AOP83" t="s">
        <v>1900</v>
      </c>
      <c r="AOQ83">
        <v>-740.332737878372</v>
      </c>
      <c r="AOR83">
        <v>-30.5887866021646</v>
      </c>
      <c r="AOS83">
        <v>-85.1701081322505</v>
      </c>
      <c r="AOT83">
        <v>-93.0923639224925</v>
      </c>
      <c r="AOU83">
        <v>-82.1931903482939</v>
      </c>
      <c r="AOV83">
        <v>-97.4401291916502</v>
      </c>
      <c r="AOW83">
        <v>-5.54538182671202</v>
      </c>
      <c r="AOX83">
        <v>-11.9466926595215</v>
      </c>
      <c r="AOY83">
        <v>-13.9849278949596</v>
      </c>
      <c r="AOZ83">
        <v>-10.9051174029453</v>
      </c>
      <c r="APA83">
        <v>-8.395905946847749</v>
      </c>
      <c r="APB83">
        <v>-11.641232834879</v>
      </c>
      <c r="APC83">
        <v>-188.836936783314</v>
      </c>
      <c r="APD83">
        <v>-459.582122459157</v>
      </c>
      <c r="APE83">
        <v>-54.8613881902209</v>
      </c>
      <c r="APF83">
        <v>-146.445554709544</v>
      </c>
      <c r="APG83">
        <v>-11.9274881834064</v>
      </c>
      <c r="APH83">
        <v>-196.706997662616</v>
      </c>
      <c r="API83">
        <v>-658.680552855407</v>
      </c>
      <c r="APJ83">
        <v>-58.7463795997082</v>
      </c>
      <c r="APK83">
        <v>-301.131875115122</v>
      </c>
      <c r="APL83" t="s">
        <v>1900</v>
      </c>
      <c r="APM83">
        <v>-355633.083333333</v>
      </c>
      <c r="APN83" t="s">
        <v>1900</v>
      </c>
      <c r="APO83" t="s">
        <v>1900</v>
      </c>
      <c r="APP83">
        <v>-174.928398279654</v>
      </c>
      <c r="APQ83">
        <v>-8.080320965156769</v>
      </c>
      <c r="APR83">
        <v>-28.0191909751652</v>
      </c>
      <c r="APS83">
        <v>-31.7462604967634</v>
      </c>
      <c r="APT83">
        <v>-9.769062967316181</v>
      </c>
      <c r="APU83">
        <v>-23.0234931613388</v>
      </c>
      <c r="APV83">
        <v>-8.080320965156769</v>
      </c>
      <c r="APW83">
        <v>-28.0169836681209</v>
      </c>
      <c r="APX83">
        <v>-31.7462604967634</v>
      </c>
      <c r="APY83">
        <v>-9.769062967316181</v>
      </c>
      <c r="APZ83">
        <v>-20.3456645561586</v>
      </c>
      <c r="AQA83">
        <v>-1.46486572406274</v>
      </c>
      <c r="AQB83">
        <v>-3.9302129642593</v>
      </c>
      <c r="AQC83">
        <v>-4.76912547146708</v>
      </c>
      <c r="AQD83">
        <v>-1.29612657841744</v>
      </c>
      <c r="AQE83">
        <v>-1.98381390453921</v>
      </c>
      <c r="AQF83" t="s">
        <v>1900</v>
      </c>
      <c r="AQG83">
        <v>-0.851701083186471</v>
      </c>
      <c r="AQH83" t="s">
        <v>1900</v>
      </c>
      <c r="AQI83" t="s">
        <v>1900</v>
      </c>
      <c r="AQJ83">
        <v>-0.974401291916502</v>
      </c>
      <c r="AQK83">
        <v>6</v>
      </c>
      <c r="AQO83" t="s">
        <v>1902</v>
      </c>
      <c r="AQP83">
        <v>5</v>
      </c>
      <c r="AQQ83">
        <v>0</v>
      </c>
      <c r="AQS83" t="s">
        <v>1905</v>
      </c>
      <c r="AQU83" t="s">
        <v>1906</v>
      </c>
      <c r="AQV83">
        <v>549007.4805107811</v>
      </c>
      <c r="AQW83">
        <v>74916.9661668139</v>
      </c>
      <c r="AQX83">
        <v>25161.8701450366</v>
      </c>
      <c r="AQY83">
        <v>-241941.782058805</v>
      </c>
      <c r="AQZ83">
        <v>-430029.982142172</v>
      </c>
      <c r="ARA83">
        <v>-339099.794231987</v>
      </c>
      <c r="ARB83">
        <v>649086.3168226315</v>
      </c>
      <c r="ARC83">
        <v>-1011071.558432964</v>
      </c>
      <c r="ARD83">
        <v>-0.609021330743801</v>
      </c>
      <c r="ARE83">
        <v>-0.609021330743801</v>
      </c>
      <c r="ARF83">
        <v>-0.609021330743801</v>
      </c>
      <c r="ARG83" t="s">
        <v>1907</v>
      </c>
      <c r="ARH83" t="s">
        <v>1907</v>
      </c>
      <c r="ARI83" t="s">
        <v>1907</v>
      </c>
      <c r="ARJ83" t="s">
        <v>1244</v>
      </c>
      <c r="ARK83" t="s">
        <v>1582</v>
      </c>
      <c r="ARL83" t="s">
        <v>1908</v>
      </c>
      <c r="ARM83" t="s">
        <v>1908</v>
      </c>
      <c r="ARN83" t="s">
        <v>1909</v>
      </c>
      <c r="ARO83" t="s">
        <v>1908</v>
      </c>
      <c r="ARP83" t="s">
        <v>1907</v>
      </c>
      <c r="ARQ83" t="s">
        <v>1976</v>
      </c>
      <c r="ARR83">
        <f>HYPERLINK("C:\Users\Usuario\Documents\Proyectos\llmthon\evidence\naruintelligence_com_235253.png", "Ver Evidencia")</f>
        <v>0</v>
      </c>
      <c r="ARS83">
        <v>100</v>
      </c>
    </row>
    <row r="84" spans="1:1163">
      <c r="A84">
        <v>268</v>
      </c>
      <c r="B84" t="s">
        <v>1245</v>
      </c>
      <c r="C84" t="s">
        <v>1368</v>
      </c>
      <c r="E84" s="2">
        <v>36542</v>
      </c>
      <c r="F84" t="s">
        <v>1431</v>
      </c>
      <c r="G84" t="s">
        <v>1433</v>
      </c>
      <c r="H84" t="s">
        <v>1434</v>
      </c>
      <c r="I84" t="s">
        <v>1445</v>
      </c>
      <c r="J84" t="s">
        <v>1488</v>
      </c>
      <c r="L84" t="s">
        <v>1583</v>
      </c>
      <c r="N84" t="s">
        <v>1628</v>
      </c>
      <c r="O84" t="s">
        <v>1652</v>
      </c>
      <c r="P84">
        <v>7490</v>
      </c>
      <c r="Q84">
        <v>7490</v>
      </c>
      <c r="R84" t="s">
        <v>1753</v>
      </c>
      <c r="Z84" t="s">
        <v>1899</v>
      </c>
      <c r="AA84" s="2">
        <v>45657</v>
      </c>
      <c r="AB84">
        <v>2024</v>
      </c>
      <c r="AC84">
        <v>2883917.71135048</v>
      </c>
      <c r="AD84">
        <v>2842480.08172013</v>
      </c>
      <c r="AE84">
        <v>2666868.70267639</v>
      </c>
      <c r="AF84">
        <v>2776215.98797746</v>
      </c>
      <c r="AG84">
        <v>4703919.57958869</v>
      </c>
      <c r="AH84">
        <v>2823480.94607101</v>
      </c>
      <c r="AI84">
        <v>2824047.75629793</v>
      </c>
      <c r="AJ84">
        <v>2595448.26233506</v>
      </c>
      <c r="AK84">
        <v>2676441.5572679</v>
      </c>
      <c r="AL84">
        <v>4582829.62932773</v>
      </c>
      <c r="AM84" t="s">
        <v>1900</v>
      </c>
      <c r="AN84" t="s">
        <v>1900</v>
      </c>
      <c r="AO84" t="s">
        <v>1900</v>
      </c>
      <c r="AP84" t="s">
        <v>1900</v>
      </c>
      <c r="AQ84" t="s">
        <v>1900</v>
      </c>
      <c r="AR84">
        <v>2883917.71135048</v>
      </c>
      <c r="AS84">
        <v>2842480.08172013</v>
      </c>
      <c r="AT84">
        <v>2666868.70267639</v>
      </c>
      <c r="AU84">
        <v>2776215.98797746</v>
      </c>
      <c r="AV84">
        <v>4703919.57958869</v>
      </c>
      <c r="AW84">
        <v>1733944.76626161</v>
      </c>
      <c r="AX84">
        <v>2266908.08530549</v>
      </c>
      <c r="AY84">
        <v>2239130.37389611</v>
      </c>
      <c r="AZ84">
        <v>2101115.47383935</v>
      </c>
      <c r="BA84">
        <v>4606002.61425393</v>
      </c>
      <c r="BB84">
        <v>1149972.94508887</v>
      </c>
      <c r="BC84">
        <v>575571.995309639</v>
      </c>
      <c r="BD84">
        <v>427738.328780282</v>
      </c>
      <c r="BE84">
        <v>675100.514138103</v>
      </c>
      <c r="BF84">
        <v>97916.96533475519</v>
      </c>
      <c r="BG84">
        <v>65981.4334243261</v>
      </c>
      <c r="BH84">
        <v>-2063.29007597923</v>
      </c>
      <c r="BI84">
        <v>648.192774404883</v>
      </c>
      <c r="BJ84">
        <v>-15640.134275794</v>
      </c>
      <c r="BK84">
        <v>-6253.24894592762</v>
      </c>
      <c r="BL84">
        <v>73894.94939627399</v>
      </c>
      <c r="BM84" t="s">
        <v>1900</v>
      </c>
      <c r="BN84">
        <v>4739.94679383039</v>
      </c>
      <c r="BO84">
        <v>0.702212190628052</v>
      </c>
      <c r="BP84">
        <v>0.858969509601593</v>
      </c>
      <c r="BQ84">
        <v>7913.51597194791</v>
      </c>
      <c r="BR84">
        <v>2063.29007597923</v>
      </c>
      <c r="BS84">
        <v>4091.75295282602</v>
      </c>
      <c r="BT84">
        <v>15640.8364879847</v>
      </c>
      <c r="BU84">
        <v>6254.10791543722</v>
      </c>
      <c r="BV84">
        <v>1215954.3795521</v>
      </c>
      <c r="BW84">
        <v>573508.7052336599</v>
      </c>
      <c r="BX84">
        <v>428386.522621286</v>
      </c>
      <c r="BY84">
        <v>659460.379862309</v>
      </c>
      <c r="BZ84">
        <v>91663.7163888276</v>
      </c>
      <c r="CA84">
        <v>262574.420442061</v>
      </c>
      <c r="CB84">
        <v>122975.372589836</v>
      </c>
      <c r="CC84">
        <v>89665.27521367669</v>
      </c>
      <c r="CD84">
        <v>114411.636087084</v>
      </c>
      <c r="CE84">
        <v>137.128346711397</v>
      </c>
      <c r="CF84">
        <v>953379.959110037</v>
      </c>
      <c r="CG84">
        <v>450533.332643824</v>
      </c>
      <c r="CH84">
        <v>338721.247407609</v>
      </c>
      <c r="CI84">
        <v>545048.743775225</v>
      </c>
      <c r="CJ84">
        <v>91526.5880421162</v>
      </c>
      <c r="CK84" t="s">
        <v>1900</v>
      </c>
      <c r="CL84" t="s">
        <v>1900</v>
      </c>
      <c r="CM84" t="s">
        <v>1900</v>
      </c>
      <c r="CN84" t="s">
        <v>1900</v>
      </c>
      <c r="CO84" t="s">
        <v>1900</v>
      </c>
      <c r="CP84" t="s">
        <v>1900</v>
      </c>
      <c r="CQ84" t="s">
        <v>1900</v>
      </c>
      <c r="CR84" t="s">
        <v>1900</v>
      </c>
      <c r="CS84" t="s">
        <v>1900</v>
      </c>
      <c r="CT84" t="s">
        <v>1900</v>
      </c>
      <c r="CU84" t="s">
        <v>1900</v>
      </c>
      <c r="CV84" t="s">
        <v>1900</v>
      </c>
      <c r="CW84" t="s">
        <v>1900</v>
      </c>
      <c r="CX84" t="s">
        <v>1900</v>
      </c>
      <c r="CY84" t="s">
        <v>1900</v>
      </c>
      <c r="CZ84">
        <v>953379.959110037</v>
      </c>
      <c r="DA84">
        <v>450533.332643824</v>
      </c>
      <c r="DB84">
        <v>338721.247407609</v>
      </c>
      <c r="DC84">
        <v>545048.743775225</v>
      </c>
      <c r="DD84">
        <v>91526.5880421162</v>
      </c>
      <c r="DE84" t="s">
        <v>1900</v>
      </c>
      <c r="DF84" t="s">
        <v>1900</v>
      </c>
      <c r="DG84" t="s">
        <v>1900</v>
      </c>
      <c r="DH84" t="s">
        <v>1900</v>
      </c>
      <c r="DI84" t="s">
        <v>1900</v>
      </c>
      <c r="DJ84" t="s">
        <v>1900</v>
      </c>
      <c r="DK84" t="s">
        <v>1900</v>
      </c>
      <c r="DL84" t="s">
        <v>1900</v>
      </c>
      <c r="DM84" t="s">
        <v>1900</v>
      </c>
      <c r="DN84" t="s">
        <v>1900</v>
      </c>
      <c r="DO84">
        <v>1518238.00263932</v>
      </c>
      <c r="DP84">
        <v>1390763.16030742</v>
      </c>
      <c r="DQ84">
        <v>1289612.94070718</v>
      </c>
      <c r="DR84">
        <v>1442214.00957677</v>
      </c>
      <c r="DS84">
        <v>1649840.9104324</v>
      </c>
      <c r="DT84">
        <v>242631.995746794</v>
      </c>
      <c r="DU84">
        <v>185356.020835505</v>
      </c>
      <c r="DV84">
        <v>194302.364780056</v>
      </c>
      <c r="DW84">
        <v>183451.98341732</v>
      </c>
      <c r="DX84">
        <v>211595.910731763</v>
      </c>
      <c r="DY84">
        <v>-26925.2321245039</v>
      </c>
      <c r="DZ84">
        <v>690788.905267572</v>
      </c>
      <c r="EA84">
        <v>755215.068408871</v>
      </c>
      <c r="EB84">
        <v>475449.480845261</v>
      </c>
      <c r="EC84">
        <v>2744565.79308977</v>
      </c>
      <c r="ED84">
        <v>7913.51597194791</v>
      </c>
      <c r="EE84">
        <v>1887.02039687157</v>
      </c>
      <c r="EF84">
        <v>4091.75295282602</v>
      </c>
      <c r="EG84">
        <v>6726.54720404148</v>
      </c>
      <c r="EH84">
        <v>4593.30263961554</v>
      </c>
      <c r="EI84" t="s">
        <v>1900</v>
      </c>
      <c r="EJ84" t="s">
        <v>1900</v>
      </c>
      <c r="EK84" t="s">
        <v>1900</v>
      </c>
      <c r="EL84" t="s">
        <v>1900</v>
      </c>
      <c r="EM84" t="s">
        <v>1900</v>
      </c>
      <c r="EN84">
        <v>1196011.95485683</v>
      </c>
      <c r="EO84">
        <v>635889.353479328</v>
      </c>
      <c r="EP84">
        <v>533023.612187666</v>
      </c>
      <c r="EQ84">
        <v>728500.727192545</v>
      </c>
      <c r="ER84">
        <v>303122.498773879</v>
      </c>
      <c r="ES84">
        <v>2984737.89391016</v>
      </c>
      <c r="ET84">
        <v>2151514.90566845</v>
      </c>
      <c r="EU84">
        <v>1916393.58106135</v>
      </c>
      <c r="EV84">
        <v>2291852.92006044</v>
      </c>
      <c r="EW84">
        <v>1957693.84019261</v>
      </c>
      <c r="EX84">
        <v>1392604.94083567</v>
      </c>
      <c r="EY84">
        <v>760928.016145144</v>
      </c>
      <c r="EZ84">
        <v>622040.693560338</v>
      </c>
      <c r="FA84">
        <v>858552.4975554229</v>
      </c>
      <c r="FB84">
        <v>309512.876066518</v>
      </c>
      <c r="FC84">
        <v>517613.723291957</v>
      </c>
      <c r="FD84">
        <v>673124.919840193</v>
      </c>
      <c r="FE84">
        <v>541027.758723372</v>
      </c>
      <c r="FF84">
        <v>653993.839174318</v>
      </c>
      <c r="FG84">
        <v>621371.1192950309</v>
      </c>
      <c r="FH84">
        <v>468667.290824815</v>
      </c>
      <c r="FI84">
        <v>586801.540749321</v>
      </c>
      <c r="FJ84">
        <v>455839.790845537</v>
      </c>
      <c r="FK84">
        <v>537951.994834685</v>
      </c>
      <c r="FL84">
        <v>416011.91621064</v>
      </c>
      <c r="FM84">
        <v>42920.8151299155</v>
      </c>
      <c r="FN84">
        <v>58815.1541955185</v>
      </c>
      <c r="FO84">
        <v>56822.4904412508</v>
      </c>
      <c r="FP84">
        <v>85921.1206568241</v>
      </c>
      <c r="FQ84">
        <v>103062.867601883</v>
      </c>
      <c r="FR84">
        <v>6025.61733722687</v>
      </c>
      <c r="FS84">
        <v>27508.2248953533</v>
      </c>
      <c r="FT84">
        <v>28365.4774365842</v>
      </c>
      <c r="FU84">
        <v>30120.7236828089</v>
      </c>
      <c r="FV84">
        <v>102296.335482508</v>
      </c>
      <c r="FW84">
        <v>468667.290824815</v>
      </c>
      <c r="FX84">
        <v>586801.540749321</v>
      </c>
      <c r="FY84">
        <v>455839.790845537</v>
      </c>
      <c r="FZ84">
        <v>537951.994834685</v>
      </c>
      <c r="GA84">
        <v>416011.91621064</v>
      </c>
      <c r="GB84">
        <v>42920.8151299155</v>
      </c>
      <c r="GC84">
        <v>58815.1541955185</v>
      </c>
      <c r="GD84">
        <v>56822.4904412508</v>
      </c>
      <c r="GE84">
        <v>85921.1206568241</v>
      </c>
      <c r="GF84">
        <v>103062.867601883</v>
      </c>
      <c r="GG84">
        <v>6025.61733722687</v>
      </c>
      <c r="GH84">
        <v>27508.2248953533</v>
      </c>
      <c r="GI84">
        <v>28365.4774365842</v>
      </c>
      <c r="GJ84">
        <v>30120.7236828089</v>
      </c>
      <c r="GK84">
        <v>102296.335482508</v>
      </c>
      <c r="GL84">
        <v>2801735.43849954</v>
      </c>
      <c r="GM84">
        <v>2188163.0659207</v>
      </c>
      <c r="GN84">
        <v>1915793.12821344</v>
      </c>
      <c r="GO84">
        <v>1710307.88690765</v>
      </c>
      <c r="GP84">
        <v>1660304.1284678</v>
      </c>
      <c r="GQ84">
        <v>0</v>
      </c>
      <c r="GR84">
        <v>0</v>
      </c>
      <c r="GS84">
        <v>0</v>
      </c>
      <c r="GT84">
        <v>0</v>
      </c>
      <c r="GU84">
        <v>0</v>
      </c>
      <c r="GV84">
        <v>1440949.04012699</v>
      </c>
      <c r="GW84">
        <v>895711.4240342811</v>
      </c>
      <c r="GX84">
        <v>637764.695204151</v>
      </c>
      <c r="GY84">
        <v>302205.374827051</v>
      </c>
      <c r="GZ84">
        <v>442302.346907043</v>
      </c>
      <c r="HA84">
        <v>1360786.39837256</v>
      </c>
      <c r="HB84">
        <v>1292451.64188642</v>
      </c>
      <c r="HC84">
        <v>1278028.43300929</v>
      </c>
      <c r="HD84">
        <v>1408102.5120806</v>
      </c>
      <c r="HE84">
        <v>1218001.78156075</v>
      </c>
      <c r="HF84">
        <v>1336876.1566057</v>
      </c>
      <c r="HG84">
        <v>1248981.57432758</v>
      </c>
      <c r="HH84">
        <v>1238696.6702702</v>
      </c>
      <c r="HI84">
        <v>1384187.23752637</v>
      </c>
      <c r="HJ84">
        <v>1185347.68752346</v>
      </c>
      <c r="HK84">
        <v>3319349.1617915</v>
      </c>
      <c r="HL84">
        <v>2861287.98576089</v>
      </c>
      <c r="HM84">
        <v>2456820.88693681</v>
      </c>
      <c r="HN84">
        <v>2364301.72608197</v>
      </c>
      <c r="HO84">
        <v>2281675.24776283</v>
      </c>
      <c r="HP84">
        <v>2736767.40898249</v>
      </c>
      <c r="HQ84">
        <v>2308841.33032962</v>
      </c>
      <c r="HR84">
        <v>1976035.74457576</v>
      </c>
      <c r="HS84">
        <v>1904805.04515338</v>
      </c>
      <c r="HT84">
        <v>1473208.15103166</v>
      </c>
      <c r="HU84">
        <v>203688.721788168</v>
      </c>
      <c r="HV84">
        <v>216648.607229233</v>
      </c>
      <c r="HW84">
        <v>209119.628866911</v>
      </c>
      <c r="HX84">
        <v>222059.881482124</v>
      </c>
      <c r="HY84">
        <v>240587.542845011</v>
      </c>
      <c r="HZ84">
        <v>2533078.68719432</v>
      </c>
      <c r="IA84">
        <v>2092192.72310039</v>
      </c>
      <c r="IB84">
        <v>1766916.11570885</v>
      </c>
      <c r="IC84">
        <v>1682745.16367126</v>
      </c>
      <c r="ID84">
        <v>1232620.60818665</v>
      </c>
      <c r="IE84">
        <v>55957.5187418819</v>
      </c>
      <c r="IF84">
        <v>68263.2509857082</v>
      </c>
      <c r="IG84">
        <v>28470.7934700549</v>
      </c>
      <c r="IH84">
        <v>10492.6584204197</v>
      </c>
      <c r="II84">
        <v>12073.761323911</v>
      </c>
      <c r="IJ84">
        <v>0</v>
      </c>
      <c r="IK84">
        <v>0</v>
      </c>
      <c r="IL84">
        <v>0</v>
      </c>
      <c r="IM84">
        <v>0</v>
      </c>
      <c r="IN84">
        <v>0</v>
      </c>
      <c r="IO84">
        <v>55957.5187418819</v>
      </c>
      <c r="IP84">
        <v>68263.2509857082</v>
      </c>
      <c r="IQ84">
        <v>28470.7934700549</v>
      </c>
      <c r="IR84">
        <v>10492.6584204197</v>
      </c>
      <c r="IS84">
        <v>12073.761323911</v>
      </c>
      <c r="IT84" t="s">
        <v>1900</v>
      </c>
      <c r="IU84" t="s">
        <v>1900</v>
      </c>
      <c r="IV84" t="s">
        <v>1900</v>
      </c>
      <c r="IW84" t="s">
        <v>1900</v>
      </c>
      <c r="IX84" t="s">
        <v>1900</v>
      </c>
      <c r="IY84">
        <v>526624.234067134</v>
      </c>
      <c r="IZ84">
        <v>484183.404445562</v>
      </c>
      <c r="JA84">
        <v>452314.348891002</v>
      </c>
      <c r="JB84">
        <v>449004.022508168</v>
      </c>
      <c r="JC84">
        <v>796393.335407257</v>
      </c>
      <c r="JD84">
        <v>5222.07009832144</v>
      </c>
      <c r="JE84">
        <v>8651.093082504271</v>
      </c>
      <c r="JF84">
        <v>6161.79857364297</v>
      </c>
      <c r="JG84">
        <v>8218.261090993879</v>
      </c>
      <c r="JH84">
        <v>2527.84909881353</v>
      </c>
      <c r="JI84" t="s">
        <v>1900</v>
      </c>
      <c r="JJ84" t="s">
        <v>1900</v>
      </c>
      <c r="JK84">
        <v>0</v>
      </c>
      <c r="JL84">
        <v>0</v>
      </c>
      <c r="JM84">
        <v>0</v>
      </c>
      <c r="JN84">
        <v>521402.163968812</v>
      </c>
      <c r="JO84">
        <v>475532.311363058</v>
      </c>
      <c r="JP84">
        <v>446152.550317359</v>
      </c>
      <c r="JQ84">
        <v>440785.761417174</v>
      </c>
      <c r="JR84">
        <v>793865.486308443</v>
      </c>
      <c r="JS84">
        <v>3319349.1617915</v>
      </c>
      <c r="JT84">
        <v>2861287.98576089</v>
      </c>
      <c r="JU84">
        <v>2456820.88693681</v>
      </c>
      <c r="JV84">
        <v>2364301.72608197</v>
      </c>
      <c r="JW84">
        <v>2281675.24776283</v>
      </c>
      <c r="JX84">
        <v>1440949.04012699</v>
      </c>
      <c r="JY84">
        <v>895711.4240342811</v>
      </c>
      <c r="JZ84">
        <v>637764.695204151</v>
      </c>
      <c r="KA84">
        <v>302205.374827051</v>
      </c>
      <c r="KB84">
        <v>442302.346907043</v>
      </c>
      <c r="KC84" t="s">
        <v>1900</v>
      </c>
      <c r="KD84" t="s">
        <v>1900</v>
      </c>
      <c r="KE84" t="s">
        <v>1900</v>
      </c>
      <c r="KF84" t="s">
        <v>1900</v>
      </c>
      <c r="KG84" t="s">
        <v>1900</v>
      </c>
      <c r="KH84" t="s">
        <v>1900</v>
      </c>
      <c r="KI84" t="s">
        <v>1900</v>
      </c>
      <c r="KJ84" t="s">
        <v>1900</v>
      </c>
      <c r="KK84" t="s">
        <v>1900</v>
      </c>
      <c r="KL84" t="s">
        <v>1900</v>
      </c>
      <c r="KM84">
        <v>49</v>
      </c>
      <c r="KN84">
        <v>49</v>
      </c>
      <c r="KO84">
        <v>49</v>
      </c>
      <c r="KP84">
        <v>55</v>
      </c>
      <c r="KQ84">
        <v>53</v>
      </c>
      <c r="KR84" t="s">
        <v>1900</v>
      </c>
      <c r="KS84" t="s">
        <v>1900</v>
      </c>
      <c r="KT84" t="s">
        <v>1900</v>
      </c>
      <c r="KU84" t="s">
        <v>1900</v>
      </c>
      <c r="KV84" t="s">
        <v>1900</v>
      </c>
      <c r="KW84" t="s">
        <v>1900</v>
      </c>
      <c r="KX84" t="s">
        <v>1900</v>
      </c>
      <c r="KY84" t="s">
        <v>1900</v>
      </c>
      <c r="KZ84" t="s">
        <v>1900</v>
      </c>
      <c r="LA84" t="s">
        <v>1900</v>
      </c>
      <c r="LB84" t="s">
        <v>1900</v>
      </c>
      <c r="LC84" t="s">
        <v>1900</v>
      </c>
      <c r="LD84" t="s">
        <v>1900</v>
      </c>
      <c r="LE84" t="s">
        <v>1900</v>
      </c>
      <c r="LF84" t="s">
        <v>1900</v>
      </c>
      <c r="LG84" t="s">
        <v>1900</v>
      </c>
      <c r="LH84" t="s">
        <v>1900</v>
      </c>
      <c r="LI84" t="s">
        <v>1900</v>
      </c>
      <c r="LJ84" t="s">
        <v>1900</v>
      </c>
      <c r="LK84" t="s">
        <v>1900</v>
      </c>
      <c r="LL84" t="s">
        <v>1900</v>
      </c>
      <c r="LM84" t="s">
        <v>1900</v>
      </c>
      <c r="LN84" t="s">
        <v>1900</v>
      </c>
      <c r="LO84" t="s">
        <v>1900</v>
      </c>
      <c r="LP84" t="s">
        <v>1900</v>
      </c>
      <c r="LQ84" t="s">
        <v>1900</v>
      </c>
      <c r="LR84" t="s">
        <v>1900</v>
      </c>
      <c r="LS84" t="s">
        <v>1900</v>
      </c>
      <c r="LT84" t="s">
        <v>1900</v>
      </c>
      <c r="LU84" t="s">
        <v>1900</v>
      </c>
      <c r="LV84" t="s">
        <v>1900</v>
      </c>
      <c r="LW84" t="s">
        <v>1900</v>
      </c>
      <c r="LX84" t="s">
        <v>1900</v>
      </c>
      <c r="LY84" t="s">
        <v>1900</v>
      </c>
      <c r="LZ84" t="s">
        <v>1900</v>
      </c>
      <c r="MA84" t="s">
        <v>1900</v>
      </c>
      <c r="MB84" t="s">
        <v>1900</v>
      </c>
      <c r="MC84" t="s">
        <v>1900</v>
      </c>
      <c r="MD84" t="s">
        <v>1900</v>
      </c>
      <c r="ME84" t="s">
        <v>1900</v>
      </c>
      <c r="MF84" t="s">
        <v>1900</v>
      </c>
      <c r="MG84" t="s">
        <v>1900</v>
      </c>
      <c r="MH84" t="s">
        <v>1900</v>
      </c>
      <c r="MI84" t="s">
        <v>1900</v>
      </c>
      <c r="MJ84" t="s">
        <v>1900</v>
      </c>
      <c r="MK84" t="s">
        <v>1900</v>
      </c>
      <c r="ML84" t="s">
        <v>1900</v>
      </c>
      <c r="MM84" t="s">
        <v>1900</v>
      </c>
      <c r="MN84" t="s">
        <v>1900</v>
      </c>
      <c r="MO84" t="s">
        <v>1900</v>
      </c>
      <c r="MP84">
        <v>1360786.39837256</v>
      </c>
      <c r="MQ84">
        <v>1292451.64188642</v>
      </c>
      <c r="MR84">
        <v>1278028.43300929</v>
      </c>
      <c r="MS84">
        <v>1408102.5120806</v>
      </c>
      <c r="MT84">
        <v>1218001.78156075</v>
      </c>
      <c r="MU84" t="s">
        <v>1900</v>
      </c>
      <c r="MV84" t="s">
        <v>1900</v>
      </c>
      <c r="MW84" t="s">
        <v>1900</v>
      </c>
      <c r="MX84" t="s">
        <v>1900</v>
      </c>
      <c r="MY84" t="s">
        <v>1900</v>
      </c>
      <c r="MZ84" t="s">
        <v>1900</v>
      </c>
      <c r="NA84" t="s">
        <v>1900</v>
      </c>
      <c r="NB84" t="s">
        <v>1900</v>
      </c>
      <c r="NC84" t="s">
        <v>1900</v>
      </c>
      <c r="ND84" t="s">
        <v>1900</v>
      </c>
      <c r="NE84" t="s">
        <v>1900</v>
      </c>
      <c r="NF84" t="s">
        <v>1900</v>
      </c>
      <c r="NG84" t="s">
        <v>1900</v>
      </c>
      <c r="NH84" t="s">
        <v>1900</v>
      </c>
      <c r="NI84" t="s">
        <v>1900</v>
      </c>
      <c r="NJ84" t="s">
        <v>1900</v>
      </c>
      <c r="NK84" t="s">
        <v>1900</v>
      </c>
      <c r="NL84" t="s">
        <v>1900</v>
      </c>
      <c r="NM84" t="s">
        <v>1900</v>
      </c>
      <c r="NN84" t="s">
        <v>1900</v>
      </c>
      <c r="NO84" t="s">
        <v>1900</v>
      </c>
      <c r="NP84" t="s">
        <v>1900</v>
      </c>
      <c r="NQ84" t="s">
        <v>1900</v>
      </c>
      <c r="NR84" t="s">
        <v>1900</v>
      </c>
      <c r="NS84" t="s">
        <v>1900</v>
      </c>
      <c r="NT84">
        <v>517613.723291957</v>
      </c>
      <c r="NU84">
        <v>673124.919840193</v>
      </c>
      <c r="NV84">
        <v>541027.758723372</v>
      </c>
      <c r="NW84">
        <v>653993.839174318</v>
      </c>
      <c r="NX84">
        <v>621371.1192950309</v>
      </c>
      <c r="NY84" t="s">
        <v>1900</v>
      </c>
      <c r="NZ84" t="s">
        <v>1900</v>
      </c>
      <c r="OA84" t="s">
        <v>1900</v>
      </c>
      <c r="OB84" t="s">
        <v>1900</v>
      </c>
      <c r="OC84" t="s">
        <v>1900</v>
      </c>
      <c r="OD84" t="s">
        <v>1900</v>
      </c>
      <c r="OE84" t="s">
        <v>1900</v>
      </c>
      <c r="OF84" t="s">
        <v>1900</v>
      </c>
      <c r="OG84" t="s">
        <v>1900</v>
      </c>
      <c r="OH84" t="s">
        <v>1900</v>
      </c>
      <c r="OI84" t="s">
        <v>1900</v>
      </c>
      <c r="OJ84" t="s">
        <v>1900</v>
      </c>
      <c r="OK84" t="s">
        <v>1900</v>
      </c>
      <c r="OL84" t="s">
        <v>1900</v>
      </c>
      <c r="OM84" t="s">
        <v>1900</v>
      </c>
      <c r="ON84" t="s">
        <v>1900</v>
      </c>
      <c r="OO84" t="s">
        <v>1900</v>
      </c>
      <c r="OP84" t="s">
        <v>1900</v>
      </c>
      <c r="OQ84" t="s">
        <v>1900</v>
      </c>
      <c r="OR84" t="s">
        <v>1900</v>
      </c>
      <c r="OS84" t="s">
        <v>1900</v>
      </c>
      <c r="OT84" t="s">
        <v>1900</v>
      </c>
      <c r="OU84" t="s">
        <v>1900</v>
      </c>
      <c r="OV84" t="s">
        <v>1900</v>
      </c>
      <c r="OW84" t="s">
        <v>1900</v>
      </c>
      <c r="OX84" t="s">
        <v>1900</v>
      </c>
      <c r="OY84" t="s">
        <v>1900</v>
      </c>
      <c r="OZ84" t="s">
        <v>1900</v>
      </c>
      <c r="PA84" t="s">
        <v>1900</v>
      </c>
      <c r="PB84" t="s">
        <v>1900</v>
      </c>
      <c r="PC84" t="s">
        <v>1900</v>
      </c>
      <c r="PD84" t="s">
        <v>1900</v>
      </c>
      <c r="PE84" t="s">
        <v>1900</v>
      </c>
      <c r="PF84" t="s">
        <v>1900</v>
      </c>
      <c r="PG84" t="s">
        <v>1900</v>
      </c>
      <c r="PH84" t="s">
        <v>1900</v>
      </c>
      <c r="PI84" t="s">
        <v>1900</v>
      </c>
      <c r="PJ84" t="s">
        <v>1900</v>
      </c>
      <c r="PK84" t="s">
        <v>1900</v>
      </c>
      <c r="PL84" t="s">
        <v>1900</v>
      </c>
      <c r="PM84" t="s">
        <v>1900</v>
      </c>
      <c r="PN84" t="s">
        <v>1900</v>
      </c>
      <c r="PO84" t="s">
        <v>1900</v>
      </c>
      <c r="PP84" t="s">
        <v>1900</v>
      </c>
      <c r="PQ84" t="s">
        <v>1900</v>
      </c>
      <c r="PR84" t="s">
        <v>1900</v>
      </c>
      <c r="PS84" t="s">
        <v>1900</v>
      </c>
      <c r="PT84" t="s">
        <v>1900</v>
      </c>
      <c r="PU84" t="s">
        <v>1900</v>
      </c>
      <c r="PV84" t="s">
        <v>1900</v>
      </c>
      <c r="PW84" t="s">
        <v>1900</v>
      </c>
      <c r="PX84" t="s">
        <v>1900</v>
      </c>
      <c r="PY84" t="s">
        <v>1900</v>
      </c>
      <c r="PZ84" t="s">
        <v>1900</v>
      </c>
      <c r="QA84" t="s">
        <v>1900</v>
      </c>
      <c r="QB84" t="s">
        <v>1900</v>
      </c>
      <c r="QC84" t="s">
        <v>1900</v>
      </c>
      <c r="QD84" t="s">
        <v>1900</v>
      </c>
      <c r="QE84" t="s">
        <v>1900</v>
      </c>
      <c r="QF84" t="s">
        <v>1900</v>
      </c>
      <c r="QG84" t="s">
        <v>1900</v>
      </c>
      <c r="QH84" t="s">
        <v>1900</v>
      </c>
      <c r="QI84" t="s">
        <v>1900</v>
      </c>
      <c r="QJ84" t="s">
        <v>1900</v>
      </c>
      <c r="QK84" t="s">
        <v>1900</v>
      </c>
      <c r="QL84" t="s">
        <v>1900</v>
      </c>
      <c r="QM84" t="s">
        <v>1900</v>
      </c>
      <c r="QN84" t="s">
        <v>1900</v>
      </c>
      <c r="QO84" t="s">
        <v>1900</v>
      </c>
      <c r="QP84" t="s">
        <v>1900</v>
      </c>
      <c r="QQ84" t="s">
        <v>1900</v>
      </c>
      <c r="QR84" t="s">
        <v>1900</v>
      </c>
      <c r="QS84" t="s">
        <v>1900</v>
      </c>
      <c r="QT84" t="s">
        <v>1900</v>
      </c>
      <c r="QU84" t="s">
        <v>1900</v>
      </c>
      <c r="QV84" t="s">
        <v>1900</v>
      </c>
      <c r="QW84" t="s">
        <v>1900</v>
      </c>
      <c r="QX84" t="s">
        <v>1900</v>
      </c>
      <c r="QY84" t="s">
        <v>1900</v>
      </c>
      <c r="QZ84" t="s">
        <v>1900</v>
      </c>
      <c r="RA84" t="s">
        <v>1900</v>
      </c>
      <c r="RB84" t="s">
        <v>1900</v>
      </c>
      <c r="RC84" t="s">
        <v>1900</v>
      </c>
      <c r="RD84" t="s">
        <v>1900</v>
      </c>
      <c r="RE84" t="s">
        <v>1900</v>
      </c>
      <c r="RF84" t="s">
        <v>1900</v>
      </c>
      <c r="RG84" t="s">
        <v>1900</v>
      </c>
      <c r="RH84" t="s">
        <v>1900</v>
      </c>
      <c r="RI84" t="s">
        <v>1900</v>
      </c>
      <c r="RJ84" t="s">
        <v>1900</v>
      </c>
      <c r="RK84" t="s">
        <v>1900</v>
      </c>
      <c r="RL84" t="s">
        <v>1900</v>
      </c>
      <c r="RM84" t="s">
        <v>1900</v>
      </c>
      <c r="RN84" t="s">
        <v>1900</v>
      </c>
      <c r="RO84" t="s">
        <v>1900</v>
      </c>
      <c r="RP84" t="s">
        <v>1900</v>
      </c>
      <c r="RQ84" t="s">
        <v>1900</v>
      </c>
      <c r="RR84" t="s">
        <v>1900</v>
      </c>
      <c r="RS84" t="s">
        <v>1900</v>
      </c>
      <c r="RT84" t="s">
        <v>1900</v>
      </c>
      <c r="RU84" t="s">
        <v>1900</v>
      </c>
      <c r="RV84" t="s">
        <v>1900</v>
      </c>
      <c r="RW84" t="s">
        <v>1900</v>
      </c>
      <c r="RX84" t="s">
        <v>1900</v>
      </c>
      <c r="RY84" t="s">
        <v>1900</v>
      </c>
      <c r="RZ84" t="s">
        <v>1900</v>
      </c>
      <c r="SA84" t="s">
        <v>1900</v>
      </c>
      <c r="SB84" t="s">
        <v>1900</v>
      </c>
      <c r="SC84" t="s">
        <v>1900</v>
      </c>
      <c r="SD84" t="s">
        <v>1900</v>
      </c>
      <c r="SE84" t="s">
        <v>1900</v>
      </c>
      <c r="SF84" t="s">
        <v>1900</v>
      </c>
      <c r="SG84" t="s">
        <v>1900</v>
      </c>
      <c r="SH84" t="s">
        <v>1900</v>
      </c>
      <c r="SI84" t="s">
        <v>1900</v>
      </c>
      <c r="SJ84">
        <v>6025.61733722687</v>
      </c>
      <c r="SK84">
        <v>27508.2248953533</v>
      </c>
      <c r="SL84">
        <v>28365.4774365842</v>
      </c>
      <c r="SM84">
        <v>30120.7236828089</v>
      </c>
      <c r="SN84">
        <v>102296.335482508</v>
      </c>
      <c r="SO84" t="s">
        <v>1900</v>
      </c>
      <c r="SP84" t="s">
        <v>1900</v>
      </c>
      <c r="SQ84" t="s">
        <v>1900</v>
      </c>
      <c r="SR84" t="s">
        <v>1900</v>
      </c>
      <c r="SS84" t="s">
        <v>1900</v>
      </c>
      <c r="ST84" t="s">
        <v>1900</v>
      </c>
      <c r="SU84" t="s">
        <v>1900</v>
      </c>
      <c r="SV84" t="s">
        <v>1900</v>
      </c>
      <c r="SW84" t="s">
        <v>1900</v>
      </c>
      <c r="SX84" t="s">
        <v>1900</v>
      </c>
      <c r="SY84" t="s">
        <v>1900</v>
      </c>
      <c r="SZ84" t="s">
        <v>1900</v>
      </c>
      <c r="TA84" t="s">
        <v>1900</v>
      </c>
      <c r="TB84" t="s">
        <v>1900</v>
      </c>
      <c r="TC84" t="s">
        <v>1900</v>
      </c>
      <c r="TD84" t="s">
        <v>1900</v>
      </c>
      <c r="TE84" t="s">
        <v>1900</v>
      </c>
      <c r="TF84" t="s">
        <v>1900</v>
      </c>
      <c r="TG84" t="s">
        <v>1900</v>
      </c>
      <c r="TH84" t="s">
        <v>1900</v>
      </c>
      <c r="TI84" t="s">
        <v>1900</v>
      </c>
      <c r="TJ84" t="s">
        <v>1900</v>
      </c>
      <c r="TK84" t="s">
        <v>1900</v>
      </c>
      <c r="TL84" t="s">
        <v>1900</v>
      </c>
      <c r="TM84" t="s">
        <v>1900</v>
      </c>
      <c r="TN84" t="s">
        <v>1900</v>
      </c>
      <c r="TO84" t="s">
        <v>1900</v>
      </c>
      <c r="TP84" t="s">
        <v>1900</v>
      </c>
      <c r="TQ84" t="s">
        <v>1900</v>
      </c>
      <c r="TR84" t="s">
        <v>1900</v>
      </c>
      <c r="TS84">
        <v>3319349.1617915</v>
      </c>
      <c r="TT84">
        <v>2861287.98576089</v>
      </c>
      <c r="TU84">
        <v>2456820.88693681</v>
      </c>
      <c r="TV84">
        <v>2364301.72608197</v>
      </c>
      <c r="TW84">
        <v>2281675.24776283</v>
      </c>
      <c r="TX84" t="s">
        <v>1900</v>
      </c>
      <c r="TY84" t="s">
        <v>1900</v>
      </c>
      <c r="TZ84" t="s">
        <v>1900</v>
      </c>
      <c r="UA84" t="s">
        <v>1900</v>
      </c>
      <c r="UB84" t="s">
        <v>1900</v>
      </c>
      <c r="UC84">
        <v>5222.07009832144</v>
      </c>
      <c r="UD84">
        <v>8651.093082504271</v>
      </c>
      <c r="UE84">
        <v>6161.79857364297</v>
      </c>
      <c r="UF84">
        <v>8218.261090993879</v>
      </c>
      <c r="UG84">
        <v>2527.84909881353</v>
      </c>
      <c r="UH84" t="s">
        <v>1900</v>
      </c>
      <c r="UI84" t="s">
        <v>1900</v>
      </c>
      <c r="UJ84" t="s">
        <v>1900</v>
      </c>
      <c r="UK84" t="s">
        <v>1900</v>
      </c>
      <c r="UL84" t="s">
        <v>1900</v>
      </c>
      <c r="UM84" t="s">
        <v>1900</v>
      </c>
      <c r="UN84" t="s">
        <v>1900</v>
      </c>
      <c r="UO84" t="s">
        <v>1900</v>
      </c>
      <c r="UP84" t="s">
        <v>1900</v>
      </c>
      <c r="UQ84" t="s">
        <v>1900</v>
      </c>
      <c r="UR84" t="s">
        <v>1900</v>
      </c>
      <c r="US84" t="s">
        <v>1900</v>
      </c>
      <c r="UT84" t="s">
        <v>1900</v>
      </c>
      <c r="UU84" t="s">
        <v>1900</v>
      </c>
      <c r="UV84" t="s">
        <v>1900</v>
      </c>
      <c r="UW84" t="s">
        <v>1900</v>
      </c>
      <c r="UX84" t="s">
        <v>1900</v>
      </c>
      <c r="UY84" t="s">
        <v>1900</v>
      </c>
      <c r="UZ84" t="s">
        <v>1900</v>
      </c>
      <c r="VA84" t="s">
        <v>1900</v>
      </c>
      <c r="VB84" t="s">
        <v>1900</v>
      </c>
      <c r="VC84" t="s">
        <v>1900</v>
      </c>
      <c r="VD84" t="s">
        <v>1900</v>
      </c>
      <c r="VE84" t="s">
        <v>1900</v>
      </c>
      <c r="VF84" t="s">
        <v>1900</v>
      </c>
      <c r="VG84" t="s">
        <v>1900</v>
      </c>
      <c r="VH84" t="s">
        <v>1900</v>
      </c>
      <c r="VI84" t="s">
        <v>1900</v>
      </c>
      <c r="VJ84" t="s">
        <v>1900</v>
      </c>
      <c r="VK84" t="s">
        <v>1900</v>
      </c>
      <c r="VL84" t="s">
        <v>1900</v>
      </c>
      <c r="VM84" t="s">
        <v>1900</v>
      </c>
      <c r="VN84" t="s">
        <v>1900</v>
      </c>
      <c r="VO84" t="s">
        <v>1900</v>
      </c>
      <c r="VP84" t="s">
        <v>1900</v>
      </c>
      <c r="VQ84" t="s">
        <v>1900</v>
      </c>
      <c r="VR84" t="s">
        <v>1900</v>
      </c>
      <c r="VS84" t="s">
        <v>1900</v>
      </c>
      <c r="VT84" t="s">
        <v>1900</v>
      </c>
      <c r="VU84" t="s">
        <v>1900</v>
      </c>
      <c r="VV84" t="s">
        <v>1900</v>
      </c>
      <c r="VW84" t="s">
        <v>1900</v>
      </c>
      <c r="VX84" t="s">
        <v>1900</v>
      </c>
      <c r="VY84" t="s">
        <v>1900</v>
      </c>
      <c r="VZ84" t="s">
        <v>1900</v>
      </c>
      <c r="WA84">
        <v>521402.163968812</v>
      </c>
      <c r="WB84">
        <v>475532.311363058</v>
      </c>
      <c r="WC84">
        <v>446152.550317359</v>
      </c>
      <c r="WD84">
        <v>440785.761417174</v>
      </c>
      <c r="WE84">
        <v>793865.486308443</v>
      </c>
      <c r="WF84" t="s">
        <v>1900</v>
      </c>
      <c r="WG84" t="s">
        <v>1900</v>
      </c>
      <c r="WH84" t="s">
        <v>1900</v>
      </c>
      <c r="WI84" t="s">
        <v>1900</v>
      </c>
      <c r="WJ84" t="s">
        <v>1900</v>
      </c>
      <c r="WK84" t="s">
        <v>1900</v>
      </c>
      <c r="WL84" t="s">
        <v>1900</v>
      </c>
      <c r="WM84" t="s">
        <v>1900</v>
      </c>
      <c r="WN84" t="s">
        <v>1900</v>
      </c>
      <c r="WO84" t="s">
        <v>1900</v>
      </c>
      <c r="WP84" t="s">
        <v>1900</v>
      </c>
      <c r="WQ84" t="s">
        <v>1900</v>
      </c>
      <c r="WR84" t="s">
        <v>1900</v>
      </c>
      <c r="WS84" t="s">
        <v>1900</v>
      </c>
      <c r="WT84" t="s">
        <v>1900</v>
      </c>
      <c r="WU84" t="s">
        <v>1900</v>
      </c>
      <c r="WV84" t="s">
        <v>1900</v>
      </c>
      <c r="WW84" t="s">
        <v>1900</v>
      </c>
      <c r="WX84" t="s">
        <v>1900</v>
      </c>
      <c r="WY84" t="s">
        <v>1900</v>
      </c>
      <c r="WZ84" t="s">
        <v>1900</v>
      </c>
      <c r="XA84" t="s">
        <v>1900</v>
      </c>
      <c r="XB84" t="s">
        <v>1900</v>
      </c>
      <c r="XC84" t="s">
        <v>1900</v>
      </c>
      <c r="XD84" t="s">
        <v>1900</v>
      </c>
      <c r="XE84" t="s">
        <v>1900</v>
      </c>
      <c r="XF84" t="s">
        <v>1900</v>
      </c>
      <c r="XG84" t="s">
        <v>1900</v>
      </c>
      <c r="XH84" t="s">
        <v>1900</v>
      </c>
      <c r="XI84" t="s">
        <v>1900</v>
      </c>
      <c r="XJ84">
        <v>55957.5187418819</v>
      </c>
      <c r="XK84">
        <v>68263.2509857082</v>
      </c>
      <c r="XL84">
        <v>28470.7934700549</v>
      </c>
      <c r="XM84">
        <v>10492.6584204197</v>
      </c>
      <c r="XN84">
        <v>12073.761323911</v>
      </c>
      <c r="XO84" t="s">
        <v>1900</v>
      </c>
      <c r="XP84" t="s">
        <v>1900</v>
      </c>
      <c r="XQ84" t="s">
        <v>1900</v>
      </c>
      <c r="XR84" t="s">
        <v>1900</v>
      </c>
      <c r="XS84" t="s">
        <v>1900</v>
      </c>
      <c r="XT84" t="s">
        <v>1900</v>
      </c>
      <c r="XU84" t="s">
        <v>1900</v>
      </c>
      <c r="XV84" t="s">
        <v>1900</v>
      </c>
      <c r="XW84" t="s">
        <v>1900</v>
      </c>
      <c r="XX84" t="s">
        <v>1900</v>
      </c>
      <c r="XY84" t="s">
        <v>1900</v>
      </c>
      <c r="XZ84" t="s">
        <v>1900</v>
      </c>
      <c r="YA84" t="s">
        <v>1900</v>
      </c>
      <c r="YB84" t="s">
        <v>1900</v>
      </c>
      <c r="YC84" t="s">
        <v>1900</v>
      </c>
      <c r="YD84" t="s">
        <v>1900</v>
      </c>
      <c r="YE84" t="s">
        <v>1900</v>
      </c>
      <c r="YF84" t="s">
        <v>1900</v>
      </c>
      <c r="YG84" t="s">
        <v>1900</v>
      </c>
      <c r="YH84" t="s">
        <v>1900</v>
      </c>
      <c r="YI84" t="s">
        <v>1900</v>
      </c>
      <c r="YJ84" t="s">
        <v>1900</v>
      </c>
      <c r="YK84" t="s">
        <v>1900</v>
      </c>
      <c r="YL84" t="s">
        <v>1900</v>
      </c>
      <c r="YM84" t="s">
        <v>1900</v>
      </c>
      <c r="YN84" t="s">
        <v>1900</v>
      </c>
      <c r="YO84" t="s">
        <v>1900</v>
      </c>
      <c r="YP84" t="s">
        <v>1900</v>
      </c>
      <c r="YQ84" t="s">
        <v>1900</v>
      </c>
      <c r="YR84" t="s">
        <v>1900</v>
      </c>
      <c r="YS84" t="s">
        <v>1900</v>
      </c>
      <c r="YT84" t="s">
        <v>1900</v>
      </c>
      <c r="YU84" t="s">
        <v>1900</v>
      </c>
      <c r="YV84" t="s">
        <v>1900</v>
      </c>
      <c r="YW84" t="s">
        <v>1900</v>
      </c>
      <c r="YX84" t="s">
        <v>1900</v>
      </c>
      <c r="YY84" t="s">
        <v>1900</v>
      </c>
      <c r="YZ84" t="s">
        <v>1900</v>
      </c>
      <c r="ZA84" t="s">
        <v>1900</v>
      </c>
      <c r="ZB84" t="s">
        <v>1900</v>
      </c>
      <c r="ZC84" t="s">
        <v>1900</v>
      </c>
      <c r="ZD84" t="s">
        <v>1900</v>
      </c>
      <c r="ZE84" t="s">
        <v>1900</v>
      </c>
      <c r="ZF84" t="s">
        <v>1900</v>
      </c>
      <c r="ZG84" t="s">
        <v>1900</v>
      </c>
      <c r="ZH84" t="s">
        <v>1900</v>
      </c>
      <c r="ZI84" t="s">
        <v>1900</v>
      </c>
      <c r="ZJ84" t="s">
        <v>1900</v>
      </c>
      <c r="ZK84" t="s">
        <v>1900</v>
      </c>
      <c r="ZL84" t="s">
        <v>1900</v>
      </c>
      <c r="ZM84" t="s">
        <v>1900</v>
      </c>
      <c r="ZN84" t="s">
        <v>1900</v>
      </c>
      <c r="ZO84" t="s">
        <v>1900</v>
      </c>
      <c r="ZP84" t="s">
        <v>1900</v>
      </c>
      <c r="ZQ84" t="s">
        <v>1900</v>
      </c>
      <c r="ZR84" t="s">
        <v>1900</v>
      </c>
      <c r="ZS84" t="s">
        <v>1900</v>
      </c>
      <c r="ZT84" t="s">
        <v>1900</v>
      </c>
      <c r="ZU84" t="s">
        <v>1900</v>
      </c>
      <c r="ZV84" t="s">
        <v>1900</v>
      </c>
      <c r="ZW84" t="s">
        <v>1900</v>
      </c>
      <c r="ZX84" t="s">
        <v>1900</v>
      </c>
      <c r="ZY84" t="s">
        <v>1900</v>
      </c>
      <c r="ZZ84" t="s">
        <v>1900</v>
      </c>
      <c r="AAA84" t="s">
        <v>1900</v>
      </c>
      <c r="AAB84" t="s">
        <v>1900</v>
      </c>
      <c r="AAC84" t="s">
        <v>1900</v>
      </c>
      <c r="AAD84" t="s">
        <v>1900</v>
      </c>
      <c r="AAE84" t="s">
        <v>1900</v>
      </c>
      <c r="AAF84" t="s">
        <v>1900</v>
      </c>
      <c r="AAG84" t="s">
        <v>1900</v>
      </c>
      <c r="AAH84" t="s">
        <v>1900</v>
      </c>
      <c r="AAI84" t="s">
        <v>1900</v>
      </c>
      <c r="AAJ84" t="s">
        <v>1900</v>
      </c>
      <c r="AAK84" t="s">
        <v>1900</v>
      </c>
      <c r="AAL84" t="s">
        <v>1900</v>
      </c>
      <c r="AAM84" t="s">
        <v>1900</v>
      </c>
      <c r="AAN84" t="s">
        <v>1900</v>
      </c>
      <c r="AAO84" t="s">
        <v>1900</v>
      </c>
      <c r="AAP84" t="s">
        <v>1900</v>
      </c>
      <c r="AAQ84" t="s">
        <v>1900</v>
      </c>
      <c r="AAR84" t="s">
        <v>1900</v>
      </c>
      <c r="AAS84" t="s">
        <v>1900</v>
      </c>
      <c r="AAT84" t="s">
        <v>1900</v>
      </c>
      <c r="AAU84" t="s">
        <v>1900</v>
      </c>
      <c r="AAV84" t="s">
        <v>1900</v>
      </c>
      <c r="AAW84" t="s">
        <v>1900</v>
      </c>
      <c r="AAX84" t="s">
        <v>1900</v>
      </c>
      <c r="AAY84" t="s">
        <v>1900</v>
      </c>
      <c r="AAZ84" t="s">
        <v>1900</v>
      </c>
      <c r="ABA84" t="s">
        <v>1900</v>
      </c>
      <c r="ABB84" t="s">
        <v>1900</v>
      </c>
      <c r="ABC84" t="s">
        <v>1900</v>
      </c>
      <c r="ABD84" t="s">
        <v>1900</v>
      </c>
      <c r="ABE84" t="s">
        <v>1900</v>
      </c>
      <c r="ABF84" t="s">
        <v>1900</v>
      </c>
      <c r="ABG84" t="s">
        <v>1900</v>
      </c>
      <c r="ABH84" t="s">
        <v>1900</v>
      </c>
      <c r="ABI84" t="s">
        <v>1900</v>
      </c>
      <c r="ABJ84" t="s">
        <v>1900</v>
      </c>
      <c r="ABK84" t="s">
        <v>1900</v>
      </c>
      <c r="ABL84" t="s">
        <v>1900</v>
      </c>
      <c r="ABM84" t="s">
        <v>1900</v>
      </c>
      <c r="ABN84" t="s">
        <v>1900</v>
      </c>
      <c r="ABO84" t="s">
        <v>1900</v>
      </c>
      <c r="ABP84" t="s">
        <v>1900</v>
      </c>
      <c r="ABQ84" t="s">
        <v>1900</v>
      </c>
      <c r="ABR84" t="s">
        <v>1900</v>
      </c>
      <c r="ABS84" t="s">
        <v>1900</v>
      </c>
      <c r="ABT84" t="s">
        <v>1900</v>
      </c>
      <c r="ABU84" t="s">
        <v>1900</v>
      </c>
      <c r="ABV84" t="s">
        <v>1900</v>
      </c>
      <c r="ABW84" t="s">
        <v>1900</v>
      </c>
      <c r="ABX84" t="s">
        <v>1900</v>
      </c>
      <c r="ABY84" t="s">
        <v>1900</v>
      </c>
      <c r="ABZ84" t="s">
        <v>1900</v>
      </c>
      <c r="ACA84" t="s">
        <v>1900</v>
      </c>
      <c r="ACB84" t="s">
        <v>1900</v>
      </c>
      <c r="ACC84" t="s">
        <v>1900</v>
      </c>
      <c r="ACD84" t="s">
        <v>1900</v>
      </c>
      <c r="ACE84">
        <v>44.43</v>
      </c>
      <c r="ACF84">
        <v>24.84</v>
      </c>
      <c r="ACG84">
        <v>21.679</v>
      </c>
      <c r="ACH84">
        <v>34.621</v>
      </c>
      <c r="ACI84">
        <v>6.222</v>
      </c>
      <c r="ACJ84">
        <v>43.823</v>
      </c>
      <c r="ACK84">
        <v>24.206</v>
      </c>
      <c r="ACL84">
        <v>21.575</v>
      </c>
      <c r="ACM84">
        <v>34.782</v>
      </c>
      <c r="ACN84">
        <v>6.481</v>
      </c>
      <c r="ACO84">
        <v>36.632</v>
      </c>
      <c r="ACP84">
        <v>20.044</v>
      </c>
      <c r="ACQ84">
        <v>17.437</v>
      </c>
      <c r="ACR84">
        <v>27.892</v>
      </c>
      <c r="ACS84">
        <v>4.017</v>
      </c>
      <c r="ACT84">
        <v>34.836</v>
      </c>
      <c r="ACU84">
        <v>19.513</v>
      </c>
      <c r="ACV84">
        <v>17.141</v>
      </c>
      <c r="ACW84">
        <v>28.614</v>
      </c>
      <c r="ACX84">
        <v>6.213</v>
      </c>
      <c r="ACY84">
        <v>34.421</v>
      </c>
      <c r="ACZ84">
        <v>19.032</v>
      </c>
      <c r="ADA84">
        <v>17.102</v>
      </c>
      <c r="ADB84">
        <v>28.809</v>
      </c>
      <c r="ADC84">
        <v>6.471</v>
      </c>
      <c r="ADD84">
        <v>28.722</v>
      </c>
      <c r="ADE84">
        <v>15.746</v>
      </c>
      <c r="ADF84">
        <v>13.787</v>
      </c>
      <c r="ADG84">
        <v>23.053</v>
      </c>
      <c r="ADH84">
        <v>4.011</v>
      </c>
      <c r="ADI84">
        <v>42.163</v>
      </c>
      <c r="ADJ84">
        <v>20.176</v>
      </c>
      <c r="ADK84">
        <v>16.063</v>
      </c>
      <c r="ADL84">
        <v>23.754</v>
      </c>
      <c r="ADM84">
        <v>1.949</v>
      </c>
      <c r="ADN84">
        <v>100</v>
      </c>
      <c r="ADO84">
        <v>100</v>
      </c>
      <c r="ADP84">
        <v>100</v>
      </c>
      <c r="ADQ84">
        <v>100</v>
      </c>
      <c r="ADR84">
        <v>100</v>
      </c>
      <c r="ADS84">
        <v>39.875373023</v>
      </c>
      <c r="ADT84">
        <v>20.2489368</v>
      </c>
      <c r="ADU84">
        <v>16.038972161</v>
      </c>
      <c r="ADV84">
        <v>24.317290768</v>
      </c>
      <c r="ADW84">
        <v>2.081603728</v>
      </c>
      <c r="ADX84">
        <v>48.289</v>
      </c>
      <c r="ADY84">
        <v>26.77</v>
      </c>
      <c r="ADZ84">
        <v>23.325</v>
      </c>
      <c r="AEA84">
        <v>30.925</v>
      </c>
      <c r="AEB84">
        <v>6.58</v>
      </c>
      <c r="AEC84">
        <v>39.875</v>
      </c>
      <c r="AED84">
        <v>20.249</v>
      </c>
      <c r="AEE84">
        <v>16.039</v>
      </c>
      <c r="AEF84">
        <v>24.317</v>
      </c>
      <c r="AEG84">
        <v>2.082</v>
      </c>
      <c r="AEH84">
        <v>41.472</v>
      </c>
      <c r="AEI84">
        <v>22.371</v>
      </c>
      <c r="AEJ84">
        <v>19.987</v>
      </c>
      <c r="AEK84">
        <v>26.241</v>
      </c>
      <c r="AEL84">
        <v>6.444</v>
      </c>
      <c r="AEM84">
        <v>66.32119819899999</v>
      </c>
      <c r="AEN84">
        <v>25.390177871</v>
      </c>
      <c r="AEO84">
        <v>19.102877339</v>
      </c>
      <c r="AEP84">
        <v>32.130576474</v>
      </c>
      <c r="AEQ84">
        <v>2.125855618</v>
      </c>
      <c r="AER84" t="s">
        <v>1900</v>
      </c>
      <c r="AES84" t="s">
        <v>1900</v>
      </c>
      <c r="AET84" t="s">
        <v>1900</v>
      </c>
      <c r="AEU84" t="s">
        <v>1900</v>
      </c>
      <c r="AEV84" t="s">
        <v>1900</v>
      </c>
      <c r="AEW84" t="s">
        <v>1900</v>
      </c>
      <c r="AEX84" t="s">
        <v>1900</v>
      </c>
      <c r="AEY84" t="s">
        <v>1900</v>
      </c>
      <c r="AEZ84" t="s">
        <v>1900</v>
      </c>
      <c r="AFA84" t="s">
        <v>1900</v>
      </c>
      <c r="AFB84" t="s">
        <v>1900</v>
      </c>
      <c r="AFC84" t="s">
        <v>1900</v>
      </c>
      <c r="AFD84" t="s">
        <v>1900</v>
      </c>
      <c r="AFE84" t="s">
        <v>1900</v>
      </c>
      <c r="AFF84" t="s">
        <v>1900</v>
      </c>
      <c r="AFG84">
        <v>1.033</v>
      </c>
      <c r="AFH84">
        <v>1.196</v>
      </c>
      <c r="AFI84">
        <v>1.33</v>
      </c>
      <c r="AFJ84">
        <v>1.449</v>
      </c>
      <c r="AFK84">
        <v>3.167</v>
      </c>
      <c r="AFL84">
        <v>145.318</v>
      </c>
      <c r="AFM84">
        <v>305.016</v>
      </c>
      <c r="AFN84">
        <v>104.537</v>
      </c>
      <c r="AFO84">
        <v>100.364</v>
      </c>
      <c r="AFP84">
        <v>21.317</v>
      </c>
      <c r="AFQ84" t="s">
        <v>1901</v>
      </c>
      <c r="AFR84" t="s">
        <v>1901</v>
      </c>
      <c r="AFS84" t="s">
        <v>1901</v>
      </c>
      <c r="AFT84" t="s">
        <v>1901</v>
      </c>
      <c r="AFU84" t="s">
        <v>1901</v>
      </c>
      <c r="AFV84">
        <v>179.874</v>
      </c>
      <c r="AFW84">
        <v>113.442</v>
      </c>
      <c r="AFX84">
        <v>86.092</v>
      </c>
      <c r="AFY84">
        <v>39.188</v>
      </c>
      <c r="AFZ84">
        <v>33.85</v>
      </c>
      <c r="AGA84" t="s">
        <v>1900</v>
      </c>
      <c r="AGB84" t="s">
        <v>1900</v>
      </c>
      <c r="AGC84">
        <v>0</v>
      </c>
      <c r="AGD84">
        <v>0</v>
      </c>
      <c r="AGE84">
        <v>0</v>
      </c>
      <c r="AGF84" t="s">
        <v>1900</v>
      </c>
      <c r="AGG84" t="s">
        <v>1900</v>
      </c>
      <c r="AGH84" t="s">
        <v>1900</v>
      </c>
      <c r="AGI84" t="s">
        <v>1900</v>
      </c>
      <c r="AGJ84" t="s">
        <v>1900</v>
      </c>
      <c r="AGK84" t="s">
        <v>1900</v>
      </c>
      <c r="AGL84" t="s">
        <v>1900</v>
      </c>
      <c r="AGM84" t="s">
        <v>1900</v>
      </c>
      <c r="AGN84" t="s">
        <v>1900</v>
      </c>
      <c r="AGO84" t="s">
        <v>1900</v>
      </c>
      <c r="AGP84" t="s">
        <v>1900</v>
      </c>
      <c r="AGQ84" t="s">
        <v>1900</v>
      </c>
      <c r="AGR84" t="s">
        <v>1900</v>
      </c>
      <c r="AGS84" t="s">
        <v>1900</v>
      </c>
      <c r="AGT84" t="s">
        <v>1900</v>
      </c>
      <c r="AGU84">
        <v>0</v>
      </c>
      <c r="AGV84">
        <v>0</v>
      </c>
      <c r="AGW84">
        <v>0</v>
      </c>
      <c r="AGX84">
        <v>0</v>
      </c>
      <c r="AGY84">
        <v>0</v>
      </c>
      <c r="AGZ84">
        <v>5.32</v>
      </c>
      <c r="AHA84">
        <v>4.519</v>
      </c>
      <c r="AHB84">
        <v>4.236</v>
      </c>
      <c r="AHC84">
        <v>3.809</v>
      </c>
      <c r="AHD84">
        <v>2.085</v>
      </c>
      <c r="AHE84">
        <v>5.32</v>
      </c>
      <c r="AHF84">
        <v>4.519</v>
      </c>
      <c r="AHG84">
        <v>4.236</v>
      </c>
      <c r="AHH84">
        <v>3.809</v>
      </c>
      <c r="AHI84">
        <v>2.085</v>
      </c>
      <c r="AHJ84">
        <v>48.908</v>
      </c>
      <c r="AHK84">
        <v>33.823</v>
      </c>
      <c r="AHL84">
        <v>69.40600000000001</v>
      </c>
      <c r="AHM84">
        <v>181.537</v>
      </c>
      <c r="AHN84">
        <v>122.017</v>
      </c>
      <c r="AHO84">
        <v>82.449</v>
      </c>
      <c r="AHP84">
        <v>80.69199999999999</v>
      </c>
      <c r="AHQ84">
        <v>80.431</v>
      </c>
      <c r="AHR84">
        <v>80.565</v>
      </c>
      <c r="AHS84">
        <v>64.56699999999999</v>
      </c>
      <c r="AHT84" t="s">
        <v>1901</v>
      </c>
      <c r="AHU84" t="s">
        <v>1901</v>
      </c>
      <c r="AHV84" t="s">
        <v>1901</v>
      </c>
      <c r="AHW84" t="s">
        <v>1901</v>
      </c>
      <c r="AHX84" t="s">
        <v>1901</v>
      </c>
      <c r="AHY84">
        <v>2.235</v>
      </c>
      <c r="AHZ84">
        <v>3.331</v>
      </c>
      <c r="AIA84">
        <v>1.753</v>
      </c>
      <c r="AIB84">
        <v>0.982</v>
      </c>
      <c r="AIC84">
        <v>0.991</v>
      </c>
      <c r="AID84">
        <v>0.181530084</v>
      </c>
      <c r="AIE84">
        <v>0.961393087</v>
      </c>
      <c r="AIF84">
        <v>1.154560253</v>
      </c>
      <c r="AIG84">
        <v>1.273979685</v>
      </c>
      <c r="AIH84">
        <v>4.483387177</v>
      </c>
      <c r="AII84">
        <v>40.995578713</v>
      </c>
      <c r="AIJ84">
        <v>45.170274657</v>
      </c>
      <c r="AIK84">
        <v>52.019601421</v>
      </c>
      <c r="AIL84">
        <v>59.556802609</v>
      </c>
      <c r="AIM84">
        <v>53.381907997</v>
      </c>
      <c r="AIN84">
        <v>15.707963777</v>
      </c>
      <c r="AIO84">
        <v>16.619519382</v>
      </c>
      <c r="AIP84">
        <v>18.159750786</v>
      </c>
      <c r="AIQ84">
        <v>18.643380265</v>
      </c>
      <c r="AIR84">
        <v>34.793097181</v>
      </c>
      <c r="AIS84" t="s">
        <v>1900</v>
      </c>
      <c r="AIT84" t="s">
        <v>1900</v>
      </c>
      <c r="AIU84" t="s">
        <v>1900</v>
      </c>
      <c r="AIV84" t="s">
        <v>1900</v>
      </c>
      <c r="AIW84" t="s">
        <v>1900</v>
      </c>
      <c r="AIX84">
        <v>24.8153954586592</v>
      </c>
      <c r="AIY84">
        <v>11.7042591777277</v>
      </c>
      <c r="AIZ84">
        <v>8.742582159613971</v>
      </c>
      <c r="AJA84">
        <v>11.9901882099509</v>
      </c>
      <c r="AJB84">
        <v>1.72950443010032</v>
      </c>
      <c r="AJC84">
        <v>58.8554635605546</v>
      </c>
      <c r="AJD84">
        <v>58.0097977890844</v>
      </c>
      <c r="AJE84">
        <v>54.4258915213102</v>
      </c>
      <c r="AJF84">
        <v>50.4766545327902</v>
      </c>
      <c r="AJG84">
        <v>88.7532000547844</v>
      </c>
      <c r="AJH84">
        <v>52.645</v>
      </c>
      <c r="AJI84">
        <v>48.928</v>
      </c>
      <c r="AJJ84">
        <v>48.357</v>
      </c>
      <c r="AJK84">
        <v>51.949</v>
      </c>
      <c r="AJL84">
        <v>35.074</v>
      </c>
      <c r="AJM84">
        <v>30.9844494999001</v>
      </c>
      <c r="AJN84">
        <v>28.3829211879063</v>
      </c>
      <c r="AJO84">
        <v>26.3186314212364</v>
      </c>
      <c r="AJP84">
        <v>26.2220733132505</v>
      </c>
      <c r="AJQ84">
        <v>31.1290734344512</v>
      </c>
      <c r="AJR84">
        <v>55.8523956140367</v>
      </c>
      <c r="AJS84">
        <v>47.119211251523</v>
      </c>
      <c r="AJT84">
        <v>40.3272605722642</v>
      </c>
      <c r="AJU84">
        <v>34.6328186938977</v>
      </c>
      <c r="AJV84">
        <v>27.7963797219354</v>
      </c>
      <c r="AJW84">
        <v>29.4071236495342</v>
      </c>
      <c r="AJX84">
        <v>18.279825408761</v>
      </c>
      <c r="AJY84">
        <v>13.0156058286685</v>
      </c>
      <c r="AJZ84">
        <v>5.494642766819</v>
      </c>
      <c r="AKA84">
        <v>8.34532686022937</v>
      </c>
      <c r="AKB84">
        <v>67.74181960719601</v>
      </c>
      <c r="AKC84">
        <v>58.3936318663445</v>
      </c>
      <c r="AKD84">
        <v>50.1392015130126</v>
      </c>
      <c r="AKE84">
        <v>42.9873044194722</v>
      </c>
      <c r="AKF84">
        <v>43.0504768822455</v>
      </c>
      <c r="AKG84" t="s">
        <v>1900</v>
      </c>
      <c r="AKH84" t="s">
        <v>1900</v>
      </c>
      <c r="AKI84" t="s">
        <v>1900</v>
      </c>
      <c r="AKJ84" t="s">
        <v>1900</v>
      </c>
      <c r="AKK84" t="s">
        <v>1900</v>
      </c>
      <c r="AKL84">
        <v>0</v>
      </c>
      <c r="AKM84">
        <v>0</v>
      </c>
      <c r="AKN84">
        <v>0</v>
      </c>
      <c r="AKO84">
        <v>0</v>
      </c>
      <c r="AKP84">
        <v>0</v>
      </c>
      <c r="AKQ84">
        <v>0</v>
      </c>
      <c r="AKR84">
        <v>0</v>
      </c>
      <c r="AKS84">
        <v>0</v>
      </c>
      <c r="AKT84">
        <v>0</v>
      </c>
      <c r="AKU84">
        <v>0</v>
      </c>
      <c r="AKV84">
        <v>16.251063232</v>
      </c>
      <c r="AKW84">
        <v>20.643998335</v>
      </c>
      <c r="AKX84">
        <v>17.092697154</v>
      </c>
      <c r="AKY84">
        <v>19.377166516</v>
      </c>
      <c r="AKZ84">
        <v>8.843941933</v>
      </c>
      <c r="ALA84">
        <v>14.11925254</v>
      </c>
      <c r="ALB84">
        <v>20.508300586</v>
      </c>
      <c r="ALC84">
        <v>18.554050614</v>
      </c>
      <c r="ALD84">
        <v>22.753102487</v>
      </c>
      <c r="ALE84">
        <v>18.232740028</v>
      </c>
      <c r="ALF84">
        <v>1.488281547</v>
      </c>
      <c r="ALG84">
        <v>2.069149211</v>
      </c>
      <c r="ALH84">
        <v>2.130681964</v>
      </c>
      <c r="ALI84">
        <v>3.094900434</v>
      </c>
      <c r="ALJ84">
        <v>2.190999779</v>
      </c>
      <c r="ALK84">
        <v>1.29304912</v>
      </c>
      <c r="ALL84">
        <v>2.055548218</v>
      </c>
      <c r="ALM84">
        <v>2.312846278</v>
      </c>
      <c r="ALN84">
        <v>3.634101338</v>
      </c>
      <c r="ALO84">
        <v>4.516982323</v>
      </c>
      <c r="ALP84">
        <v>49.964984592</v>
      </c>
      <c r="ALQ84">
        <v>31.511616556</v>
      </c>
      <c r="ALR84">
        <v>23.914364234</v>
      </c>
      <c r="ALS84">
        <v>10.885513812</v>
      </c>
      <c r="ALT84">
        <v>9.402846698999999</v>
      </c>
      <c r="ALU84" t="s">
        <v>1900</v>
      </c>
      <c r="ALV84" t="s">
        <v>1900</v>
      </c>
      <c r="ALW84">
        <v>0</v>
      </c>
      <c r="ALX84">
        <v>0</v>
      </c>
      <c r="ALY84">
        <v>0</v>
      </c>
      <c r="ALZ84">
        <v>100</v>
      </c>
      <c r="AMA84">
        <v>100</v>
      </c>
      <c r="AMB84">
        <v>100</v>
      </c>
      <c r="AMC84">
        <v>100</v>
      </c>
      <c r="AMD84">
        <v>100</v>
      </c>
      <c r="AME84" t="s">
        <v>1901</v>
      </c>
      <c r="AMF84" t="s">
        <v>1901</v>
      </c>
      <c r="AMG84" t="s">
        <v>1901</v>
      </c>
      <c r="AMH84" t="s">
        <v>1901</v>
      </c>
      <c r="AMI84" t="s">
        <v>1901</v>
      </c>
      <c r="AMJ84" t="s">
        <v>1900</v>
      </c>
      <c r="AMK84" t="s">
        <v>1900</v>
      </c>
      <c r="AML84" t="s">
        <v>1900</v>
      </c>
      <c r="AMM84" t="s">
        <v>1900</v>
      </c>
      <c r="AMN84" t="s">
        <v>1900</v>
      </c>
      <c r="AMO84">
        <v>1.6632119819873</v>
      </c>
      <c r="AMP84">
        <v>1.2539017793203</v>
      </c>
      <c r="AMQ84">
        <v>1.1910287733876</v>
      </c>
      <c r="AMR84">
        <v>1.32130576474433</v>
      </c>
      <c r="AMS84">
        <v>1.02125855617879</v>
      </c>
      <c r="AMT84">
        <v>1.6632119819873</v>
      </c>
      <c r="AMU84">
        <v>1.25390177883285</v>
      </c>
      <c r="AMV84">
        <v>1.1910287733876</v>
      </c>
      <c r="AMW84">
        <v>1.32130576474433</v>
      </c>
      <c r="AMX84">
        <v>1.02125855617879</v>
      </c>
      <c r="AMY84" t="s">
        <v>1900</v>
      </c>
      <c r="AMZ84" t="s">
        <v>1900</v>
      </c>
      <c r="ANA84" t="s">
        <v>1900</v>
      </c>
      <c r="ANB84" t="s">
        <v>1900</v>
      </c>
      <c r="ANC84" t="s">
        <v>1900</v>
      </c>
      <c r="AND84">
        <v>39.875373023399</v>
      </c>
      <c r="ANE84">
        <v>20.2489368003357</v>
      </c>
      <c r="ANF84">
        <v>16.0389721605348</v>
      </c>
      <c r="ANG84">
        <v>24.317290767781</v>
      </c>
      <c r="ANH84">
        <v>2.08160372808323</v>
      </c>
      <c r="ANI84">
        <v>40.7289075808748</v>
      </c>
      <c r="ANJ84">
        <v>20.3810999309785</v>
      </c>
      <c r="ANK84">
        <v>16.4803257682916</v>
      </c>
      <c r="ANL84">
        <v>25.2238092890487</v>
      </c>
      <c r="ANM84">
        <v>2.13660496362635</v>
      </c>
      <c r="ANN84">
        <v>66.3211981987305</v>
      </c>
      <c r="ANO84">
        <v>25.3901778709088</v>
      </c>
      <c r="ANP84">
        <v>19.1028773387595</v>
      </c>
      <c r="ANQ84">
        <v>32.1305764744332</v>
      </c>
      <c r="ANR84">
        <v>2.12585561787866</v>
      </c>
      <c r="ANS84">
        <v>41.1774512295387</v>
      </c>
      <c r="ANT84">
        <v>24.2131540965336</v>
      </c>
      <c r="ANU84">
        <v>21.3388343046904</v>
      </c>
      <c r="ANV84">
        <v>35.247810973637</v>
      </c>
      <c r="ANW84">
        <v>6.59248352250277</v>
      </c>
      <c r="ANX84" t="s">
        <v>1900</v>
      </c>
      <c r="ANY84" t="s">
        <v>1900</v>
      </c>
      <c r="ANZ84" t="s">
        <v>1900</v>
      </c>
      <c r="AOA84" t="s">
        <v>1900</v>
      </c>
      <c r="AOB84" t="s">
        <v>1900</v>
      </c>
      <c r="AOC84">
        <v>166.32119819873</v>
      </c>
      <c r="AOD84">
        <v>125.390177870909</v>
      </c>
      <c r="AOE84">
        <v>119.10287733876</v>
      </c>
      <c r="AOF84">
        <v>132.130576474433</v>
      </c>
      <c r="AOG84">
        <v>102.125855617879</v>
      </c>
      <c r="AOH84">
        <v>86.8820232757311</v>
      </c>
      <c r="AOI84">
        <v>99.34267699950681</v>
      </c>
      <c r="AOJ84" t="s">
        <v>1901</v>
      </c>
      <c r="AOK84" t="s">
        <v>1901</v>
      </c>
      <c r="AOL84" t="s">
        <v>1901</v>
      </c>
      <c r="AOM84" t="s">
        <v>1900</v>
      </c>
      <c r="AON84" t="s">
        <v>1900</v>
      </c>
      <c r="AOO84" t="s">
        <v>1900</v>
      </c>
      <c r="AOP84" t="s">
        <v>1900</v>
      </c>
      <c r="AOQ84" t="s">
        <v>1900</v>
      </c>
      <c r="AOR84">
        <v>66.3211981987305</v>
      </c>
      <c r="AOS84">
        <v>25.3901778832852</v>
      </c>
      <c r="AOT84">
        <v>19.1028773387595</v>
      </c>
      <c r="AOU84">
        <v>32.1305764744332</v>
      </c>
      <c r="AOV84">
        <v>2.12585561787866</v>
      </c>
      <c r="AOW84">
        <v>34.6445308714741</v>
      </c>
      <c r="AOX84">
        <v>20.1158358813917</v>
      </c>
      <c r="AOY84">
        <v>17.4102365807216</v>
      </c>
      <c r="AOZ84">
        <v>28.5539069185071</v>
      </c>
      <c r="APA84">
        <v>4.29145056601557</v>
      </c>
      <c r="APB84">
        <v>33.058500780301</v>
      </c>
      <c r="APC84">
        <v>15.8500084324666</v>
      </c>
      <c r="APD84">
        <v>12.7010844991236</v>
      </c>
      <c r="APE84">
        <v>19.6327932025313</v>
      </c>
      <c r="APF84">
        <v>1.94575154811893</v>
      </c>
      <c r="APG84">
        <v>33.7661198116709</v>
      </c>
      <c r="APH84">
        <v>15.9534601225877</v>
      </c>
      <c r="API84">
        <v>13.0505875352287</v>
      </c>
      <c r="APJ84">
        <v>20.3646794489175</v>
      </c>
      <c r="APK84">
        <v>1.99716322545341</v>
      </c>
      <c r="APL84" t="s">
        <v>1900</v>
      </c>
      <c r="APM84" t="s">
        <v>1900</v>
      </c>
      <c r="APN84" t="s">
        <v>1900</v>
      </c>
      <c r="APO84" t="s">
        <v>1900</v>
      </c>
      <c r="APP84" t="s">
        <v>1900</v>
      </c>
      <c r="APQ84">
        <v>54.9832946043333</v>
      </c>
      <c r="APR84">
        <v>19.8743537757116</v>
      </c>
      <c r="APS84">
        <v>15.1273570916834</v>
      </c>
      <c r="APT84">
        <v>25.9409228365379</v>
      </c>
      <c r="APU84">
        <v>1.98711541671457</v>
      </c>
      <c r="APV84">
        <v>54.9832946043333</v>
      </c>
      <c r="APW84">
        <v>19.8743537660239</v>
      </c>
      <c r="APX84">
        <v>15.1273570916834</v>
      </c>
      <c r="APY84">
        <v>25.9409228365379</v>
      </c>
      <c r="APZ84">
        <v>1.98711541671457</v>
      </c>
      <c r="AQA84">
        <v>28.7218943425489</v>
      </c>
      <c r="AQB84">
        <v>15.7458226814598</v>
      </c>
      <c r="AQC84">
        <v>13.7869736132832</v>
      </c>
      <c r="AQD84">
        <v>23.0532650618354</v>
      </c>
      <c r="AQE84">
        <v>4.01137664669227</v>
      </c>
      <c r="AQF84" t="s">
        <v>1900</v>
      </c>
      <c r="AQG84" t="s">
        <v>1900</v>
      </c>
      <c r="AQH84" t="s">
        <v>1900</v>
      </c>
      <c r="AQI84" t="s">
        <v>1900</v>
      </c>
      <c r="AQJ84" t="s">
        <v>1900</v>
      </c>
      <c r="AQK84">
        <v>5</v>
      </c>
      <c r="AQO84" t="s">
        <v>1902</v>
      </c>
      <c r="AQP84">
        <v>2</v>
      </c>
      <c r="AQQ84">
        <v>0</v>
      </c>
      <c r="AQS84" t="s">
        <v>1905</v>
      </c>
      <c r="AQU84" t="s">
        <v>1906</v>
      </c>
      <c r="AQV84">
        <v>2883917.71135048</v>
      </c>
      <c r="AQW84">
        <v>2842480.08172013</v>
      </c>
      <c r="AQX84">
        <v>2666868.70267639</v>
      </c>
      <c r="AQY84">
        <v>1149972.94508887</v>
      </c>
      <c r="AQZ84">
        <v>575571.995309639</v>
      </c>
      <c r="ARA84">
        <v>427738.328780282</v>
      </c>
      <c r="ARB84">
        <v>8393266.495747</v>
      </c>
      <c r="ARC84">
        <v>2153283.269178791</v>
      </c>
      <c r="ARD84">
        <v>0.3450783745716938</v>
      </c>
      <c r="ARE84">
        <v>0.3450783745716938</v>
      </c>
      <c r="ARF84">
        <v>0.3450783745716938</v>
      </c>
      <c r="ARG84">
        <v>0.3450783745716938</v>
      </c>
      <c r="ARH84">
        <v>0.3450783745716938</v>
      </c>
      <c r="ARI84">
        <v>0.3450783745716938</v>
      </c>
      <c r="ARJ84" t="s">
        <v>1245</v>
      </c>
      <c r="ARK84" t="s">
        <v>1583</v>
      </c>
      <c r="ARL84" t="s">
        <v>1908</v>
      </c>
      <c r="ARM84" t="s">
        <v>1908</v>
      </c>
      <c r="ARN84" t="s">
        <v>1909</v>
      </c>
      <c r="ARO84" t="s">
        <v>1908</v>
      </c>
      <c r="ARP84" t="s">
        <v>1907</v>
      </c>
      <c r="ARQ84" t="s">
        <v>1977</v>
      </c>
      <c r="ARR84">
        <f>HYPERLINK("C:\Users\Usuario\Documents\Proyectos\llmthon\evidence\netboss_es_235318.png", "Ver Evidencia")</f>
        <v>0</v>
      </c>
      <c r="ARS84">
        <v>95</v>
      </c>
    </row>
    <row r="85" spans="1:1163">
      <c r="A85">
        <v>211</v>
      </c>
      <c r="B85" t="s">
        <v>1246</v>
      </c>
      <c r="C85" t="s">
        <v>1369</v>
      </c>
      <c r="E85" s="2">
        <v>43055</v>
      </c>
      <c r="F85" t="s">
        <v>1431</v>
      </c>
      <c r="G85" t="s">
        <v>1433</v>
      </c>
      <c r="H85" t="s">
        <v>1434</v>
      </c>
      <c r="I85" t="s">
        <v>1443</v>
      </c>
      <c r="J85" t="s">
        <v>1478</v>
      </c>
      <c r="L85" t="s">
        <v>1584</v>
      </c>
      <c r="N85" t="s">
        <v>1629</v>
      </c>
      <c r="O85" t="s">
        <v>1653</v>
      </c>
      <c r="P85">
        <v>7022</v>
      </c>
      <c r="Q85">
        <v>7022</v>
      </c>
      <c r="R85" t="s">
        <v>1754</v>
      </c>
      <c r="S85" t="s">
        <v>1828</v>
      </c>
      <c r="T85" t="s">
        <v>1864</v>
      </c>
      <c r="U85" t="s">
        <v>1873</v>
      </c>
      <c r="X85" t="s">
        <v>1890</v>
      </c>
      <c r="Z85" t="s">
        <v>1899</v>
      </c>
      <c r="AA85" s="2">
        <v>45657</v>
      </c>
      <c r="AB85">
        <v>2024</v>
      </c>
      <c r="AC85">
        <v>3946368.27372426</v>
      </c>
      <c r="AD85">
        <v>6165946.95615123</v>
      </c>
      <c r="AE85">
        <v>11535937.0930498</v>
      </c>
      <c r="AF85">
        <v>1680066.40538006</v>
      </c>
      <c r="AG85">
        <v>802834.919553661</v>
      </c>
      <c r="AH85">
        <v>3938176.94562608</v>
      </c>
      <c r="AI85">
        <v>6155420.63302714</v>
      </c>
      <c r="AJ85">
        <v>11535295.0001578</v>
      </c>
      <c r="AK85">
        <v>1663522.22953885</v>
      </c>
      <c r="AL85">
        <v>790039.034834021</v>
      </c>
      <c r="AM85">
        <v>322270.938631647</v>
      </c>
      <c r="AN85">
        <v>389465.734387436</v>
      </c>
      <c r="AO85">
        <v>764579.779917794</v>
      </c>
      <c r="AP85">
        <v>394399.436264777</v>
      </c>
      <c r="AQ85">
        <v>88288.46932680609</v>
      </c>
      <c r="AR85">
        <v>3624097.33509261</v>
      </c>
      <c r="AS85">
        <v>5776481.22176379</v>
      </c>
      <c r="AT85">
        <v>10771357.313132</v>
      </c>
      <c r="AU85">
        <v>1285666.96911528</v>
      </c>
      <c r="AV85">
        <v>714546.450226855</v>
      </c>
      <c r="AW85">
        <v>3619207.83751532</v>
      </c>
      <c r="AX85">
        <v>5320987.13304364</v>
      </c>
      <c r="AY85">
        <v>3485584.74222426</v>
      </c>
      <c r="AZ85">
        <v>687098.896711278</v>
      </c>
      <c r="BA85">
        <v>1083836.29064982</v>
      </c>
      <c r="BB85">
        <v>4889.49757728815</v>
      </c>
      <c r="BC85">
        <v>455494.08872015</v>
      </c>
      <c r="BD85">
        <v>7285772.57090773</v>
      </c>
      <c r="BE85">
        <v>598568.072404003</v>
      </c>
      <c r="BF85">
        <v>-369289.840422964</v>
      </c>
      <c r="BG85">
        <v>-6201.83547735453</v>
      </c>
      <c r="BH85">
        <v>-775.565593064308</v>
      </c>
      <c r="BI85">
        <v>-16104.0086428899</v>
      </c>
      <c r="BJ85">
        <v>-551256.911144543</v>
      </c>
      <c r="BK85">
        <v>619624.343442291</v>
      </c>
      <c r="BL85">
        <v>1459.20712816358</v>
      </c>
      <c r="BM85">
        <v>3168.73257208824</v>
      </c>
      <c r="BN85">
        <v>15.9349963545799</v>
      </c>
      <c r="BO85" t="s">
        <v>1900</v>
      </c>
      <c r="BP85">
        <v>993183.262327975</v>
      </c>
      <c r="BQ85">
        <v>7661.0426055181</v>
      </c>
      <c r="BR85">
        <v>3944.29927015305</v>
      </c>
      <c r="BS85">
        <v>16119.9436392444</v>
      </c>
      <c r="BT85">
        <v>551256.911144543</v>
      </c>
      <c r="BU85">
        <v>373558.918885684</v>
      </c>
      <c r="BV85">
        <v>-1312.33790006638</v>
      </c>
      <c r="BW85">
        <v>454718.522022085</v>
      </c>
      <c r="BX85">
        <v>7269668.56119824</v>
      </c>
      <c r="BY85">
        <v>47311.1612594604</v>
      </c>
      <c r="BZ85">
        <v>250334.503019327</v>
      </c>
      <c r="CA85">
        <v>-107129.294803625</v>
      </c>
      <c r="CB85">
        <v>284462.399263229</v>
      </c>
      <c r="CC85">
        <v>1609354.25287514</v>
      </c>
      <c r="CD85">
        <v>-39134.7157718182</v>
      </c>
      <c r="CE85">
        <v>-22430.4548691213</v>
      </c>
      <c r="CF85">
        <v>105816.956903559</v>
      </c>
      <c r="CG85">
        <v>170256.121653855</v>
      </c>
      <c r="CH85">
        <v>5660314.3083231</v>
      </c>
      <c r="CI85">
        <v>86445.87703127859</v>
      </c>
      <c r="CJ85">
        <v>272764.957888448</v>
      </c>
      <c r="CK85" t="s">
        <v>1900</v>
      </c>
      <c r="CL85" t="s">
        <v>1900</v>
      </c>
      <c r="CM85" t="s">
        <v>1900</v>
      </c>
      <c r="CN85" t="s">
        <v>1900</v>
      </c>
      <c r="CO85" t="s">
        <v>1900</v>
      </c>
      <c r="CP85" t="s">
        <v>1900</v>
      </c>
      <c r="CQ85" t="s">
        <v>1900</v>
      </c>
      <c r="CR85" t="s">
        <v>1900</v>
      </c>
      <c r="CS85" t="s">
        <v>1900</v>
      </c>
      <c r="CT85" t="s">
        <v>1900</v>
      </c>
      <c r="CU85" t="s">
        <v>1900</v>
      </c>
      <c r="CV85" t="s">
        <v>1900</v>
      </c>
      <c r="CW85" t="s">
        <v>1900</v>
      </c>
      <c r="CX85" t="s">
        <v>1900</v>
      </c>
      <c r="CY85" t="s">
        <v>1900</v>
      </c>
      <c r="CZ85">
        <v>105816.956903559</v>
      </c>
      <c r="DA85">
        <v>170256.121653855</v>
      </c>
      <c r="DB85">
        <v>5660314.3083231</v>
      </c>
      <c r="DC85">
        <v>86445.87703127859</v>
      </c>
      <c r="DD85">
        <v>272764.957888448</v>
      </c>
      <c r="DE85" t="s">
        <v>1900</v>
      </c>
      <c r="DF85" t="s">
        <v>1900</v>
      </c>
      <c r="DG85" t="s">
        <v>1900</v>
      </c>
      <c r="DH85" t="s">
        <v>1900</v>
      </c>
      <c r="DI85" t="s">
        <v>1900</v>
      </c>
      <c r="DJ85">
        <v>322270.938631647</v>
      </c>
      <c r="DK85">
        <v>389465.734387436</v>
      </c>
      <c r="DL85">
        <v>764579.779917794</v>
      </c>
      <c r="DM85">
        <v>394399.436264777</v>
      </c>
      <c r="DN85">
        <v>88288.46932680609</v>
      </c>
      <c r="DO85">
        <v>1132614.28432982</v>
      </c>
      <c r="DP85">
        <v>1237597.31776847</v>
      </c>
      <c r="DQ85">
        <v>1920887.67667314</v>
      </c>
      <c r="DR85">
        <v>299142.313925529</v>
      </c>
      <c r="DS85">
        <v>260348.259123325</v>
      </c>
      <c r="DT85">
        <v>289715.43200121</v>
      </c>
      <c r="DU85">
        <v>552390.322505989</v>
      </c>
      <c r="DV85">
        <v>529496.026368159</v>
      </c>
      <c r="DW85">
        <v>2056.71155033112</v>
      </c>
      <c r="DX85">
        <v>1892.07668078542</v>
      </c>
      <c r="DY85">
        <v>2196878.1211843</v>
      </c>
      <c r="DZ85">
        <v>3530999.49276918</v>
      </c>
      <c r="EA85">
        <v>1035201.03811636</v>
      </c>
      <c r="EB85">
        <v>385899.871235418</v>
      </c>
      <c r="EC85">
        <v>821595.954845709</v>
      </c>
      <c r="ED85">
        <v>2368.04683553934</v>
      </c>
      <c r="EE85">
        <v>3944.29927015305</v>
      </c>
      <c r="EF85">
        <v>15982.6733517051</v>
      </c>
      <c r="EG85">
        <v>551207.68833518</v>
      </c>
      <c r="EH85">
        <v>174193.813646173</v>
      </c>
      <c r="EI85" t="s">
        <v>1900</v>
      </c>
      <c r="EJ85" t="s">
        <v>1900</v>
      </c>
      <c r="EK85" t="s">
        <v>1900</v>
      </c>
      <c r="EL85" t="s">
        <v>1900</v>
      </c>
      <c r="EM85" t="s">
        <v>1900</v>
      </c>
      <c r="EN85">
        <v>395532.38786587</v>
      </c>
      <c r="EO85">
        <v>722646.445264845</v>
      </c>
      <c r="EP85">
        <v>6189810.33469126</v>
      </c>
      <c r="EQ85">
        <v>88502.5885816097</v>
      </c>
      <c r="ER85">
        <v>274657.034569234</v>
      </c>
      <c r="ES85">
        <v>1423385.4242276</v>
      </c>
      <c r="ET85">
        <v>2248650.4615667</v>
      </c>
      <c r="EU85">
        <v>9736034.936524641</v>
      </c>
      <c r="EV85">
        <v>899717.8750705</v>
      </c>
      <c r="EW85">
        <v>686768.652469611</v>
      </c>
      <c r="EX85">
        <v>294604.928539599</v>
      </c>
      <c r="EY85">
        <v>1007884.41012114</v>
      </c>
      <c r="EZ85">
        <v>7815268.59727589</v>
      </c>
      <c r="FA85">
        <v>600624.783954334</v>
      </c>
      <c r="FB85">
        <v>-367397.763742179</v>
      </c>
      <c r="FC85">
        <v>835274.55559985</v>
      </c>
      <c r="FD85">
        <v>478078.320905676</v>
      </c>
      <c r="FE85">
        <v>896119.303068709</v>
      </c>
      <c r="FF85">
        <v>1095298.6486604</v>
      </c>
      <c r="FG85">
        <v>651082.396063423</v>
      </c>
      <c r="FH85">
        <v>586063.261005506</v>
      </c>
      <c r="FI85">
        <v>298382.775610523</v>
      </c>
      <c r="FJ85">
        <v>808396.006875294</v>
      </c>
      <c r="FK85">
        <v>890459.2752930881</v>
      </c>
      <c r="FL85">
        <v>503402.762399912</v>
      </c>
      <c r="FM85">
        <v>16299.7312350059</v>
      </c>
      <c r="FN85">
        <v>21296.8624077702</v>
      </c>
      <c r="FO85">
        <v>21176.4368957996</v>
      </c>
      <c r="FP85">
        <v>10148.3932309628</v>
      </c>
      <c r="FQ85">
        <v>11611.4025788784</v>
      </c>
      <c r="FR85">
        <v>232911.563359338</v>
      </c>
      <c r="FS85">
        <v>158398.682887383</v>
      </c>
      <c r="FT85">
        <v>66546.8592976153</v>
      </c>
      <c r="FU85">
        <v>194690.980136347</v>
      </c>
      <c r="FV85">
        <v>136068.231084633</v>
      </c>
      <c r="FW85">
        <v>586063.261005506</v>
      </c>
      <c r="FX85">
        <v>298382.775610523</v>
      </c>
      <c r="FY85">
        <v>808396.006875294</v>
      </c>
      <c r="FZ85">
        <v>890459.2752930881</v>
      </c>
      <c r="GA85">
        <v>503402.762399912</v>
      </c>
      <c r="GB85">
        <v>16299.7312350059</v>
      </c>
      <c r="GC85">
        <v>21296.8624077702</v>
      </c>
      <c r="GD85">
        <v>21176.4368957996</v>
      </c>
      <c r="GE85">
        <v>10148.3932309628</v>
      </c>
      <c r="GF85">
        <v>11611.4025788784</v>
      </c>
      <c r="GG85">
        <v>232911.563359338</v>
      </c>
      <c r="GH85">
        <v>158398.682887383</v>
      </c>
      <c r="GI85">
        <v>66546.8592976153</v>
      </c>
      <c r="GJ85">
        <v>194690.980136347</v>
      </c>
      <c r="GK85">
        <v>136068.231084633</v>
      </c>
      <c r="GL85">
        <v>1708373.80202264</v>
      </c>
      <c r="GM85">
        <v>3856958.88175575</v>
      </c>
      <c r="GN85">
        <v>6503287.50806468</v>
      </c>
      <c r="GO85">
        <v>536236.96614511</v>
      </c>
      <c r="GP85">
        <v>573509.375033009</v>
      </c>
      <c r="GQ85">
        <v>0</v>
      </c>
      <c r="GR85">
        <v>0</v>
      </c>
      <c r="GS85">
        <v>0</v>
      </c>
      <c r="GT85">
        <v>0</v>
      </c>
      <c r="GU85">
        <v>0</v>
      </c>
      <c r="GV85">
        <v>460191.408142382</v>
      </c>
      <c r="GW85">
        <v>686384.461690912</v>
      </c>
      <c r="GX85">
        <v>2237835.0208156</v>
      </c>
      <c r="GY85">
        <v>294432.927869081</v>
      </c>
      <c r="GZ85">
        <v>181210.293814361</v>
      </c>
      <c r="HA85">
        <v>1248182.39388026</v>
      </c>
      <c r="HB85">
        <v>3170574.42006484</v>
      </c>
      <c r="HC85">
        <v>4265452.48724907</v>
      </c>
      <c r="HD85">
        <v>241804.038276029</v>
      </c>
      <c r="HE85">
        <v>392299.081218648</v>
      </c>
      <c r="HF85">
        <v>1128326.97448242</v>
      </c>
      <c r="HG85">
        <v>2913336.71361972</v>
      </c>
      <c r="HH85">
        <v>4119712.49316337</v>
      </c>
      <c r="HI85">
        <v>239595.467676473</v>
      </c>
      <c r="HJ85">
        <v>206309.112923074</v>
      </c>
      <c r="HK85">
        <v>2543648.35762249</v>
      </c>
      <c r="HL85">
        <v>4335037.20266143</v>
      </c>
      <c r="HM85">
        <v>7399406.81113338</v>
      </c>
      <c r="HN85">
        <v>1631535.61480551</v>
      </c>
      <c r="HO85">
        <v>1224591.77109643</v>
      </c>
      <c r="HP85">
        <v>2057274.28119146</v>
      </c>
      <c r="HQ85">
        <v>2511862.19849289</v>
      </c>
      <c r="HR85">
        <v>3860129.74931806</v>
      </c>
      <c r="HS85">
        <v>812563.817044973</v>
      </c>
      <c r="HT85">
        <v>688298.42808224</v>
      </c>
      <c r="HU85">
        <v>3539.53073585033</v>
      </c>
      <c r="HV85">
        <v>3764.73668956757</v>
      </c>
      <c r="HW85">
        <v>3633.90445649624</v>
      </c>
      <c r="HX85">
        <v>3858.76924753189</v>
      </c>
      <c r="HY85">
        <v>3681.29789829254</v>
      </c>
      <c r="HZ85">
        <v>2053734.75045561</v>
      </c>
      <c r="IA85">
        <v>2508097.46180332</v>
      </c>
      <c r="IB85">
        <v>3856495.84486156</v>
      </c>
      <c r="IC85">
        <v>808705.047797441</v>
      </c>
      <c r="ID85">
        <v>684617.130183947</v>
      </c>
      <c r="IE85">
        <v>94958.18151114701</v>
      </c>
      <c r="IF85">
        <v>1382772.51497131</v>
      </c>
      <c r="IG85">
        <v>385281.045564777</v>
      </c>
      <c r="IH85">
        <v>543010.448305893</v>
      </c>
      <c r="II85">
        <v>230081.118643284</v>
      </c>
      <c r="IJ85">
        <v>47404.1653206837</v>
      </c>
      <c r="IK85">
        <v>101839.188304176</v>
      </c>
      <c r="IL85">
        <v>189163.040473843</v>
      </c>
      <c r="IM85">
        <v>542229.34937125</v>
      </c>
      <c r="IN85">
        <v>230081.118643284</v>
      </c>
      <c r="IO85">
        <v>47554.0161904633</v>
      </c>
      <c r="IP85">
        <v>1280933.32666714</v>
      </c>
      <c r="IQ85">
        <v>196118.005090934</v>
      </c>
      <c r="IR85">
        <v>781.097802042961</v>
      </c>
      <c r="IS85">
        <v>0</v>
      </c>
      <c r="IT85">
        <v>47554.0161904633</v>
      </c>
      <c r="IU85">
        <v>1211493.49325339</v>
      </c>
      <c r="IV85">
        <v>2767.0577203989</v>
      </c>
      <c r="IW85">
        <v>781.097802042961</v>
      </c>
      <c r="IX85">
        <v>0</v>
      </c>
      <c r="IY85">
        <v>391415.894919884</v>
      </c>
      <c r="IZ85">
        <v>440402.489197226</v>
      </c>
      <c r="JA85">
        <v>3153996.01625055</v>
      </c>
      <c r="JB85">
        <v>275961.349454641</v>
      </c>
      <c r="JC85">
        <v>306212.224370909</v>
      </c>
      <c r="JD85">
        <v>48337.8243380916</v>
      </c>
      <c r="JE85">
        <v>50439.2393865109</v>
      </c>
      <c r="JF85">
        <v>47685.9138968706</v>
      </c>
      <c r="JG85">
        <v>61922.1469398737</v>
      </c>
      <c r="JH85">
        <v>0</v>
      </c>
      <c r="JI85">
        <v>203571.305362055</v>
      </c>
      <c r="JJ85">
        <v>179849.04091404</v>
      </c>
      <c r="JK85">
        <v>213722.837606347</v>
      </c>
      <c r="JL85">
        <v>23869.1663957119</v>
      </c>
      <c r="JM85">
        <v>27830.1580843508</v>
      </c>
      <c r="JN85">
        <v>139506.765219737</v>
      </c>
      <c r="JO85">
        <v>210114.208896675</v>
      </c>
      <c r="JP85">
        <v>2892587.26474733</v>
      </c>
      <c r="JQ85">
        <v>190170.036119056</v>
      </c>
      <c r="JR85">
        <v>278382.066286558</v>
      </c>
      <c r="JS85">
        <v>2543648.35762249</v>
      </c>
      <c r="JT85">
        <v>4335037.20266143</v>
      </c>
      <c r="JU85">
        <v>7399406.81113338</v>
      </c>
      <c r="JV85">
        <v>1631535.61480551</v>
      </c>
      <c r="JW85">
        <v>1224591.77109643</v>
      </c>
      <c r="JX85">
        <v>256620.102780327</v>
      </c>
      <c r="JY85">
        <v>506535.420776873</v>
      </c>
      <c r="JZ85">
        <v>2024112.18320926</v>
      </c>
      <c r="KA85">
        <v>270563.76147337</v>
      </c>
      <c r="KB85">
        <v>153380.13573001</v>
      </c>
      <c r="KC85" t="s">
        <v>1900</v>
      </c>
      <c r="KD85" t="s">
        <v>1900</v>
      </c>
      <c r="KE85" t="s">
        <v>1900</v>
      </c>
      <c r="KF85" t="s">
        <v>1900</v>
      </c>
      <c r="KG85" t="s">
        <v>1900</v>
      </c>
      <c r="KH85" t="s">
        <v>1900</v>
      </c>
      <c r="KI85" t="s">
        <v>1900</v>
      </c>
      <c r="KJ85" t="s">
        <v>1900</v>
      </c>
      <c r="KK85" t="s">
        <v>1900</v>
      </c>
      <c r="KL85" t="s">
        <v>1900</v>
      </c>
      <c r="KM85">
        <v>18</v>
      </c>
      <c r="KN85">
        <v>14</v>
      </c>
      <c r="KO85">
        <v>10</v>
      </c>
      <c r="KP85">
        <v>5</v>
      </c>
      <c r="KQ85">
        <v>3</v>
      </c>
      <c r="KR85" t="s">
        <v>1900</v>
      </c>
      <c r="KS85" t="s">
        <v>1900</v>
      </c>
      <c r="KT85" t="s">
        <v>1900</v>
      </c>
      <c r="KU85" t="s">
        <v>1900</v>
      </c>
      <c r="KV85" t="s">
        <v>1900</v>
      </c>
      <c r="KW85" t="s">
        <v>1900</v>
      </c>
      <c r="KX85" t="s">
        <v>1900</v>
      </c>
      <c r="KY85" t="s">
        <v>1900</v>
      </c>
      <c r="KZ85" t="s">
        <v>1900</v>
      </c>
      <c r="LA85" t="s">
        <v>1900</v>
      </c>
      <c r="LB85" t="s">
        <v>1900</v>
      </c>
      <c r="LC85" t="s">
        <v>1900</v>
      </c>
      <c r="LD85" t="s">
        <v>1900</v>
      </c>
      <c r="LE85" t="s">
        <v>1900</v>
      </c>
      <c r="LF85" t="s">
        <v>1900</v>
      </c>
      <c r="LG85" t="s">
        <v>1900</v>
      </c>
      <c r="LH85" t="s">
        <v>1900</v>
      </c>
      <c r="LI85" t="s">
        <v>1900</v>
      </c>
      <c r="LJ85" t="s">
        <v>1900</v>
      </c>
      <c r="LK85" t="s">
        <v>1900</v>
      </c>
      <c r="LL85" t="s">
        <v>1900</v>
      </c>
      <c r="LM85" t="s">
        <v>1900</v>
      </c>
      <c r="LN85" t="s">
        <v>1900</v>
      </c>
      <c r="LO85" t="s">
        <v>1900</v>
      </c>
      <c r="LP85" t="s">
        <v>1900</v>
      </c>
      <c r="LQ85" t="s">
        <v>1900</v>
      </c>
      <c r="LR85" t="s">
        <v>1900</v>
      </c>
      <c r="LS85" t="s">
        <v>1900</v>
      </c>
      <c r="LT85" t="s">
        <v>1900</v>
      </c>
      <c r="LU85" t="s">
        <v>1900</v>
      </c>
      <c r="LV85" t="s">
        <v>1900</v>
      </c>
      <c r="LW85" t="s">
        <v>1900</v>
      </c>
      <c r="LX85" t="s">
        <v>1900</v>
      </c>
      <c r="LY85" t="s">
        <v>1900</v>
      </c>
      <c r="LZ85" t="s">
        <v>1900</v>
      </c>
      <c r="MA85" t="s">
        <v>1900</v>
      </c>
      <c r="MB85" t="s">
        <v>1900</v>
      </c>
      <c r="MC85" t="s">
        <v>1900</v>
      </c>
      <c r="MD85" t="s">
        <v>1900</v>
      </c>
      <c r="ME85" t="s">
        <v>1900</v>
      </c>
      <c r="MF85" t="s">
        <v>1900</v>
      </c>
      <c r="MG85" t="s">
        <v>1900</v>
      </c>
      <c r="MH85" t="s">
        <v>1900</v>
      </c>
      <c r="MI85" t="s">
        <v>1900</v>
      </c>
      <c r="MJ85" t="s">
        <v>1900</v>
      </c>
      <c r="MK85" t="s">
        <v>1900</v>
      </c>
      <c r="ML85" t="s">
        <v>1900</v>
      </c>
      <c r="MM85" t="s">
        <v>1900</v>
      </c>
      <c r="MN85" t="s">
        <v>1900</v>
      </c>
      <c r="MO85" t="s">
        <v>1900</v>
      </c>
      <c r="MP85">
        <v>1248182.39388026</v>
      </c>
      <c r="MQ85">
        <v>3170574.42006484</v>
      </c>
      <c r="MR85">
        <v>4265452.48724907</v>
      </c>
      <c r="MS85">
        <v>241804.038276029</v>
      </c>
      <c r="MT85">
        <v>392299.081218648</v>
      </c>
      <c r="MU85" t="s">
        <v>1900</v>
      </c>
      <c r="MV85" t="s">
        <v>1900</v>
      </c>
      <c r="MW85" t="s">
        <v>1900</v>
      </c>
      <c r="MX85" t="s">
        <v>1900</v>
      </c>
      <c r="MY85" t="s">
        <v>1900</v>
      </c>
      <c r="MZ85" t="s">
        <v>1900</v>
      </c>
      <c r="NA85" t="s">
        <v>1900</v>
      </c>
      <c r="NB85" t="s">
        <v>1900</v>
      </c>
      <c r="NC85" t="s">
        <v>1900</v>
      </c>
      <c r="ND85" t="s">
        <v>1900</v>
      </c>
      <c r="NE85" t="s">
        <v>1900</v>
      </c>
      <c r="NF85" t="s">
        <v>1900</v>
      </c>
      <c r="NG85" t="s">
        <v>1900</v>
      </c>
      <c r="NH85" t="s">
        <v>1900</v>
      </c>
      <c r="NI85" t="s">
        <v>1900</v>
      </c>
      <c r="NJ85" t="s">
        <v>1900</v>
      </c>
      <c r="NK85" t="s">
        <v>1900</v>
      </c>
      <c r="NL85" t="s">
        <v>1900</v>
      </c>
      <c r="NM85" t="s">
        <v>1900</v>
      </c>
      <c r="NN85" t="s">
        <v>1900</v>
      </c>
      <c r="NO85" t="s">
        <v>1900</v>
      </c>
      <c r="NP85" t="s">
        <v>1900</v>
      </c>
      <c r="NQ85" t="s">
        <v>1900</v>
      </c>
      <c r="NR85" t="s">
        <v>1900</v>
      </c>
      <c r="NS85" t="s">
        <v>1900</v>
      </c>
      <c r="NT85">
        <v>835274.55559985</v>
      </c>
      <c r="NU85">
        <v>478078.320905676</v>
      </c>
      <c r="NV85">
        <v>896119.303068709</v>
      </c>
      <c r="NW85">
        <v>1095298.6486604</v>
      </c>
      <c r="NX85">
        <v>651082.396063423</v>
      </c>
      <c r="NY85" t="s">
        <v>1900</v>
      </c>
      <c r="NZ85" t="s">
        <v>1900</v>
      </c>
      <c r="OA85" t="s">
        <v>1900</v>
      </c>
      <c r="OB85" t="s">
        <v>1900</v>
      </c>
      <c r="OC85" t="s">
        <v>1900</v>
      </c>
      <c r="OD85" t="s">
        <v>1900</v>
      </c>
      <c r="OE85" t="s">
        <v>1900</v>
      </c>
      <c r="OF85" t="s">
        <v>1900</v>
      </c>
      <c r="OG85" t="s">
        <v>1900</v>
      </c>
      <c r="OH85" t="s">
        <v>1900</v>
      </c>
      <c r="OI85" t="s">
        <v>1900</v>
      </c>
      <c r="OJ85" t="s">
        <v>1900</v>
      </c>
      <c r="OK85" t="s">
        <v>1900</v>
      </c>
      <c r="OL85" t="s">
        <v>1900</v>
      </c>
      <c r="OM85" t="s">
        <v>1900</v>
      </c>
      <c r="ON85" t="s">
        <v>1900</v>
      </c>
      <c r="OO85" t="s">
        <v>1900</v>
      </c>
      <c r="OP85" t="s">
        <v>1900</v>
      </c>
      <c r="OQ85" t="s">
        <v>1900</v>
      </c>
      <c r="OR85" t="s">
        <v>1900</v>
      </c>
      <c r="OS85" t="s">
        <v>1900</v>
      </c>
      <c r="OT85" t="s">
        <v>1900</v>
      </c>
      <c r="OU85" t="s">
        <v>1900</v>
      </c>
      <c r="OV85" t="s">
        <v>1900</v>
      </c>
      <c r="OW85" t="s">
        <v>1900</v>
      </c>
      <c r="OX85" t="s">
        <v>1900</v>
      </c>
      <c r="OY85" t="s">
        <v>1900</v>
      </c>
      <c r="OZ85" t="s">
        <v>1900</v>
      </c>
      <c r="PA85" t="s">
        <v>1900</v>
      </c>
      <c r="PB85" t="s">
        <v>1900</v>
      </c>
      <c r="PC85" t="s">
        <v>1900</v>
      </c>
      <c r="PD85" t="s">
        <v>1900</v>
      </c>
      <c r="PE85" t="s">
        <v>1900</v>
      </c>
      <c r="PF85" t="s">
        <v>1900</v>
      </c>
      <c r="PG85" t="s">
        <v>1900</v>
      </c>
      <c r="PH85" t="s">
        <v>1900</v>
      </c>
      <c r="PI85" t="s">
        <v>1900</v>
      </c>
      <c r="PJ85" t="s">
        <v>1900</v>
      </c>
      <c r="PK85" t="s">
        <v>1900</v>
      </c>
      <c r="PL85" t="s">
        <v>1900</v>
      </c>
      <c r="PM85" t="s">
        <v>1900</v>
      </c>
      <c r="PN85" t="s">
        <v>1900</v>
      </c>
      <c r="PO85" t="s">
        <v>1900</v>
      </c>
      <c r="PP85" t="s">
        <v>1900</v>
      </c>
      <c r="PQ85" t="s">
        <v>1900</v>
      </c>
      <c r="PR85" t="s">
        <v>1900</v>
      </c>
      <c r="PS85" t="s">
        <v>1900</v>
      </c>
      <c r="PT85" t="s">
        <v>1900</v>
      </c>
      <c r="PU85" t="s">
        <v>1900</v>
      </c>
      <c r="PV85" t="s">
        <v>1900</v>
      </c>
      <c r="PW85" t="s">
        <v>1900</v>
      </c>
      <c r="PX85" t="s">
        <v>1900</v>
      </c>
      <c r="PY85" t="s">
        <v>1900</v>
      </c>
      <c r="PZ85" t="s">
        <v>1900</v>
      </c>
      <c r="QA85" t="s">
        <v>1900</v>
      </c>
      <c r="QB85" t="s">
        <v>1900</v>
      </c>
      <c r="QC85" t="s">
        <v>1900</v>
      </c>
      <c r="QD85" t="s">
        <v>1900</v>
      </c>
      <c r="QE85" t="s">
        <v>1900</v>
      </c>
      <c r="QF85" t="s">
        <v>1900</v>
      </c>
      <c r="QG85" t="s">
        <v>1900</v>
      </c>
      <c r="QH85" t="s">
        <v>1900</v>
      </c>
      <c r="QI85" t="s">
        <v>1900</v>
      </c>
      <c r="QJ85" t="s">
        <v>1900</v>
      </c>
      <c r="QK85" t="s">
        <v>1900</v>
      </c>
      <c r="QL85" t="s">
        <v>1900</v>
      </c>
      <c r="QM85" t="s">
        <v>1900</v>
      </c>
      <c r="QN85" t="s">
        <v>1900</v>
      </c>
      <c r="QO85" t="s">
        <v>1900</v>
      </c>
      <c r="QP85" t="s">
        <v>1900</v>
      </c>
      <c r="QQ85" t="s">
        <v>1900</v>
      </c>
      <c r="QR85" t="s">
        <v>1900</v>
      </c>
      <c r="QS85" t="s">
        <v>1900</v>
      </c>
      <c r="QT85" t="s">
        <v>1900</v>
      </c>
      <c r="QU85" t="s">
        <v>1900</v>
      </c>
      <c r="QV85" t="s">
        <v>1900</v>
      </c>
      <c r="QW85" t="s">
        <v>1900</v>
      </c>
      <c r="QX85" t="s">
        <v>1900</v>
      </c>
      <c r="QY85" t="s">
        <v>1900</v>
      </c>
      <c r="QZ85" t="s">
        <v>1900</v>
      </c>
      <c r="RA85" t="s">
        <v>1900</v>
      </c>
      <c r="RB85" t="s">
        <v>1900</v>
      </c>
      <c r="RC85" t="s">
        <v>1900</v>
      </c>
      <c r="RD85" t="s">
        <v>1900</v>
      </c>
      <c r="RE85" t="s">
        <v>1900</v>
      </c>
      <c r="RF85" t="s">
        <v>1900</v>
      </c>
      <c r="RG85" t="s">
        <v>1900</v>
      </c>
      <c r="RH85" t="s">
        <v>1900</v>
      </c>
      <c r="RI85" t="s">
        <v>1900</v>
      </c>
      <c r="RJ85" t="s">
        <v>1900</v>
      </c>
      <c r="RK85" t="s">
        <v>1900</v>
      </c>
      <c r="RL85" t="s">
        <v>1900</v>
      </c>
      <c r="RM85" t="s">
        <v>1900</v>
      </c>
      <c r="RN85" t="s">
        <v>1900</v>
      </c>
      <c r="RO85" t="s">
        <v>1900</v>
      </c>
      <c r="RP85" t="s">
        <v>1900</v>
      </c>
      <c r="RQ85" t="s">
        <v>1900</v>
      </c>
      <c r="RR85" t="s">
        <v>1900</v>
      </c>
      <c r="RS85" t="s">
        <v>1900</v>
      </c>
      <c r="RT85" t="s">
        <v>1900</v>
      </c>
      <c r="RU85" t="s">
        <v>1900</v>
      </c>
      <c r="RV85" t="s">
        <v>1900</v>
      </c>
      <c r="RW85" t="s">
        <v>1900</v>
      </c>
      <c r="RX85" t="s">
        <v>1900</v>
      </c>
      <c r="RY85" t="s">
        <v>1900</v>
      </c>
      <c r="RZ85" t="s">
        <v>1900</v>
      </c>
      <c r="SA85" t="s">
        <v>1900</v>
      </c>
      <c r="SB85" t="s">
        <v>1900</v>
      </c>
      <c r="SC85" t="s">
        <v>1900</v>
      </c>
      <c r="SD85" t="s">
        <v>1900</v>
      </c>
      <c r="SE85" t="s">
        <v>1900</v>
      </c>
      <c r="SF85" t="s">
        <v>1900</v>
      </c>
      <c r="SG85" t="s">
        <v>1900</v>
      </c>
      <c r="SH85" t="s">
        <v>1900</v>
      </c>
      <c r="SI85" t="s">
        <v>1900</v>
      </c>
      <c r="SJ85">
        <v>232911.563359338</v>
      </c>
      <c r="SK85">
        <v>158398.682887383</v>
      </c>
      <c r="SL85">
        <v>66546.8592976153</v>
      </c>
      <c r="SM85">
        <v>194690.980136347</v>
      </c>
      <c r="SN85">
        <v>136068.231084633</v>
      </c>
      <c r="SO85" t="s">
        <v>1900</v>
      </c>
      <c r="SP85" t="s">
        <v>1900</v>
      </c>
      <c r="SQ85" t="s">
        <v>1900</v>
      </c>
      <c r="SR85" t="s">
        <v>1900</v>
      </c>
      <c r="SS85" t="s">
        <v>1900</v>
      </c>
      <c r="ST85" t="s">
        <v>1900</v>
      </c>
      <c r="SU85" t="s">
        <v>1900</v>
      </c>
      <c r="SV85" t="s">
        <v>1900</v>
      </c>
      <c r="SW85" t="s">
        <v>1900</v>
      </c>
      <c r="SX85" t="s">
        <v>1900</v>
      </c>
      <c r="SY85" t="s">
        <v>1900</v>
      </c>
      <c r="SZ85" t="s">
        <v>1900</v>
      </c>
      <c r="TA85" t="s">
        <v>1900</v>
      </c>
      <c r="TB85" t="s">
        <v>1900</v>
      </c>
      <c r="TC85" t="s">
        <v>1900</v>
      </c>
      <c r="TD85" t="s">
        <v>1900</v>
      </c>
      <c r="TE85" t="s">
        <v>1900</v>
      </c>
      <c r="TF85" t="s">
        <v>1900</v>
      </c>
      <c r="TG85" t="s">
        <v>1900</v>
      </c>
      <c r="TH85" t="s">
        <v>1900</v>
      </c>
      <c r="TI85" t="s">
        <v>1900</v>
      </c>
      <c r="TJ85" t="s">
        <v>1900</v>
      </c>
      <c r="TK85" t="s">
        <v>1900</v>
      </c>
      <c r="TL85" t="s">
        <v>1900</v>
      </c>
      <c r="TM85" t="s">
        <v>1900</v>
      </c>
      <c r="TN85" t="s">
        <v>1900</v>
      </c>
      <c r="TO85" t="s">
        <v>1900</v>
      </c>
      <c r="TP85" t="s">
        <v>1900</v>
      </c>
      <c r="TQ85" t="s">
        <v>1900</v>
      </c>
      <c r="TR85" t="s">
        <v>1900</v>
      </c>
      <c r="TS85">
        <v>2543648.35762249</v>
      </c>
      <c r="TT85">
        <v>4335037.20266143</v>
      </c>
      <c r="TU85">
        <v>7399406.81113338</v>
      </c>
      <c r="TV85">
        <v>1631535.61480551</v>
      </c>
      <c r="TW85">
        <v>1224591.77109643</v>
      </c>
      <c r="TX85" t="s">
        <v>1900</v>
      </c>
      <c r="TY85" t="s">
        <v>1900</v>
      </c>
      <c r="TZ85" t="s">
        <v>1900</v>
      </c>
      <c r="UA85" t="s">
        <v>1900</v>
      </c>
      <c r="UB85" t="s">
        <v>1900</v>
      </c>
      <c r="UC85">
        <v>48337.8243380916</v>
      </c>
      <c r="UD85">
        <v>50439.2393865109</v>
      </c>
      <c r="UE85">
        <v>47685.9138968706</v>
      </c>
      <c r="UF85">
        <v>61922.1469398737</v>
      </c>
      <c r="UG85">
        <v>0</v>
      </c>
      <c r="UH85" t="s">
        <v>1900</v>
      </c>
      <c r="UI85" t="s">
        <v>1900</v>
      </c>
      <c r="UJ85" t="s">
        <v>1900</v>
      </c>
      <c r="UK85" t="s">
        <v>1900</v>
      </c>
      <c r="UL85" t="s">
        <v>1900</v>
      </c>
      <c r="UM85" t="s">
        <v>1900</v>
      </c>
      <c r="UN85" t="s">
        <v>1900</v>
      </c>
      <c r="UO85" t="s">
        <v>1900</v>
      </c>
      <c r="UP85" t="s">
        <v>1900</v>
      </c>
      <c r="UQ85" t="s">
        <v>1900</v>
      </c>
      <c r="UR85" t="s">
        <v>1900</v>
      </c>
      <c r="US85" t="s">
        <v>1900</v>
      </c>
      <c r="UT85" t="s">
        <v>1900</v>
      </c>
      <c r="UU85" t="s">
        <v>1900</v>
      </c>
      <c r="UV85" t="s">
        <v>1900</v>
      </c>
      <c r="UW85" t="s">
        <v>1900</v>
      </c>
      <c r="UX85" t="s">
        <v>1900</v>
      </c>
      <c r="UY85" t="s">
        <v>1900</v>
      </c>
      <c r="UZ85" t="s">
        <v>1900</v>
      </c>
      <c r="VA85" t="s">
        <v>1900</v>
      </c>
      <c r="VB85" t="s">
        <v>1900</v>
      </c>
      <c r="VC85" t="s">
        <v>1900</v>
      </c>
      <c r="VD85" t="s">
        <v>1900</v>
      </c>
      <c r="VE85" t="s">
        <v>1900</v>
      </c>
      <c r="VF85" t="s">
        <v>1900</v>
      </c>
      <c r="VG85" t="s">
        <v>1900</v>
      </c>
      <c r="VH85" t="s">
        <v>1900</v>
      </c>
      <c r="VI85" t="s">
        <v>1900</v>
      </c>
      <c r="VJ85" t="s">
        <v>1900</v>
      </c>
      <c r="VK85" t="s">
        <v>1900</v>
      </c>
      <c r="VL85" t="s">
        <v>1900</v>
      </c>
      <c r="VM85" t="s">
        <v>1900</v>
      </c>
      <c r="VN85" t="s">
        <v>1900</v>
      </c>
      <c r="VO85" t="s">
        <v>1900</v>
      </c>
      <c r="VP85" t="s">
        <v>1900</v>
      </c>
      <c r="VQ85" t="s">
        <v>1900</v>
      </c>
      <c r="VR85" t="s">
        <v>1900</v>
      </c>
      <c r="VS85" t="s">
        <v>1900</v>
      </c>
      <c r="VT85" t="s">
        <v>1900</v>
      </c>
      <c r="VU85" t="s">
        <v>1900</v>
      </c>
      <c r="VV85" t="s">
        <v>1900</v>
      </c>
      <c r="VW85" t="s">
        <v>1900</v>
      </c>
      <c r="VX85" t="s">
        <v>1900</v>
      </c>
      <c r="VY85" t="s">
        <v>1900</v>
      </c>
      <c r="VZ85" t="s">
        <v>1900</v>
      </c>
      <c r="WA85">
        <v>139506.765219737</v>
      </c>
      <c r="WB85">
        <v>210114.208896675</v>
      </c>
      <c r="WC85">
        <v>2892587.26474733</v>
      </c>
      <c r="WD85">
        <v>190170.036119056</v>
      </c>
      <c r="WE85">
        <v>278382.066286558</v>
      </c>
      <c r="WF85" t="s">
        <v>1900</v>
      </c>
      <c r="WG85" t="s">
        <v>1900</v>
      </c>
      <c r="WH85" t="s">
        <v>1900</v>
      </c>
      <c r="WI85" t="s">
        <v>1900</v>
      </c>
      <c r="WJ85" t="s">
        <v>1900</v>
      </c>
      <c r="WK85" t="s">
        <v>1900</v>
      </c>
      <c r="WL85" t="s">
        <v>1900</v>
      </c>
      <c r="WM85" t="s">
        <v>1900</v>
      </c>
      <c r="WN85" t="s">
        <v>1900</v>
      </c>
      <c r="WO85" t="s">
        <v>1900</v>
      </c>
      <c r="WP85" t="s">
        <v>1900</v>
      </c>
      <c r="WQ85" t="s">
        <v>1900</v>
      </c>
      <c r="WR85" t="s">
        <v>1900</v>
      </c>
      <c r="WS85" t="s">
        <v>1900</v>
      </c>
      <c r="WT85" t="s">
        <v>1900</v>
      </c>
      <c r="WU85" t="s">
        <v>1900</v>
      </c>
      <c r="WV85" t="s">
        <v>1900</v>
      </c>
      <c r="WW85" t="s">
        <v>1900</v>
      </c>
      <c r="WX85" t="s">
        <v>1900</v>
      </c>
      <c r="WY85" t="s">
        <v>1900</v>
      </c>
      <c r="WZ85" t="s">
        <v>1900</v>
      </c>
      <c r="XA85" t="s">
        <v>1900</v>
      </c>
      <c r="XB85" t="s">
        <v>1900</v>
      </c>
      <c r="XC85" t="s">
        <v>1900</v>
      </c>
      <c r="XD85" t="s">
        <v>1900</v>
      </c>
      <c r="XE85" t="s">
        <v>1900</v>
      </c>
      <c r="XF85" t="s">
        <v>1900</v>
      </c>
      <c r="XG85" t="s">
        <v>1900</v>
      </c>
      <c r="XH85" t="s">
        <v>1900</v>
      </c>
      <c r="XI85" t="s">
        <v>1900</v>
      </c>
      <c r="XJ85">
        <v>47554.0161904633</v>
      </c>
      <c r="XK85">
        <v>1280933.32666714</v>
      </c>
      <c r="XL85">
        <v>196118.005090934</v>
      </c>
      <c r="XM85">
        <v>781.097802042961</v>
      </c>
      <c r="XN85">
        <v>0</v>
      </c>
      <c r="XO85" t="s">
        <v>1900</v>
      </c>
      <c r="XP85" t="s">
        <v>1900</v>
      </c>
      <c r="XQ85" t="s">
        <v>1900</v>
      </c>
      <c r="XR85" t="s">
        <v>1900</v>
      </c>
      <c r="XS85" t="s">
        <v>1900</v>
      </c>
      <c r="XT85" t="s">
        <v>1900</v>
      </c>
      <c r="XU85" t="s">
        <v>1900</v>
      </c>
      <c r="XV85" t="s">
        <v>1900</v>
      </c>
      <c r="XW85" t="s">
        <v>1900</v>
      </c>
      <c r="XX85" t="s">
        <v>1900</v>
      </c>
      <c r="XY85">
        <v>47554.0161904633</v>
      </c>
      <c r="XZ85">
        <v>1211493.49325339</v>
      </c>
      <c r="YA85">
        <v>2767.0577203989</v>
      </c>
      <c r="YB85">
        <v>781.097802042961</v>
      </c>
      <c r="YC85">
        <v>0</v>
      </c>
      <c r="YD85" t="s">
        <v>1900</v>
      </c>
      <c r="YE85" t="s">
        <v>1900</v>
      </c>
      <c r="YF85" t="s">
        <v>1900</v>
      </c>
      <c r="YG85" t="s">
        <v>1900</v>
      </c>
      <c r="YH85" t="s">
        <v>1900</v>
      </c>
      <c r="YI85" t="s">
        <v>1900</v>
      </c>
      <c r="YJ85" t="s">
        <v>1900</v>
      </c>
      <c r="YK85" t="s">
        <v>1900</v>
      </c>
      <c r="YL85" t="s">
        <v>1900</v>
      </c>
      <c r="YM85" t="s">
        <v>1900</v>
      </c>
      <c r="YN85" t="s">
        <v>1900</v>
      </c>
      <c r="YO85" t="s">
        <v>1900</v>
      </c>
      <c r="YP85" t="s">
        <v>1900</v>
      </c>
      <c r="YQ85" t="s">
        <v>1900</v>
      </c>
      <c r="YR85" t="s">
        <v>1900</v>
      </c>
      <c r="YS85" t="s">
        <v>1900</v>
      </c>
      <c r="YT85" t="s">
        <v>1900</v>
      </c>
      <c r="YU85" t="s">
        <v>1900</v>
      </c>
      <c r="YV85" t="s">
        <v>1900</v>
      </c>
      <c r="YW85" t="s">
        <v>1900</v>
      </c>
      <c r="YX85" t="s">
        <v>1900</v>
      </c>
      <c r="YY85" t="s">
        <v>1900</v>
      </c>
      <c r="YZ85" t="s">
        <v>1900</v>
      </c>
      <c r="ZA85" t="s">
        <v>1900</v>
      </c>
      <c r="ZB85" t="s">
        <v>1900</v>
      </c>
      <c r="ZC85" t="s">
        <v>1900</v>
      </c>
      <c r="ZD85" t="s">
        <v>1900</v>
      </c>
      <c r="ZE85" t="s">
        <v>1900</v>
      </c>
      <c r="ZF85" t="s">
        <v>1900</v>
      </c>
      <c r="ZG85" t="s">
        <v>1900</v>
      </c>
      <c r="ZH85" t="s">
        <v>1900</v>
      </c>
      <c r="ZI85" t="s">
        <v>1900</v>
      </c>
      <c r="ZJ85" t="s">
        <v>1900</v>
      </c>
      <c r="ZK85" t="s">
        <v>1900</v>
      </c>
      <c r="ZL85" t="s">
        <v>1900</v>
      </c>
      <c r="ZM85" t="s">
        <v>1900</v>
      </c>
      <c r="ZN85" t="s">
        <v>1900</v>
      </c>
      <c r="ZO85" t="s">
        <v>1900</v>
      </c>
      <c r="ZP85" t="s">
        <v>1900</v>
      </c>
      <c r="ZQ85" t="s">
        <v>1900</v>
      </c>
      <c r="ZR85" t="s">
        <v>1900</v>
      </c>
      <c r="ZS85" t="s">
        <v>1900</v>
      </c>
      <c r="ZT85" t="s">
        <v>1900</v>
      </c>
      <c r="ZU85" t="s">
        <v>1900</v>
      </c>
      <c r="ZV85" t="s">
        <v>1900</v>
      </c>
      <c r="ZW85" t="s">
        <v>1900</v>
      </c>
      <c r="ZX85" t="s">
        <v>1900</v>
      </c>
      <c r="ZY85" t="s">
        <v>1900</v>
      </c>
      <c r="ZZ85" t="s">
        <v>1900</v>
      </c>
      <c r="AAA85" t="s">
        <v>1900</v>
      </c>
      <c r="AAB85" t="s">
        <v>1900</v>
      </c>
      <c r="AAC85" t="s">
        <v>1900</v>
      </c>
      <c r="AAD85" t="s">
        <v>1900</v>
      </c>
      <c r="AAE85" t="s">
        <v>1900</v>
      </c>
      <c r="AAF85" t="s">
        <v>1900</v>
      </c>
      <c r="AAG85" t="s">
        <v>1900</v>
      </c>
      <c r="AAH85" t="s">
        <v>1900</v>
      </c>
      <c r="AAI85" t="s">
        <v>1900</v>
      </c>
      <c r="AAJ85" t="s">
        <v>1900</v>
      </c>
      <c r="AAK85" t="s">
        <v>1900</v>
      </c>
      <c r="AAL85" t="s">
        <v>1900</v>
      </c>
      <c r="AAM85" t="s">
        <v>1900</v>
      </c>
      <c r="AAN85" t="s">
        <v>1900</v>
      </c>
      <c r="AAO85" t="s">
        <v>1900</v>
      </c>
      <c r="AAP85" t="s">
        <v>1900</v>
      </c>
      <c r="AAQ85" t="s">
        <v>1900</v>
      </c>
      <c r="AAR85" t="s">
        <v>1900</v>
      </c>
      <c r="AAS85" t="s">
        <v>1900</v>
      </c>
      <c r="AAT85" t="s">
        <v>1900</v>
      </c>
      <c r="AAU85" t="s">
        <v>1900</v>
      </c>
      <c r="AAV85" t="s">
        <v>1900</v>
      </c>
      <c r="AAW85" t="s">
        <v>1900</v>
      </c>
      <c r="AAX85" t="s">
        <v>1900</v>
      </c>
      <c r="AAY85" t="s">
        <v>1900</v>
      </c>
      <c r="AAZ85" t="s">
        <v>1900</v>
      </c>
      <c r="ABA85" t="s">
        <v>1900</v>
      </c>
      <c r="ABB85" t="s">
        <v>1900</v>
      </c>
      <c r="ABC85" t="s">
        <v>1900</v>
      </c>
      <c r="ABD85" t="s">
        <v>1900</v>
      </c>
      <c r="ABE85" t="s">
        <v>1900</v>
      </c>
      <c r="ABF85" t="s">
        <v>1900</v>
      </c>
      <c r="ABG85" t="s">
        <v>1900</v>
      </c>
      <c r="ABH85" t="s">
        <v>1900</v>
      </c>
      <c r="ABI85" t="s">
        <v>1900</v>
      </c>
      <c r="ABJ85" t="s">
        <v>1900</v>
      </c>
      <c r="ABK85" t="s">
        <v>1900</v>
      </c>
      <c r="ABL85" t="s">
        <v>1900</v>
      </c>
      <c r="ABM85" t="s">
        <v>1900</v>
      </c>
      <c r="ABN85" t="s">
        <v>1900</v>
      </c>
      <c r="ABO85" t="s">
        <v>1900</v>
      </c>
      <c r="ABP85" t="s">
        <v>1900</v>
      </c>
      <c r="ABQ85" t="s">
        <v>1900</v>
      </c>
      <c r="ABR85" t="s">
        <v>1900</v>
      </c>
      <c r="ABS85" t="s">
        <v>1900</v>
      </c>
      <c r="ABT85" t="s">
        <v>1900</v>
      </c>
      <c r="ABU85" t="s">
        <v>1900</v>
      </c>
      <c r="ABV85" t="s">
        <v>1900</v>
      </c>
      <c r="ABW85" t="s">
        <v>1900</v>
      </c>
      <c r="ABX85" t="s">
        <v>1900</v>
      </c>
      <c r="ABY85" t="s">
        <v>1900</v>
      </c>
      <c r="ABZ85" t="s">
        <v>1900</v>
      </c>
      <c r="ACA85" t="s">
        <v>1900</v>
      </c>
      <c r="ACB85" t="s">
        <v>1900</v>
      </c>
      <c r="ACC85" t="s">
        <v>1900</v>
      </c>
      <c r="ACD85" t="s">
        <v>1900</v>
      </c>
      <c r="ACE85">
        <v>-0.064</v>
      </c>
      <c r="ACF85">
        <v>18.103</v>
      </c>
      <c r="ACG85">
        <v>188.327</v>
      </c>
      <c r="ACH85">
        <v>5.822</v>
      </c>
      <c r="ACI85">
        <v>36.37</v>
      </c>
      <c r="ACJ85">
        <v>0.049</v>
      </c>
      <c r="ACK85">
        <v>11.777</v>
      </c>
      <c r="ACL85">
        <v>171.612</v>
      </c>
      <c r="ACM85">
        <v>44.152</v>
      </c>
      <c r="ACN85">
        <v>46.226</v>
      </c>
      <c r="ACO85">
        <v>-0.052</v>
      </c>
      <c r="ACP85">
        <v>10.489</v>
      </c>
      <c r="ACQ85">
        <v>98.247</v>
      </c>
      <c r="ACR85">
        <v>2.9</v>
      </c>
      <c r="ACS85">
        <v>20.442</v>
      </c>
      <c r="ACT85">
        <v>5.144</v>
      </c>
      <c r="ACU85">
        <v>6.778</v>
      </c>
      <c r="ACV85">
        <v>146.635</v>
      </c>
      <c r="ACW85">
        <v>10.639</v>
      </c>
      <c r="ACX85">
        <v>39.629</v>
      </c>
      <c r="ACY85">
        <v>5.027</v>
      </c>
      <c r="ACZ85">
        <v>4.473</v>
      </c>
      <c r="ADA85">
        <v>133.704</v>
      </c>
      <c r="ADB85">
        <v>47.039</v>
      </c>
      <c r="ADC85">
        <v>48.668</v>
      </c>
      <c r="ADD85">
        <v>4.16</v>
      </c>
      <c r="ADE85">
        <v>3.927</v>
      </c>
      <c r="ADF85">
        <v>76.497</v>
      </c>
      <c r="ADG85">
        <v>5.298</v>
      </c>
      <c r="ADH85">
        <v>22.274</v>
      </c>
      <c r="ADI85">
        <v>-0.033</v>
      </c>
      <c r="ADJ85">
        <v>7.375</v>
      </c>
      <c r="ADK85">
        <v>63.018</v>
      </c>
      <c r="ADL85">
        <v>2.816</v>
      </c>
      <c r="ADM85">
        <v>31.181</v>
      </c>
      <c r="ADN85">
        <v>91.834</v>
      </c>
      <c r="ADO85">
        <v>93.684</v>
      </c>
      <c r="ADP85">
        <v>93.372</v>
      </c>
      <c r="ADQ85">
        <v>76.52500000000001</v>
      </c>
      <c r="ADR85">
        <v>89.003</v>
      </c>
      <c r="ADS85">
        <v>0.123898664</v>
      </c>
      <c r="ADT85">
        <v>7.387252793</v>
      </c>
      <c r="ADU85">
        <v>63.157180142</v>
      </c>
      <c r="ADV85">
        <v>35.627643675</v>
      </c>
      <c r="ADW85">
        <v>-45.998228456</v>
      </c>
      <c r="ADX85">
        <v>7.465</v>
      </c>
      <c r="ADY85">
        <v>16.346</v>
      </c>
      <c r="ADZ85">
        <v>67.747</v>
      </c>
      <c r="AEA85">
        <v>35.75</v>
      </c>
      <c r="AEB85">
        <v>-45.763</v>
      </c>
      <c r="AEC85">
        <v>0.124</v>
      </c>
      <c r="AED85">
        <v>7.387</v>
      </c>
      <c r="AEE85">
        <v>63.157</v>
      </c>
      <c r="AEF85">
        <v>35.628</v>
      </c>
      <c r="AEG85">
        <v>-45.998</v>
      </c>
      <c r="AEH85">
        <v>10.023</v>
      </c>
      <c r="AEI85">
        <v>11.72</v>
      </c>
      <c r="AEJ85">
        <v>53.657</v>
      </c>
      <c r="AEK85">
        <v>5.268</v>
      </c>
      <c r="AEL85">
        <v>34.211</v>
      </c>
      <c r="AEM85">
        <v>0.124052363</v>
      </c>
      <c r="AEN85">
        <v>7.976496773</v>
      </c>
      <c r="AEO85">
        <v>171.423306861</v>
      </c>
      <c r="AEP85">
        <v>55.346185394</v>
      </c>
      <c r="AEQ85">
        <v>-31.506018219</v>
      </c>
      <c r="AER85">
        <v>1.001350986</v>
      </c>
      <c r="AES85">
        <v>1.085603306</v>
      </c>
      <c r="AET85">
        <v>3.090258338</v>
      </c>
      <c r="AEU85">
        <v>1.871152719</v>
      </c>
      <c r="AEV85">
        <v>0.659275258</v>
      </c>
      <c r="AEW85" t="s">
        <v>1900</v>
      </c>
      <c r="AEX85" t="s">
        <v>1900</v>
      </c>
      <c r="AEY85" t="s">
        <v>1900</v>
      </c>
      <c r="AEZ85" t="s">
        <v>1900</v>
      </c>
      <c r="AFA85" t="s">
        <v>1900</v>
      </c>
      <c r="AFB85" t="s">
        <v>1900</v>
      </c>
      <c r="AFC85" t="s">
        <v>1900</v>
      </c>
      <c r="AFD85" t="s">
        <v>1900</v>
      </c>
      <c r="AFE85" t="s">
        <v>1900</v>
      </c>
      <c r="AFF85" t="s">
        <v>1900</v>
      </c>
      <c r="AFG85">
        <v>1.834</v>
      </c>
      <c r="AFH85">
        <v>1.583</v>
      </c>
      <c r="AFI85">
        <v>2.717</v>
      </c>
      <c r="AFJ85">
        <v>1.239</v>
      </c>
      <c r="AFK85">
        <v>0.874</v>
      </c>
      <c r="AFL85">
        <v>2.065</v>
      </c>
      <c r="AFM85">
        <v>115.482</v>
      </c>
      <c r="AFN85">
        <v>455.854</v>
      </c>
      <c r="AFO85">
        <v>1.086</v>
      </c>
      <c r="AFP85">
        <v>-2.12</v>
      </c>
      <c r="AFQ85" t="s">
        <v>1901</v>
      </c>
      <c r="AFR85" t="s">
        <v>1901</v>
      </c>
      <c r="AFS85" t="s">
        <v>1901</v>
      </c>
      <c r="AFT85" t="s">
        <v>1901</v>
      </c>
      <c r="AFU85" t="s">
        <v>1901</v>
      </c>
      <c r="AFV85">
        <v>41.98</v>
      </c>
      <c r="AFW85">
        <v>40.075</v>
      </c>
      <c r="AFX85">
        <v>69.836</v>
      </c>
      <c r="AFY85">
        <v>63.09</v>
      </c>
      <c r="AFZ85">
        <v>81.25700000000001</v>
      </c>
      <c r="AGA85">
        <v>18.57</v>
      </c>
      <c r="AGB85">
        <v>10.501</v>
      </c>
      <c r="AGC85">
        <v>6.67</v>
      </c>
      <c r="AGD85">
        <v>5.115</v>
      </c>
      <c r="AGE85">
        <v>12.479</v>
      </c>
      <c r="AGF85" t="s">
        <v>1900</v>
      </c>
      <c r="AGG85" t="s">
        <v>1900</v>
      </c>
      <c r="AGH85" t="s">
        <v>1900</v>
      </c>
      <c r="AGI85" t="s">
        <v>1900</v>
      </c>
      <c r="AGJ85" t="s">
        <v>1900</v>
      </c>
      <c r="AGK85" t="s">
        <v>1900</v>
      </c>
      <c r="AGL85" t="s">
        <v>1900</v>
      </c>
      <c r="AGM85" t="s">
        <v>1900</v>
      </c>
      <c r="AGN85" t="s">
        <v>1900</v>
      </c>
      <c r="AGO85" t="s">
        <v>1900</v>
      </c>
      <c r="AGP85" t="s">
        <v>1900</v>
      </c>
      <c r="AGQ85" t="s">
        <v>1900</v>
      </c>
      <c r="AGR85" t="s">
        <v>1900</v>
      </c>
      <c r="AGS85" t="s">
        <v>1900</v>
      </c>
      <c r="AGT85" t="s">
        <v>1900</v>
      </c>
      <c r="AGU85">
        <v>0</v>
      </c>
      <c r="AGV85">
        <v>0</v>
      </c>
      <c r="AGW85">
        <v>0</v>
      </c>
      <c r="AGX85">
        <v>0</v>
      </c>
      <c r="AGY85">
        <v>0</v>
      </c>
      <c r="AGZ85">
        <v>4.365</v>
      </c>
      <c r="AHA85">
        <v>8.757999999999999</v>
      </c>
      <c r="AHB85">
        <v>2.062</v>
      </c>
      <c r="AHC85">
        <v>1.943</v>
      </c>
      <c r="AHD85">
        <v>1.873</v>
      </c>
      <c r="AHE85">
        <v>4.365</v>
      </c>
      <c r="AHF85">
        <v>8.757999999999999</v>
      </c>
      <c r="AHG85">
        <v>2.062</v>
      </c>
      <c r="AHH85">
        <v>1.943</v>
      </c>
      <c r="AHI85">
        <v>1.873</v>
      </c>
      <c r="AHJ85">
        <v>21.665</v>
      </c>
      <c r="AHK85">
        <v>1.817</v>
      </c>
      <c r="AHL85">
        <v>10.019</v>
      </c>
      <c r="AHM85">
        <v>1.496</v>
      </c>
      <c r="AHN85">
        <v>2.992</v>
      </c>
      <c r="AHO85">
        <v>80.879</v>
      </c>
      <c r="AHP85">
        <v>57.943</v>
      </c>
      <c r="AHQ85">
        <v>52.168</v>
      </c>
      <c r="AHR85">
        <v>49.804</v>
      </c>
      <c r="AHS85">
        <v>56.206</v>
      </c>
      <c r="AHT85" t="s">
        <v>1901</v>
      </c>
      <c r="AHU85" t="s">
        <v>1901</v>
      </c>
      <c r="AHV85" t="s">
        <v>1901</v>
      </c>
      <c r="AHW85">
        <v>99.218</v>
      </c>
      <c r="AHX85" t="s">
        <v>1901</v>
      </c>
      <c r="AHY85">
        <v>6.965</v>
      </c>
      <c r="AHZ85">
        <v>57.058</v>
      </c>
      <c r="AIA85">
        <v>11.216</v>
      </c>
      <c r="AIB85">
        <v>74.447</v>
      </c>
      <c r="AIC85">
        <v>33.428</v>
      </c>
      <c r="AID85">
        <v>9.156594411</v>
      </c>
      <c r="AIE85">
        <v>3.653917498</v>
      </c>
      <c r="AIF85">
        <v>0.899353975</v>
      </c>
      <c r="AIG85">
        <v>11.9329899</v>
      </c>
      <c r="AIH85">
        <v>11.111313525</v>
      </c>
      <c r="AII85">
        <v>49.070556083</v>
      </c>
      <c r="AIJ85">
        <v>73.13834396</v>
      </c>
      <c r="AIK85">
        <v>57.645870759</v>
      </c>
      <c r="AIL85">
        <v>14.820641124</v>
      </c>
      <c r="AIM85">
        <v>32.035090426</v>
      </c>
      <c r="AIN85">
        <v>5.484514587</v>
      </c>
      <c r="AIO85">
        <v>4.846883638</v>
      </c>
      <c r="AIP85">
        <v>39.092150744</v>
      </c>
      <c r="AIQ85">
        <v>11.655892424</v>
      </c>
      <c r="AIR85">
        <v>22.732642245</v>
      </c>
      <c r="AIS85">
        <v>0</v>
      </c>
      <c r="AIT85">
        <v>0</v>
      </c>
      <c r="AIU85">
        <v>0</v>
      </c>
      <c r="AIV85">
        <v>0</v>
      </c>
      <c r="AIW85">
        <v>0</v>
      </c>
      <c r="AIX85">
        <v>-0.0729078919813633</v>
      </c>
      <c r="AIY85">
        <v>32.4798939565773</v>
      </c>
      <c r="AIZ85">
        <v>726.966856119824</v>
      </c>
      <c r="AJA85">
        <v>9.46223225189209</v>
      </c>
      <c r="AJB85">
        <v>83.4448347488087</v>
      </c>
      <c r="AJC85">
        <v>219.242682104437</v>
      </c>
      <c r="AJD85">
        <v>440.424782582231</v>
      </c>
      <c r="AJE85">
        <v>1153.59370930498</v>
      </c>
      <c r="AJF85">
        <v>336.013281076012</v>
      </c>
      <c r="AJG85">
        <v>267.611640260254</v>
      </c>
      <c r="AJH85">
        <v>28.7</v>
      </c>
      <c r="AJI85">
        <v>20.071</v>
      </c>
      <c r="AJJ85">
        <v>16.651</v>
      </c>
      <c r="AJK85">
        <v>17.805</v>
      </c>
      <c r="AJL85">
        <v>32.429</v>
      </c>
      <c r="AJM85">
        <v>62.9230160269675</v>
      </c>
      <c r="AJN85">
        <v>88.3998087277479</v>
      </c>
      <c r="AJO85">
        <v>192.088767667314</v>
      </c>
      <c r="AJP85">
        <v>59.8284627851057</v>
      </c>
      <c r="AJQ85">
        <v>86.7827534501416</v>
      </c>
      <c r="AJR85">
        <v>114.293015160015</v>
      </c>
      <c r="AJS85">
        <v>179.418728305921</v>
      </c>
      <c r="AJT85">
        <v>386.012974931806</v>
      </c>
      <c r="AJU85">
        <v>162.512763408995</v>
      </c>
      <c r="AJV85">
        <v>229.432808951713</v>
      </c>
      <c r="AJW85">
        <v>14.2566719149517</v>
      </c>
      <c r="AJX85">
        <v>36.181101957634</v>
      </c>
      <c r="AJY85">
        <v>202.411218320926</v>
      </c>
      <c r="AJZ85">
        <v>54.1127522946739</v>
      </c>
      <c r="AKA85">
        <v>51.1267119100034</v>
      </c>
      <c r="AKB85">
        <v>141.313797991994</v>
      </c>
      <c r="AKC85">
        <v>309.645514160102</v>
      </c>
      <c r="AKD85">
        <v>739.940681113338</v>
      </c>
      <c r="AKE85">
        <v>326.307122961102</v>
      </c>
      <c r="AKF85">
        <v>408.197257032144</v>
      </c>
      <c r="AKG85">
        <v>0</v>
      </c>
      <c r="AKH85">
        <v>0</v>
      </c>
      <c r="AKI85">
        <v>0</v>
      </c>
      <c r="AKJ85">
        <v>0</v>
      </c>
      <c r="AKK85">
        <v>0</v>
      </c>
      <c r="AKL85">
        <v>0</v>
      </c>
      <c r="AKM85">
        <v>0</v>
      </c>
      <c r="AKN85">
        <v>0</v>
      </c>
      <c r="AKO85">
        <v>0</v>
      </c>
      <c r="AKP85">
        <v>0</v>
      </c>
      <c r="AKQ85">
        <v>0</v>
      </c>
      <c r="AKR85">
        <v>0</v>
      </c>
      <c r="AKS85">
        <v>0</v>
      </c>
      <c r="AKT85">
        <v>0</v>
      </c>
      <c r="AKU85">
        <v>0</v>
      </c>
      <c r="AKV85">
        <v>14.850698677</v>
      </c>
      <c r="AKW85">
        <v>4.839204387</v>
      </c>
      <c r="AKX85">
        <v>7.007631893</v>
      </c>
      <c r="AKY85">
        <v>53.001433303</v>
      </c>
      <c r="AKZ85">
        <v>62.703147327</v>
      </c>
      <c r="ALA85">
        <v>23.040262592</v>
      </c>
      <c r="ALB85">
        <v>6.883049941</v>
      </c>
      <c r="ALC85">
        <v>10.92514613</v>
      </c>
      <c r="ALD85">
        <v>54.577985746</v>
      </c>
      <c r="ALE85">
        <v>41.107802149</v>
      </c>
      <c r="ALF85">
        <v>0.413031175</v>
      </c>
      <c r="ALG85">
        <v>0.345394836</v>
      </c>
      <c r="ALH85">
        <v>0.183569282</v>
      </c>
      <c r="ALI85">
        <v>0.604047149</v>
      </c>
      <c r="ALJ85">
        <v>1.446300142</v>
      </c>
      <c r="ALK85">
        <v>0.64080128</v>
      </c>
      <c r="ALL85">
        <v>0.491272887</v>
      </c>
      <c r="ALM85">
        <v>0.286191007</v>
      </c>
      <c r="ALN85">
        <v>0.622014815</v>
      </c>
      <c r="ALO85">
        <v>0.948185579</v>
      </c>
      <c r="ALP85">
        <v>11.66113693</v>
      </c>
      <c r="ALQ85">
        <v>11.131858035</v>
      </c>
      <c r="ALR85">
        <v>19.398814355</v>
      </c>
      <c r="ALS85">
        <v>17.525076802</v>
      </c>
      <c r="ALT85">
        <v>22.571301945</v>
      </c>
      <c r="ALU85">
        <v>44.236224701</v>
      </c>
      <c r="ALV85">
        <v>26.202376504</v>
      </c>
      <c r="ALW85">
        <v>9.550428678999999</v>
      </c>
      <c r="ALX85">
        <v>8.106826422999999</v>
      </c>
      <c r="ALY85">
        <v>15.357934419</v>
      </c>
      <c r="ALZ85">
        <v>91.83373379576879</v>
      </c>
      <c r="AMA85">
        <v>93.6836022567645</v>
      </c>
      <c r="AMB85">
        <v>93.372191840588</v>
      </c>
      <c r="AMC85">
        <v>76.52477098513511</v>
      </c>
      <c r="AMD85">
        <v>89.00291116187491</v>
      </c>
      <c r="AME85">
        <v>92.0247460977522</v>
      </c>
      <c r="AMF85">
        <v>93.84380964592189</v>
      </c>
      <c r="AMG85">
        <v>93.3773892473889</v>
      </c>
      <c r="AMH85">
        <v>77.28583040766991</v>
      </c>
      <c r="AMI85">
        <v>90.44444878308749</v>
      </c>
      <c r="AMJ85">
        <v>1124.5498432097</v>
      </c>
      <c r="AMK85">
        <v>1483.18085822087</v>
      </c>
      <c r="AML85">
        <v>1408.79442486566</v>
      </c>
      <c r="AMM85">
        <v>325.980934783121</v>
      </c>
      <c r="AMN85">
        <v>809.331564671158</v>
      </c>
      <c r="AMO85">
        <v>1.00135098557386</v>
      </c>
      <c r="AMP85">
        <v>1.08560330580232</v>
      </c>
      <c r="AMQ85">
        <v>3.09025833819162</v>
      </c>
      <c r="AMR85">
        <v>1.87115271945419</v>
      </c>
      <c r="AMS85">
        <v>0.6592752580728271</v>
      </c>
      <c r="AMT85">
        <v>1.00135098557386</v>
      </c>
      <c r="AMU85">
        <v>1.08560330580232</v>
      </c>
      <c r="AMV85">
        <v>3.09025833819162</v>
      </c>
      <c r="AMW85">
        <v>1.87115271945419</v>
      </c>
      <c r="AMX85">
        <v>0.6592752580728271</v>
      </c>
      <c r="AMY85">
        <v>1.00135098557386</v>
      </c>
      <c r="AMZ85">
        <v>1.08560330580232</v>
      </c>
      <c r="ANA85">
        <v>3.09025833819162</v>
      </c>
      <c r="ANB85">
        <v>1.87115271945419</v>
      </c>
      <c r="ANC85">
        <v>0.6592752580728271</v>
      </c>
      <c r="AND85">
        <v>0.123898664243868</v>
      </c>
      <c r="ANE85">
        <v>7.38725279278868</v>
      </c>
      <c r="ANF85">
        <v>63.1571801418481</v>
      </c>
      <c r="ANG85">
        <v>35.6276436745128</v>
      </c>
      <c r="ANH85">
        <v>-45.9982284562649</v>
      </c>
      <c r="ANI85">
        <v>0.124156370950235</v>
      </c>
      <c r="ANJ85">
        <v>7.39988565974158</v>
      </c>
      <c r="ANK85">
        <v>63.1606956805875</v>
      </c>
      <c r="ANL85">
        <v>35.981970170001</v>
      </c>
      <c r="ANM85">
        <v>-46.743239781886</v>
      </c>
      <c r="ANN85">
        <v>0.124052363465164</v>
      </c>
      <c r="ANO85">
        <v>7.97649677345222</v>
      </c>
      <c r="ANP85">
        <v>171.423306861442</v>
      </c>
      <c r="ANQ85">
        <v>55.3461853941901</v>
      </c>
      <c r="ANR85">
        <v>-31.5060182186006</v>
      </c>
      <c r="ANS85">
        <v>0.227182595840428</v>
      </c>
      <c r="ANT85">
        <v>11.6954251741621</v>
      </c>
      <c r="ANU85">
        <v>171.615255223112</v>
      </c>
      <c r="ANV85">
        <v>44.1560516235586</v>
      </c>
      <c r="ANW85">
        <v>-40.211026229805</v>
      </c>
      <c r="ANX85">
        <v>91.83373379576879</v>
      </c>
      <c r="ANY85">
        <v>93.6836022567645</v>
      </c>
      <c r="ANZ85">
        <v>93.372191840588</v>
      </c>
      <c r="AOA85">
        <v>76.52477098513511</v>
      </c>
      <c r="AOB85">
        <v>89.00291116187491</v>
      </c>
      <c r="AOC85">
        <v>91.9476557130008</v>
      </c>
      <c r="AOD85">
        <v>101.156271768029</v>
      </c>
      <c r="AOE85">
        <v>253.433890782734</v>
      </c>
      <c r="AOF85">
        <v>118.878312607047</v>
      </c>
      <c r="AOG85">
        <v>60.9616377561297</v>
      </c>
      <c r="AOH85" t="s">
        <v>1901</v>
      </c>
      <c r="AOI85" t="s">
        <v>1901</v>
      </c>
      <c r="AOJ85" t="s">
        <v>1901</v>
      </c>
      <c r="AOK85">
        <v>78.80103611888011</v>
      </c>
      <c r="AOL85">
        <v>58.3497674157233</v>
      </c>
      <c r="AOM85">
        <v>1.5172008987372</v>
      </c>
      <c r="AON85">
        <v>116.953572163817</v>
      </c>
      <c r="AOO85">
        <v>952.912012882564</v>
      </c>
      <c r="AOP85">
        <v>151.766969565889</v>
      </c>
      <c r="AOQ85">
        <v>-418.276410542368</v>
      </c>
      <c r="AOR85">
        <v>0.135098557386108</v>
      </c>
      <c r="AOS85">
        <v>8.560330580232099</v>
      </c>
      <c r="AOT85">
        <v>209.025833819162</v>
      </c>
      <c r="AOU85">
        <v>87.115271945419</v>
      </c>
      <c r="AOV85">
        <v>-34.0724741927173</v>
      </c>
      <c r="AOW85">
        <v>0.192223801793826</v>
      </c>
      <c r="AOX85">
        <v>10.5072705821419</v>
      </c>
      <c r="AOY85">
        <v>98.4642790547118</v>
      </c>
      <c r="AOZ85">
        <v>36.6874046127002</v>
      </c>
      <c r="APA85">
        <v>-30.1561589044749</v>
      </c>
      <c r="APB85">
        <v>2.68137562345892</v>
      </c>
      <c r="APC85">
        <v>2.76123234378469</v>
      </c>
      <c r="APD85">
        <v>49.066792430182</v>
      </c>
      <c r="APE85">
        <v>5.14538453685247</v>
      </c>
      <c r="APF85">
        <v>33.9752234544174</v>
      </c>
      <c r="APG85">
        <v>2.68695283032125</v>
      </c>
      <c r="APH85">
        <v>2.76595429953787</v>
      </c>
      <c r="API85">
        <v>49.0695236510696</v>
      </c>
      <c r="APJ85">
        <v>5.19655676950243</v>
      </c>
      <c r="APK85">
        <v>34.5255039133292</v>
      </c>
      <c r="APL85">
        <v>32.8347809929294</v>
      </c>
      <c r="APM85">
        <v>43.7153019178027</v>
      </c>
      <c r="APN85">
        <v>740.317028646989</v>
      </c>
      <c r="APO85">
        <v>21.9183571482703</v>
      </c>
      <c r="APP85">
        <v>308.947431038576</v>
      </c>
      <c r="APQ85">
        <v>2.9237601611795</v>
      </c>
      <c r="APR85">
        <v>3.19970932830404</v>
      </c>
      <c r="APS85">
        <v>162.392101381276</v>
      </c>
      <c r="APT85">
        <v>12.5812859611683</v>
      </c>
      <c r="APU85">
        <v>25.1666197415212</v>
      </c>
      <c r="APV85">
        <v>2.6847019332932</v>
      </c>
      <c r="APW85">
        <v>2.9814819525942</v>
      </c>
      <c r="APX85">
        <v>133.17871058484</v>
      </c>
      <c r="APY85">
        <v>7.99315860186282</v>
      </c>
      <c r="APZ85">
        <v>23.2709833630584</v>
      </c>
      <c r="AQA85">
        <v>4.16004659553117</v>
      </c>
      <c r="AQB85">
        <v>3.92744314972266</v>
      </c>
      <c r="AQC85">
        <v>76.4968659353397</v>
      </c>
      <c r="AQD85">
        <v>5.29843640842518</v>
      </c>
      <c r="AQE85">
        <v>22.2739499257152</v>
      </c>
      <c r="AQF85">
        <v>0.00135098557386108</v>
      </c>
      <c r="AQG85">
        <v>0.08560330580232101</v>
      </c>
      <c r="AQH85">
        <v>2.09025833819162</v>
      </c>
      <c r="AQI85">
        <v>0.87115271945419</v>
      </c>
      <c r="AQJ85">
        <v>-0.340724741927173</v>
      </c>
      <c r="AQK85">
        <v>1</v>
      </c>
      <c r="AQO85" t="s">
        <v>1902</v>
      </c>
      <c r="AQP85">
        <v>1</v>
      </c>
      <c r="AQQ85">
        <v>0</v>
      </c>
      <c r="AQS85" t="s">
        <v>1905</v>
      </c>
      <c r="AQU85" t="s">
        <v>1906</v>
      </c>
      <c r="AQV85">
        <v>3946368.27372426</v>
      </c>
      <c r="AQW85">
        <v>6165946.95615123</v>
      </c>
      <c r="AQX85">
        <v>11535937.0930498</v>
      </c>
      <c r="AQY85">
        <v>4889.49757728815</v>
      </c>
      <c r="AQZ85">
        <v>455494.08872015</v>
      </c>
      <c r="ARA85">
        <v>7285772.57090773</v>
      </c>
      <c r="ARB85">
        <v>21648252.32292529</v>
      </c>
      <c r="ARC85">
        <v>7746156.157205168</v>
      </c>
      <c r="ARD85">
        <v>0.557193394785003</v>
      </c>
      <c r="ARE85">
        <v>0.557193394785003</v>
      </c>
      <c r="ARF85">
        <v>0.557193394785003</v>
      </c>
      <c r="ARG85">
        <v>0.557193394785003</v>
      </c>
      <c r="ARH85">
        <v>0.557193394785003</v>
      </c>
      <c r="ARI85">
        <v>0.557193394785003</v>
      </c>
      <c r="ARJ85" t="s">
        <v>1246</v>
      </c>
      <c r="ARK85" t="s">
        <v>1584</v>
      </c>
      <c r="ARL85" t="s">
        <v>1908</v>
      </c>
      <c r="ARM85" t="s">
        <v>1908</v>
      </c>
      <c r="ARN85" t="s">
        <v>1909</v>
      </c>
      <c r="ARO85" t="s">
        <v>1908</v>
      </c>
      <c r="ARP85" t="s">
        <v>1907</v>
      </c>
      <c r="ARQ85" t="s">
        <v>1978</v>
      </c>
      <c r="ARR85">
        <f>HYPERLINK("C:\Users\Usuario\Documents\Proyectos\llmthon\evidence\neuroenergia_com_235341.png", "Ver Evidencia")</f>
        <v>0</v>
      </c>
      <c r="ARS85">
        <v>95</v>
      </c>
    </row>
    <row r="86" spans="1:1163">
      <c r="A86">
        <v>543</v>
      </c>
      <c r="B86" t="s">
        <v>1247</v>
      </c>
      <c r="C86" t="s">
        <v>1370</v>
      </c>
      <c r="E86" s="2">
        <v>34556</v>
      </c>
      <c r="F86" t="s">
        <v>1431</v>
      </c>
      <c r="G86" t="s">
        <v>1433</v>
      </c>
      <c r="H86" t="s">
        <v>1434</v>
      </c>
      <c r="I86" t="s">
        <v>1449</v>
      </c>
      <c r="J86" t="s">
        <v>1489</v>
      </c>
      <c r="L86" t="s">
        <v>1585</v>
      </c>
      <c r="N86" t="s">
        <v>1626</v>
      </c>
      <c r="O86" t="s">
        <v>1650</v>
      </c>
      <c r="P86">
        <v>6920</v>
      </c>
      <c r="Q86">
        <v>6920</v>
      </c>
      <c r="R86" t="s">
        <v>1755</v>
      </c>
      <c r="Z86" t="s">
        <v>1899</v>
      </c>
      <c r="AA86" s="2">
        <v>45657</v>
      </c>
      <c r="AB86">
        <v>2024</v>
      </c>
      <c r="AC86">
        <v>1247144.13845707</v>
      </c>
      <c r="AD86">
        <v>1170698.77444022</v>
      </c>
      <c r="AE86">
        <v>983812.5424885449</v>
      </c>
      <c r="AF86">
        <v>780302.035934336</v>
      </c>
      <c r="AG86">
        <v>465968.858900482</v>
      </c>
      <c r="AH86">
        <v>1247144.13845707</v>
      </c>
      <c r="AI86">
        <v>1170628.86105885</v>
      </c>
      <c r="AJ86">
        <v>983469.940066922</v>
      </c>
      <c r="AK86">
        <v>490574.542479229</v>
      </c>
      <c r="AL86">
        <v>444670.967600763</v>
      </c>
      <c r="AM86">
        <v>121015.755906076</v>
      </c>
      <c r="AN86">
        <v>98637.17311715129</v>
      </c>
      <c r="AO86">
        <v>100707.235749876</v>
      </c>
      <c r="AP86">
        <v>45744.2993421078</v>
      </c>
      <c r="AQ86">
        <v>36777.5648971438</v>
      </c>
      <c r="AR86">
        <v>1126128.38255099</v>
      </c>
      <c r="AS86">
        <v>1072061.60132307</v>
      </c>
      <c r="AT86">
        <v>883105.3067386691</v>
      </c>
      <c r="AU86">
        <v>734557.7365922279</v>
      </c>
      <c r="AV86">
        <v>429191.294003338</v>
      </c>
      <c r="AW86">
        <v>785165.823104339</v>
      </c>
      <c r="AX86">
        <v>776090.192049742</v>
      </c>
      <c r="AY86">
        <v>745570.587854177</v>
      </c>
      <c r="AZ86">
        <v>570091.023591399</v>
      </c>
      <c r="BA86">
        <v>608761.0419513111</v>
      </c>
      <c r="BB86">
        <v>340962.559446656</v>
      </c>
      <c r="BC86">
        <v>295971.410378332</v>
      </c>
      <c r="BD86">
        <v>137534.718884492</v>
      </c>
      <c r="BE86">
        <v>164466.71413343</v>
      </c>
      <c r="BF86">
        <v>-179569.747947973</v>
      </c>
      <c r="BG86">
        <v>-4092.78629736185</v>
      </c>
      <c r="BH86">
        <v>109456.111422558</v>
      </c>
      <c r="BI86">
        <v>-9886.939950364829</v>
      </c>
      <c r="BJ86">
        <v>-10192.6439249754</v>
      </c>
      <c r="BK86">
        <v>731812.4122744621</v>
      </c>
      <c r="BL86">
        <v>787.059903191328</v>
      </c>
      <c r="BM86">
        <v>121428.504495621</v>
      </c>
      <c r="BN86" t="s">
        <v>1900</v>
      </c>
      <c r="BO86" t="s">
        <v>1900</v>
      </c>
      <c r="BP86">
        <v>735523.32007885</v>
      </c>
      <c r="BQ86">
        <v>4879.84620055318</v>
      </c>
      <c r="BR86">
        <v>11972.3930730629</v>
      </c>
      <c r="BS86">
        <v>9886.939950364829</v>
      </c>
      <c r="BT86">
        <v>10192.6439249754</v>
      </c>
      <c r="BU86">
        <v>3710.90780438781</v>
      </c>
      <c r="BV86">
        <v>336869.773149294</v>
      </c>
      <c r="BW86">
        <v>405427.52180089</v>
      </c>
      <c r="BX86">
        <v>127647.778934127</v>
      </c>
      <c r="BY86">
        <v>154274.070208454</v>
      </c>
      <c r="BZ86">
        <v>552242.664326489</v>
      </c>
      <c r="CA86">
        <v>40732.8407518005</v>
      </c>
      <c r="CB86">
        <v>22200.6644133854</v>
      </c>
      <c r="CC86">
        <v>29221.5728498399</v>
      </c>
      <c r="CD86">
        <v>20807.283398509</v>
      </c>
      <c r="CE86" t="s">
        <v>1900</v>
      </c>
      <c r="CF86">
        <v>296136.932397493</v>
      </c>
      <c r="CG86">
        <v>383226.857387505</v>
      </c>
      <c r="CH86">
        <v>98426.2060842872</v>
      </c>
      <c r="CI86">
        <v>133466.786809945</v>
      </c>
      <c r="CJ86">
        <v>552242.664326489</v>
      </c>
      <c r="CK86" t="s">
        <v>1900</v>
      </c>
      <c r="CL86" t="s">
        <v>1900</v>
      </c>
      <c r="CM86" t="s">
        <v>1900</v>
      </c>
      <c r="CN86" t="s">
        <v>1900</v>
      </c>
      <c r="CO86" t="s">
        <v>1900</v>
      </c>
      <c r="CP86" t="s">
        <v>1900</v>
      </c>
      <c r="CQ86" t="s">
        <v>1900</v>
      </c>
      <c r="CR86" t="s">
        <v>1900</v>
      </c>
      <c r="CS86" t="s">
        <v>1900</v>
      </c>
      <c r="CT86" t="s">
        <v>1900</v>
      </c>
      <c r="CU86" t="s">
        <v>1900</v>
      </c>
      <c r="CV86" t="s">
        <v>1900</v>
      </c>
      <c r="CW86" t="s">
        <v>1900</v>
      </c>
      <c r="CX86" t="s">
        <v>1900</v>
      </c>
      <c r="CY86" t="s">
        <v>1900</v>
      </c>
      <c r="CZ86">
        <v>296136.932397493</v>
      </c>
      <c r="DA86">
        <v>383226.857387505</v>
      </c>
      <c r="DB86">
        <v>98426.2060842872</v>
      </c>
      <c r="DC86">
        <v>133466.786809945</v>
      </c>
      <c r="DD86">
        <v>552242.664326489</v>
      </c>
      <c r="DE86" t="s">
        <v>1900</v>
      </c>
      <c r="DF86" t="s">
        <v>1900</v>
      </c>
      <c r="DG86" t="s">
        <v>1900</v>
      </c>
      <c r="DH86" t="s">
        <v>1900</v>
      </c>
      <c r="DI86" t="s">
        <v>1900</v>
      </c>
      <c r="DJ86">
        <v>121015.755906076</v>
      </c>
      <c r="DK86">
        <v>98637.17311715129</v>
      </c>
      <c r="DL86">
        <v>100707.235749876</v>
      </c>
      <c r="DM86">
        <v>45744.2993421078</v>
      </c>
      <c r="DN86">
        <v>36777.5648971438</v>
      </c>
      <c r="DO86">
        <v>489683.709087476</v>
      </c>
      <c r="DP86">
        <v>460738.023273563</v>
      </c>
      <c r="DQ86">
        <v>429280.4289864</v>
      </c>
      <c r="DR86">
        <v>284985.863400507</v>
      </c>
      <c r="DS86">
        <v>304537.147930235</v>
      </c>
      <c r="DT86">
        <v>110065.515798084</v>
      </c>
      <c r="DU86">
        <v>112557.880964594</v>
      </c>
      <c r="DV86">
        <v>112347.942574805</v>
      </c>
      <c r="DW86">
        <v>146823.066543746</v>
      </c>
      <c r="DX86">
        <v>160702.691276455</v>
      </c>
      <c r="DY86">
        <v>185416.59821878</v>
      </c>
      <c r="DZ86">
        <v>202794.287811584</v>
      </c>
      <c r="EA86">
        <v>203942.216292971</v>
      </c>
      <c r="EB86">
        <v>138282.092514546</v>
      </c>
      <c r="EC86">
        <v>143521.202744621</v>
      </c>
      <c r="ED86">
        <v>4879.84620055318</v>
      </c>
      <c r="EE86">
        <v>11972.3930730629</v>
      </c>
      <c r="EF86">
        <v>9886.939950364829</v>
      </c>
      <c r="EG86">
        <v>10192.6439249754</v>
      </c>
      <c r="EH86">
        <v>3710.90780438781</v>
      </c>
      <c r="EI86" t="s">
        <v>1900</v>
      </c>
      <c r="EJ86" t="s">
        <v>1900</v>
      </c>
      <c r="EK86" t="s">
        <v>1900</v>
      </c>
      <c r="EL86" t="s">
        <v>1900</v>
      </c>
      <c r="EM86" t="s">
        <v>1900</v>
      </c>
      <c r="EN86">
        <v>406202.448195577</v>
      </c>
      <c r="EO86">
        <v>495784.737247098</v>
      </c>
      <c r="EP86">
        <v>210774.148659092</v>
      </c>
      <c r="EQ86">
        <v>280289.853353691</v>
      </c>
      <c r="ER86">
        <v>712945.355602944</v>
      </c>
      <c r="ES86">
        <v>941498.843196506</v>
      </c>
      <c r="ET86">
        <v>990695.81911211</v>
      </c>
      <c r="EU86">
        <v>679163.090445697</v>
      </c>
      <c r="EV86">
        <v>596275.642945082</v>
      </c>
      <c r="EW86">
        <v>1021193.41133757</v>
      </c>
      <c r="EX86">
        <v>451028.075244739</v>
      </c>
      <c r="EY86">
        <v>408529.291342926</v>
      </c>
      <c r="EZ86">
        <v>249882.661459297</v>
      </c>
      <c r="FA86">
        <v>311289.780677176</v>
      </c>
      <c r="FB86">
        <v>-18867.0554444188</v>
      </c>
      <c r="FC86">
        <v>4952955.76371342</v>
      </c>
      <c r="FD86">
        <v>5107489.50102853</v>
      </c>
      <c r="FE86">
        <v>4954291.8749122</v>
      </c>
      <c r="FF86">
        <v>5356715.26767612</v>
      </c>
      <c r="FG86">
        <v>5955866.16731385</v>
      </c>
      <c r="FH86">
        <v>0</v>
      </c>
      <c r="FI86">
        <v>0</v>
      </c>
      <c r="FJ86">
        <v>0</v>
      </c>
      <c r="FK86">
        <v>0</v>
      </c>
      <c r="FL86">
        <v>0</v>
      </c>
      <c r="FM86">
        <v>3234151.10901927</v>
      </c>
      <c r="FN86">
        <v>3411924.35202972</v>
      </c>
      <c r="FO86">
        <v>3317651.05264683</v>
      </c>
      <c r="FP86">
        <v>3624842.65958834</v>
      </c>
      <c r="FQ86">
        <v>4079494.02607248</v>
      </c>
      <c r="FR86">
        <v>1718804.65469415</v>
      </c>
      <c r="FS86">
        <v>1695565.1489988</v>
      </c>
      <c r="FT86">
        <v>1636640.82226537</v>
      </c>
      <c r="FU86">
        <v>1731872.60808778</v>
      </c>
      <c r="FV86">
        <v>1876372.14124137</v>
      </c>
      <c r="FW86">
        <v>0</v>
      </c>
      <c r="FX86">
        <v>0</v>
      </c>
      <c r="FY86">
        <v>0</v>
      </c>
      <c r="FZ86">
        <v>0</v>
      </c>
      <c r="GA86">
        <v>0</v>
      </c>
      <c r="GB86">
        <v>3234151.10901927</v>
      </c>
      <c r="GC86">
        <v>3411924.35202972</v>
      </c>
      <c r="GD86">
        <v>3317651.05264683</v>
      </c>
      <c r="GE86">
        <v>3624842.65958834</v>
      </c>
      <c r="GF86">
        <v>4079494.02607248</v>
      </c>
      <c r="GG86">
        <v>1718804.65469415</v>
      </c>
      <c r="GH86">
        <v>1695565.1489988</v>
      </c>
      <c r="GI86">
        <v>1636640.82226537</v>
      </c>
      <c r="GJ86">
        <v>1731872.60808778</v>
      </c>
      <c r="GK86">
        <v>1876372.14124137</v>
      </c>
      <c r="GL86">
        <v>1817010.24916824</v>
      </c>
      <c r="GM86">
        <v>2029527.58142704</v>
      </c>
      <c r="GN86">
        <v>1727486.41780474</v>
      </c>
      <c r="GO86">
        <v>1798334.55684006</v>
      </c>
      <c r="GP86">
        <v>1098848.85662792</v>
      </c>
      <c r="GQ86">
        <v>2471.60434177637</v>
      </c>
      <c r="GR86">
        <v>0</v>
      </c>
      <c r="GS86">
        <v>881.011177301407</v>
      </c>
      <c r="GT86">
        <v>935.527853965759</v>
      </c>
      <c r="GU86">
        <v>0</v>
      </c>
      <c r="GV86">
        <v>217210.46681779</v>
      </c>
      <c r="GW86">
        <v>200698.853271179</v>
      </c>
      <c r="GX86">
        <v>164131.326397759</v>
      </c>
      <c r="GY86">
        <v>161061.381418991</v>
      </c>
      <c r="GZ86">
        <v>103465.994263732</v>
      </c>
      <c r="HA86">
        <v>1597328.17800867</v>
      </c>
      <c r="HB86">
        <v>1828828.72815586</v>
      </c>
      <c r="HC86">
        <v>1562474.08022968</v>
      </c>
      <c r="HD86">
        <v>1636337.64756711</v>
      </c>
      <c r="HE86">
        <v>995382.862364191</v>
      </c>
      <c r="HF86">
        <v>784049.3281567279</v>
      </c>
      <c r="HG86">
        <v>1678129.09202372</v>
      </c>
      <c r="HH86">
        <v>1435291.90397016</v>
      </c>
      <c r="HI86">
        <v>1509502.58666346</v>
      </c>
      <c r="HJ86">
        <v>869904.890905422</v>
      </c>
      <c r="HK86">
        <v>6769966.01288166</v>
      </c>
      <c r="HL86">
        <v>7137017.08245557</v>
      </c>
      <c r="HM86">
        <v>6681778.29271694</v>
      </c>
      <c r="HN86">
        <v>7155049.82451618</v>
      </c>
      <c r="HO86">
        <v>7054715.02394177</v>
      </c>
      <c r="HP86">
        <v>6225950.61088884</v>
      </c>
      <c r="HQ86">
        <v>6307103.6201506</v>
      </c>
      <c r="HR86">
        <v>5719279.82112216</v>
      </c>
      <c r="HS86">
        <v>5968670.15471821</v>
      </c>
      <c r="HT86">
        <v>6328176.21815853</v>
      </c>
      <c r="HU86">
        <v>1083962.84738731</v>
      </c>
      <c r="HV86">
        <v>1152930.99742126</v>
      </c>
      <c r="HW86">
        <v>1112864.30766106</v>
      </c>
      <c r="HX86">
        <v>1181727.97840118</v>
      </c>
      <c r="HY86">
        <v>1280325.95864296</v>
      </c>
      <c r="HZ86">
        <v>5141987.76350152</v>
      </c>
      <c r="IA86">
        <v>5154172.62272934</v>
      </c>
      <c r="IB86">
        <v>4606415.5134611</v>
      </c>
      <c r="IC86">
        <v>4786942.17631702</v>
      </c>
      <c r="ID86">
        <v>5047850.25951557</v>
      </c>
      <c r="IE86">
        <v>279150.041839149</v>
      </c>
      <c r="IF86">
        <v>528061.40503747</v>
      </c>
      <c r="IG86">
        <v>730253.376589191</v>
      </c>
      <c r="IH86">
        <v>938503.919837666</v>
      </c>
      <c r="II86">
        <v>504559.180779696</v>
      </c>
      <c r="IJ86">
        <v>279150.041839149</v>
      </c>
      <c r="IK86">
        <v>528061.40503747</v>
      </c>
      <c r="IL86">
        <v>730253.376589191</v>
      </c>
      <c r="IM86">
        <v>938503.919837666</v>
      </c>
      <c r="IN86">
        <v>504559.180779696</v>
      </c>
      <c r="IO86">
        <v>0</v>
      </c>
      <c r="IP86">
        <v>0</v>
      </c>
      <c r="IQ86">
        <v>0</v>
      </c>
      <c r="IR86">
        <v>0</v>
      </c>
      <c r="IS86">
        <v>0</v>
      </c>
      <c r="IT86">
        <v>0</v>
      </c>
      <c r="IU86">
        <v>0</v>
      </c>
      <c r="IV86">
        <v>0</v>
      </c>
      <c r="IW86">
        <v>0</v>
      </c>
      <c r="IX86">
        <v>0</v>
      </c>
      <c r="IY86">
        <v>264865.360153675</v>
      </c>
      <c r="IZ86">
        <v>301852.057267494</v>
      </c>
      <c r="JA86">
        <v>232245.09500559</v>
      </c>
      <c r="JB86">
        <v>247875.749960303</v>
      </c>
      <c r="JC86">
        <v>221979.625003546</v>
      </c>
      <c r="JD86">
        <v>2168.69136373627</v>
      </c>
      <c r="JE86">
        <v>658.646595592499</v>
      </c>
      <c r="JF86">
        <v>1096.42160995007</v>
      </c>
      <c r="JG86">
        <v>141.473104405403</v>
      </c>
      <c r="JH86">
        <v>460.775786936283</v>
      </c>
      <c r="JI86">
        <v>138058.445758762</v>
      </c>
      <c r="JJ86">
        <v>217098.408731098</v>
      </c>
      <c r="JK86">
        <v>156628.332297605</v>
      </c>
      <c r="JL86">
        <v>145570.059497595</v>
      </c>
      <c r="JM86">
        <v>161260.1379462</v>
      </c>
      <c r="JN86">
        <v>124638.221992277</v>
      </c>
      <c r="JO86">
        <v>84095.0019408035</v>
      </c>
      <c r="JP86">
        <v>74520.34109803441</v>
      </c>
      <c r="JQ86">
        <v>102164.216225703</v>
      </c>
      <c r="JR86">
        <v>60258.7112704098</v>
      </c>
      <c r="JS86">
        <v>6769966.01288166</v>
      </c>
      <c r="JT86">
        <v>7137017.08245557</v>
      </c>
      <c r="JU86">
        <v>6681778.29271694</v>
      </c>
      <c r="JV86">
        <v>7155049.82451618</v>
      </c>
      <c r="JW86">
        <v>7054715.02394177</v>
      </c>
      <c r="JX86">
        <v>81623.6254008043</v>
      </c>
      <c r="JY86">
        <v>-16399.555459919</v>
      </c>
      <c r="JZ86">
        <v>8384.005277454849</v>
      </c>
      <c r="KA86">
        <v>16426.8486427617</v>
      </c>
      <c r="KB86">
        <v>-57794.1436824679</v>
      </c>
      <c r="KC86" t="s">
        <v>1900</v>
      </c>
      <c r="KD86" t="s">
        <v>1900</v>
      </c>
      <c r="KE86" t="s">
        <v>1900</v>
      </c>
      <c r="KF86" t="s">
        <v>1900</v>
      </c>
      <c r="KG86" t="s">
        <v>1900</v>
      </c>
      <c r="KH86" t="s">
        <v>1900</v>
      </c>
      <c r="KI86" t="s">
        <v>1900</v>
      </c>
      <c r="KJ86" t="s">
        <v>1900</v>
      </c>
      <c r="KK86" t="s">
        <v>1900</v>
      </c>
      <c r="KL86" t="s">
        <v>1900</v>
      </c>
      <c r="KM86">
        <v>12</v>
      </c>
      <c r="KN86">
        <v>12</v>
      </c>
      <c r="KO86">
        <v>12</v>
      </c>
      <c r="KP86">
        <v>14</v>
      </c>
      <c r="KQ86">
        <v>10</v>
      </c>
      <c r="KR86" t="s">
        <v>1900</v>
      </c>
      <c r="KS86" t="s">
        <v>1900</v>
      </c>
      <c r="KT86" t="s">
        <v>1900</v>
      </c>
      <c r="KU86" t="s">
        <v>1900</v>
      </c>
      <c r="KV86" t="s">
        <v>1900</v>
      </c>
      <c r="KW86" t="s">
        <v>1900</v>
      </c>
      <c r="KX86" t="s">
        <v>1900</v>
      </c>
      <c r="KY86" t="s">
        <v>1900</v>
      </c>
      <c r="KZ86" t="s">
        <v>1900</v>
      </c>
      <c r="LA86" t="s">
        <v>1900</v>
      </c>
      <c r="LB86" t="s">
        <v>1900</v>
      </c>
      <c r="LC86" t="s">
        <v>1900</v>
      </c>
      <c r="LD86" t="s">
        <v>1900</v>
      </c>
      <c r="LE86" t="s">
        <v>1900</v>
      </c>
      <c r="LF86" t="s">
        <v>1900</v>
      </c>
      <c r="LG86" t="s">
        <v>1900</v>
      </c>
      <c r="LH86" t="s">
        <v>1900</v>
      </c>
      <c r="LI86" t="s">
        <v>1900</v>
      </c>
      <c r="LJ86" t="s">
        <v>1900</v>
      </c>
      <c r="LK86" t="s">
        <v>1900</v>
      </c>
      <c r="LL86" t="s">
        <v>1900</v>
      </c>
      <c r="LM86" t="s">
        <v>1900</v>
      </c>
      <c r="LN86" t="s">
        <v>1900</v>
      </c>
      <c r="LO86" t="s">
        <v>1900</v>
      </c>
      <c r="LP86" t="s">
        <v>1900</v>
      </c>
      <c r="LQ86" t="s">
        <v>1900</v>
      </c>
      <c r="LR86" t="s">
        <v>1900</v>
      </c>
      <c r="LS86" t="s">
        <v>1900</v>
      </c>
      <c r="LT86" t="s">
        <v>1900</v>
      </c>
      <c r="LU86" t="s">
        <v>1900</v>
      </c>
      <c r="LV86" t="s">
        <v>1900</v>
      </c>
      <c r="LW86" t="s">
        <v>1900</v>
      </c>
      <c r="LX86" t="s">
        <v>1900</v>
      </c>
      <c r="LY86" t="s">
        <v>1900</v>
      </c>
      <c r="LZ86" t="s">
        <v>1900</v>
      </c>
      <c r="MA86" t="s">
        <v>1900</v>
      </c>
      <c r="MB86" t="s">
        <v>1900</v>
      </c>
      <c r="MC86" t="s">
        <v>1900</v>
      </c>
      <c r="MD86" t="s">
        <v>1900</v>
      </c>
      <c r="ME86" t="s">
        <v>1900</v>
      </c>
      <c r="MF86" t="s">
        <v>1900</v>
      </c>
      <c r="MG86" t="s">
        <v>1900</v>
      </c>
      <c r="MH86" t="s">
        <v>1900</v>
      </c>
      <c r="MI86" t="s">
        <v>1900</v>
      </c>
      <c r="MJ86" t="s">
        <v>1900</v>
      </c>
      <c r="MK86" t="s">
        <v>1900</v>
      </c>
      <c r="ML86" t="s">
        <v>1900</v>
      </c>
      <c r="MM86" t="s">
        <v>1900</v>
      </c>
      <c r="MN86" t="s">
        <v>1900</v>
      </c>
      <c r="MO86" t="s">
        <v>1900</v>
      </c>
      <c r="MP86">
        <v>1597328.17800867</v>
      </c>
      <c r="MQ86">
        <v>1828828.72815586</v>
      </c>
      <c r="MR86">
        <v>1562474.08022968</v>
      </c>
      <c r="MS86">
        <v>1636337.64756711</v>
      </c>
      <c r="MT86">
        <v>995382.862364191</v>
      </c>
      <c r="MU86" t="s">
        <v>1900</v>
      </c>
      <c r="MV86" t="s">
        <v>1900</v>
      </c>
      <c r="MW86" t="s">
        <v>1900</v>
      </c>
      <c r="MX86" t="s">
        <v>1900</v>
      </c>
      <c r="MY86" t="s">
        <v>1900</v>
      </c>
      <c r="MZ86" t="s">
        <v>1900</v>
      </c>
      <c r="NA86" t="s">
        <v>1900</v>
      </c>
      <c r="NB86" t="s">
        <v>1900</v>
      </c>
      <c r="NC86" t="s">
        <v>1900</v>
      </c>
      <c r="ND86" t="s">
        <v>1900</v>
      </c>
      <c r="NE86" t="s">
        <v>1900</v>
      </c>
      <c r="NF86" t="s">
        <v>1900</v>
      </c>
      <c r="NG86" t="s">
        <v>1900</v>
      </c>
      <c r="NH86" t="s">
        <v>1900</v>
      </c>
      <c r="NI86" t="s">
        <v>1900</v>
      </c>
      <c r="NJ86" t="s">
        <v>1900</v>
      </c>
      <c r="NK86" t="s">
        <v>1900</v>
      </c>
      <c r="NL86" t="s">
        <v>1900</v>
      </c>
      <c r="NM86" t="s">
        <v>1900</v>
      </c>
      <c r="NN86" t="s">
        <v>1900</v>
      </c>
      <c r="NO86" t="s">
        <v>1900</v>
      </c>
      <c r="NP86" t="s">
        <v>1900</v>
      </c>
      <c r="NQ86" t="s">
        <v>1900</v>
      </c>
      <c r="NR86" t="s">
        <v>1900</v>
      </c>
      <c r="NS86" t="s">
        <v>1900</v>
      </c>
      <c r="NT86">
        <v>4952955.76371342</v>
      </c>
      <c r="NU86">
        <v>5107489.50102853</v>
      </c>
      <c r="NV86">
        <v>4954291.8749122</v>
      </c>
      <c r="NW86">
        <v>5356715.26767612</v>
      </c>
      <c r="NX86">
        <v>5955866.16731385</v>
      </c>
      <c r="NY86" t="s">
        <v>1900</v>
      </c>
      <c r="NZ86" t="s">
        <v>1900</v>
      </c>
      <c r="OA86" t="s">
        <v>1900</v>
      </c>
      <c r="OB86" t="s">
        <v>1900</v>
      </c>
      <c r="OC86" t="s">
        <v>1900</v>
      </c>
      <c r="OD86" t="s">
        <v>1900</v>
      </c>
      <c r="OE86" t="s">
        <v>1900</v>
      </c>
      <c r="OF86" t="s">
        <v>1900</v>
      </c>
      <c r="OG86" t="s">
        <v>1900</v>
      </c>
      <c r="OH86" t="s">
        <v>1900</v>
      </c>
      <c r="OI86" t="s">
        <v>1900</v>
      </c>
      <c r="OJ86" t="s">
        <v>1900</v>
      </c>
      <c r="OK86" t="s">
        <v>1900</v>
      </c>
      <c r="OL86" t="s">
        <v>1900</v>
      </c>
      <c r="OM86" t="s">
        <v>1900</v>
      </c>
      <c r="ON86" t="s">
        <v>1900</v>
      </c>
      <c r="OO86" t="s">
        <v>1900</v>
      </c>
      <c r="OP86" t="s">
        <v>1900</v>
      </c>
      <c r="OQ86" t="s">
        <v>1900</v>
      </c>
      <c r="OR86" t="s">
        <v>1900</v>
      </c>
      <c r="OS86" t="s">
        <v>1900</v>
      </c>
      <c r="OT86" t="s">
        <v>1900</v>
      </c>
      <c r="OU86" t="s">
        <v>1900</v>
      </c>
      <c r="OV86" t="s">
        <v>1900</v>
      </c>
      <c r="OW86" t="s">
        <v>1900</v>
      </c>
      <c r="OX86" t="s">
        <v>1900</v>
      </c>
      <c r="OY86" t="s">
        <v>1900</v>
      </c>
      <c r="OZ86" t="s">
        <v>1900</v>
      </c>
      <c r="PA86" t="s">
        <v>1900</v>
      </c>
      <c r="PB86" t="s">
        <v>1900</v>
      </c>
      <c r="PC86" t="s">
        <v>1900</v>
      </c>
      <c r="PD86" t="s">
        <v>1900</v>
      </c>
      <c r="PE86" t="s">
        <v>1900</v>
      </c>
      <c r="PF86" t="s">
        <v>1900</v>
      </c>
      <c r="PG86" t="s">
        <v>1900</v>
      </c>
      <c r="PH86" t="s">
        <v>1900</v>
      </c>
      <c r="PI86" t="s">
        <v>1900</v>
      </c>
      <c r="PJ86" t="s">
        <v>1900</v>
      </c>
      <c r="PK86" t="s">
        <v>1900</v>
      </c>
      <c r="PL86" t="s">
        <v>1900</v>
      </c>
      <c r="PM86" t="s">
        <v>1900</v>
      </c>
      <c r="PN86" t="s">
        <v>1900</v>
      </c>
      <c r="PO86" t="s">
        <v>1900</v>
      </c>
      <c r="PP86" t="s">
        <v>1900</v>
      </c>
      <c r="PQ86" t="s">
        <v>1900</v>
      </c>
      <c r="PR86" t="s">
        <v>1900</v>
      </c>
      <c r="PS86" t="s">
        <v>1900</v>
      </c>
      <c r="PT86" t="s">
        <v>1900</v>
      </c>
      <c r="PU86" t="s">
        <v>1900</v>
      </c>
      <c r="PV86" t="s">
        <v>1900</v>
      </c>
      <c r="PW86" t="s">
        <v>1900</v>
      </c>
      <c r="PX86" t="s">
        <v>1900</v>
      </c>
      <c r="PY86" t="s">
        <v>1900</v>
      </c>
      <c r="PZ86" t="s">
        <v>1900</v>
      </c>
      <c r="QA86" t="s">
        <v>1900</v>
      </c>
      <c r="QB86" t="s">
        <v>1900</v>
      </c>
      <c r="QC86" t="s">
        <v>1900</v>
      </c>
      <c r="QD86" t="s">
        <v>1900</v>
      </c>
      <c r="QE86" t="s">
        <v>1900</v>
      </c>
      <c r="QF86" t="s">
        <v>1900</v>
      </c>
      <c r="QG86" t="s">
        <v>1900</v>
      </c>
      <c r="QH86" t="s">
        <v>1900</v>
      </c>
      <c r="QI86" t="s">
        <v>1900</v>
      </c>
      <c r="QJ86" t="s">
        <v>1900</v>
      </c>
      <c r="QK86" t="s">
        <v>1900</v>
      </c>
      <c r="QL86" t="s">
        <v>1900</v>
      </c>
      <c r="QM86" t="s">
        <v>1900</v>
      </c>
      <c r="QN86" t="s">
        <v>1900</v>
      </c>
      <c r="QO86" t="s">
        <v>1900</v>
      </c>
      <c r="QP86" t="s">
        <v>1900</v>
      </c>
      <c r="QQ86" t="s">
        <v>1900</v>
      </c>
      <c r="QR86" t="s">
        <v>1900</v>
      </c>
      <c r="QS86" t="s">
        <v>1900</v>
      </c>
      <c r="QT86" t="s">
        <v>1900</v>
      </c>
      <c r="QU86" t="s">
        <v>1900</v>
      </c>
      <c r="QV86" t="s">
        <v>1900</v>
      </c>
      <c r="QW86" t="s">
        <v>1900</v>
      </c>
      <c r="QX86" t="s">
        <v>1900</v>
      </c>
      <c r="QY86" t="s">
        <v>1900</v>
      </c>
      <c r="QZ86" t="s">
        <v>1900</v>
      </c>
      <c r="RA86" t="s">
        <v>1900</v>
      </c>
      <c r="RB86" t="s">
        <v>1900</v>
      </c>
      <c r="RC86" t="s">
        <v>1900</v>
      </c>
      <c r="RD86" t="s">
        <v>1900</v>
      </c>
      <c r="RE86" t="s">
        <v>1900</v>
      </c>
      <c r="RF86" t="s">
        <v>1900</v>
      </c>
      <c r="RG86" t="s">
        <v>1900</v>
      </c>
      <c r="RH86" t="s">
        <v>1900</v>
      </c>
      <c r="RI86" t="s">
        <v>1900</v>
      </c>
      <c r="RJ86" t="s">
        <v>1900</v>
      </c>
      <c r="RK86" t="s">
        <v>1900</v>
      </c>
      <c r="RL86" t="s">
        <v>1900</v>
      </c>
      <c r="RM86" t="s">
        <v>1900</v>
      </c>
      <c r="RN86" t="s">
        <v>1900</v>
      </c>
      <c r="RO86" t="s">
        <v>1900</v>
      </c>
      <c r="RP86" t="s">
        <v>1900</v>
      </c>
      <c r="RQ86" t="s">
        <v>1900</v>
      </c>
      <c r="RR86" t="s">
        <v>1900</v>
      </c>
      <c r="RS86" t="s">
        <v>1900</v>
      </c>
      <c r="RT86" t="s">
        <v>1900</v>
      </c>
      <c r="RU86" t="s">
        <v>1900</v>
      </c>
      <c r="RV86" t="s">
        <v>1900</v>
      </c>
      <c r="RW86" t="s">
        <v>1900</v>
      </c>
      <c r="RX86" t="s">
        <v>1900</v>
      </c>
      <c r="RY86" t="s">
        <v>1900</v>
      </c>
      <c r="RZ86" t="s">
        <v>1900</v>
      </c>
      <c r="SA86" t="s">
        <v>1900</v>
      </c>
      <c r="SB86" t="s">
        <v>1900</v>
      </c>
      <c r="SC86" t="s">
        <v>1900</v>
      </c>
      <c r="SD86" t="s">
        <v>1900</v>
      </c>
      <c r="SE86" t="s">
        <v>1900</v>
      </c>
      <c r="SF86" t="s">
        <v>1900</v>
      </c>
      <c r="SG86" t="s">
        <v>1900</v>
      </c>
      <c r="SH86" t="s">
        <v>1900</v>
      </c>
      <c r="SI86" t="s">
        <v>1900</v>
      </c>
      <c r="SJ86">
        <v>1718804.65469415</v>
      </c>
      <c r="SK86">
        <v>1695565.1489988</v>
      </c>
      <c r="SL86">
        <v>1636640.82226537</v>
      </c>
      <c r="SM86">
        <v>1731872.60808778</v>
      </c>
      <c r="SN86">
        <v>1876372.14124137</v>
      </c>
      <c r="SO86" t="s">
        <v>1900</v>
      </c>
      <c r="SP86" t="s">
        <v>1900</v>
      </c>
      <c r="SQ86" t="s">
        <v>1900</v>
      </c>
      <c r="SR86" t="s">
        <v>1900</v>
      </c>
      <c r="SS86" t="s">
        <v>1900</v>
      </c>
      <c r="ST86" t="s">
        <v>1900</v>
      </c>
      <c r="SU86" t="s">
        <v>1900</v>
      </c>
      <c r="SV86" t="s">
        <v>1900</v>
      </c>
      <c r="SW86" t="s">
        <v>1900</v>
      </c>
      <c r="SX86" t="s">
        <v>1900</v>
      </c>
      <c r="SY86" t="s">
        <v>1900</v>
      </c>
      <c r="SZ86" t="s">
        <v>1900</v>
      </c>
      <c r="TA86" t="s">
        <v>1900</v>
      </c>
      <c r="TB86" t="s">
        <v>1900</v>
      </c>
      <c r="TC86" t="s">
        <v>1900</v>
      </c>
      <c r="TD86" t="s">
        <v>1900</v>
      </c>
      <c r="TE86" t="s">
        <v>1900</v>
      </c>
      <c r="TF86" t="s">
        <v>1900</v>
      </c>
      <c r="TG86" t="s">
        <v>1900</v>
      </c>
      <c r="TH86" t="s">
        <v>1900</v>
      </c>
      <c r="TI86" t="s">
        <v>1900</v>
      </c>
      <c r="TJ86" t="s">
        <v>1900</v>
      </c>
      <c r="TK86" t="s">
        <v>1900</v>
      </c>
      <c r="TL86" t="s">
        <v>1900</v>
      </c>
      <c r="TM86" t="s">
        <v>1900</v>
      </c>
      <c r="TN86" t="s">
        <v>1900</v>
      </c>
      <c r="TO86" t="s">
        <v>1900</v>
      </c>
      <c r="TP86" t="s">
        <v>1900</v>
      </c>
      <c r="TQ86" t="s">
        <v>1900</v>
      </c>
      <c r="TR86" t="s">
        <v>1900</v>
      </c>
      <c r="TS86">
        <v>6769966.01288166</v>
      </c>
      <c r="TT86">
        <v>7137017.08245557</v>
      </c>
      <c r="TU86">
        <v>6681778.29271694</v>
      </c>
      <c r="TV86">
        <v>7155049.82451618</v>
      </c>
      <c r="TW86">
        <v>7054715.02394177</v>
      </c>
      <c r="TX86" t="s">
        <v>1900</v>
      </c>
      <c r="TY86" t="s">
        <v>1900</v>
      </c>
      <c r="TZ86" t="s">
        <v>1900</v>
      </c>
      <c r="UA86" t="s">
        <v>1900</v>
      </c>
      <c r="UB86" t="s">
        <v>1900</v>
      </c>
      <c r="UC86">
        <v>2168.69136373627</v>
      </c>
      <c r="UD86">
        <v>658.646595592499</v>
      </c>
      <c r="UE86">
        <v>1096.42160995007</v>
      </c>
      <c r="UF86">
        <v>141.473104405403</v>
      </c>
      <c r="UG86">
        <v>460.775786936283</v>
      </c>
      <c r="UH86" t="s">
        <v>1900</v>
      </c>
      <c r="UI86" t="s">
        <v>1900</v>
      </c>
      <c r="UJ86" t="s">
        <v>1900</v>
      </c>
      <c r="UK86" t="s">
        <v>1900</v>
      </c>
      <c r="UL86" t="s">
        <v>1900</v>
      </c>
      <c r="UM86" t="s">
        <v>1900</v>
      </c>
      <c r="UN86" t="s">
        <v>1900</v>
      </c>
      <c r="UO86" t="s">
        <v>1900</v>
      </c>
      <c r="UP86" t="s">
        <v>1900</v>
      </c>
      <c r="UQ86" t="s">
        <v>1900</v>
      </c>
      <c r="UR86" t="s">
        <v>1900</v>
      </c>
      <c r="US86" t="s">
        <v>1900</v>
      </c>
      <c r="UT86" t="s">
        <v>1900</v>
      </c>
      <c r="UU86" t="s">
        <v>1900</v>
      </c>
      <c r="UV86" t="s">
        <v>1900</v>
      </c>
      <c r="UW86" t="s">
        <v>1900</v>
      </c>
      <c r="UX86" t="s">
        <v>1900</v>
      </c>
      <c r="UY86" t="s">
        <v>1900</v>
      </c>
      <c r="UZ86" t="s">
        <v>1900</v>
      </c>
      <c r="VA86" t="s">
        <v>1900</v>
      </c>
      <c r="VB86" t="s">
        <v>1900</v>
      </c>
      <c r="VC86" t="s">
        <v>1900</v>
      </c>
      <c r="VD86" t="s">
        <v>1900</v>
      </c>
      <c r="VE86" t="s">
        <v>1900</v>
      </c>
      <c r="VF86" t="s">
        <v>1900</v>
      </c>
      <c r="VG86" t="s">
        <v>1900</v>
      </c>
      <c r="VH86" t="s">
        <v>1900</v>
      </c>
      <c r="VI86" t="s">
        <v>1900</v>
      </c>
      <c r="VJ86" t="s">
        <v>1900</v>
      </c>
      <c r="VK86" t="s">
        <v>1900</v>
      </c>
      <c r="VL86" t="s">
        <v>1900</v>
      </c>
      <c r="VM86" t="s">
        <v>1900</v>
      </c>
      <c r="VN86" t="s">
        <v>1900</v>
      </c>
      <c r="VO86" t="s">
        <v>1900</v>
      </c>
      <c r="VP86" t="s">
        <v>1900</v>
      </c>
      <c r="VQ86" t="s">
        <v>1900</v>
      </c>
      <c r="VR86" t="s">
        <v>1900</v>
      </c>
      <c r="VS86" t="s">
        <v>1900</v>
      </c>
      <c r="VT86" t="s">
        <v>1900</v>
      </c>
      <c r="VU86" t="s">
        <v>1900</v>
      </c>
      <c r="VV86" t="s">
        <v>1900</v>
      </c>
      <c r="VW86" t="s">
        <v>1900</v>
      </c>
      <c r="VX86" t="s">
        <v>1900</v>
      </c>
      <c r="VY86" t="s">
        <v>1900</v>
      </c>
      <c r="VZ86" t="s">
        <v>1900</v>
      </c>
      <c r="WA86">
        <v>124638.221992277</v>
      </c>
      <c r="WB86">
        <v>84095.0019408035</v>
      </c>
      <c r="WC86">
        <v>74520.34109803441</v>
      </c>
      <c r="WD86">
        <v>102164.216225703</v>
      </c>
      <c r="WE86">
        <v>60258.7112704098</v>
      </c>
      <c r="WF86" t="s">
        <v>1900</v>
      </c>
      <c r="WG86" t="s">
        <v>1900</v>
      </c>
      <c r="WH86" t="s">
        <v>1900</v>
      </c>
      <c r="WI86" t="s">
        <v>1900</v>
      </c>
      <c r="WJ86" t="s">
        <v>1900</v>
      </c>
      <c r="WK86" t="s">
        <v>1900</v>
      </c>
      <c r="WL86" t="s">
        <v>1900</v>
      </c>
      <c r="WM86" t="s">
        <v>1900</v>
      </c>
      <c r="WN86" t="s">
        <v>1900</v>
      </c>
      <c r="WO86" t="s">
        <v>1900</v>
      </c>
      <c r="WP86" t="s">
        <v>1900</v>
      </c>
      <c r="WQ86" t="s">
        <v>1900</v>
      </c>
      <c r="WR86" t="s">
        <v>1900</v>
      </c>
      <c r="WS86" t="s">
        <v>1900</v>
      </c>
      <c r="WT86" t="s">
        <v>1900</v>
      </c>
      <c r="WU86" t="s">
        <v>1900</v>
      </c>
      <c r="WV86" t="s">
        <v>1900</v>
      </c>
      <c r="WW86" t="s">
        <v>1900</v>
      </c>
      <c r="WX86" t="s">
        <v>1900</v>
      </c>
      <c r="WY86" t="s">
        <v>1900</v>
      </c>
      <c r="WZ86" t="s">
        <v>1900</v>
      </c>
      <c r="XA86" t="s">
        <v>1900</v>
      </c>
      <c r="XB86" t="s">
        <v>1900</v>
      </c>
      <c r="XC86" t="s">
        <v>1900</v>
      </c>
      <c r="XD86" t="s">
        <v>1900</v>
      </c>
      <c r="XE86" t="s">
        <v>1900</v>
      </c>
      <c r="XF86" t="s">
        <v>1900</v>
      </c>
      <c r="XG86" t="s">
        <v>1900</v>
      </c>
      <c r="XH86" t="s">
        <v>1900</v>
      </c>
      <c r="XI86" t="s">
        <v>1900</v>
      </c>
      <c r="XJ86">
        <v>0</v>
      </c>
      <c r="XK86">
        <v>0</v>
      </c>
      <c r="XL86">
        <v>0</v>
      </c>
      <c r="XM86">
        <v>0</v>
      </c>
      <c r="XN86">
        <v>0</v>
      </c>
      <c r="XO86" t="s">
        <v>1900</v>
      </c>
      <c r="XP86" t="s">
        <v>1900</v>
      </c>
      <c r="XQ86" t="s">
        <v>1900</v>
      </c>
      <c r="XR86" t="s">
        <v>1900</v>
      </c>
      <c r="XS86" t="s">
        <v>1900</v>
      </c>
      <c r="XT86" t="s">
        <v>1900</v>
      </c>
      <c r="XU86" t="s">
        <v>1900</v>
      </c>
      <c r="XV86" t="s">
        <v>1900</v>
      </c>
      <c r="XW86" t="s">
        <v>1900</v>
      </c>
      <c r="XX86" t="s">
        <v>1900</v>
      </c>
      <c r="XY86">
        <v>0</v>
      </c>
      <c r="XZ86">
        <v>0</v>
      </c>
      <c r="YA86">
        <v>0</v>
      </c>
      <c r="YB86">
        <v>0</v>
      </c>
      <c r="YC86">
        <v>0</v>
      </c>
      <c r="YD86" t="s">
        <v>1900</v>
      </c>
      <c r="YE86" t="s">
        <v>1900</v>
      </c>
      <c r="YF86" t="s">
        <v>1900</v>
      </c>
      <c r="YG86" t="s">
        <v>1900</v>
      </c>
      <c r="YH86" t="s">
        <v>1900</v>
      </c>
      <c r="YI86" t="s">
        <v>1900</v>
      </c>
      <c r="YJ86" t="s">
        <v>1900</v>
      </c>
      <c r="YK86" t="s">
        <v>1900</v>
      </c>
      <c r="YL86" t="s">
        <v>1900</v>
      </c>
      <c r="YM86" t="s">
        <v>1900</v>
      </c>
      <c r="YN86" t="s">
        <v>1900</v>
      </c>
      <c r="YO86" t="s">
        <v>1900</v>
      </c>
      <c r="YP86" t="s">
        <v>1900</v>
      </c>
      <c r="YQ86" t="s">
        <v>1900</v>
      </c>
      <c r="YR86" t="s">
        <v>1900</v>
      </c>
      <c r="YS86" t="s">
        <v>1900</v>
      </c>
      <c r="YT86" t="s">
        <v>1900</v>
      </c>
      <c r="YU86" t="s">
        <v>1900</v>
      </c>
      <c r="YV86" t="s">
        <v>1900</v>
      </c>
      <c r="YW86" t="s">
        <v>1900</v>
      </c>
      <c r="YX86" t="s">
        <v>1900</v>
      </c>
      <c r="YY86" t="s">
        <v>1900</v>
      </c>
      <c r="YZ86" t="s">
        <v>1900</v>
      </c>
      <c r="ZA86" t="s">
        <v>1900</v>
      </c>
      <c r="ZB86" t="s">
        <v>1900</v>
      </c>
      <c r="ZC86" t="s">
        <v>1900</v>
      </c>
      <c r="ZD86" t="s">
        <v>1900</v>
      </c>
      <c r="ZE86" t="s">
        <v>1900</v>
      </c>
      <c r="ZF86" t="s">
        <v>1900</v>
      </c>
      <c r="ZG86" t="s">
        <v>1900</v>
      </c>
      <c r="ZH86" t="s">
        <v>1900</v>
      </c>
      <c r="ZI86" t="s">
        <v>1900</v>
      </c>
      <c r="ZJ86" t="s">
        <v>1900</v>
      </c>
      <c r="ZK86" t="s">
        <v>1900</v>
      </c>
      <c r="ZL86" t="s">
        <v>1900</v>
      </c>
      <c r="ZM86" t="s">
        <v>1900</v>
      </c>
      <c r="ZN86" t="s">
        <v>1900</v>
      </c>
      <c r="ZO86" t="s">
        <v>1900</v>
      </c>
      <c r="ZP86" t="s">
        <v>1900</v>
      </c>
      <c r="ZQ86" t="s">
        <v>1900</v>
      </c>
      <c r="ZR86" t="s">
        <v>1900</v>
      </c>
      <c r="ZS86" t="s">
        <v>1900</v>
      </c>
      <c r="ZT86" t="s">
        <v>1900</v>
      </c>
      <c r="ZU86" t="s">
        <v>1900</v>
      </c>
      <c r="ZV86" t="s">
        <v>1900</v>
      </c>
      <c r="ZW86" t="s">
        <v>1900</v>
      </c>
      <c r="ZX86" t="s">
        <v>1900</v>
      </c>
      <c r="ZY86" t="s">
        <v>1900</v>
      </c>
      <c r="ZZ86" t="s">
        <v>1900</v>
      </c>
      <c r="AAA86" t="s">
        <v>1900</v>
      </c>
      <c r="AAB86" t="s">
        <v>1900</v>
      </c>
      <c r="AAC86" t="s">
        <v>1900</v>
      </c>
      <c r="AAD86" t="s">
        <v>1900</v>
      </c>
      <c r="AAE86" t="s">
        <v>1900</v>
      </c>
      <c r="AAF86" t="s">
        <v>1900</v>
      </c>
      <c r="AAG86" t="s">
        <v>1900</v>
      </c>
      <c r="AAH86" t="s">
        <v>1900</v>
      </c>
      <c r="AAI86" t="s">
        <v>1900</v>
      </c>
      <c r="AAJ86" t="s">
        <v>1900</v>
      </c>
      <c r="AAK86" t="s">
        <v>1900</v>
      </c>
      <c r="AAL86" t="s">
        <v>1900</v>
      </c>
      <c r="AAM86" t="s">
        <v>1900</v>
      </c>
      <c r="AAN86" t="s">
        <v>1900</v>
      </c>
      <c r="AAO86" t="s">
        <v>1900</v>
      </c>
      <c r="AAP86" t="s">
        <v>1900</v>
      </c>
      <c r="AAQ86" t="s">
        <v>1900</v>
      </c>
      <c r="AAR86" t="s">
        <v>1900</v>
      </c>
      <c r="AAS86" t="s">
        <v>1900</v>
      </c>
      <c r="AAT86" t="s">
        <v>1900</v>
      </c>
      <c r="AAU86" t="s">
        <v>1900</v>
      </c>
      <c r="AAV86" t="s">
        <v>1900</v>
      </c>
      <c r="AAW86" t="s">
        <v>1900</v>
      </c>
      <c r="AAX86" t="s">
        <v>1900</v>
      </c>
      <c r="AAY86" t="s">
        <v>1900</v>
      </c>
      <c r="AAZ86" t="s">
        <v>1900</v>
      </c>
      <c r="ABA86" t="s">
        <v>1900</v>
      </c>
      <c r="ABB86" t="s">
        <v>1900</v>
      </c>
      <c r="ABC86" t="s">
        <v>1900</v>
      </c>
      <c r="ABD86" t="s">
        <v>1900</v>
      </c>
      <c r="ABE86" t="s">
        <v>1900</v>
      </c>
      <c r="ABF86" t="s">
        <v>1900</v>
      </c>
      <c r="ABG86" t="s">
        <v>1900</v>
      </c>
      <c r="ABH86" t="s">
        <v>1900</v>
      </c>
      <c r="ABI86" t="s">
        <v>1900</v>
      </c>
      <c r="ABJ86" t="s">
        <v>1900</v>
      </c>
      <c r="ABK86" t="s">
        <v>1900</v>
      </c>
      <c r="ABL86" t="s">
        <v>1900</v>
      </c>
      <c r="ABM86" t="s">
        <v>1900</v>
      </c>
      <c r="ABN86" t="s">
        <v>1900</v>
      </c>
      <c r="ABO86" t="s">
        <v>1900</v>
      </c>
      <c r="ABP86" t="s">
        <v>1900</v>
      </c>
      <c r="ABQ86" t="s">
        <v>1900</v>
      </c>
      <c r="ABR86" t="s">
        <v>1900</v>
      </c>
      <c r="ABS86" t="s">
        <v>1900</v>
      </c>
      <c r="ABT86" t="s">
        <v>1900</v>
      </c>
      <c r="ABU86" t="s">
        <v>1900</v>
      </c>
      <c r="ABV86" t="s">
        <v>1900</v>
      </c>
      <c r="ABW86" t="s">
        <v>1900</v>
      </c>
      <c r="ABX86" t="s">
        <v>1900</v>
      </c>
      <c r="ABY86" t="s">
        <v>1900</v>
      </c>
      <c r="ABZ86" t="s">
        <v>1900</v>
      </c>
      <c r="ACA86" t="s">
        <v>1900</v>
      </c>
      <c r="ACB86" t="s">
        <v>1900</v>
      </c>
      <c r="ACC86" t="s">
        <v>1900</v>
      </c>
      <c r="ACD86" t="s">
        <v>1900</v>
      </c>
      <c r="ACE86">
        <v>5.411</v>
      </c>
      <c r="ACF86">
        <v>6.428</v>
      </c>
      <c r="ACG86">
        <v>2.232</v>
      </c>
      <c r="ACH86">
        <v>2.585</v>
      </c>
      <c r="ACI86">
        <v>8.727</v>
      </c>
      <c r="ACJ86">
        <v>5.254</v>
      </c>
      <c r="ACK86">
        <v>6.107</v>
      </c>
      <c r="ACL86">
        <v>2.132</v>
      </c>
      <c r="ACM86">
        <v>2.381</v>
      </c>
      <c r="ACN86">
        <v>8.137</v>
      </c>
      <c r="ACO86">
        <v>4.976</v>
      </c>
      <c r="ACP86">
        <v>5.681</v>
      </c>
      <c r="ACQ86">
        <v>1.91</v>
      </c>
      <c r="ACR86">
        <v>2.156</v>
      </c>
      <c r="ACS86">
        <v>7.828</v>
      </c>
      <c r="ACT86">
        <v>4.756</v>
      </c>
      <c r="ACU86">
        <v>6.076</v>
      </c>
      <c r="ACV86">
        <v>1.721</v>
      </c>
      <c r="ACW86">
        <v>2.236</v>
      </c>
      <c r="ACX86">
        <v>8.727</v>
      </c>
      <c r="ACY86">
        <v>4.627</v>
      </c>
      <c r="ACZ86">
        <v>5.782</v>
      </c>
      <c r="ADA86">
        <v>1.679</v>
      </c>
      <c r="ADB86">
        <v>2.08</v>
      </c>
      <c r="ADC86">
        <v>8.137</v>
      </c>
      <c r="ADD86">
        <v>4.374</v>
      </c>
      <c r="ADE86">
        <v>5.37</v>
      </c>
      <c r="ADF86">
        <v>1.473</v>
      </c>
      <c r="ADG86">
        <v>1.865</v>
      </c>
      <c r="ADH86">
        <v>7.828</v>
      </c>
      <c r="ADI86">
        <v>27.011</v>
      </c>
      <c r="ADJ86">
        <v>34.631</v>
      </c>
      <c r="ADK86">
        <v>12.975</v>
      </c>
      <c r="ADL86">
        <v>19.771</v>
      </c>
      <c r="ADM86" t="s">
        <v>1901</v>
      </c>
      <c r="ADN86">
        <v>90.297</v>
      </c>
      <c r="ADO86">
        <v>91.575</v>
      </c>
      <c r="ADP86">
        <v>89.764</v>
      </c>
      <c r="ADQ86">
        <v>94.13800000000001</v>
      </c>
      <c r="ADR86">
        <v>92.107</v>
      </c>
      <c r="ADS86">
        <v>27.339466942</v>
      </c>
      <c r="ADT86">
        <v>25.281602479</v>
      </c>
      <c r="ADU86">
        <v>13.979768802</v>
      </c>
      <c r="ADV86">
        <v>21.077314496</v>
      </c>
      <c r="ADW86">
        <v>-38.536855955</v>
      </c>
      <c r="ADX86">
        <v>36.165</v>
      </c>
      <c r="ADY86">
        <v>34.896</v>
      </c>
      <c r="ADZ86">
        <v>25.399</v>
      </c>
      <c r="AEA86">
        <v>39.893</v>
      </c>
      <c r="AEB86">
        <v>-4.049</v>
      </c>
      <c r="AEC86">
        <v>27.339</v>
      </c>
      <c r="AED86">
        <v>25.282</v>
      </c>
      <c r="AEE86">
        <v>13.98</v>
      </c>
      <c r="AEF86">
        <v>21.077</v>
      </c>
      <c r="AEG86">
        <v>-38.537</v>
      </c>
      <c r="AEH86">
        <v>32.571</v>
      </c>
      <c r="AEI86">
        <v>42.349</v>
      </c>
      <c r="AEJ86">
        <v>21.424</v>
      </c>
      <c r="AEK86">
        <v>35.921</v>
      </c>
      <c r="AEL86" t="s">
        <v>1901</v>
      </c>
      <c r="AEM86">
        <v>37.626295584</v>
      </c>
      <c r="AEN86">
        <v>33.835846749</v>
      </c>
      <c r="AEO86">
        <v>16.251721958</v>
      </c>
      <c r="AEP86">
        <v>26.706281422</v>
      </c>
      <c r="AEQ86">
        <v>-27.817042396</v>
      </c>
      <c r="AER86">
        <v>1.434255478</v>
      </c>
      <c r="AES86">
        <v>1.381362133</v>
      </c>
      <c r="AET86">
        <v>1.184469078</v>
      </c>
      <c r="AEU86">
        <v>1.288492026</v>
      </c>
      <c r="AEV86">
        <v>0.705024245</v>
      </c>
      <c r="AEW86" t="s">
        <v>1900</v>
      </c>
      <c r="AEX86" t="s">
        <v>1900</v>
      </c>
      <c r="AEY86" t="s">
        <v>1900</v>
      </c>
      <c r="AEZ86" t="s">
        <v>1900</v>
      </c>
      <c r="AFA86" t="s">
        <v>1900</v>
      </c>
      <c r="AFB86" t="s">
        <v>1900</v>
      </c>
      <c r="AFC86" t="s">
        <v>1900</v>
      </c>
      <c r="AFD86" t="s">
        <v>1900</v>
      </c>
      <c r="AFE86" t="s">
        <v>1900</v>
      </c>
      <c r="AFF86" t="s">
        <v>1900</v>
      </c>
      <c r="AFG86">
        <v>0.192</v>
      </c>
      <c r="AFH86">
        <v>0.171</v>
      </c>
      <c r="AFI86">
        <v>0.153</v>
      </c>
      <c r="AFJ86">
        <v>0.113</v>
      </c>
      <c r="AFK86">
        <v>0.068</v>
      </c>
      <c r="AFL86">
        <v>69.872</v>
      </c>
      <c r="AFM86">
        <v>24.721</v>
      </c>
      <c r="AFN86">
        <v>13.911</v>
      </c>
      <c r="AFO86">
        <v>16.136</v>
      </c>
      <c r="AFP86">
        <v>-48.39</v>
      </c>
      <c r="AFQ86">
        <v>504.589</v>
      </c>
      <c r="AFR86" t="s">
        <v>1901</v>
      </c>
      <c r="AFS86" t="s">
        <v>1901</v>
      </c>
      <c r="AFT86">
        <v>834.077</v>
      </c>
      <c r="AFU86" t="s">
        <v>1901</v>
      </c>
      <c r="AFV86">
        <v>62.7</v>
      </c>
      <c r="AFW86">
        <v>61.717</v>
      </c>
      <c r="AFX86">
        <v>60.059</v>
      </c>
      <c r="AFY86">
        <v>74.307</v>
      </c>
      <c r="AFZ86">
        <v>79.93600000000001</v>
      </c>
      <c r="AGA86">
        <v>39.852</v>
      </c>
      <c r="AGB86">
        <v>66.76000000000001</v>
      </c>
      <c r="AGC86">
        <v>57.314</v>
      </c>
      <c r="AGD86">
        <v>67.16</v>
      </c>
      <c r="AGE86">
        <v>124.587</v>
      </c>
      <c r="AGF86" t="s">
        <v>1900</v>
      </c>
      <c r="AGG86" t="s">
        <v>1900</v>
      </c>
      <c r="AGH86" t="s">
        <v>1900</v>
      </c>
      <c r="AGI86" t="s">
        <v>1900</v>
      </c>
      <c r="AGJ86" t="s">
        <v>1900</v>
      </c>
      <c r="AGK86" t="s">
        <v>1900</v>
      </c>
      <c r="AGL86" t="s">
        <v>1900</v>
      </c>
      <c r="AGM86" t="s">
        <v>1900</v>
      </c>
      <c r="AGN86" t="s">
        <v>1900</v>
      </c>
      <c r="AGO86" t="s">
        <v>1900</v>
      </c>
      <c r="AGP86" t="s">
        <v>1900</v>
      </c>
      <c r="AGQ86" t="s">
        <v>1900</v>
      </c>
      <c r="AGR86" t="s">
        <v>1900</v>
      </c>
      <c r="AGS86" t="s">
        <v>1900</v>
      </c>
      <c r="AGT86" t="s">
        <v>1900</v>
      </c>
      <c r="AGU86">
        <v>0</v>
      </c>
      <c r="AGV86">
        <v>0</v>
      </c>
      <c r="AGW86">
        <v>0</v>
      </c>
      <c r="AGX86">
        <v>0</v>
      </c>
      <c r="AGY86">
        <v>0</v>
      </c>
      <c r="AGZ86">
        <v>6.86</v>
      </c>
      <c r="AHA86">
        <v>6.724</v>
      </c>
      <c r="AHB86">
        <v>7.438</v>
      </c>
      <c r="AHC86">
        <v>7.255</v>
      </c>
      <c r="AHD86">
        <v>4.95</v>
      </c>
      <c r="AHE86">
        <v>6.851</v>
      </c>
      <c r="AHF86">
        <v>6.724</v>
      </c>
      <c r="AHG86">
        <v>7.434</v>
      </c>
      <c r="AHH86">
        <v>7.251</v>
      </c>
      <c r="AHI86">
        <v>4.95</v>
      </c>
      <c r="AHJ86">
        <v>22.303</v>
      </c>
      <c r="AHK86">
        <v>11.944</v>
      </c>
      <c r="AHL86">
        <v>7.832</v>
      </c>
      <c r="AHM86">
        <v>6.36</v>
      </c>
      <c r="AHN86">
        <v>12.542</v>
      </c>
      <c r="AHO86">
        <v>91.964</v>
      </c>
      <c r="AHP86">
        <v>88.372</v>
      </c>
      <c r="AHQ86">
        <v>85.595</v>
      </c>
      <c r="AHR86">
        <v>83.419</v>
      </c>
      <c r="AHS86">
        <v>89.70099999999999</v>
      </c>
      <c r="AHT86" t="s">
        <v>1901</v>
      </c>
      <c r="AHU86" t="s">
        <v>1901</v>
      </c>
      <c r="AHV86" t="s">
        <v>1901</v>
      </c>
      <c r="AHW86" t="s">
        <v>1901</v>
      </c>
      <c r="AHX86" t="s">
        <v>1901</v>
      </c>
      <c r="AHY86">
        <v>4.518</v>
      </c>
      <c r="AHZ86">
        <v>8.382999999999999</v>
      </c>
      <c r="AIA86">
        <v>12.787</v>
      </c>
      <c r="AIB86">
        <v>15.726</v>
      </c>
      <c r="AIC86">
        <v>7.98</v>
      </c>
      <c r="AID86">
        <v>25.388674794</v>
      </c>
      <c r="AIE86">
        <v>23.757336285</v>
      </c>
      <c r="AIF86">
        <v>24.494090504</v>
      </c>
      <c r="AIG86">
        <v>24.204899345</v>
      </c>
      <c r="AIH86">
        <v>26.597419384</v>
      </c>
      <c r="AII86">
        <v>23.594330828</v>
      </c>
      <c r="AIJ86">
        <v>25.624553045</v>
      </c>
      <c r="AIK86">
        <v>23.384105425</v>
      </c>
      <c r="AIL86">
        <v>22.869689069</v>
      </c>
      <c r="AIM86">
        <v>14.109469468</v>
      </c>
      <c r="AIN86">
        <v>1.841046495</v>
      </c>
      <c r="AIO86">
        <v>1.17829341</v>
      </c>
      <c r="AIP86">
        <v>1.115277069</v>
      </c>
      <c r="AIQ86">
        <v>1.427861702</v>
      </c>
      <c r="AIR86">
        <v>0.854162231</v>
      </c>
      <c r="AIS86">
        <v>2.042382269</v>
      </c>
      <c r="AIT86">
        <v>0</v>
      </c>
      <c r="AIU86">
        <v>0.874824108</v>
      </c>
      <c r="AIV86">
        <v>2.045124458</v>
      </c>
      <c r="AIW86">
        <v>0</v>
      </c>
      <c r="AIX86">
        <v>28.0724816152242</v>
      </c>
      <c r="AIY86">
        <v>33.7856266325741</v>
      </c>
      <c r="AIZ86">
        <v>10.6373150889438</v>
      </c>
      <c r="AJA86">
        <v>11.0195769288611</v>
      </c>
      <c r="AJB86">
        <v>55.2242664326489</v>
      </c>
      <c r="AJC86">
        <v>103.928678031606</v>
      </c>
      <c r="AJD86">
        <v>97.55823074293519</v>
      </c>
      <c r="AJE86">
        <v>81.98437871847869</v>
      </c>
      <c r="AJF86">
        <v>55.7358602758956</v>
      </c>
      <c r="AJG86">
        <v>46.5968858900481</v>
      </c>
      <c r="AJH86">
        <v>39.264</v>
      </c>
      <c r="AJI86">
        <v>39.356</v>
      </c>
      <c r="AJJ86">
        <v>43.634</v>
      </c>
      <c r="AJK86">
        <v>36.523</v>
      </c>
      <c r="AJL86">
        <v>65.35599999999999</v>
      </c>
      <c r="AJM86">
        <v>40.8069755841397</v>
      </c>
      <c r="AJN86">
        <v>38.3948356411304</v>
      </c>
      <c r="AJO86">
        <v>35.7733692599666</v>
      </c>
      <c r="AJP86">
        <v>20.3561335854363</v>
      </c>
      <c r="AJQ86">
        <v>30.4537147930235</v>
      </c>
      <c r="AJR86">
        <v>518.82921809352</v>
      </c>
      <c r="AJS86">
        <v>525.591968714217</v>
      </c>
      <c r="AJT86">
        <v>476.606651404647</v>
      </c>
      <c r="AJU86">
        <v>426.333582156272</v>
      </c>
      <c r="AJV86">
        <v>632.817621815853</v>
      </c>
      <c r="AJW86">
        <v>6.80196930285013</v>
      </c>
      <c r="AJX86">
        <v>-1.36662925332642</v>
      </c>
      <c r="AJY86">
        <v>0.698667461987734</v>
      </c>
      <c r="AJZ86">
        <v>1.17334673612595</v>
      </c>
      <c r="AKA86">
        <v>-5.77941436824679</v>
      </c>
      <c r="AKB86">
        <v>564.1638342336551</v>
      </c>
      <c r="AKC86">
        <v>594.751423722131</v>
      </c>
      <c r="AKD86">
        <v>556.8148582597109</v>
      </c>
      <c r="AKE86">
        <v>511.074987465441</v>
      </c>
      <c r="AKF86">
        <v>705.471502394177</v>
      </c>
      <c r="AKG86">
        <v>2.042382269</v>
      </c>
      <c r="AKH86">
        <v>0</v>
      </c>
      <c r="AKI86">
        <v>0.874824108</v>
      </c>
      <c r="AKJ86">
        <v>2.045124458</v>
      </c>
      <c r="AKK86">
        <v>0</v>
      </c>
      <c r="AKL86">
        <v>0.19818113</v>
      </c>
      <c r="AKM86">
        <v>0</v>
      </c>
      <c r="AKN86">
        <v>0.089550716</v>
      </c>
      <c r="AKO86">
        <v>0.119893043</v>
      </c>
      <c r="AKP86">
        <v>0</v>
      </c>
      <c r="AKQ86">
        <v>0.036508371</v>
      </c>
      <c r="AKR86">
        <v>0</v>
      </c>
      <c r="AKS86">
        <v>0.01318528</v>
      </c>
      <c r="AKT86">
        <v>0.013075071</v>
      </c>
      <c r="AKU86">
        <v>0</v>
      </c>
      <c r="AKV86">
        <v>0</v>
      </c>
      <c r="AKW86">
        <v>0</v>
      </c>
      <c r="AKX86">
        <v>0</v>
      </c>
      <c r="AKY86">
        <v>0</v>
      </c>
      <c r="AKZ86">
        <v>0</v>
      </c>
      <c r="ALA86">
        <v>0</v>
      </c>
      <c r="ALB86">
        <v>0</v>
      </c>
      <c r="ALC86">
        <v>0</v>
      </c>
      <c r="ALD86">
        <v>0</v>
      </c>
      <c r="ALE86">
        <v>0</v>
      </c>
      <c r="ALF86">
        <v>259.324564763</v>
      </c>
      <c r="ALG86">
        <v>291.44340342</v>
      </c>
      <c r="ALH86">
        <v>337.223902864</v>
      </c>
      <c r="ALI86">
        <v>464.543534767</v>
      </c>
      <c r="ALJ86">
        <v>875.48640819</v>
      </c>
      <c r="ALK86">
        <v>47.772043506</v>
      </c>
      <c r="ALL86">
        <v>47.806027541</v>
      </c>
      <c r="ALM86">
        <v>49.652216929</v>
      </c>
      <c r="ALN86">
        <v>50.661319606</v>
      </c>
      <c r="ALO86">
        <v>57.826489266</v>
      </c>
      <c r="ALP86">
        <v>17.41662893</v>
      </c>
      <c r="ALQ86">
        <v>17.1435093</v>
      </c>
      <c r="ALR86">
        <v>16.683191087</v>
      </c>
      <c r="ALS86">
        <v>20.640902369</v>
      </c>
      <c r="ALT86">
        <v>22.204486907</v>
      </c>
      <c r="ALU86">
        <v>63.559757401</v>
      </c>
      <c r="ALV86">
        <v>108.171225292</v>
      </c>
      <c r="ALW86">
        <v>95.428664189</v>
      </c>
      <c r="ALX86">
        <v>90.381727895</v>
      </c>
      <c r="ALY86">
        <v>155.858104968</v>
      </c>
      <c r="ALZ86">
        <v>90.2965702059272</v>
      </c>
      <c r="AMA86">
        <v>91.5745044523246</v>
      </c>
      <c r="AMB86">
        <v>89.76357472581731</v>
      </c>
      <c r="AMC86">
        <v>94.13761630298281</v>
      </c>
      <c r="AMD86">
        <v>92.1072912503368</v>
      </c>
      <c r="AME86">
        <v>90.2965702059272</v>
      </c>
      <c r="AMF86">
        <v>91.5799735497193</v>
      </c>
      <c r="AMG86">
        <v>89.7948448407662</v>
      </c>
      <c r="AMH86" t="s">
        <v>1901</v>
      </c>
      <c r="AMI86">
        <v>96.5188477041921</v>
      </c>
      <c r="AMJ86">
        <v>930.5634411976999</v>
      </c>
      <c r="AMK86">
        <v>1086.87380978547</v>
      </c>
      <c r="AML86">
        <v>876.903531472168</v>
      </c>
      <c r="AMM86">
        <v>1605.7907699027</v>
      </c>
      <c r="AMN86">
        <v>1166.99214644488</v>
      </c>
      <c r="AMO86">
        <v>1.43425547752267</v>
      </c>
      <c r="AMP86">
        <v>1.38136213072303</v>
      </c>
      <c r="AMQ86">
        <v>1.18446907794516</v>
      </c>
      <c r="AMR86">
        <v>1.28849202354519</v>
      </c>
      <c r="AMS86">
        <v>0.705024245026614</v>
      </c>
      <c r="AMT86">
        <v>1.43425547752267</v>
      </c>
      <c r="AMU86">
        <v>1.38136213214683</v>
      </c>
      <c r="AMV86">
        <v>1.18446907794516</v>
      </c>
      <c r="AMW86">
        <v>1.28849202553189</v>
      </c>
      <c r="AMX86">
        <v>0.705024245026614</v>
      </c>
      <c r="AMY86">
        <v>1.43425547752267</v>
      </c>
      <c r="AMZ86">
        <v>1.38136213268981</v>
      </c>
      <c r="ANA86">
        <v>1.18446907794516</v>
      </c>
      <c r="ANB86">
        <v>1.28849202610503</v>
      </c>
      <c r="ANC86">
        <v>0.705024245026614</v>
      </c>
      <c r="AND86">
        <v>27.3394669415264</v>
      </c>
      <c r="ANE86">
        <v>25.2816024788146</v>
      </c>
      <c r="ANF86">
        <v>13.9797688019507</v>
      </c>
      <c r="ANG86">
        <v>21.07731449611</v>
      </c>
      <c r="ANH86">
        <v>-38.5368559546432</v>
      </c>
      <c r="ANI86">
        <v>27.3394669415264</v>
      </c>
      <c r="ANJ86">
        <v>25.2831123701001</v>
      </c>
      <c r="ANK86">
        <v>13.9846388060557</v>
      </c>
      <c r="ANL86">
        <v>33.5253258969085</v>
      </c>
      <c r="ANM86">
        <v>-40.3826111960598</v>
      </c>
      <c r="ANN86">
        <v>37.6262955840484</v>
      </c>
      <c r="ANO86">
        <v>33.8358467493181</v>
      </c>
      <c r="ANP86">
        <v>16.2517219580174</v>
      </c>
      <c r="ANQ86">
        <v>26.7062814215453</v>
      </c>
      <c r="ANR86">
        <v>-27.8170423957507</v>
      </c>
      <c r="ANS86">
        <v>5.24146477739232</v>
      </c>
      <c r="ANT86">
        <v>4.3301282308131</v>
      </c>
      <c r="ANU86">
        <v>2.13247555549132</v>
      </c>
      <c r="ANV86">
        <v>2.38109988771355</v>
      </c>
      <c r="ANW86">
        <v>-2.62807993378285</v>
      </c>
      <c r="ANX86">
        <v>90.2965702059272</v>
      </c>
      <c r="ANY86">
        <v>91.5745044523246</v>
      </c>
      <c r="ANZ86">
        <v>89.76357472581731</v>
      </c>
      <c r="AOA86">
        <v>94.13761630298281</v>
      </c>
      <c r="AOB86">
        <v>92.1072912503368</v>
      </c>
      <c r="AOC86">
        <v>124.271824613867</v>
      </c>
      <c r="AOD86">
        <v>122.559513440261</v>
      </c>
      <c r="AOE86">
        <v>104.351701309834</v>
      </c>
      <c r="AOF86">
        <v>119.278273036392</v>
      </c>
      <c r="AOG86">
        <v>66.4857669936531</v>
      </c>
      <c r="AOH86">
        <v>16.6341807389909</v>
      </c>
      <c r="AOI86">
        <v>15.0211438327428</v>
      </c>
      <c r="AOJ86">
        <v>13.2166209061627</v>
      </c>
      <c r="AOK86">
        <v>10.2662840176923</v>
      </c>
      <c r="AOL86">
        <v>6.08375097430271</v>
      </c>
      <c r="AOM86">
        <v>281.750551317703</v>
      </c>
      <c r="AON86">
        <v>300.060718515125</v>
      </c>
      <c r="AOO86">
        <v>136.568855117901</v>
      </c>
      <c r="AOP86">
        <v>359.534885218009</v>
      </c>
      <c r="AOQ86">
        <v>-488.258938432105</v>
      </c>
      <c r="AOR86">
        <v>43.4255477522671</v>
      </c>
      <c r="AOS86">
        <v>38.136213214683</v>
      </c>
      <c r="AOT86">
        <v>18.4469077945161</v>
      </c>
      <c r="AOU86">
        <v>28.8492025531887</v>
      </c>
      <c r="AOV86">
        <v>-29.4975754973386</v>
      </c>
      <c r="AOW86">
        <v>5.03639986962835</v>
      </c>
      <c r="AOX86">
        <v>4.14699035968259</v>
      </c>
      <c r="AOY86">
        <v>2.05835501956722</v>
      </c>
      <c r="AOZ86">
        <v>2.29861032651231</v>
      </c>
      <c r="APA86">
        <v>-2.54538627483268</v>
      </c>
      <c r="APB86">
        <v>23.745205006044</v>
      </c>
      <c r="APC86">
        <v>32.7348815728236</v>
      </c>
      <c r="APD86">
        <v>10.0045691464066</v>
      </c>
      <c r="APE86">
        <v>17.1045032133143</v>
      </c>
      <c r="APF86">
        <v>118.51492943747</v>
      </c>
      <c r="APG86">
        <v>23.745205006044</v>
      </c>
      <c r="APH86">
        <v>32.7368365957483</v>
      </c>
      <c r="API86">
        <v>10.0080543465914</v>
      </c>
      <c r="APJ86">
        <v>27.2062194942772</v>
      </c>
      <c r="APK86">
        <v>124.191302010593</v>
      </c>
      <c r="APL86">
        <v>244.709401829736</v>
      </c>
      <c r="APM86">
        <v>388.521736052134</v>
      </c>
      <c r="APN86">
        <v>97.7349892998209</v>
      </c>
      <c r="APO86">
        <v>291.767037050425</v>
      </c>
      <c r="APP86">
        <v>1501.57484833743</v>
      </c>
      <c r="APQ86">
        <v>37.7164827713267</v>
      </c>
      <c r="APR86">
        <v>49.3791651167965</v>
      </c>
      <c r="APS86">
        <v>13.2014604234278</v>
      </c>
      <c r="APT86">
        <v>23.411487163777</v>
      </c>
      <c r="APU86">
        <v>90.7158353228947</v>
      </c>
      <c r="APV86">
        <v>32.6796460286564</v>
      </c>
      <c r="APW86">
        <v>43.811005935375</v>
      </c>
      <c r="APX86">
        <v>11.6304839071782</v>
      </c>
      <c r="APY86">
        <v>21.6724799772192</v>
      </c>
      <c r="APZ86">
        <v>85.5475812705548</v>
      </c>
      <c r="AQA86">
        <v>4.37427502344936</v>
      </c>
      <c r="AQB86">
        <v>5.36956620616146</v>
      </c>
      <c r="AQC86">
        <v>1.47305405495975</v>
      </c>
      <c r="AQD86">
        <v>1.86535090716814</v>
      </c>
      <c r="AQE86">
        <v>7.82799393671223</v>
      </c>
      <c r="AQF86">
        <v>0.434255477522671</v>
      </c>
      <c r="AQG86">
        <v>0.381362132689815</v>
      </c>
      <c r="AQH86">
        <v>0.184469077945161</v>
      </c>
      <c r="AQI86">
        <v>0.288492026105034</v>
      </c>
      <c r="AQJ86">
        <v>-0.294975754973386</v>
      </c>
      <c r="AQK86">
        <v>2</v>
      </c>
      <c r="AQO86" t="s">
        <v>1902</v>
      </c>
      <c r="AQP86">
        <v>1</v>
      </c>
      <c r="AQQ86">
        <v>1</v>
      </c>
      <c r="AQS86" t="s">
        <v>1905</v>
      </c>
      <c r="AQU86" t="s">
        <v>1906</v>
      </c>
      <c r="AQV86">
        <v>1247144.13845707</v>
      </c>
      <c r="AQW86">
        <v>1170698.77444022</v>
      </c>
      <c r="AQX86">
        <v>983812.5424885449</v>
      </c>
      <c r="AQY86">
        <v>340962.559446656</v>
      </c>
      <c r="AQZ86">
        <v>295971.410378332</v>
      </c>
      <c r="ARA86">
        <v>137534.718884492</v>
      </c>
      <c r="ARB86">
        <v>3401655.455385835</v>
      </c>
      <c r="ARC86">
        <v>774468.68870948</v>
      </c>
      <c r="ARD86">
        <v>0.2947901148608699</v>
      </c>
      <c r="ARE86">
        <v>0.2947901148608699</v>
      </c>
      <c r="ARF86">
        <v>0.2947901148608699</v>
      </c>
      <c r="ARG86">
        <v>0.2947901148608699</v>
      </c>
      <c r="ARH86">
        <v>0.2947901148608699</v>
      </c>
      <c r="ARI86">
        <v>0.2947901148608699</v>
      </c>
      <c r="ARJ86" t="s">
        <v>1247</v>
      </c>
      <c r="ARK86" t="s">
        <v>1585</v>
      </c>
      <c r="ARL86" t="s">
        <v>1908</v>
      </c>
      <c r="ARM86" t="s">
        <v>1908</v>
      </c>
      <c r="ARN86" t="s">
        <v>1909</v>
      </c>
      <c r="ARO86" t="s">
        <v>1908</v>
      </c>
      <c r="ARP86" t="s">
        <v>1907</v>
      </c>
      <c r="ARQ86" t="s">
        <v>1979</v>
      </c>
      <c r="ARR86">
        <f>HYPERLINK("C:\Users\Usuario\Documents\Proyectos\llmthon\evidence\aptosambassador_com_235403.png", "Ver Evidencia")</f>
        <v>0</v>
      </c>
      <c r="ARS86">
        <v>100</v>
      </c>
    </row>
    <row r="87" spans="1:1163">
      <c r="A87">
        <v>364</v>
      </c>
      <c r="B87" t="s">
        <v>1248</v>
      </c>
      <c r="C87" t="s">
        <v>1371</v>
      </c>
      <c r="E87" s="2">
        <v>42086</v>
      </c>
      <c r="F87" t="s">
        <v>1431</v>
      </c>
      <c r="G87" t="s">
        <v>1433</v>
      </c>
      <c r="H87" t="s">
        <v>1434</v>
      </c>
      <c r="I87" t="s">
        <v>1437</v>
      </c>
      <c r="J87" t="s">
        <v>1453</v>
      </c>
      <c r="L87" t="s">
        <v>1586</v>
      </c>
      <c r="N87" t="s">
        <v>1643</v>
      </c>
      <c r="O87" t="s">
        <v>1667</v>
      </c>
      <c r="P87">
        <v>7021</v>
      </c>
      <c r="Q87">
        <v>7021</v>
      </c>
      <c r="R87" t="s">
        <v>1756</v>
      </c>
      <c r="Z87" t="s">
        <v>1899</v>
      </c>
      <c r="AA87" s="2">
        <v>45657</v>
      </c>
      <c r="AB87">
        <v>2024</v>
      </c>
      <c r="AC87">
        <v>1915276.03748173</v>
      </c>
      <c r="AD87">
        <v>2213252.31213044</v>
      </c>
      <c r="AE87">
        <v>1467628.71527735</v>
      </c>
      <c r="AF87">
        <v>1067603.36588402</v>
      </c>
      <c r="AG87">
        <v>1115271.88735377</v>
      </c>
      <c r="AH87">
        <v>1912164.53335673</v>
      </c>
      <c r="AI87">
        <v>2213252.31213044</v>
      </c>
      <c r="AJ87">
        <v>1467628.71527735</v>
      </c>
      <c r="AK87">
        <v>1067603.36588402</v>
      </c>
      <c r="AL87">
        <v>1115271.88735377</v>
      </c>
      <c r="AM87">
        <v>1675314.38755888</v>
      </c>
      <c r="AN87">
        <v>1968272.07783632</v>
      </c>
      <c r="AO87">
        <v>1284332.63328061</v>
      </c>
      <c r="AP87">
        <v>894227.7196661</v>
      </c>
      <c r="AQ87">
        <v>881108.6388260369</v>
      </c>
      <c r="AR87">
        <v>239961.649922843</v>
      </c>
      <c r="AS87">
        <v>244980.234294119</v>
      </c>
      <c r="AT87">
        <v>183296.081996739</v>
      </c>
      <c r="AU87">
        <v>173375.646217918</v>
      </c>
      <c r="AV87">
        <v>234163.248527735</v>
      </c>
      <c r="AW87">
        <v>127832.952359498</v>
      </c>
      <c r="AX87">
        <v>120597.897722855</v>
      </c>
      <c r="AY87">
        <v>153089.312531585</v>
      </c>
      <c r="AZ87">
        <v>152995.047333241</v>
      </c>
      <c r="BA87">
        <v>209742.194402177</v>
      </c>
      <c r="BB87">
        <v>112128.697563345</v>
      </c>
      <c r="BC87">
        <v>124382.336571264</v>
      </c>
      <c r="BD87">
        <v>30206.7694651544</v>
      </c>
      <c r="BE87">
        <v>20380.5988846779</v>
      </c>
      <c r="BF87">
        <v>24421.055352658</v>
      </c>
      <c r="BG87">
        <v>-15762.0695556033</v>
      </c>
      <c r="BH87">
        <v>-9594.00105566978</v>
      </c>
      <c r="BI87">
        <v>-8734.905843096971</v>
      </c>
      <c r="BJ87">
        <v>-11146.814380002</v>
      </c>
      <c r="BK87">
        <v>-17122.3914295733</v>
      </c>
      <c r="BL87">
        <v>229.970802373886</v>
      </c>
      <c r="BM87" t="s">
        <v>1900</v>
      </c>
      <c r="BN87" t="s">
        <v>1900</v>
      </c>
      <c r="BO87" t="s">
        <v>1900</v>
      </c>
      <c r="BP87">
        <v>4.72433230280876</v>
      </c>
      <c r="BQ87">
        <v>15992.0403579772</v>
      </c>
      <c r="BR87">
        <v>9594.00105566978</v>
      </c>
      <c r="BS87">
        <v>8734.905843096971</v>
      </c>
      <c r="BT87">
        <v>11146.814380002</v>
      </c>
      <c r="BU87">
        <v>17127.1157618761</v>
      </c>
      <c r="BV87">
        <v>96366.6280077422</v>
      </c>
      <c r="BW87">
        <v>114788.335515594</v>
      </c>
      <c r="BX87">
        <v>21471.8636220574</v>
      </c>
      <c r="BY87">
        <v>9233.784504675859</v>
      </c>
      <c r="BZ87">
        <v>7298.66392308474</v>
      </c>
      <c r="CA87">
        <v>23443.8589849532</v>
      </c>
      <c r="CB87">
        <v>27554.1487159634</v>
      </c>
      <c r="CC87">
        <v>5367.9712385118</v>
      </c>
      <c r="CD87">
        <v>2333.92566898584</v>
      </c>
      <c r="CE87">
        <v>1824.67211626768</v>
      </c>
      <c r="CF87">
        <v>72922.7679838895</v>
      </c>
      <c r="CG87">
        <v>87234.1867996311</v>
      </c>
      <c r="CH87">
        <v>16103.8913169461</v>
      </c>
      <c r="CI87">
        <v>6899.85770308971</v>
      </c>
      <c r="CJ87">
        <v>5473.99180681705</v>
      </c>
      <c r="CK87" t="s">
        <v>1900</v>
      </c>
      <c r="CL87" t="s">
        <v>1900</v>
      </c>
      <c r="CM87" t="s">
        <v>1900</v>
      </c>
      <c r="CN87" t="s">
        <v>1900</v>
      </c>
      <c r="CO87" t="s">
        <v>1900</v>
      </c>
      <c r="CP87" t="s">
        <v>1900</v>
      </c>
      <c r="CQ87" t="s">
        <v>1900</v>
      </c>
      <c r="CR87" t="s">
        <v>1900</v>
      </c>
      <c r="CS87" t="s">
        <v>1900</v>
      </c>
      <c r="CT87" t="s">
        <v>1900</v>
      </c>
      <c r="CU87" t="s">
        <v>1900</v>
      </c>
      <c r="CV87" t="s">
        <v>1900</v>
      </c>
      <c r="CW87" t="s">
        <v>1900</v>
      </c>
      <c r="CX87" t="s">
        <v>1900</v>
      </c>
      <c r="CY87" t="s">
        <v>1900</v>
      </c>
      <c r="CZ87">
        <v>72922.7679838895</v>
      </c>
      <c r="DA87">
        <v>87234.1867996311</v>
      </c>
      <c r="DB87">
        <v>16103.8913169461</v>
      </c>
      <c r="DC87">
        <v>6899.85770308971</v>
      </c>
      <c r="DD87">
        <v>5473.99180681705</v>
      </c>
      <c r="DE87" t="s">
        <v>1900</v>
      </c>
      <c r="DF87" t="s">
        <v>1900</v>
      </c>
      <c r="DG87" t="s">
        <v>1900</v>
      </c>
      <c r="DH87" t="s">
        <v>1900</v>
      </c>
      <c r="DI87" t="s">
        <v>1900</v>
      </c>
      <c r="DJ87">
        <v>1675314.38755888</v>
      </c>
      <c r="DK87">
        <v>1968272.07783632</v>
      </c>
      <c r="DL87">
        <v>1284332.63328061</v>
      </c>
      <c r="DM87">
        <v>894227.7196661</v>
      </c>
      <c r="DN87">
        <v>881108.6388260369</v>
      </c>
      <c r="DO87" t="s">
        <v>1900</v>
      </c>
      <c r="DP87" t="s">
        <v>1900</v>
      </c>
      <c r="DQ87">
        <v>58026.542605561</v>
      </c>
      <c r="DR87">
        <v>75470.730879879</v>
      </c>
      <c r="DS87">
        <v>125413.561016542</v>
      </c>
      <c r="DT87">
        <v>3458.25762476563</v>
      </c>
      <c r="DU87">
        <v>3130.55480495453</v>
      </c>
      <c r="DV87">
        <v>5661.40342372656</v>
      </c>
      <c r="DW87">
        <v>9893.68274781704</v>
      </c>
      <c r="DX87">
        <v>12569.7916737199</v>
      </c>
      <c r="DY87">
        <v>124374.694734732</v>
      </c>
      <c r="DZ87">
        <v>117467.3429179</v>
      </c>
      <c r="EA87">
        <v>89401.36650229691</v>
      </c>
      <c r="EB87">
        <v>67630.6337055445</v>
      </c>
      <c r="EC87">
        <v>71758.8417119151</v>
      </c>
      <c r="ED87">
        <v>15992.0403579772</v>
      </c>
      <c r="EE87">
        <v>9594.00105566978</v>
      </c>
      <c r="EF87">
        <v>8734.905843096971</v>
      </c>
      <c r="EG87">
        <v>11146.814380002</v>
      </c>
      <c r="EH87">
        <v>17127.1157618761</v>
      </c>
      <c r="EI87" t="s">
        <v>1900</v>
      </c>
      <c r="EJ87" t="s">
        <v>1900</v>
      </c>
      <c r="EK87" t="s">
        <v>1900</v>
      </c>
      <c r="EL87" t="s">
        <v>1900</v>
      </c>
      <c r="EM87" t="s">
        <v>1900</v>
      </c>
      <c r="EN87">
        <v>76381.02664755459</v>
      </c>
      <c r="EO87">
        <v>90364.74160458559</v>
      </c>
      <c r="EP87">
        <v>21765.2958072722</v>
      </c>
      <c r="EQ87">
        <v>16793.5415835071</v>
      </c>
      <c r="ER87">
        <v>18043.7834805369</v>
      </c>
      <c r="ES87">
        <v>115816.925990485</v>
      </c>
      <c r="ET87">
        <v>127512.891376219</v>
      </c>
      <c r="EU87">
        <v>93894.715494442</v>
      </c>
      <c r="EV87">
        <v>105745.012512374</v>
      </c>
      <c r="EW87">
        <v>162409.132375222</v>
      </c>
      <c r="EX87">
        <v>115586.955188111</v>
      </c>
      <c r="EY87">
        <v>127512.891376219</v>
      </c>
      <c r="EZ87">
        <v>35868.172888881</v>
      </c>
      <c r="FA87">
        <v>30274.2816324949</v>
      </c>
      <c r="FB87">
        <v>36990.8470263779</v>
      </c>
      <c r="FC87">
        <v>211552.744585987</v>
      </c>
      <c r="FD87">
        <v>112674.524816942</v>
      </c>
      <c r="FE87">
        <v>110433.50315333</v>
      </c>
      <c r="FF87">
        <v>121402.169770789</v>
      </c>
      <c r="FG87">
        <v>137960.11142953</v>
      </c>
      <c r="FH87">
        <v>799.4435857188701</v>
      </c>
      <c r="FI87">
        <v>850.3089316082001</v>
      </c>
      <c r="FJ87">
        <v>3040.4378352344</v>
      </c>
      <c r="FK87">
        <v>8885.464606118199</v>
      </c>
      <c r="FL87">
        <v>15755.6973138392</v>
      </c>
      <c r="FM87">
        <v>78778.4639511061</v>
      </c>
      <c r="FN87">
        <v>2893.26699846268</v>
      </c>
      <c r="FO87">
        <v>2247.68776558638</v>
      </c>
      <c r="FP87">
        <v>864.9668548107149</v>
      </c>
      <c r="FQ87">
        <v>4402.88137032986</v>
      </c>
      <c r="FR87">
        <v>131974.837049162</v>
      </c>
      <c r="FS87">
        <v>108930.948886871</v>
      </c>
      <c r="FT87">
        <v>105145.377552509</v>
      </c>
      <c r="FU87">
        <v>111651.73830986</v>
      </c>
      <c r="FV87">
        <v>117801.532745361</v>
      </c>
      <c r="FW87">
        <v>799.4435857188701</v>
      </c>
      <c r="FX87">
        <v>850.3089316082001</v>
      </c>
      <c r="FY87">
        <v>3040.4378352344</v>
      </c>
      <c r="FZ87">
        <v>8885.464606118199</v>
      </c>
      <c r="GA87">
        <v>15755.6973138392</v>
      </c>
      <c r="GB87">
        <v>78778.4639511061</v>
      </c>
      <c r="GC87">
        <v>2893.26699846268</v>
      </c>
      <c r="GD87">
        <v>2247.68776558638</v>
      </c>
      <c r="GE87">
        <v>864.9668548107149</v>
      </c>
      <c r="GF87">
        <v>4402.88137032986</v>
      </c>
      <c r="GG87">
        <v>131974.837049162</v>
      </c>
      <c r="GH87">
        <v>108930.948886871</v>
      </c>
      <c r="GI87">
        <v>105145.377552509</v>
      </c>
      <c r="GJ87">
        <v>111651.73830986</v>
      </c>
      <c r="GK87">
        <v>117801.532745361</v>
      </c>
      <c r="GL87">
        <v>1034520.43389035</v>
      </c>
      <c r="GM87">
        <v>969783.762077036</v>
      </c>
      <c r="GN87">
        <v>942860.743118727</v>
      </c>
      <c r="GO87">
        <v>686071.265800309</v>
      </c>
      <c r="GP87">
        <v>563684.383614242</v>
      </c>
      <c r="GQ87">
        <v>0</v>
      </c>
      <c r="GR87">
        <v>117854.479841642</v>
      </c>
      <c r="GS87">
        <v>191848.236683518</v>
      </c>
      <c r="GT87">
        <v>202481.809197307</v>
      </c>
      <c r="GU87">
        <v>263981.9455688</v>
      </c>
      <c r="GV87">
        <v>955955.941688688</v>
      </c>
      <c r="GW87">
        <v>676997.990778379</v>
      </c>
      <c r="GX87">
        <v>665163.246874654</v>
      </c>
      <c r="GY87">
        <v>445380.80014658</v>
      </c>
      <c r="GZ87">
        <v>217584.290293908</v>
      </c>
      <c r="HA87">
        <v>78564.4922016621</v>
      </c>
      <c r="HB87">
        <v>174931.291457014</v>
      </c>
      <c r="HC87">
        <v>85849.2584939557</v>
      </c>
      <c r="HD87">
        <v>38208.6564564228</v>
      </c>
      <c r="HE87">
        <v>82118.14775153399</v>
      </c>
      <c r="HF87">
        <v>21226.5149168169</v>
      </c>
      <c r="HG87">
        <v>128317.585887356</v>
      </c>
      <c r="HH87">
        <v>70448.3405011314</v>
      </c>
      <c r="HI87">
        <v>21534.8771620274</v>
      </c>
      <c r="HJ87">
        <v>44656.1191361606</v>
      </c>
      <c r="HK87">
        <v>1246073.17847634</v>
      </c>
      <c r="HL87">
        <v>1082458.28689398</v>
      </c>
      <c r="HM87">
        <v>1053294.24627206</v>
      </c>
      <c r="HN87">
        <v>807473.435571098</v>
      </c>
      <c r="HO87">
        <v>701644.495043773</v>
      </c>
      <c r="HP87">
        <v>211776.949495909</v>
      </c>
      <c r="HQ87">
        <v>147688.907580967</v>
      </c>
      <c r="HR87">
        <v>58353.7966605484</v>
      </c>
      <c r="HS87">
        <v>44864.3142072201</v>
      </c>
      <c r="HT87">
        <v>41132.0372001111</v>
      </c>
      <c r="HU87">
        <v>20777.9908180237</v>
      </c>
      <c r="HV87">
        <v>22100.0099182129</v>
      </c>
      <c r="HW87">
        <v>21331.9897651672</v>
      </c>
      <c r="HX87">
        <v>22652.006149292</v>
      </c>
      <c r="HY87">
        <v>24541.9859886169</v>
      </c>
      <c r="HZ87">
        <v>190998.958677886</v>
      </c>
      <c r="IA87">
        <v>125588.897662754</v>
      </c>
      <c r="IB87">
        <v>37021.8068953812</v>
      </c>
      <c r="IC87">
        <v>22212.3080579281</v>
      </c>
      <c r="ID87">
        <v>16590.0512114942</v>
      </c>
      <c r="IE87">
        <v>356761.426823998</v>
      </c>
      <c r="IF87">
        <v>347429.813822231</v>
      </c>
      <c r="IG87">
        <v>385270.966199613</v>
      </c>
      <c r="IH87">
        <v>443979.320526123</v>
      </c>
      <c r="II87">
        <v>481022.925376892</v>
      </c>
      <c r="IJ87">
        <v>356761.426823998</v>
      </c>
      <c r="IK87">
        <v>347429.813822231</v>
      </c>
      <c r="IL87">
        <v>385270.966199613</v>
      </c>
      <c r="IM87">
        <v>443979.320526123</v>
      </c>
      <c r="IN87">
        <v>481022.925376892</v>
      </c>
      <c r="IO87">
        <v>0</v>
      </c>
      <c r="IP87">
        <v>0</v>
      </c>
      <c r="IQ87">
        <v>0</v>
      </c>
      <c r="IR87">
        <v>0</v>
      </c>
      <c r="IS87">
        <v>0</v>
      </c>
      <c r="IT87">
        <v>0</v>
      </c>
      <c r="IU87">
        <v>0</v>
      </c>
      <c r="IV87">
        <v>0</v>
      </c>
      <c r="IW87">
        <v>0</v>
      </c>
      <c r="IX87">
        <v>0</v>
      </c>
      <c r="IY87">
        <v>677534.802156431</v>
      </c>
      <c r="IZ87">
        <v>587339.56549078</v>
      </c>
      <c r="JA87">
        <v>609669.483411896</v>
      </c>
      <c r="JB87">
        <v>318629.800837755</v>
      </c>
      <c r="JC87">
        <v>179489.532466769</v>
      </c>
      <c r="JD87">
        <v>206001.010885347</v>
      </c>
      <c r="JE87">
        <v>193417.971853609</v>
      </c>
      <c r="JF87">
        <v>92810.4851166427</v>
      </c>
      <c r="JG87">
        <v>75386.7598930836</v>
      </c>
      <c r="JH87">
        <v>65156.3099942982</v>
      </c>
      <c r="JI87">
        <v>76558.4603001451</v>
      </c>
      <c r="JJ87">
        <v>58760.3019709015</v>
      </c>
      <c r="JK87">
        <v>115826.944787621</v>
      </c>
      <c r="JL87">
        <v>146388.329241729</v>
      </c>
      <c r="JM87">
        <v>87355.07624469401</v>
      </c>
      <c r="JN87">
        <v>394975.330970938</v>
      </c>
      <c r="JO87">
        <v>335161.291666269</v>
      </c>
      <c r="JP87">
        <v>401032.053507632</v>
      </c>
      <c r="JQ87">
        <v>96854.7117029428</v>
      </c>
      <c r="JR87">
        <v>26978.146227777</v>
      </c>
      <c r="JS87">
        <v>1246073.17847634</v>
      </c>
      <c r="JT87">
        <v>1082458.28689398</v>
      </c>
      <c r="JU87">
        <v>1053294.24627206</v>
      </c>
      <c r="JV87">
        <v>807473.435571098</v>
      </c>
      <c r="JW87">
        <v>701644.495043773</v>
      </c>
      <c r="JX87">
        <v>879397.481388543</v>
      </c>
      <c r="JY87">
        <v>736092.16864912</v>
      </c>
      <c r="JZ87">
        <v>741184.537703951</v>
      </c>
      <c r="KA87">
        <v>501474.278969557</v>
      </c>
      <c r="KB87">
        <v>394211.159618014</v>
      </c>
      <c r="KC87" t="s">
        <v>1900</v>
      </c>
      <c r="KD87" t="s">
        <v>1900</v>
      </c>
      <c r="KE87" t="s">
        <v>1900</v>
      </c>
      <c r="KF87" t="s">
        <v>1900</v>
      </c>
      <c r="KG87" t="s">
        <v>1900</v>
      </c>
      <c r="KH87" t="s">
        <v>1900</v>
      </c>
      <c r="KI87" t="s">
        <v>1900</v>
      </c>
      <c r="KJ87" t="s">
        <v>1900</v>
      </c>
      <c r="KK87" t="s">
        <v>1900</v>
      </c>
      <c r="KL87" t="s">
        <v>1900</v>
      </c>
      <c r="KM87" t="s">
        <v>1900</v>
      </c>
      <c r="KN87" t="s">
        <v>1900</v>
      </c>
      <c r="KO87" t="s">
        <v>1900</v>
      </c>
      <c r="KP87">
        <v>3</v>
      </c>
      <c r="KQ87">
        <v>4</v>
      </c>
      <c r="KR87" t="s">
        <v>1900</v>
      </c>
      <c r="KS87" t="s">
        <v>1900</v>
      </c>
      <c r="KT87" t="s">
        <v>1900</v>
      </c>
      <c r="KU87" t="s">
        <v>1900</v>
      </c>
      <c r="KV87" t="s">
        <v>1900</v>
      </c>
      <c r="KW87" t="s">
        <v>1900</v>
      </c>
      <c r="KX87" t="s">
        <v>1900</v>
      </c>
      <c r="KY87" t="s">
        <v>1900</v>
      </c>
      <c r="KZ87" t="s">
        <v>1900</v>
      </c>
      <c r="LA87" t="s">
        <v>1900</v>
      </c>
      <c r="LB87" t="s">
        <v>1900</v>
      </c>
      <c r="LC87" t="s">
        <v>1900</v>
      </c>
      <c r="LD87" t="s">
        <v>1900</v>
      </c>
      <c r="LE87" t="s">
        <v>1900</v>
      </c>
      <c r="LF87" t="s">
        <v>1900</v>
      </c>
      <c r="LG87" t="s">
        <v>1900</v>
      </c>
      <c r="LH87" t="s">
        <v>1900</v>
      </c>
      <c r="LI87" t="s">
        <v>1900</v>
      </c>
      <c r="LJ87" t="s">
        <v>1900</v>
      </c>
      <c r="LK87" t="s">
        <v>1900</v>
      </c>
      <c r="LL87" t="s">
        <v>1900</v>
      </c>
      <c r="LM87" t="s">
        <v>1900</v>
      </c>
      <c r="LN87" t="s">
        <v>1900</v>
      </c>
      <c r="LO87" t="s">
        <v>1900</v>
      </c>
      <c r="LP87" t="s">
        <v>1900</v>
      </c>
      <c r="LQ87" t="s">
        <v>1900</v>
      </c>
      <c r="LR87" t="s">
        <v>1900</v>
      </c>
      <c r="LS87" t="s">
        <v>1900</v>
      </c>
      <c r="LT87" t="s">
        <v>1900</v>
      </c>
      <c r="LU87" t="s">
        <v>1900</v>
      </c>
      <c r="LV87" t="s">
        <v>1900</v>
      </c>
      <c r="LW87" t="s">
        <v>1900</v>
      </c>
      <c r="LX87" t="s">
        <v>1900</v>
      </c>
      <c r="LY87" t="s">
        <v>1900</v>
      </c>
      <c r="LZ87" t="s">
        <v>1900</v>
      </c>
      <c r="MA87" t="s">
        <v>1900</v>
      </c>
      <c r="MB87" t="s">
        <v>1900</v>
      </c>
      <c r="MC87" t="s">
        <v>1900</v>
      </c>
      <c r="MD87" t="s">
        <v>1900</v>
      </c>
      <c r="ME87" t="s">
        <v>1900</v>
      </c>
      <c r="MF87" t="s">
        <v>1900</v>
      </c>
      <c r="MG87" t="s">
        <v>1900</v>
      </c>
      <c r="MH87" t="s">
        <v>1900</v>
      </c>
      <c r="MI87" t="s">
        <v>1900</v>
      </c>
      <c r="MJ87" t="s">
        <v>1900</v>
      </c>
      <c r="MK87" t="s">
        <v>1900</v>
      </c>
      <c r="ML87" t="s">
        <v>1900</v>
      </c>
      <c r="MM87" t="s">
        <v>1900</v>
      </c>
      <c r="MN87" t="s">
        <v>1900</v>
      </c>
      <c r="MO87" t="s">
        <v>1900</v>
      </c>
      <c r="MP87">
        <v>78564.4922016621</v>
      </c>
      <c r="MQ87">
        <v>174931.291457014</v>
      </c>
      <c r="MR87">
        <v>85849.2584939557</v>
      </c>
      <c r="MS87">
        <v>38208.6564564228</v>
      </c>
      <c r="MT87">
        <v>82118.14775153399</v>
      </c>
      <c r="MU87" t="s">
        <v>1900</v>
      </c>
      <c r="MV87" t="s">
        <v>1900</v>
      </c>
      <c r="MW87" t="s">
        <v>1900</v>
      </c>
      <c r="MX87" t="s">
        <v>1900</v>
      </c>
      <c r="MY87" t="s">
        <v>1900</v>
      </c>
      <c r="MZ87" t="s">
        <v>1900</v>
      </c>
      <c r="NA87" t="s">
        <v>1900</v>
      </c>
      <c r="NB87" t="s">
        <v>1900</v>
      </c>
      <c r="NC87" t="s">
        <v>1900</v>
      </c>
      <c r="ND87" t="s">
        <v>1900</v>
      </c>
      <c r="NE87" t="s">
        <v>1900</v>
      </c>
      <c r="NF87" t="s">
        <v>1900</v>
      </c>
      <c r="NG87" t="s">
        <v>1900</v>
      </c>
      <c r="NH87" t="s">
        <v>1900</v>
      </c>
      <c r="NI87" t="s">
        <v>1900</v>
      </c>
      <c r="NJ87" t="s">
        <v>1900</v>
      </c>
      <c r="NK87" t="s">
        <v>1900</v>
      </c>
      <c r="NL87" t="s">
        <v>1900</v>
      </c>
      <c r="NM87" t="s">
        <v>1900</v>
      </c>
      <c r="NN87" t="s">
        <v>1900</v>
      </c>
      <c r="NO87" t="s">
        <v>1900</v>
      </c>
      <c r="NP87" t="s">
        <v>1900</v>
      </c>
      <c r="NQ87" t="s">
        <v>1900</v>
      </c>
      <c r="NR87" t="s">
        <v>1900</v>
      </c>
      <c r="NS87" t="s">
        <v>1900</v>
      </c>
      <c r="NT87">
        <v>211552.744585987</v>
      </c>
      <c r="NU87">
        <v>112674.524816942</v>
      </c>
      <c r="NV87">
        <v>110433.50315333</v>
      </c>
      <c r="NW87">
        <v>121402.169770789</v>
      </c>
      <c r="NX87">
        <v>137960.11142953</v>
      </c>
      <c r="NY87" t="s">
        <v>1900</v>
      </c>
      <c r="NZ87" t="s">
        <v>1900</v>
      </c>
      <c r="OA87" t="s">
        <v>1900</v>
      </c>
      <c r="OB87" t="s">
        <v>1900</v>
      </c>
      <c r="OC87" t="s">
        <v>1900</v>
      </c>
      <c r="OD87" t="s">
        <v>1900</v>
      </c>
      <c r="OE87" t="s">
        <v>1900</v>
      </c>
      <c r="OF87" t="s">
        <v>1900</v>
      </c>
      <c r="OG87" t="s">
        <v>1900</v>
      </c>
      <c r="OH87" t="s">
        <v>1900</v>
      </c>
      <c r="OI87" t="s">
        <v>1900</v>
      </c>
      <c r="OJ87" t="s">
        <v>1900</v>
      </c>
      <c r="OK87" t="s">
        <v>1900</v>
      </c>
      <c r="OL87" t="s">
        <v>1900</v>
      </c>
      <c r="OM87" t="s">
        <v>1900</v>
      </c>
      <c r="ON87" t="s">
        <v>1900</v>
      </c>
      <c r="OO87" t="s">
        <v>1900</v>
      </c>
      <c r="OP87" t="s">
        <v>1900</v>
      </c>
      <c r="OQ87" t="s">
        <v>1900</v>
      </c>
      <c r="OR87" t="s">
        <v>1900</v>
      </c>
      <c r="OS87" t="s">
        <v>1900</v>
      </c>
      <c r="OT87" t="s">
        <v>1900</v>
      </c>
      <c r="OU87" t="s">
        <v>1900</v>
      </c>
      <c r="OV87" t="s">
        <v>1900</v>
      </c>
      <c r="OW87" t="s">
        <v>1900</v>
      </c>
      <c r="OX87" t="s">
        <v>1900</v>
      </c>
      <c r="OY87" t="s">
        <v>1900</v>
      </c>
      <c r="OZ87" t="s">
        <v>1900</v>
      </c>
      <c r="PA87" t="s">
        <v>1900</v>
      </c>
      <c r="PB87" t="s">
        <v>1900</v>
      </c>
      <c r="PC87" t="s">
        <v>1900</v>
      </c>
      <c r="PD87" t="s">
        <v>1900</v>
      </c>
      <c r="PE87" t="s">
        <v>1900</v>
      </c>
      <c r="PF87" t="s">
        <v>1900</v>
      </c>
      <c r="PG87" t="s">
        <v>1900</v>
      </c>
      <c r="PH87" t="s">
        <v>1900</v>
      </c>
      <c r="PI87" t="s">
        <v>1900</v>
      </c>
      <c r="PJ87" t="s">
        <v>1900</v>
      </c>
      <c r="PK87" t="s">
        <v>1900</v>
      </c>
      <c r="PL87" t="s">
        <v>1900</v>
      </c>
      <c r="PM87" t="s">
        <v>1900</v>
      </c>
      <c r="PN87" t="s">
        <v>1900</v>
      </c>
      <c r="PO87" t="s">
        <v>1900</v>
      </c>
      <c r="PP87" t="s">
        <v>1900</v>
      </c>
      <c r="PQ87" t="s">
        <v>1900</v>
      </c>
      <c r="PR87" t="s">
        <v>1900</v>
      </c>
      <c r="PS87" t="s">
        <v>1900</v>
      </c>
      <c r="PT87" t="s">
        <v>1900</v>
      </c>
      <c r="PU87" t="s">
        <v>1900</v>
      </c>
      <c r="PV87" t="s">
        <v>1900</v>
      </c>
      <c r="PW87" t="s">
        <v>1900</v>
      </c>
      <c r="PX87" t="s">
        <v>1900</v>
      </c>
      <c r="PY87" t="s">
        <v>1900</v>
      </c>
      <c r="PZ87" t="s">
        <v>1900</v>
      </c>
      <c r="QA87" t="s">
        <v>1900</v>
      </c>
      <c r="QB87" t="s">
        <v>1900</v>
      </c>
      <c r="QC87" t="s">
        <v>1900</v>
      </c>
      <c r="QD87" t="s">
        <v>1900</v>
      </c>
      <c r="QE87" t="s">
        <v>1900</v>
      </c>
      <c r="QF87" t="s">
        <v>1900</v>
      </c>
      <c r="QG87" t="s">
        <v>1900</v>
      </c>
      <c r="QH87" t="s">
        <v>1900</v>
      </c>
      <c r="QI87" t="s">
        <v>1900</v>
      </c>
      <c r="QJ87" t="s">
        <v>1900</v>
      </c>
      <c r="QK87" t="s">
        <v>1900</v>
      </c>
      <c r="QL87" t="s">
        <v>1900</v>
      </c>
      <c r="QM87" t="s">
        <v>1900</v>
      </c>
      <c r="QN87" t="s">
        <v>1900</v>
      </c>
      <c r="QO87" t="s">
        <v>1900</v>
      </c>
      <c r="QP87" t="s">
        <v>1900</v>
      </c>
      <c r="QQ87" t="s">
        <v>1900</v>
      </c>
      <c r="QR87" t="s">
        <v>1900</v>
      </c>
      <c r="QS87" t="s">
        <v>1900</v>
      </c>
      <c r="QT87" t="s">
        <v>1900</v>
      </c>
      <c r="QU87" t="s">
        <v>1900</v>
      </c>
      <c r="QV87" t="s">
        <v>1900</v>
      </c>
      <c r="QW87" t="s">
        <v>1900</v>
      </c>
      <c r="QX87" t="s">
        <v>1900</v>
      </c>
      <c r="QY87" t="s">
        <v>1900</v>
      </c>
      <c r="QZ87" t="s">
        <v>1900</v>
      </c>
      <c r="RA87" t="s">
        <v>1900</v>
      </c>
      <c r="RB87" t="s">
        <v>1900</v>
      </c>
      <c r="RC87" t="s">
        <v>1900</v>
      </c>
      <c r="RD87" t="s">
        <v>1900</v>
      </c>
      <c r="RE87" t="s">
        <v>1900</v>
      </c>
      <c r="RF87" t="s">
        <v>1900</v>
      </c>
      <c r="RG87" t="s">
        <v>1900</v>
      </c>
      <c r="RH87" t="s">
        <v>1900</v>
      </c>
      <c r="RI87" t="s">
        <v>1900</v>
      </c>
      <c r="RJ87" t="s">
        <v>1900</v>
      </c>
      <c r="RK87" t="s">
        <v>1900</v>
      </c>
      <c r="RL87" t="s">
        <v>1900</v>
      </c>
      <c r="RM87" t="s">
        <v>1900</v>
      </c>
      <c r="RN87" t="s">
        <v>1900</v>
      </c>
      <c r="RO87" t="s">
        <v>1900</v>
      </c>
      <c r="RP87" t="s">
        <v>1900</v>
      </c>
      <c r="RQ87" t="s">
        <v>1900</v>
      </c>
      <c r="RR87" t="s">
        <v>1900</v>
      </c>
      <c r="RS87" t="s">
        <v>1900</v>
      </c>
      <c r="RT87" t="s">
        <v>1900</v>
      </c>
      <c r="RU87" t="s">
        <v>1900</v>
      </c>
      <c r="RV87" t="s">
        <v>1900</v>
      </c>
      <c r="RW87" t="s">
        <v>1900</v>
      </c>
      <c r="RX87" t="s">
        <v>1900</v>
      </c>
      <c r="RY87" t="s">
        <v>1900</v>
      </c>
      <c r="RZ87" t="s">
        <v>1900</v>
      </c>
      <c r="SA87" t="s">
        <v>1900</v>
      </c>
      <c r="SB87" t="s">
        <v>1900</v>
      </c>
      <c r="SC87" t="s">
        <v>1900</v>
      </c>
      <c r="SD87" t="s">
        <v>1900</v>
      </c>
      <c r="SE87" t="s">
        <v>1900</v>
      </c>
      <c r="SF87" t="s">
        <v>1900</v>
      </c>
      <c r="SG87" t="s">
        <v>1900</v>
      </c>
      <c r="SH87" t="s">
        <v>1900</v>
      </c>
      <c r="SI87" t="s">
        <v>1900</v>
      </c>
      <c r="SJ87">
        <v>131974.837049162</v>
      </c>
      <c r="SK87">
        <v>108930.948886871</v>
      </c>
      <c r="SL87">
        <v>105145.377552509</v>
      </c>
      <c r="SM87">
        <v>111651.73830986</v>
      </c>
      <c r="SN87">
        <v>117801.532745361</v>
      </c>
      <c r="SO87" t="s">
        <v>1900</v>
      </c>
      <c r="SP87" t="s">
        <v>1900</v>
      </c>
      <c r="SQ87" t="s">
        <v>1900</v>
      </c>
      <c r="SR87" t="s">
        <v>1900</v>
      </c>
      <c r="SS87" t="s">
        <v>1900</v>
      </c>
      <c r="ST87" t="s">
        <v>1900</v>
      </c>
      <c r="SU87" t="s">
        <v>1900</v>
      </c>
      <c r="SV87" t="s">
        <v>1900</v>
      </c>
      <c r="SW87" t="s">
        <v>1900</v>
      </c>
      <c r="SX87" t="s">
        <v>1900</v>
      </c>
      <c r="SY87" t="s">
        <v>1900</v>
      </c>
      <c r="SZ87" t="s">
        <v>1900</v>
      </c>
      <c r="TA87" t="s">
        <v>1900</v>
      </c>
      <c r="TB87" t="s">
        <v>1900</v>
      </c>
      <c r="TC87" t="s">
        <v>1900</v>
      </c>
      <c r="TD87" t="s">
        <v>1900</v>
      </c>
      <c r="TE87" t="s">
        <v>1900</v>
      </c>
      <c r="TF87" t="s">
        <v>1900</v>
      </c>
      <c r="TG87" t="s">
        <v>1900</v>
      </c>
      <c r="TH87" t="s">
        <v>1900</v>
      </c>
      <c r="TI87" t="s">
        <v>1900</v>
      </c>
      <c r="TJ87" t="s">
        <v>1900</v>
      </c>
      <c r="TK87" t="s">
        <v>1900</v>
      </c>
      <c r="TL87" t="s">
        <v>1900</v>
      </c>
      <c r="TM87" t="s">
        <v>1900</v>
      </c>
      <c r="TN87" t="s">
        <v>1900</v>
      </c>
      <c r="TO87" t="s">
        <v>1900</v>
      </c>
      <c r="TP87" t="s">
        <v>1900</v>
      </c>
      <c r="TQ87" t="s">
        <v>1900</v>
      </c>
      <c r="TR87" t="s">
        <v>1900</v>
      </c>
      <c r="TS87">
        <v>1246073.17847634</v>
      </c>
      <c r="TT87">
        <v>1082458.28689398</v>
      </c>
      <c r="TU87">
        <v>1053294.24627206</v>
      </c>
      <c r="TV87">
        <v>807473.435571098</v>
      </c>
      <c r="TW87">
        <v>701644.495043773</v>
      </c>
      <c r="TX87" t="s">
        <v>1900</v>
      </c>
      <c r="TY87" t="s">
        <v>1900</v>
      </c>
      <c r="TZ87" t="s">
        <v>1900</v>
      </c>
      <c r="UA87" t="s">
        <v>1900</v>
      </c>
      <c r="UB87" t="s">
        <v>1900</v>
      </c>
      <c r="UC87">
        <v>206001.010885347</v>
      </c>
      <c r="UD87">
        <v>193417.971853609</v>
      </c>
      <c r="UE87">
        <v>92810.4851166427</v>
      </c>
      <c r="UF87">
        <v>75386.7598930836</v>
      </c>
      <c r="UG87">
        <v>65156.3099942982</v>
      </c>
      <c r="UH87" t="s">
        <v>1900</v>
      </c>
      <c r="UI87" t="s">
        <v>1900</v>
      </c>
      <c r="UJ87" t="s">
        <v>1900</v>
      </c>
      <c r="UK87" t="s">
        <v>1900</v>
      </c>
      <c r="UL87" t="s">
        <v>1900</v>
      </c>
      <c r="UM87" t="s">
        <v>1900</v>
      </c>
      <c r="UN87" t="s">
        <v>1900</v>
      </c>
      <c r="UO87" t="s">
        <v>1900</v>
      </c>
      <c r="UP87" t="s">
        <v>1900</v>
      </c>
      <c r="UQ87" t="s">
        <v>1900</v>
      </c>
      <c r="UR87" t="s">
        <v>1900</v>
      </c>
      <c r="US87" t="s">
        <v>1900</v>
      </c>
      <c r="UT87" t="s">
        <v>1900</v>
      </c>
      <c r="UU87" t="s">
        <v>1900</v>
      </c>
      <c r="UV87" t="s">
        <v>1900</v>
      </c>
      <c r="UW87" t="s">
        <v>1900</v>
      </c>
      <c r="UX87" t="s">
        <v>1900</v>
      </c>
      <c r="UY87" t="s">
        <v>1900</v>
      </c>
      <c r="UZ87" t="s">
        <v>1900</v>
      </c>
      <c r="VA87" t="s">
        <v>1900</v>
      </c>
      <c r="VB87" t="s">
        <v>1900</v>
      </c>
      <c r="VC87" t="s">
        <v>1900</v>
      </c>
      <c r="VD87" t="s">
        <v>1900</v>
      </c>
      <c r="VE87" t="s">
        <v>1900</v>
      </c>
      <c r="VF87" t="s">
        <v>1900</v>
      </c>
      <c r="VG87" t="s">
        <v>1900</v>
      </c>
      <c r="VH87" t="s">
        <v>1900</v>
      </c>
      <c r="VI87" t="s">
        <v>1900</v>
      </c>
      <c r="VJ87" t="s">
        <v>1900</v>
      </c>
      <c r="VK87" t="s">
        <v>1900</v>
      </c>
      <c r="VL87" t="s">
        <v>1900</v>
      </c>
      <c r="VM87" t="s">
        <v>1900</v>
      </c>
      <c r="VN87" t="s">
        <v>1900</v>
      </c>
      <c r="VO87" t="s">
        <v>1900</v>
      </c>
      <c r="VP87" t="s">
        <v>1900</v>
      </c>
      <c r="VQ87" t="s">
        <v>1900</v>
      </c>
      <c r="VR87" t="s">
        <v>1900</v>
      </c>
      <c r="VS87" t="s">
        <v>1900</v>
      </c>
      <c r="VT87" t="s">
        <v>1900</v>
      </c>
      <c r="VU87" t="s">
        <v>1900</v>
      </c>
      <c r="VV87" t="s">
        <v>1900</v>
      </c>
      <c r="VW87" t="s">
        <v>1900</v>
      </c>
      <c r="VX87" t="s">
        <v>1900</v>
      </c>
      <c r="VY87" t="s">
        <v>1900</v>
      </c>
      <c r="VZ87" t="s">
        <v>1900</v>
      </c>
      <c r="WA87">
        <v>394975.330970938</v>
      </c>
      <c r="WB87">
        <v>335161.291666269</v>
      </c>
      <c r="WC87">
        <v>401032.053507632</v>
      </c>
      <c r="WD87">
        <v>96854.7117029428</v>
      </c>
      <c r="WE87">
        <v>26978.146227777</v>
      </c>
      <c r="WF87" t="s">
        <v>1900</v>
      </c>
      <c r="WG87" t="s">
        <v>1900</v>
      </c>
      <c r="WH87" t="s">
        <v>1900</v>
      </c>
      <c r="WI87" t="s">
        <v>1900</v>
      </c>
      <c r="WJ87" t="s">
        <v>1900</v>
      </c>
      <c r="WK87" t="s">
        <v>1900</v>
      </c>
      <c r="WL87" t="s">
        <v>1900</v>
      </c>
      <c r="WM87" t="s">
        <v>1900</v>
      </c>
      <c r="WN87" t="s">
        <v>1900</v>
      </c>
      <c r="WO87" t="s">
        <v>1900</v>
      </c>
      <c r="WP87" t="s">
        <v>1900</v>
      </c>
      <c r="WQ87" t="s">
        <v>1900</v>
      </c>
      <c r="WR87" t="s">
        <v>1900</v>
      </c>
      <c r="WS87" t="s">
        <v>1900</v>
      </c>
      <c r="WT87" t="s">
        <v>1900</v>
      </c>
      <c r="WU87" t="s">
        <v>1900</v>
      </c>
      <c r="WV87" t="s">
        <v>1900</v>
      </c>
      <c r="WW87" t="s">
        <v>1900</v>
      </c>
      <c r="WX87" t="s">
        <v>1900</v>
      </c>
      <c r="WY87" t="s">
        <v>1900</v>
      </c>
      <c r="WZ87" t="s">
        <v>1900</v>
      </c>
      <c r="XA87" t="s">
        <v>1900</v>
      </c>
      <c r="XB87" t="s">
        <v>1900</v>
      </c>
      <c r="XC87" t="s">
        <v>1900</v>
      </c>
      <c r="XD87" t="s">
        <v>1900</v>
      </c>
      <c r="XE87" t="s">
        <v>1900</v>
      </c>
      <c r="XF87" t="s">
        <v>1900</v>
      </c>
      <c r="XG87" t="s">
        <v>1900</v>
      </c>
      <c r="XH87" t="s">
        <v>1900</v>
      </c>
      <c r="XI87" t="s">
        <v>1900</v>
      </c>
      <c r="XJ87">
        <v>0</v>
      </c>
      <c r="XK87">
        <v>0</v>
      </c>
      <c r="XL87">
        <v>0</v>
      </c>
      <c r="XM87">
        <v>0</v>
      </c>
      <c r="XN87">
        <v>0</v>
      </c>
      <c r="XO87" t="s">
        <v>1900</v>
      </c>
      <c r="XP87" t="s">
        <v>1900</v>
      </c>
      <c r="XQ87" t="s">
        <v>1900</v>
      </c>
      <c r="XR87" t="s">
        <v>1900</v>
      </c>
      <c r="XS87" t="s">
        <v>1900</v>
      </c>
      <c r="XT87" t="s">
        <v>1900</v>
      </c>
      <c r="XU87" t="s">
        <v>1900</v>
      </c>
      <c r="XV87" t="s">
        <v>1900</v>
      </c>
      <c r="XW87" t="s">
        <v>1900</v>
      </c>
      <c r="XX87" t="s">
        <v>1900</v>
      </c>
      <c r="XY87">
        <v>0</v>
      </c>
      <c r="XZ87">
        <v>0</v>
      </c>
      <c r="YA87">
        <v>0</v>
      </c>
      <c r="YB87">
        <v>0</v>
      </c>
      <c r="YC87">
        <v>0</v>
      </c>
      <c r="YD87" t="s">
        <v>1900</v>
      </c>
      <c r="YE87" t="s">
        <v>1900</v>
      </c>
      <c r="YF87" t="s">
        <v>1900</v>
      </c>
      <c r="YG87" t="s">
        <v>1900</v>
      </c>
      <c r="YH87" t="s">
        <v>1900</v>
      </c>
      <c r="YI87" t="s">
        <v>1900</v>
      </c>
      <c r="YJ87" t="s">
        <v>1900</v>
      </c>
      <c r="YK87" t="s">
        <v>1900</v>
      </c>
      <c r="YL87" t="s">
        <v>1900</v>
      </c>
      <c r="YM87" t="s">
        <v>1900</v>
      </c>
      <c r="YN87" t="s">
        <v>1900</v>
      </c>
      <c r="YO87" t="s">
        <v>1900</v>
      </c>
      <c r="YP87" t="s">
        <v>1900</v>
      </c>
      <c r="YQ87" t="s">
        <v>1900</v>
      </c>
      <c r="YR87" t="s">
        <v>1900</v>
      </c>
      <c r="YS87" t="s">
        <v>1900</v>
      </c>
      <c r="YT87" t="s">
        <v>1900</v>
      </c>
      <c r="YU87" t="s">
        <v>1900</v>
      </c>
      <c r="YV87" t="s">
        <v>1900</v>
      </c>
      <c r="YW87" t="s">
        <v>1900</v>
      </c>
      <c r="YX87" t="s">
        <v>1900</v>
      </c>
      <c r="YY87" t="s">
        <v>1900</v>
      </c>
      <c r="YZ87" t="s">
        <v>1900</v>
      </c>
      <c r="ZA87" t="s">
        <v>1900</v>
      </c>
      <c r="ZB87" t="s">
        <v>1900</v>
      </c>
      <c r="ZC87" t="s">
        <v>1900</v>
      </c>
      <c r="ZD87" t="s">
        <v>1900</v>
      </c>
      <c r="ZE87" t="s">
        <v>1900</v>
      </c>
      <c r="ZF87" t="s">
        <v>1900</v>
      </c>
      <c r="ZG87" t="s">
        <v>1900</v>
      </c>
      <c r="ZH87" t="s">
        <v>1900</v>
      </c>
      <c r="ZI87" t="s">
        <v>1900</v>
      </c>
      <c r="ZJ87" t="s">
        <v>1900</v>
      </c>
      <c r="ZK87" t="s">
        <v>1900</v>
      </c>
      <c r="ZL87" t="s">
        <v>1900</v>
      </c>
      <c r="ZM87" t="s">
        <v>1900</v>
      </c>
      <c r="ZN87" t="s">
        <v>1900</v>
      </c>
      <c r="ZO87" t="s">
        <v>1900</v>
      </c>
      <c r="ZP87" t="s">
        <v>1900</v>
      </c>
      <c r="ZQ87" t="s">
        <v>1900</v>
      </c>
      <c r="ZR87" t="s">
        <v>1900</v>
      </c>
      <c r="ZS87" t="s">
        <v>1900</v>
      </c>
      <c r="ZT87" t="s">
        <v>1900</v>
      </c>
      <c r="ZU87" t="s">
        <v>1900</v>
      </c>
      <c r="ZV87" t="s">
        <v>1900</v>
      </c>
      <c r="ZW87" t="s">
        <v>1900</v>
      </c>
      <c r="ZX87" t="s">
        <v>1900</v>
      </c>
      <c r="ZY87" t="s">
        <v>1900</v>
      </c>
      <c r="ZZ87" t="s">
        <v>1900</v>
      </c>
      <c r="AAA87" t="s">
        <v>1900</v>
      </c>
      <c r="AAB87" t="s">
        <v>1900</v>
      </c>
      <c r="AAC87" t="s">
        <v>1900</v>
      </c>
      <c r="AAD87" t="s">
        <v>1900</v>
      </c>
      <c r="AAE87" t="s">
        <v>1900</v>
      </c>
      <c r="AAF87" t="s">
        <v>1900</v>
      </c>
      <c r="AAG87" t="s">
        <v>1900</v>
      </c>
      <c r="AAH87" t="s">
        <v>1900</v>
      </c>
      <c r="AAI87" t="s">
        <v>1900</v>
      </c>
      <c r="AAJ87" t="s">
        <v>1900</v>
      </c>
      <c r="AAK87" t="s">
        <v>1900</v>
      </c>
      <c r="AAL87" t="s">
        <v>1900</v>
      </c>
      <c r="AAM87" t="s">
        <v>1900</v>
      </c>
      <c r="AAN87" t="s">
        <v>1900</v>
      </c>
      <c r="AAO87" t="s">
        <v>1900</v>
      </c>
      <c r="AAP87" t="s">
        <v>1900</v>
      </c>
      <c r="AAQ87" t="s">
        <v>1900</v>
      </c>
      <c r="AAR87" t="s">
        <v>1900</v>
      </c>
      <c r="AAS87" t="s">
        <v>1900</v>
      </c>
      <c r="AAT87" t="s">
        <v>1900</v>
      </c>
      <c r="AAU87" t="s">
        <v>1900</v>
      </c>
      <c r="AAV87" t="s">
        <v>1900</v>
      </c>
      <c r="AAW87" t="s">
        <v>1900</v>
      </c>
      <c r="AAX87" t="s">
        <v>1900</v>
      </c>
      <c r="AAY87" t="s">
        <v>1900</v>
      </c>
      <c r="AAZ87" t="s">
        <v>1900</v>
      </c>
      <c r="ABA87" t="s">
        <v>1900</v>
      </c>
      <c r="ABB87" t="s">
        <v>1900</v>
      </c>
      <c r="ABC87" t="s">
        <v>1900</v>
      </c>
      <c r="ABD87" t="s">
        <v>1900</v>
      </c>
      <c r="ABE87" t="s">
        <v>1900</v>
      </c>
      <c r="ABF87" t="s">
        <v>1900</v>
      </c>
      <c r="ABG87" t="s">
        <v>1900</v>
      </c>
      <c r="ABH87" t="s">
        <v>1900</v>
      </c>
      <c r="ABI87" t="s">
        <v>1900</v>
      </c>
      <c r="ABJ87" t="s">
        <v>1900</v>
      </c>
      <c r="ABK87" t="s">
        <v>1900</v>
      </c>
      <c r="ABL87" t="s">
        <v>1900</v>
      </c>
      <c r="ABM87" t="s">
        <v>1900</v>
      </c>
      <c r="ABN87" t="s">
        <v>1900</v>
      </c>
      <c r="ABO87" t="s">
        <v>1900</v>
      </c>
      <c r="ABP87" t="s">
        <v>1900</v>
      </c>
      <c r="ABQ87" t="s">
        <v>1900</v>
      </c>
      <c r="ABR87" t="s">
        <v>1900</v>
      </c>
      <c r="ABS87" t="s">
        <v>1900</v>
      </c>
      <c r="ABT87" t="s">
        <v>1900</v>
      </c>
      <c r="ABU87" t="s">
        <v>1900</v>
      </c>
      <c r="ABV87" t="s">
        <v>1900</v>
      </c>
      <c r="ABW87" t="s">
        <v>1900</v>
      </c>
      <c r="ABX87" t="s">
        <v>1900</v>
      </c>
      <c r="ABY87" t="s">
        <v>1900</v>
      </c>
      <c r="ABZ87" t="s">
        <v>1900</v>
      </c>
      <c r="ACA87" t="s">
        <v>1900</v>
      </c>
      <c r="ACB87" t="s">
        <v>1900</v>
      </c>
      <c r="ACC87" t="s">
        <v>1900</v>
      </c>
      <c r="ACD87" t="s">
        <v>1900</v>
      </c>
      <c r="ACE87">
        <v>45.504</v>
      </c>
      <c r="ACF87">
        <v>77.723</v>
      </c>
      <c r="ACG87">
        <v>36.796</v>
      </c>
      <c r="ACH87">
        <v>20.582</v>
      </c>
      <c r="ACI87">
        <v>17.744</v>
      </c>
      <c r="ACJ87">
        <v>19.763</v>
      </c>
      <c r="ACK87">
        <v>25.122</v>
      </c>
      <c r="ACL87">
        <v>6.809</v>
      </c>
      <c r="ACM87">
        <v>4.169</v>
      </c>
      <c r="ACN87">
        <v>4.678</v>
      </c>
      <c r="ACO87">
        <v>7.734</v>
      </c>
      <c r="ACP87">
        <v>10.604</v>
      </c>
      <c r="ACQ87">
        <v>2.039</v>
      </c>
      <c r="ACR87">
        <v>1.144</v>
      </c>
      <c r="ACS87">
        <v>1.04</v>
      </c>
      <c r="ACT87">
        <v>34.434</v>
      </c>
      <c r="ACU87">
        <v>59.066</v>
      </c>
      <c r="ACV87">
        <v>27.597</v>
      </c>
      <c r="ACW87">
        <v>15.379</v>
      </c>
      <c r="ACX87">
        <v>13.308</v>
      </c>
      <c r="ACY87">
        <v>15.639</v>
      </c>
      <c r="ACZ87">
        <v>19.557</v>
      </c>
      <c r="ADA87">
        <v>5.599</v>
      </c>
      <c r="ADB87">
        <v>3.692</v>
      </c>
      <c r="ADC87">
        <v>4.328</v>
      </c>
      <c r="ADD87">
        <v>5.852</v>
      </c>
      <c r="ADE87">
        <v>8.058999999999999</v>
      </c>
      <c r="ADF87">
        <v>1.529</v>
      </c>
      <c r="ADG87">
        <v>0.854</v>
      </c>
      <c r="ADH87">
        <v>0.78</v>
      </c>
      <c r="ADI87">
        <v>5.031</v>
      </c>
      <c r="ADJ87">
        <v>5.186</v>
      </c>
      <c r="ADK87">
        <v>1.463</v>
      </c>
      <c r="ADL87">
        <v>0.865</v>
      </c>
      <c r="ADM87">
        <v>0.654</v>
      </c>
      <c r="ADN87">
        <v>12.529</v>
      </c>
      <c r="ADO87">
        <v>11.069</v>
      </c>
      <c r="ADP87">
        <v>12.489</v>
      </c>
      <c r="ADQ87">
        <v>16.24</v>
      </c>
      <c r="ADR87">
        <v>20.996</v>
      </c>
      <c r="ADS87">
        <v>5.85444058</v>
      </c>
      <c r="ADT87">
        <v>5.619889603</v>
      </c>
      <c r="ADU87">
        <v>2.058202402</v>
      </c>
      <c r="ADV87">
        <v>1.909004742</v>
      </c>
      <c r="ADW87">
        <v>2.189695233</v>
      </c>
      <c r="ADX87">
        <v>6.035</v>
      </c>
      <c r="ADY87">
        <v>5.761</v>
      </c>
      <c r="ADZ87">
        <v>2.444</v>
      </c>
      <c r="AEA87">
        <v>2.836</v>
      </c>
      <c r="AEB87">
        <v>3.317</v>
      </c>
      <c r="AEC87">
        <v>5.854</v>
      </c>
      <c r="AED87">
        <v>5.62</v>
      </c>
      <c r="AEE87">
        <v>2.058</v>
      </c>
      <c r="AEF87">
        <v>1.909</v>
      </c>
      <c r="AEG87">
        <v>2.19</v>
      </c>
      <c r="AEH87">
        <v>3.988</v>
      </c>
      <c r="AEI87">
        <v>4.083</v>
      </c>
      <c r="AEJ87">
        <v>1.483</v>
      </c>
      <c r="AEK87">
        <v>1.573</v>
      </c>
      <c r="AEL87">
        <v>1.618</v>
      </c>
      <c r="AEM87">
        <v>6.218498904</v>
      </c>
      <c r="AEN87">
        <v>5.954527473</v>
      </c>
      <c r="AEO87">
        <v>2.101454591</v>
      </c>
      <c r="AEP87">
        <v>1.946156971</v>
      </c>
      <c r="AEQ87">
        <v>2.238716297</v>
      </c>
      <c r="AER87">
        <v>1.877150183</v>
      </c>
      <c r="AES87">
        <v>2.031380637</v>
      </c>
      <c r="AET87">
        <v>1.197314685</v>
      </c>
      <c r="AEU87">
        <v>1.133210841</v>
      </c>
      <c r="AEV87">
        <v>1.11643368</v>
      </c>
      <c r="AEW87" t="s">
        <v>1900</v>
      </c>
      <c r="AEX87" t="s">
        <v>1900</v>
      </c>
      <c r="AEY87" t="s">
        <v>1900</v>
      </c>
      <c r="AEZ87" t="s">
        <v>1900</v>
      </c>
      <c r="AFA87" t="s">
        <v>1900</v>
      </c>
      <c r="AFB87" t="s">
        <v>1900</v>
      </c>
      <c r="AFC87" t="s">
        <v>1900</v>
      </c>
      <c r="AFD87" t="s">
        <v>1900</v>
      </c>
      <c r="AFE87" t="s">
        <v>1900</v>
      </c>
      <c r="AFF87" t="s">
        <v>1900</v>
      </c>
      <c r="AFG87">
        <v>3.369</v>
      </c>
      <c r="AFH87">
        <v>4.47</v>
      </c>
      <c r="AFI87">
        <v>3.308</v>
      </c>
      <c r="AFJ87">
        <v>2.184</v>
      </c>
      <c r="AFK87">
        <v>2.136</v>
      </c>
      <c r="AFL87">
        <v>7.012</v>
      </c>
      <c r="AFM87">
        <v>12.965</v>
      </c>
      <c r="AFN87">
        <v>3.458</v>
      </c>
      <c r="AFO87">
        <v>1.828</v>
      </c>
      <c r="AFP87">
        <v>1.426</v>
      </c>
      <c r="AFQ87" t="s">
        <v>1901</v>
      </c>
      <c r="AFR87">
        <v>18.78</v>
      </c>
      <c r="AFS87">
        <v>7.65</v>
      </c>
      <c r="AFT87">
        <v>5.273</v>
      </c>
      <c r="AFU87">
        <v>4.225</v>
      </c>
      <c r="AFV87">
        <v>179.684</v>
      </c>
      <c r="AFW87">
        <v>110.118</v>
      </c>
      <c r="AFX87">
        <v>163.16</v>
      </c>
      <c r="AFY87">
        <v>150.184</v>
      </c>
      <c r="AFZ87">
        <v>70.23399999999999</v>
      </c>
      <c r="AGA87">
        <v>14.39</v>
      </c>
      <c r="AGB87">
        <v>9.558</v>
      </c>
      <c r="AGC87">
        <v>28.412</v>
      </c>
      <c r="AGD87">
        <v>49.363</v>
      </c>
      <c r="AGE87">
        <v>28.197</v>
      </c>
      <c r="AGF87" t="s">
        <v>1900</v>
      </c>
      <c r="AGG87" t="s">
        <v>1900</v>
      </c>
      <c r="AGH87" t="s">
        <v>1900</v>
      </c>
      <c r="AGI87" t="s">
        <v>1900</v>
      </c>
      <c r="AGJ87" t="s">
        <v>1900</v>
      </c>
      <c r="AGK87" t="s">
        <v>1900</v>
      </c>
      <c r="AGL87" t="s">
        <v>1900</v>
      </c>
      <c r="AGM87" t="s">
        <v>1900</v>
      </c>
      <c r="AGN87" t="s">
        <v>1900</v>
      </c>
      <c r="AGO87" t="s">
        <v>1900</v>
      </c>
      <c r="AGP87" t="s">
        <v>1900</v>
      </c>
      <c r="AGQ87" t="s">
        <v>1900</v>
      </c>
      <c r="AGR87" t="s">
        <v>1900</v>
      </c>
      <c r="AGS87" t="s">
        <v>1900</v>
      </c>
      <c r="AGT87" t="s">
        <v>1900</v>
      </c>
      <c r="AGU87">
        <v>0</v>
      </c>
      <c r="AGV87">
        <v>0</v>
      </c>
      <c r="AGW87">
        <v>0</v>
      </c>
      <c r="AGX87">
        <v>0</v>
      </c>
      <c r="AGY87">
        <v>0</v>
      </c>
      <c r="AGZ87">
        <v>1.527</v>
      </c>
      <c r="AHA87">
        <v>1.651</v>
      </c>
      <c r="AHB87">
        <v>1.547</v>
      </c>
      <c r="AHC87">
        <v>2.153</v>
      </c>
      <c r="AHD87">
        <v>3.14</v>
      </c>
      <c r="AHE87">
        <v>1.527</v>
      </c>
      <c r="AHF87">
        <v>1.45</v>
      </c>
      <c r="AHG87">
        <v>1.232</v>
      </c>
      <c r="AHH87">
        <v>1.518</v>
      </c>
      <c r="AHI87">
        <v>1.67</v>
      </c>
      <c r="AHJ87">
        <v>0.594</v>
      </c>
      <c r="AHK87">
        <v>0.425</v>
      </c>
      <c r="AHL87">
        <v>0.151</v>
      </c>
      <c r="AHM87">
        <v>0.101</v>
      </c>
      <c r="AHN87">
        <v>0.08599999999999999</v>
      </c>
      <c r="AHO87">
        <v>16.996</v>
      </c>
      <c r="AHP87">
        <v>13.644</v>
      </c>
      <c r="AHQ87">
        <v>5.54</v>
      </c>
      <c r="AHR87">
        <v>5.556</v>
      </c>
      <c r="AHS87">
        <v>5.862</v>
      </c>
      <c r="AHT87">
        <v>20.475</v>
      </c>
      <c r="AHU87">
        <v>15.8</v>
      </c>
      <c r="AHV87">
        <v>5.865</v>
      </c>
      <c r="AHW87">
        <v>5.883</v>
      </c>
      <c r="AHX87">
        <v>6.227</v>
      </c>
      <c r="AHY87">
        <v>265.734</v>
      </c>
      <c r="AHZ87">
        <v>366.207</v>
      </c>
      <c r="AIA87">
        <v>819.2809999999999</v>
      </c>
      <c r="AIB87" t="s">
        <v>1901</v>
      </c>
      <c r="AIC87" t="s">
        <v>1901</v>
      </c>
      <c r="AID87">
        <v>10.591258951</v>
      </c>
      <c r="AIE87">
        <v>10.063292988</v>
      </c>
      <c r="AIF87">
        <v>9.982526527999999</v>
      </c>
      <c r="AIG87">
        <v>13.827295536</v>
      </c>
      <c r="AIH87">
        <v>16.789347537</v>
      </c>
      <c r="AII87">
        <v>6.304966158</v>
      </c>
      <c r="AIJ87">
        <v>16.160557277</v>
      </c>
      <c r="AIK87">
        <v>8.15054851</v>
      </c>
      <c r="AIL87">
        <v>4.731877827</v>
      </c>
      <c r="AIM87">
        <v>11.703668785</v>
      </c>
      <c r="AIN87">
        <v>31.697603142</v>
      </c>
      <c r="AIO87">
        <v>30.962975269</v>
      </c>
      <c r="AIP87">
        <v>38.074076159</v>
      </c>
      <c r="AIQ87">
        <v>11.994786136</v>
      </c>
      <c r="AIR87">
        <v>3.844987942</v>
      </c>
      <c r="AIS87">
        <v>0</v>
      </c>
      <c r="AIT87">
        <v>5.987712835</v>
      </c>
      <c r="AIU87">
        <v>14.937581722</v>
      </c>
      <c r="AIV87">
        <v>22.643204269</v>
      </c>
      <c r="AIW87">
        <v>29.96020399</v>
      </c>
      <c r="AIX87" t="s">
        <v>1900</v>
      </c>
      <c r="AIY87" t="s">
        <v>1900</v>
      </c>
      <c r="AIZ87" t="s">
        <v>1900</v>
      </c>
      <c r="AJA87">
        <v>3.07792854575872</v>
      </c>
      <c r="AJB87">
        <v>1.82466598077118</v>
      </c>
      <c r="AJC87" t="s">
        <v>1900</v>
      </c>
      <c r="AJD87" t="s">
        <v>1900</v>
      </c>
      <c r="AJE87" t="s">
        <v>1900</v>
      </c>
      <c r="AJF87">
        <v>355.867788250473</v>
      </c>
      <c r="AJG87">
        <v>278.817972451993</v>
      </c>
      <c r="AJH87" t="s">
        <v>1900</v>
      </c>
      <c r="AJI87" t="s">
        <v>1900</v>
      </c>
      <c r="AJJ87">
        <v>3.954</v>
      </c>
      <c r="AJK87">
        <v>7.069</v>
      </c>
      <c r="AJL87">
        <v>11.245</v>
      </c>
      <c r="AJM87" t="s">
        <v>1900</v>
      </c>
      <c r="AJN87" t="s">
        <v>1900</v>
      </c>
      <c r="AJO87" t="s">
        <v>1900</v>
      </c>
      <c r="AJP87">
        <v>25.156910293293</v>
      </c>
      <c r="AJQ87">
        <v>31.3533908676851</v>
      </c>
      <c r="AJR87" t="s">
        <v>1900</v>
      </c>
      <c r="AJS87" t="s">
        <v>1900</v>
      </c>
      <c r="AJT87" t="s">
        <v>1900</v>
      </c>
      <c r="AJU87">
        <v>14.9547717799401</v>
      </c>
      <c r="AJV87">
        <v>10.2830099135774</v>
      </c>
      <c r="AJW87" t="s">
        <v>1900</v>
      </c>
      <c r="AJX87" t="s">
        <v>1900</v>
      </c>
      <c r="AJY87" t="s">
        <v>1900</v>
      </c>
      <c r="AJZ87">
        <v>167.158092989852</v>
      </c>
      <c r="AKA87">
        <v>98.5527905180532</v>
      </c>
      <c r="AKB87" t="s">
        <v>1900</v>
      </c>
      <c r="AKC87" t="s">
        <v>1900</v>
      </c>
      <c r="AKD87" t="s">
        <v>1900</v>
      </c>
      <c r="AKE87">
        <v>269.157811479499</v>
      </c>
      <c r="AKF87">
        <v>175.411124374493</v>
      </c>
      <c r="AKG87">
        <v>0</v>
      </c>
      <c r="AKH87">
        <v>5.987712835</v>
      </c>
      <c r="AKI87">
        <v>14.937581722</v>
      </c>
      <c r="AKJ87">
        <v>22.643204269</v>
      </c>
      <c r="AKK87">
        <v>29.96020399</v>
      </c>
      <c r="AKL87">
        <v>0</v>
      </c>
      <c r="AKM87">
        <v>5.32494552</v>
      </c>
      <c r="AKN87">
        <v>13.071987124</v>
      </c>
      <c r="AKO87">
        <v>18.966014502</v>
      </c>
      <c r="AKP87">
        <v>23.669739062</v>
      </c>
      <c r="AKQ87">
        <v>0</v>
      </c>
      <c r="AKR87">
        <v>10.887669416</v>
      </c>
      <c r="AKS87">
        <v>18.21411608</v>
      </c>
      <c r="AKT87">
        <v>25.075971577</v>
      </c>
      <c r="AKU87">
        <v>37.623318851</v>
      </c>
      <c r="AKV87">
        <v>0.041740385</v>
      </c>
      <c r="AKW87">
        <v>0.038418979</v>
      </c>
      <c r="AKX87">
        <v>0.20716669</v>
      </c>
      <c r="AKY87">
        <v>0.832281434</v>
      </c>
      <c r="AKZ87">
        <v>1.412722538</v>
      </c>
      <c r="ALA87">
        <v>0.064157033</v>
      </c>
      <c r="ALB87">
        <v>0.078553506</v>
      </c>
      <c r="ALC87">
        <v>0.288659873</v>
      </c>
      <c r="ALD87">
        <v>1.100403334</v>
      </c>
      <c r="ALE87">
        <v>2.245538506</v>
      </c>
      <c r="ALF87">
        <v>4.113165017</v>
      </c>
      <c r="ALG87">
        <v>0.13072468</v>
      </c>
      <c r="ALH87">
        <v>0.15315098</v>
      </c>
      <c r="ALI87">
        <v>0.081019495</v>
      </c>
      <c r="ALJ87">
        <v>0.394780988</v>
      </c>
      <c r="ALK87">
        <v>6.322137842</v>
      </c>
      <c r="ALL87">
        <v>0.267286697</v>
      </c>
      <c r="ALM87">
        <v>0.213395998</v>
      </c>
      <c r="ALN87">
        <v>0.107120162</v>
      </c>
      <c r="ALO87">
        <v>0.6275088599999999</v>
      </c>
      <c r="ALP87">
        <v>49.912175738</v>
      </c>
      <c r="ALQ87">
        <v>30.588378337</v>
      </c>
      <c r="ALR87">
        <v>45.322310742</v>
      </c>
      <c r="ALS87">
        <v>41.717815284</v>
      </c>
      <c r="ALT87">
        <v>19.509528821</v>
      </c>
      <c r="ALU87">
        <v>8.008576228000001</v>
      </c>
      <c r="ALV87">
        <v>8.679538605999999</v>
      </c>
      <c r="ALW87">
        <v>17.413310993</v>
      </c>
      <c r="ALX87">
        <v>32.868127498</v>
      </c>
      <c r="ALY87">
        <v>40.147694545</v>
      </c>
      <c r="ALZ87">
        <v>12.5288284940041</v>
      </c>
      <c r="AMA87">
        <v>11.0687892632677</v>
      </c>
      <c r="AMB87">
        <v>12.4892678978484</v>
      </c>
      <c r="AMC87">
        <v>16.2397058456589</v>
      </c>
      <c r="AMD87">
        <v>20.9960684190955</v>
      </c>
      <c r="AME87">
        <v>12.5492156002705</v>
      </c>
      <c r="AMF87">
        <v>11.0687892632677</v>
      </c>
      <c r="AMG87">
        <v>12.4892678978484</v>
      </c>
      <c r="AMH87">
        <v>16.2397058456589</v>
      </c>
      <c r="AMI87">
        <v>20.9960684190955</v>
      </c>
      <c r="AMJ87">
        <v>14.3233802386484</v>
      </c>
      <c r="AMK87">
        <v>12.4464619019247</v>
      </c>
      <c r="AML87">
        <v>14.2716985652338</v>
      </c>
      <c r="AMM87">
        <v>19.3883104275336</v>
      </c>
      <c r="AMN87">
        <v>26.5759791936358</v>
      </c>
      <c r="AMO87">
        <v>1.87715018306088</v>
      </c>
      <c r="AMP87">
        <v>2.03138063697517</v>
      </c>
      <c r="AMQ87">
        <v>1.19731468490932</v>
      </c>
      <c r="AMR87">
        <v>1.13321084074236</v>
      </c>
      <c r="AMS87">
        <v>1.11643367322996</v>
      </c>
      <c r="AMT87">
        <v>1.87715018306088</v>
      </c>
      <c r="AMU87">
        <v>2.03138063697517</v>
      </c>
      <c r="AMV87">
        <v>1.19731468490932</v>
      </c>
      <c r="AMW87">
        <v>1.13321084074236</v>
      </c>
      <c r="AMX87">
        <v>1.11643367908048</v>
      </c>
      <c r="AMY87">
        <v>1.87715018306088</v>
      </c>
      <c r="AMZ87">
        <v>2.03138063697517</v>
      </c>
      <c r="ANA87">
        <v>1.19731468490932</v>
      </c>
      <c r="ANB87">
        <v>1.13321084074236</v>
      </c>
      <c r="ANC87">
        <v>1.11643367976167</v>
      </c>
      <c r="AND87">
        <v>5.85444058031323</v>
      </c>
      <c r="ANE87">
        <v>5.61988960271483</v>
      </c>
      <c r="ANF87">
        <v>2.05820240165075</v>
      </c>
      <c r="ANG87">
        <v>1.90900474239344</v>
      </c>
      <c r="ANH87">
        <v>2.18969523302541</v>
      </c>
      <c r="ANI87">
        <v>5.86396701786473</v>
      </c>
      <c r="ANJ87">
        <v>5.61988960271483</v>
      </c>
      <c r="ANK87">
        <v>2.05820240165075</v>
      </c>
      <c r="ANL87">
        <v>1.90900474239344</v>
      </c>
      <c r="ANM87">
        <v>2.18969523302541</v>
      </c>
      <c r="ANN87">
        <v>6.21849890361266</v>
      </c>
      <c r="ANO87">
        <v>5.95452747306437</v>
      </c>
      <c r="ANP87">
        <v>2.10145459050206</v>
      </c>
      <c r="ANQ87">
        <v>1.94615697126939</v>
      </c>
      <c r="ANR87">
        <v>2.23871629706316</v>
      </c>
      <c r="ANS87">
        <v>19.7222742093759</v>
      </c>
      <c r="ANT87">
        <v>25.1217195380447</v>
      </c>
      <c r="ANU87">
        <v>6.80908100584911</v>
      </c>
      <c r="ANV87">
        <v>4.16914478098814</v>
      </c>
      <c r="ANW87">
        <v>4.67697467283127</v>
      </c>
      <c r="ANX87">
        <v>12.5288284940041</v>
      </c>
      <c r="ANY87">
        <v>11.0687892632677</v>
      </c>
      <c r="ANZ87">
        <v>12.4892678978484</v>
      </c>
      <c r="AOA87">
        <v>16.2397058456589</v>
      </c>
      <c r="AOB87">
        <v>20.9960684190955</v>
      </c>
      <c r="AOC87">
        <v>13.3079335565392</v>
      </c>
      <c r="AOD87">
        <v>11.7278833608846</v>
      </c>
      <c r="AOE87">
        <v>12.7517241914078</v>
      </c>
      <c r="AOF87">
        <v>16.5557560130879</v>
      </c>
      <c r="AOG87">
        <v>21.4661108245363</v>
      </c>
      <c r="AOH87">
        <v>19.2574283812337</v>
      </c>
      <c r="AOI87">
        <v>22.6318406224289</v>
      </c>
      <c r="AOJ87">
        <v>17.402172531131</v>
      </c>
      <c r="AOK87">
        <v>21.4713746087877</v>
      </c>
      <c r="AOL87">
        <v>33.373489022119</v>
      </c>
      <c r="AOM87">
        <v>6.69299436547723</v>
      </c>
      <c r="AON87">
        <v>6.31936702104696</v>
      </c>
      <c r="AOO87">
        <v>2.35194284427674</v>
      </c>
      <c r="AOP87">
        <v>2.27912850792502</v>
      </c>
      <c r="AOQ87">
        <v>2.77162818255828</v>
      </c>
      <c r="AOR87">
        <v>87.7150183060875</v>
      </c>
      <c r="AOS87">
        <v>103.138063697517</v>
      </c>
      <c r="AOT87">
        <v>19.7314684909323</v>
      </c>
      <c r="AOU87">
        <v>13.3210840742358</v>
      </c>
      <c r="AOV87">
        <v>11.6433679080477</v>
      </c>
      <c r="AOW87">
        <v>8.998564410194049</v>
      </c>
      <c r="AOX87">
        <v>11.4907279178553</v>
      </c>
      <c r="AOY87">
        <v>2.86783769797146</v>
      </c>
      <c r="AOZ87">
        <v>2.52399620679328</v>
      </c>
      <c r="APA87">
        <v>3.48054542224186</v>
      </c>
      <c r="APB87">
        <v>3.80742861899797</v>
      </c>
      <c r="APC87">
        <v>3.94144790096981</v>
      </c>
      <c r="APD87">
        <v>1.09727284219176</v>
      </c>
      <c r="APE87">
        <v>0.646294112924265</v>
      </c>
      <c r="APF87">
        <v>0.490821284826367</v>
      </c>
      <c r="APG87">
        <v>3.81362412657432</v>
      </c>
      <c r="APH87">
        <v>3.94144790096981</v>
      </c>
      <c r="API87">
        <v>1.09727284219176</v>
      </c>
      <c r="APJ87">
        <v>0.646294112924265</v>
      </c>
      <c r="APK87">
        <v>0.490821284826367</v>
      </c>
      <c r="APL87">
        <v>4.35278109741216</v>
      </c>
      <c r="APM87">
        <v>4.43201871234823</v>
      </c>
      <c r="APN87">
        <v>1.25387231466754</v>
      </c>
      <c r="APO87">
        <v>0.771599621812897</v>
      </c>
      <c r="APP87">
        <v>0.621261847359758</v>
      </c>
      <c r="APQ87">
        <v>57.0453600874466</v>
      </c>
      <c r="APR87">
        <v>72.3347491513521</v>
      </c>
      <c r="APS87">
        <v>10.5192786162807</v>
      </c>
      <c r="APT87">
        <v>4.5098569027931</v>
      </c>
      <c r="APU87">
        <v>2.60986675686285</v>
      </c>
      <c r="APV87">
        <v>4.04419352592619</v>
      </c>
      <c r="APW87">
        <v>4.17614249906958</v>
      </c>
      <c r="APX87">
        <v>1.12033153270433</v>
      </c>
      <c r="APY87">
        <v>0.658872010857845</v>
      </c>
      <c r="APZ87">
        <v>0.50180938091923</v>
      </c>
      <c r="AQA87">
        <v>5.85220589316089</v>
      </c>
      <c r="AQB87">
        <v>8.05889592752273</v>
      </c>
      <c r="AQC87">
        <v>1.52890717612319</v>
      </c>
      <c r="AQD87">
        <v>0.854499652760673</v>
      </c>
      <c r="AQE87">
        <v>0.780166002225323</v>
      </c>
      <c r="AQF87">
        <v>0.877150183060875</v>
      </c>
      <c r="AQG87">
        <v>1.03138063697517</v>
      </c>
      <c r="AQH87">
        <v>0.197314684909323</v>
      </c>
      <c r="AQI87">
        <v>0.133210840742358</v>
      </c>
      <c r="AQJ87">
        <v>0.116433679761674</v>
      </c>
      <c r="AQK87">
        <v>2</v>
      </c>
      <c r="AQO87" t="s">
        <v>1902</v>
      </c>
      <c r="AQP87">
        <v>1</v>
      </c>
      <c r="AQQ87">
        <v>0</v>
      </c>
      <c r="AQS87" t="s">
        <v>1905</v>
      </c>
      <c r="AQU87" t="s">
        <v>1906</v>
      </c>
      <c r="AQV87">
        <v>1915276.03748173</v>
      </c>
      <c r="AQW87">
        <v>2213252.31213044</v>
      </c>
      <c r="AQX87">
        <v>1467628.71527735</v>
      </c>
      <c r="AQY87">
        <v>112128.697563345</v>
      </c>
      <c r="AQZ87">
        <v>124382.336571264</v>
      </c>
      <c r="ARA87">
        <v>30206.7694651544</v>
      </c>
      <c r="ARB87">
        <v>5596157.06488952</v>
      </c>
      <c r="ARC87">
        <v>266717.8035997634</v>
      </c>
      <c r="ARD87">
        <v>0.05004612878076333</v>
      </c>
      <c r="ARE87">
        <v>0.05004612878076333</v>
      </c>
      <c r="ARF87">
        <v>0.05004612878076333</v>
      </c>
      <c r="ARG87">
        <v>0.05004612878076333</v>
      </c>
      <c r="ARH87">
        <v>0.05004612878076333</v>
      </c>
      <c r="ARI87">
        <v>0.05004612878076333</v>
      </c>
      <c r="ARJ87" t="s">
        <v>1248</v>
      </c>
      <c r="ARK87" t="s">
        <v>1586</v>
      </c>
      <c r="ARL87" t="s">
        <v>1908</v>
      </c>
      <c r="ARM87" t="s">
        <v>1909</v>
      </c>
      <c r="ARN87" t="s">
        <v>1909</v>
      </c>
      <c r="ARO87" t="s">
        <v>1909</v>
      </c>
      <c r="ARP87" t="s">
        <v>1907</v>
      </c>
      <c r="ARQ87" t="s">
        <v>1980</v>
      </c>
      <c r="ARR87">
        <f>HYPERLINK("C:\Users\Usuario\Documents\Proyectos\llmthon\evidence\noqo_net_235420.png", "Ver Evidencia")</f>
        <v>0</v>
      </c>
      <c r="ARS87">
        <v>95</v>
      </c>
    </row>
    <row r="88" spans="1:1163">
      <c r="A88">
        <v>482</v>
      </c>
      <c r="B88" t="s">
        <v>1249</v>
      </c>
      <c r="C88" t="s">
        <v>1372</v>
      </c>
      <c r="E88" s="2">
        <v>41039</v>
      </c>
      <c r="F88" t="s">
        <v>1431</v>
      </c>
      <c r="G88" t="s">
        <v>1433</v>
      </c>
      <c r="H88" t="s">
        <v>1434</v>
      </c>
      <c r="I88" t="s">
        <v>1435</v>
      </c>
      <c r="J88" t="s">
        <v>1451</v>
      </c>
      <c r="L88" t="s">
        <v>1587</v>
      </c>
      <c r="N88" t="s">
        <v>1640</v>
      </c>
      <c r="O88" t="s">
        <v>1664</v>
      </c>
      <c r="P88">
        <v>8299</v>
      </c>
      <c r="Q88">
        <v>8299</v>
      </c>
      <c r="R88" t="s">
        <v>1757</v>
      </c>
      <c r="S88" t="s">
        <v>1829</v>
      </c>
      <c r="Z88" t="s">
        <v>1899</v>
      </c>
      <c r="AA88" s="2">
        <v>45657</v>
      </c>
      <c r="AB88">
        <v>2024</v>
      </c>
      <c r="AC88">
        <v>1427364.83645696</v>
      </c>
      <c r="AD88">
        <v>1361097.10149365</v>
      </c>
      <c r="AE88">
        <v>1090449.28210952</v>
      </c>
      <c r="AF88">
        <v>897527.811159968</v>
      </c>
      <c r="AG88">
        <v>644003.076140112</v>
      </c>
      <c r="AH88">
        <v>1427359.75623821</v>
      </c>
      <c r="AI88">
        <v>1361097.10149365</v>
      </c>
      <c r="AJ88">
        <v>1090449.28210952</v>
      </c>
      <c r="AK88">
        <v>886192.747282863</v>
      </c>
      <c r="AL88">
        <v>644003.076140112</v>
      </c>
      <c r="AM88">
        <v>719064.946360896</v>
      </c>
      <c r="AN88">
        <v>659807.277063398</v>
      </c>
      <c r="AO88">
        <v>530537.4647744891</v>
      </c>
      <c r="AP88">
        <v>454527.668903661</v>
      </c>
      <c r="AQ88">
        <v>322229.06068666</v>
      </c>
      <c r="AR88">
        <v>708299.890096068</v>
      </c>
      <c r="AS88">
        <v>701289.824430256</v>
      </c>
      <c r="AT88">
        <v>559911.816268428</v>
      </c>
      <c r="AU88">
        <v>443000.141123707</v>
      </c>
      <c r="AV88">
        <v>321774.015453452</v>
      </c>
      <c r="AW88">
        <v>534581.394208795</v>
      </c>
      <c r="AX88">
        <v>583168.905764039</v>
      </c>
      <c r="AY88">
        <v>612682.625899627</v>
      </c>
      <c r="AZ88">
        <v>536034.004170013</v>
      </c>
      <c r="BA88">
        <v>575919.950251776</v>
      </c>
      <c r="BB88">
        <v>173718.495887274</v>
      </c>
      <c r="BC88">
        <v>118120.917561216</v>
      </c>
      <c r="BD88">
        <v>-52770.8096311986</v>
      </c>
      <c r="BE88">
        <v>-93033.8619137049</v>
      </c>
      <c r="BF88">
        <v>-254145.934798324</v>
      </c>
      <c r="BG88">
        <v>-22575.0272988975</v>
      </c>
      <c r="BH88">
        <v>-26558.4217190933</v>
      </c>
      <c r="BI88">
        <v>-20884.5928772229</v>
      </c>
      <c r="BJ88">
        <v>-20562.4831680536</v>
      </c>
      <c r="BK88">
        <v>-29188.9496805966</v>
      </c>
      <c r="BL88" t="s">
        <v>1900</v>
      </c>
      <c r="BM88" t="s">
        <v>1900</v>
      </c>
      <c r="BN88" t="s">
        <v>1900</v>
      </c>
      <c r="BO88" t="s">
        <v>1900</v>
      </c>
      <c r="BP88" t="s">
        <v>1900</v>
      </c>
      <c r="BQ88">
        <v>22575.0272988975</v>
      </c>
      <c r="BR88">
        <v>26558.4217190933</v>
      </c>
      <c r="BS88">
        <v>20884.5928772229</v>
      </c>
      <c r="BT88">
        <v>20562.4831680536</v>
      </c>
      <c r="BU88">
        <v>29188.9496805966</v>
      </c>
      <c r="BV88">
        <v>151143.468588376</v>
      </c>
      <c r="BW88">
        <v>91562.495842123</v>
      </c>
      <c r="BX88">
        <v>-73655.403575021</v>
      </c>
      <c r="BY88">
        <v>-113596.345081758</v>
      </c>
      <c r="BZ88">
        <v>-283334.884478921</v>
      </c>
      <c r="CA88">
        <v>41341.9787196171</v>
      </c>
      <c r="CB88">
        <v>23207.7508153534</v>
      </c>
      <c r="CC88">
        <v>-18305.3323953211</v>
      </c>
      <c r="CD88">
        <v>-28420.01106112</v>
      </c>
      <c r="CE88">
        <v>-74065.406766963</v>
      </c>
      <c r="CF88">
        <v>109801.489868759</v>
      </c>
      <c r="CG88">
        <v>68354.7450267696</v>
      </c>
      <c r="CH88">
        <v>-55350.0701131004</v>
      </c>
      <c r="CI88">
        <v>-85176.3340206385</v>
      </c>
      <c r="CJ88">
        <v>-209269.477711958</v>
      </c>
      <c r="CK88" t="s">
        <v>1900</v>
      </c>
      <c r="CL88" t="s">
        <v>1900</v>
      </c>
      <c r="CM88" t="s">
        <v>1900</v>
      </c>
      <c r="CN88" t="s">
        <v>1900</v>
      </c>
      <c r="CO88" t="s">
        <v>1900</v>
      </c>
      <c r="CP88" t="s">
        <v>1900</v>
      </c>
      <c r="CQ88" t="s">
        <v>1900</v>
      </c>
      <c r="CR88" t="s">
        <v>1900</v>
      </c>
      <c r="CS88" t="s">
        <v>1900</v>
      </c>
      <c r="CT88" t="s">
        <v>1900</v>
      </c>
      <c r="CU88" t="s">
        <v>1900</v>
      </c>
      <c r="CV88" t="s">
        <v>1900</v>
      </c>
      <c r="CW88" t="s">
        <v>1900</v>
      </c>
      <c r="CX88" t="s">
        <v>1900</v>
      </c>
      <c r="CY88" t="s">
        <v>1900</v>
      </c>
      <c r="CZ88">
        <v>109801.489868759</v>
      </c>
      <c r="DA88">
        <v>68354.7450267696</v>
      </c>
      <c r="DB88">
        <v>-55350.0701131004</v>
      </c>
      <c r="DC88">
        <v>-85176.3340206385</v>
      </c>
      <c r="DD88">
        <v>-209269.477711958</v>
      </c>
      <c r="DE88" t="s">
        <v>1900</v>
      </c>
      <c r="DF88" t="s">
        <v>1900</v>
      </c>
      <c r="DG88" t="s">
        <v>1900</v>
      </c>
      <c r="DH88" t="s">
        <v>1900</v>
      </c>
      <c r="DI88" t="s">
        <v>1900</v>
      </c>
      <c r="DJ88">
        <v>719064.946360896</v>
      </c>
      <c r="DK88">
        <v>659807.277063398</v>
      </c>
      <c r="DL88">
        <v>530537.4647744891</v>
      </c>
      <c r="DM88">
        <v>454527.668903661</v>
      </c>
      <c r="DN88">
        <v>322229.06068666</v>
      </c>
      <c r="DO88">
        <v>266128.516549475</v>
      </c>
      <c r="DP88">
        <v>264061.250257444</v>
      </c>
      <c r="DQ88">
        <v>280209.731614133</v>
      </c>
      <c r="DR88">
        <v>228282.104421258</v>
      </c>
      <c r="DS88">
        <v>213843.748041439</v>
      </c>
      <c r="DT88">
        <v>145300.635236375</v>
      </c>
      <c r="DU88">
        <v>170032.713758593</v>
      </c>
      <c r="DV88">
        <v>162565.888994837</v>
      </c>
      <c r="DW88">
        <v>161633.242640233</v>
      </c>
      <c r="DX88">
        <v>165394.873577619</v>
      </c>
      <c r="DY88">
        <v>123152.242422944</v>
      </c>
      <c r="DZ88">
        <v>149074.942853003</v>
      </c>
      <c r="EA88">
        <v>169907.004224058</v>
      </c>
      <c r="EB88">
        <v>146118.657108521</v>
      </c>
      <c r="EC88">
        <v>196681.329859818</v>
      </c>
      <c r="ED88">
        <v>22523.9446084714</v>
      </c>
      <c r="EE88">
        <v>26282.9782454777</v>
      </c>
      <c r="EF88">
        <v>19374.2784024537</v>
      </c>
      <c r="EG88">
        <v>20297.9643662453</v>
      </c>
      <c r="EH88">
        <v>28805.0639357626</v>
      </c>
      <c r="EI88" t="s">
        <v>1900</v>
      </c>
      <c r="EJ88" t="s">
        <v>1900</v>
      </c>
      <c r="EK88" t="s">
        <v>1900</v>
      </c>
      <c r="EL88" t="s">
        <v>1900</v>
      </c>
      <c r="EM88" t="s">
        <v>1900</v>
      </c>
      <c r="EN88">
        <v>255102.125105134</v>
      </c>
      <c r="EO88">
        <v>238387.458785362</v>
      </c>
      <c r="EP88">
        <v>107215.817815137</v>
      </c>
      <c r="EQ88">
        <v>76456.9074869943</v>
      </c>
      <c r="ER88">
        <v>-43874.6041343391</v>
      </c>
      <c r="ES88">
        <v>585096.563943798</v>
      </c>
      <c r="ET88">
        <v>551939.438103638</v>
      </c>
      <c r="EU88">
        <v>388494.495436402</v>
      </c>
      <c r="EV88">
        <v>296616.966345978</v>
      </c>
      <c r="EW88">
        <v>124708.7998488</v>
      </c>
      <c r="EX88">
        <v>319019.131123649</v>
      </c>
      <c r="EY88">
        <v>288153.631319809</v>
      </c>
      <c r="EZ88">
        <v>109795.079363638</v>
      </c>
      <c r="FA88">
        <v>68599.37959392781</v>
      </c>
      <c r="FB88">
        <v>-88751.06122070549</v>
      </c>
      <c r="FC88">
        <v>1169614.23436322</v>
      </c>
      <c r="FD88">
        <v>1350104.32451023</v>
      </c>
      <c r="FE88">
        <v>1406369.50161079</v>
      </c>
      <c r="FF88">
        <v>1549058.93555174</v>
      </c>
      <c r="FG88">
        <v>1722114.17548553</v>
      </c>
      <c r="FH88">
        <v>388410.181935135</v>
      </c>
      <c r="FI88">
        <v>427564.947035894</v>
      </c>
      <c r="FJ88">
        <v>437459.636496115</v>
      </c>
      <c r="FK88">
        <v>484210.903065705</v>
      </c>
      <c r="FL88">
        <v>543875.675482327</v>
      </c>
      <c r="FM88">
        <v>407908.04073886</v>
      </c>
      <c r="FN88">
        <v>481630.157149696</v>
      </c>
      <c r="FO88">
        <v>520040.152600974</v>
      </c>
      <c r="FP88">
        <v>607640.472690869</v>
      </c>
      <c r="FQ88">
        <v>713674.878407449</v>
      </c>
      <c r="FR88">
        <v>373296.011689219</v>
      </c>
      <c r="FS88">
        <v>440909.22032464</v>
      </c>
      <c r="FT88">
        <v>448869.712513697</v>
      </c>
      <c r="FU88">
        <v>457207.559795165</v>
      </c>
      <c r="FV88">
        <v>464563.621595752</v>
      </c>
      <c r="FW88">
        <v>388410.181935135</v>
      </c>
      <c r="FX88">
        <v>427564.947035894</v>
      </c>
      <c r="FY88">
        <v>437459.636496115</v>
      </c>
      <c r="FZ88">
        <v>484210.903065705</v>
      </c>
      <c r="GA88">
        <v>543875.675482327</v>
      </c>
      <c r="GB88">
        <v>407908.04073886</v>
      </c>
      <c r="GC88">
        <v>481630.157149696</v>
      </c>
      <c r="GD88">
        <v>520040.152600974</v>
      </c>
      <c r="GE88">
        <v>607640.472690869</v>
      </c>
      <c r="GF88">
        <v>713674.878407449</v>
      </c>
      <c r="GG88">
        <v>373296.011689219</v>
      </c>
      <c r="GH88">
        <v>440909.22032464</v>
      </c>
      <c r="GI88">
        <v>448869.712513697</v>
      </c>
      <c r="GJ88">
        <v>457207.559795165</v>
      </c>
      <c r="GK88">
        <v>464563.621595752</v>
      </c>
      <c r="GL88">
        <v>440687.201662462</v>
      </c>
      <c r="GM88">
        <v>381474.039300861</v>
      </c>
      <c r="GN88">
        <v>341298.983718842</v>
      </c>
      <c r="GO88">
        <v>350827.77011447</v>
      </c>
      <c r="GP88">
        <v>423829.05412972</v>
      </c>
      <c r="GQ88">
        <v>0</v>
      </c>
      <c r="GR88">
        <v>0</v>
      </c>
      <c r="GS88">
        <v>0</v>
      </c>
      <c r="GT88">
        <v>0</v>
      </c>
      <c r="GU88">
        <v>0</v>
      </c>
      <c r="GV88">
        <v>7618.06333151102</v>
      </c>
      <c r="GW88">
        <v>25352.9324780846</v>
      </c>
      <c r="GX88">
        <v>33543.5833001912</v>
      </c>
      <c r="GY88">
        <v>21977.8258162737</v>
      </c>
      <c r="GZ88">
        <v>21524.2543074846</v>
      </c>
      <c r="HA88">
        <v>433069.138330951</v>
      </c>
      <c r="HB88">
        <v>356121.106822777</v>
      </c>
      <c r="HC88">
        <v>307755.400418651</v>
      </c>
      <c r="HD88">
        <v>328849.944298196</v>
      </c>
      <c r="HE88">
        <v>402304.799822235</v>
      </c>
      <c r="HF88">
        <v>429568.316991994</v>
      </c>
      <c r="HG88">
        <v>356121.106822777</v>
      </c>
      <c r="HH88">
        <v>307755.400418651</v>
      </c>
      <c r="HI88">
        <v>328849.944298196</v>
      </c>
      <c r="HJ88">
        <v>402304.799822235</v>
      </c>
      <c r="HK88">
        <v>1610301.43602568</v>
      </c>
      <c r="HL88">
        <v>1731578.36381109</v>
      </c>
      <c r="HM88">
        <v>1747668.48532963</v>
      </c>
      <c r="HN88">
        <v>1899886.70566621</v>
      </c>
      <c r="HO88">
        <v>2145943.22961525</v>
      </c>
      <c r="HP88">
        <v>1223909.07750185</v>
      </c>
      <c r="HQ88">
        <v>1191790.50566093</v>
      </c>
      <c r="HR88">
        <v>1100170.67515331</v>
      </c>
      <c r="HS88">
        <v>1101585.45246906</v>
      </c>
      <c r="HT88">
        <v>1285936.40389187</v>
      </c>
      <c r="HU88">
        <v>6933.6155359745</v>
      </c>
      <c r="HV88">
        <v>7374.77330970764</v>
      </c>
      <c r="HW88">
        <v>7118.48498463631</v>
      </c>
      <c r="HX88">
        <v>7442.31662034988</v>
      </c>
      <c r="HY88">
        <v>8063.2694965601</v>
      </c>
      <c r="HZ88">
        <v>1216975.46196587</v>
      </c>
      <c r="IA88">
        <v>1184415.73235123</v>
      </c>
      <c r="IB88">
        <v>1093052.19016867</v>
      </c>
      <c r="IC88">
        <v>1094143.13584871</v>
      </c>
      <c r="ID88">
        <v>1277873.13439531</v>
      </c>
      <c r="IE88">
        <v>120932.799777735</v>
      </c>
      <c r="IF88">
        <v>252755.515033569</v>
      </c>
      <c r="IG88">
        <v>363481.053276151</v>
      </c>
      <c r="IH88">
        <v>550570.725248265</v>
      </c>
      <c r="II88">
        <v>650418.928014207</v>
      </c>
      <c r="IJ88">
        <v>120932.799777735</v>
      </c>
      <c r="IK88">
        <v>252755.515033569</v>
      </c>
      <c r="IL88">
        <v>363481.053276151</v>
      </c>
      <c r="IM88">
        <v>550570.725248265</v>
      </c>
      <c r="IN88">
        <v>650418.928014207</v>
      </c>
      <c r="IO88">
        <v>0</v>
      </c>
      <c r="IP88">
        <v>0</v>
      </c>
      <c r="IQ88">
        <v>0</v>
      </c>
      <c r="IR88">
        <v>0</v>
      </c>
      <c r="IS88">
        <v>0</v>
      </c>
      <c r="IT88">
        <v>0</v>
      </c>
      <c r="IU88">
        <v>0</v>
      </c>
      <c r="IV88">
        <v>0</v>
      </c>
      <c r="IW88">
        <v>0</v>
      </c>
      <c r="IX88">
        <v>0</v>
      </c>
      <c r="IY88">
        <v>265459.558746093</v>
      </c>
      <c r="IZ88">
        <v>287032.343116589</v>
      </c>
      <c r="JA88">
        <v>284016.755833568</v>
      </c>
      <c r="JB88">
        <v>247730.52794888</v>
      </c>
      <c r="JC88">
        <v>209587.897709167</v>
      </c>
      <c r="JD88">
        <v>43042.293653233</v>
      </c>
      <c r="JE88">
        <v>43449.8128997421</v>
      </c>
      <c r="JF88">
        <v>64984.0137314498</v>
      </c>
      <c r="JG88">
        <v>37289.4833508968</v>
      </c>
      <c r="JH88">
        <v>78539.9507363796</v>
      </c>
      <c r="JI88" t="s">
        <v>1900</v>
      </c>
      <c r="JJ88">
        <v>3512.40982632637</v>
      </c>
      <c r="JK88">
        <v>3390.34646335244</v>
      </c>
      <c r="JL88">
        <v>0</v>
      </c>
      <c r="JM88">
        <v>0</v>
      </c>
      <c r="JN88">
        <v>222417.264053961</v>
      </c>
      <c r="JO88">
        <v>240070.12039052</v>
      </c>
      <c r="JP88">
        <v>215642.395638766</v>
      </c>
      <c r="JQ88">
        <v>210441.044597983</v>
      </c>
      <c r="JR88">
        <v>131047.946972787</v>
      </c>
      <c r="JS88">
        <v>1610301.43602568</v>
      </c>
      <c r="JT88">
        <v>1731578.36381109</v>
      </c>
      <c r="JU88">
        <v>1747668.48532963</v>
      </c>
      <c r="JV88">
        <v>1899886.70566621</v>
      </c>
      <c r="JW88">
        <v>2145943.22961525</v>
      </c>
      <c r="JX88">
        <v>7618.06333151102</v>
      </c>
      <c r="JY88">
        <v>21840.5226517582</v>
      </c>
      <c r="JZ88">
        <v>30153.2368368387</v>
      </c>
      <c r="KA88">
        <v>21977.8258162737</v>
      </c>
      <c r="KB88">
        <v>21524.2543074846</v>
      </c>
      <c r="KC88" t="s">
        <v>1900</v>
      </c>
      <c r="KD88" t="s">
        <v>1900</v>
      </c>
      <c r="KE88" t="s">
        <v>1900</v>
      </c>
      <c r="KF88" t="s">
        <v>1900</v>
      </c>
      <c r="KG88" t="s">
        <v>1900</v>
      </c>
      <c r="KH88" t="s">
        <v>1900</v>
      </c>
      <c r="KI88" t="s">
        <v>1900</v>
      </c>
      <c r="KJ88" t="s">
        <v>1900</v>
      </c>
      <c r="KK88" t="s">
        <v>1900</v>
      </c>
      <c r="KL88" t="s">
        <v>1900</v>
      </c>
      <c r="KM88">
        <v>5</v>
      </c>
      <c r="KN88">
        <v>5</v>
      </c>
      <c r="KO88">
        <v>6</v>
      </c>
      <c r="KP88">
        <v>6</v>
      </c>
      <c r="KQ88">
        <v>6</v>
      </c>
      <c r="KR88" t="s">
        <v>1900</v>
      </c>
      <c r="KS88" t="s">
        <v>1900</v>
      </c>
      <c r="KT88" t="s">
        <v>1900</v>
      </c>
      <c r="KU88" t="s">
        <v>1900</v>
      </c>
      <c r="KV88" t="s">
        <v>1900</v>
      </c>
      <c r="KW88" t="s">
        <v>1900</v>
      </c>
      <c r="KX88" t="s">
        <v>1900</v>
      </c>
      <c r="KY88" t="s">
        <v>1900</v>
      </c>
      <c r="KZ88" t="s">
        <v>1900</v>
      </c>
      <c r="LA88" t="s">
        <v>1900</v>
      </c>
      <c r="LB88" t="s">
        <v>1900</v>
      </c>
      <c r="LC88" t="s">
        <v>1900</v>
      </c>
      <c r="LD88" t="s">
        <v>1900</v>
      </c>
      <c r="LE88" t="s">
        <v>1900</v>
      </c>
      <c r="LF88" t="s">
        <v>1900</v>
      </c>
      <c r="LG88" t="s">
        <v>1900</v>
      </c>
      <c r="LH88" t="s">
        <v>1900</v>
      </c>
      <c r="LI88" t="s">
        <v>1900</v>
      </c>
      <c r="LJ88" t="s">
        <v>1900</v>
      </c>
      <c r="LK88" t="s">
        <v>1900</v>
      </c>
      <c r="LL88" t="s">
        <v>1900</v>
      </c>
      <c r="LM88" t="s">
        <v>1900</v>
      </c>
      <c r="LN88" t="s">
        <v>1900</v>
      </c>
      <c r="LO88" t="s">
        <v>1900</v>
      </c>
      <c r="LP88" t="s">
        <v>1900</v>
      </c>
      <c r="LQ88" t="s">
        <v>1900</v>
      </c>
      <c r="LR88" t="s">
        <v>1900</v>
      </c>
      <c r="LS88" t="s">
        <v>1900</v>
      </c>
      <c r="LT88" t="s">
        <v>1900</v>
      </c>
      <c r="LU88" t="s">
        <v>1900</v>
      </c>
      <c r="LV88" t="s">
        <v>1900</v>
      </c>
      <c r="LW88" t="s">
        <v>1900</v>
      </c>
      <c r="LX88" t="s">
        <v>1900</v>
      </c>
      <c r="LY88" t="s">
        <v>1900</v>
      </c>
      <c r="LZ88" t="s">
        <v>1900</v>
      </c>
      <c r="MA88" t="s">
        <v>1900</v>
      </c>
      <c r="MB88" t="s">
        <v>1900</v>
      </c>
      <c r="MC88" t="s">
        <v>1900</v>
      </c>
      <c r="MD88" t="s">
        <v>1900</v>
      </c>
      <c r="ME88" t="s">
        <v>1900</v>
      </c>
      <c r="MF88" t="s">
        <v>1900</v>
      </c>
      <c r="MG88" t="s">
        <v>1900</v>
      </c>
      <c r="MH88" t="s">
        <v>1900</v>
      </c>
      <c r="MI88" t="s">
        <v>1900</v>
      </c>
      <c r="MJ88" t="s">
        <v>1900</v>
      </c>
      <c r="MK88" t="s">
        <v>1900</v>
      </c>
      <c r="ML88" t="s">
        <v>1900</v>
      </c>
      <c r="MM88" t="s">
        <v>1900</v>
      </c>
      <c r="MN88" t="s">
        <v>1900</v>
      </c>
      <c r="MO88" t="s">
        <v>1900</v>
      </c>
      <c r="MP88">
        <v>433069.138330951</v>
      </c>
      <c r="MQ88">
        <v>356121.106822777</v>
      </c>
      <c r="MR88">
        <v>307755.400418651</v>
      </c>
      <c r="MS88">
        <v>328849.944298196</v>
      </c>
      <c r="MT88">
        <v>402304.799822235</v>
      </c>
      <c r="MU88" t="s">
        <v>1900</v>
      </c>
      <c r="MV88" t="s">
        <v>1900</v>
      </c>
      <c r="MW88" t="s">
        <v>1900</v>
      </c>
      <c r="MX88" t="s">
        <v>1900</v>
      </c>
      <c r="MY88" t="s">
        <v>1900</v>
      </c>
      <c r="MZ88" t="s">
        <v>1900</v>
      </c>
      <c r="NA88" t="s">
        <v>1900</v>
      </c>
      <c r="NB88" t="s">
        <v>1900</v>
      </c>
      <c r="NC88" t="s">
        <v>1900</v>
      </c>
      <c r="ND88" t="s">
        <v>1900</v>
      </c>
      <c r="NE88" t="s">
        <v>1900</v>
      </c>
      <c r="NF88" t="s">
        <v>1900</v>
      </c>
      <c r="NG88" t="s">
        <v>1900</v>
      </c>
      <c r="NH88" t="s">
        <v>1900</v>
      </c>
      <c r="NI88" t="s">
        <v>1900</v>
      </c>
      <c r="NJ88" t="s">
        <v>1900</v>
      </c>
      <c r="NK88" t="s">
        <v>1900</v>
      </c>
      <c r="NL88" t="s">
        <v>1900</v>
      </c>
      <c r="NM88" t="s">
        <v>1900</v>
      </c>
      <c r="NN88" t="s">
        <v>1900</v>
      </c>
      <c r="NO88" t="s">
        <v>1900</v>
      </c>
      <c r="NP88" t="s">
        <v>1900</v>
      </c>
      <c r="NQ88" t="s">
        <v>1900</v>
      </c>
      <c r="NR88" t="s">
        <v>1900</v>
      </c>
      <c r="NS88" t="s">
        <v>1900</v>
      </c>
      <c r="NT88">
        <v>1169614.23436322</v>
      </c>
      <c r="NU88">
        <v>1350104.32451023</v>
      </c>
      <c r="NV88">
        <v>1406369.50161079</v>
      </c>
      <c r="NW88">
        <v>1549058.93555174</v>
      </c>
      <c r="NX88">
        <v>1722114.17548553</v>
      </c>
      <c r="NY88" t="s">
        <v>1900</v>
      </c>
      <c r="NZ88" t="s">
        <v>1900</v>
      </c>
      <c r="OA88" t="s">
        <v>1900</v>
      </c>
      <c r="OB88" t="s">
        <v>1900</v>
      </c>
      <c r="OC88" t="s">
        <v>1900</v>
      </c>
      <c r="OD88" t="s">
        <v>1900</v>
      </c>
      <c r="OE88" t="s">
        <v>1900</v>
      </c>
      <c r="OF88" t="s">
        <v>1900</v>
      </c>
      <c r="OG88" t="s">
        <v>1900</v>
      </c>
      <c r="OH88" t="s">
        <v>1900</v>
      </c>
      <c r="OI88" t="s">
        <v>1900</v>
      </c>
      <c r="OJ88" t="s">
        <v>1900</v>
      </c>
      <c r="OK88" t="s">
        <v>1900</v>
      </c>
      <c r="OL88" t="s">
        <v>1900</v>
      </c>
      <c r="OM88" t="s">
        <v>1900</v>
      </c>
      <c r="ON88" t="s">
        <v>1900</v>
      </c>
      <c r="OO88" t="s">
        <v>1900</v>
      </c>
      <c r="OP88" t="s">
        <v>1900</v>
      </c>
      <c r="OQ88" t="s">
        <v>1900</v>
      </c>
      <c r="OR88" t="s">
        <v>1900</v>
      </c>
      <c r="OS88" t="s">
        <v>1900</v>
      </c>
      <c r="OT88" t="s">
        <v>1900</v>
      </c>
      <c r="OU88" t="s">
        <v>1900</v>
      </c>
      <c r="OV88" t="s">
        <v>1900</v>
      </c>
      <c r="OW88" t="s">
        <v>1900</v>
      </c>
      <c r="OX88" t="s">
        <v>1900</v>
      </c>
      <c r="OY88" t="s">
        <v>1900</v>
      </c>
      <c r="OZ88" t="s">
        <v>1900</v>
      </c>
      <c r="PA88" t="s">
        <v>1900</v>
      </c>
      <c r="PB88" t="s">
        <v>1900</v>
      </c>
      <c r="PC88" t="s">
        <v>1900</v>
      </c>
      <c r="PD88" t="s">
        <v>1900</v>
      </c>
      <c r="PE88" t="s">
        <v>1900</v>
      </c>
      <c r="PF88" t="s">
        <v>1900</v>
      </c>
      <c r="PG88" t="s">
        <v>1900</v>
      </c>
      <c r="PH88" t="s">
        <v>1900</v>
      </c>
      <c r="PI88" t="s">
        <v>1900</v>
      </c>
      <c r="PJ88" t="s">
        <v>1900</v>
      </c>
      <c r="PK88" t="s">
        <v>1900</v>
      </c>
      <c r="PL88" t="s">
        <v>1900</v>
      </c>
      <c r="PM88" t="s">
        <v>1900</v>
      </c>
      <c r="PN88" t="s">
        <v>1900</v>
      </c>
      <c r="PO88" t="s">
        <v>1900</v>
      </c>
      <c r="PP88" t="s">
        <v>1900</v>
      </c>
      <c r="PQ88" t="s">
        <v>1900</v>
      </c>
      <c r="PR88" t="s">
        <v>1900</v>
      </c>
      <c r="PS88" t="s">
        <v>1900</v>
      </c>
      <c r="PT88" t="s">
        <v>1900</v>
      </c>
      <c r="PU88" t="s">
        <v>1900</v>
      </c>
      <c r="PV88" t="s">
        <v>1900</v>
      </c>
      <c r="PW88" t="s">
        <v>1900</v>
      </c>
      <c r="PX88" t="s">
        <v>1900</v>
      </c>
      <c r="PY88" t="s">
        <v>1900</v>
      </c>
      <c r="PZ88" t="s">
        <v>1900</v>
      </c>
      <c r="QA88" t="s">
        <v>1900</v>
      </c>
      <c r="QB88" t="s">
        <v>1900</v>
      </c>
      <c r="QC88" t="s">
        <v>1900</v>
      </c>
      <c r="QD88" t="s">
        <v>1900</v>
      </c>
      <c r="QE88" t="s">
        <v>1900</v>
      </c>
      <c r="QF88" t="s">
        <v>1900</v>
      </c>
      <c r="QG88" t="s">
        <v>1900</v>
      </c>
      <c r="QH88" t="s">
        <v>1900</v>
      </c>
      <c r="QI88" t="s">
        <v>1900</v>
      </c>
      <c r="QJ88" t="s">
        <v>1900</v>
      </c>
      <c r="QK88" t="s">
        <v>1900</v>
      </c>
      <c r="QL88" t="s">
        <v>1900</v>
      </c>
      <c r="QM88" t="s">
        <v>1900</v>
      </c>
      <c r="QN88" t="s">
        <v>1900</v>
      </c>
      <c r="QO88" t="s">
        <v>1900</v>
      </c>
      <c r="QP88" t="s">
        <v>1900</v>
      </c>
      <c r="QQ88" t="s">
        <v>1900</v>
      </c>
      <c r="QR88" t="s">
        <v>1900</v>
      </c>
      <c r="QS88" t="s">
        <v>1900</v>
      </c>
      <c r="QT88" t="s">
        <v>1900</v>
      </c>
      <c r="QU88" t="s">
        <v>1900</v>
      </c>
      <c r="QV88" t="s">
        <v>1900</v>
      </c>
      <c r="QW88" t="s">
        <v>1900</v>
      </c>
      <c r="QX88" t="s">
        <v>1900</v>
      </c>
      <c r="QY88" t="s">
        <v>1900</v>
      </c>
      <c r="QZ88" t="s">
        <v>1900</v>
      </c>
      <c r="RA88" t="s">
        <v>1900</v>
      </c>
      <c r="RB88" t="s">
        <v>1900</v>
      </c>
      <c r="RC88" t="s">
        <v>1900</v>
      </c>
      <c r="RD88" t="s">
        <v>1900</v>
      </c>
      <c r="RE88" t="s">
        <v>1900</v>
      </c>
      <c r="RF88" t="s">
        <v>1900</v>
      </c>
      <c r="RG88" t="s">
        <v>1900</v>
      </c>
      <c r="RH88" t="s">
        <v>1900</v>
      </c>
      <c r="RI88" t="s">
        <v>1900</v>
      </c>
      <c r="RJ88" t="s">
        <v>1900</v>
      </c>
      <c r="RK88" t="s">
        <v>1900</v>
      </c>
      <c r="RL88" t="s">
        <v>1900</v>
      </c>
      <c r="RM88" t="s">
        <v>1900</v>
      </c>
      <c r="RN88" t="s">
        <v>1900</v>
      </c>
      <c r="RO88" t="s">
        <v>1900</v>
      </c>
      <c r="RP88" t="s">
        <v>1900</v>
      </c>
      <c r="RQ88" t="s">
        <v>1900</v>
      </c>
      <c r="RR88" t="s">
        <v>1900</v>
      </c>
      <c r="RS88" t="s">
        <v>1900</v>
      </c>
      <c r="RT88" t="s">
        <v>1900</v>
      </c>
      <c r="RU88" t="s">
        <v>1900</v>
      </c>
      <c r="RV88" t="s">
        <v>1900</v>
      </c>
      <c r="RW88" t="s">
        <v>1900</v>
      </c>
      <c r="RX88" t="s">
        <v>1900</v>
      </c>
      <c r="RY88" t="s">
        <v>1900</v>
      </c>
      <c r="RZ88" t="s">
        <v>1900</v>
      </c>
      <c r="SA88" t="s">
        <v>1900</v>
      </c>
      <c r="SB88" t="s">
        <v>1900</v>
      </c>
      <c r="SC88" t="s">
        <v>1900</v>
      </c>
      <c r="SD88" t="s">
        <v>1900</v>
      </c>
      <c r="SE88" t="s">
        <v>1900</v>
      </c>
      <c r="SF88" t="s">
        <v>1900</v>
      </c>
      <c r="SG88" t="s">
        <v>1900</v>
      </c>
      <c r="SH88" t="s">
        <v>1900</v>
      </c>
      <c r="SI88" t="s">
        <v>1900</v>
      </c>
      <c r="SJ88">
        <v>373296.011689219</v>
      </c>
      <c r="SK88">
        <v>440909.22032464</v>
      </c>
      <c r="SL88">
        <v>448869.712513697</v>
      </c>
      <c r="SM88">
        <v>457207.559795165</v>
      </c>
      <c r="SN88">
        <v>464563.621595752</v>
      </c>
      <c r="SO88" t="s">
        <v>1900</v>
      </c>
      <c r="SP88" t="s">
        <v>1900</v>
      </c>
      <c r="SQ88" t="s">
        <v>1900</v>
      </c>
      <c r="SR88" t="s">
        <v>1900</v>
      </c>
      <c r="SS88" t="s">
        <v>1900</v>
      </c>
      <c r="ST88" t="s">
        <v>1900</v>
      </c>
      <c r="SU88" t="s">
        <v>1900</v>
      </c>
      <c r="SV88" t="s">
        <v>1900</v>
      </c>
      <c r="SW88" t="s">
        <v>1900</v>
      </c>
      <c r="SX88" t="s">
        <v>1900</v>
      </c>
      <c r="SY88" t="s">
        <v>1900</v>
      </c>
      <c r="SZ88" t="s">
        <v>1900</v>
      </c>
      <c r="TA88" t="s">
        <v>1900</v>
      </c>
      <c r="TB88" t="s">
        <v>1900</v>
      </c>
      <c r="TC88" t="s">
        <v>1900</v>
      </c>
      <c r="TD88" t="s">
        <v>1900</v>
      </c>
      <c r="TE88" t="s">
        <v>1900</v>
      </c>
      <c r="TF88" t="s">
        <v>1900</v>
      </c>
      <c r="TG88" t="s">
        <v>1900</v>
      </c>
      <c r="TH88" t="s">
        <v>1900</v>
      </c>
      <c r="TI88" t="s">
        <v>1900</v>
      </c>
      <c r="TJ88" t="s">
        <v>1900</v>
      </c>
      <c r="TK88" t="s">
        <v>1900</v>
      </c>
      <c r="TL88" t="s">
        <v>1900</v>
      </c>
      <c r="TM88" t="s">
        <v>1900</v>
      </c>
      <c r="TN88" t="s">
        <v>1900</v>
      </c>
      <c r="TO88" t="s">
        <v>1900</v>
      </c>
      <c r="TP88" t="s">
        <v>1900</v>
      </c>
      <c r="TQ88" t="s">
        <v>1900</v>
      </c>
      <c r="TR88" t="s">
        <v>1900</v>
      </c>
      <c r="TS88">
        <v>1610301.43602568</v>
      </c>
      <c r="TT88">
        <v>1731578.36381109</v>
      </c>
      <c r="TU88">
        <v>1747668.48532963</v>
      </c>
      <c r="TV88">
        <v>1899886.70566621</v>
      </c>
      <c r="TW88">
        <v>2145943.22961525</v>
      </c>
      <c r="TX88" t="s">
        <v>1900</v>
      </c>
      <c r="TY88" t="s">
        <v>1900</v>
      </c>
      <c r="TZ88" t="s">
        <v>1900</v>
      </c>
      <c r="UA88" t="s">
        <v>1900</v>
      </c>
      <c r="UB88" t="s">
        <v>1900</v>
      </c>
      <c r="UC88">
        <v>43042.293653233</v>
      </c>
      <c r="UD88">
        <v>43449.8128997421</v>
      </c>
      <c r="UE88">
        <v>64984.0137314498</v>
      </c>
      <c r="UF88">
        <v>37289.4833508968</v>
      </c>
      <c r="UG88">
        <v>78539.9507363796</v>
      </c>
      <c r="UH88" t="s">
        <v>1900</v>
      </c>
      <c r="UI88" t="s">
        <v>1900</v>
      </c>
      <c r="UJ88" t="s">
        <v>1900</v>
      </c>
      <c r="UK88" t="s">
        <v>1900</v>
      </c>
      <c r="UL88" t="s">
        <v>1900</v>
      </c>
      <c r="UM88" t="s">
        <v>1900</v>
      </c>
      <c r="UN88" t="s">
        <v>1900</v>
      </c>
      <c r="UO88" t="s">
        <v>1900</v>
      </c>
      <c r="UP88" t="s">
        <v>1900</v>
      </c>
      <c r="UQ88" t="s">
        <v>1900</v>
      </c>
      <c r="UR88" t="s">
        <v>1900</v>
      </c>
      <c r="US88" t="s">
        <v>1900</v>
      </c>
      <c r="UT88" t="s">
        <v>1900</v>
      </c>
      <c r="UU88" t="s">
        <v>1900</v>
      </c>
      <c r="UV88" t="s">
        <v>1900</v>
      </c>
      <c r="UW88" t="s">
        <v>1900</v>
      </c>
      <c r="UX88" t="s">
        <v>1900</v>
      </c>
      <c r="UY88" t="s">
        <v>1900</v>
      </c>
      <c r="UZ88" t="s">
        <v>1900</v>
      </c>
      <c r="VA88" t="s">
        <v>1900</v>
      </c>
      <c r="VB88" t="s">
        <v>1900</v>
      </c>
      <c r="VC88" t="s">
        <v>1900</v>
      </c>
      <c r="VD88" t="s">
        <v>1900</v>
      </c>
      <c r="VE88" t="s">
        <v>1900</v>
      </c>
      <c r="VF88" t="s">
        <v>1900</v>
      </c>
      <c r="VG88" t="s">
        <v>1900</v>
      </c>
      <c r="VH88" t="s">
        <v>1900</v>
      </c>
      <c r="VI88" t="s">
        <v>1900</v>
      </c>
      <c r="VJ88" t="s">
        <v>1900</v>
      </c>
      <c r="VK88" t="s">
        <v>1900</v>
      </c>
      <c r="VL88" t="s">
        <v>1900</v>
      </c>
      <c r="VM88" t="s">
        <v>1900</v>
      </c>
      <c r="VN88" t="s">
        <v>1900</v>
      </c>
      <c r="VO88" t="s">
        <v>1900</v>
      </c>
      <c r="VP88" t="s">
        <v>1900</v>
      </c>
      <c r="VQ88" t="s">
        <v>1900</v>
      </c>
      <c r="VR88" t="s">
        <v>1900</v>
      </c>
      <c r="VS88" t="s">
        <v>1900</v>
      </c>
      <c r="VT88" t="s">
        <v>1900</v>
      </c>
      <c r="VU88" t="s">
        <v>1900</v>
      </c>
      <c r="VV88" t="s">
        <v>1900</v>
      </c>
      <c r="VW88" t="s">
        <v>1900</v>
      </c>
      <c r="VX88" t="s">
        <v>1900</v>
      </c>
      <c r="VY88" t="s">
        <v>1900</v>
      </c>
      <c r="VZ88" t="s">
        <v>1900</v>
      </c>
      <c r="WA88">
        <v>222417.264053961</v>
      </c>
      <c r="WB88">
        <v>240070.12039052</v>
      </c>
      <c r="WC88">
        <v>215642.395638766</v>
      </c>
      <c r="WD88">
        <v>210441.044597983</v>
      </c>
      <c r="WE88">
        <v>131047.946972787</v>
      </c>
      <c r="WF88" t="s">
        <v>1900</v>
      </c>
      <c r="WG88" t="s">
        <v>1900</v>
      </c>
      <c r="WH88" t="s">
        <v>1900</v>
      </c>
      <c r="WI88" t="s">
        <v>1900</v>
      </c>
      <c r="WJ88" t="s">
        <v>1900</v>
      </c>
      <c r="WK88" t="s">
        <v>1900</v>
      </c>
      <c r="WL88" t="s">
        <v>1900</v>
      </c>
      <c r="WM88" t="s">
        <v>1900</v>
      </c>
      <c r="WN88" t="s">
        <v>1900</v>
      </c>
      <c r="WO88" t="s">
        <v>1900</v>
      </c>
      <c r="WP88" t="s">
        <v>1900</v>
      </c>
      <c r="WQ88" t="s">
        <v>1900</v>
      </c>
      <c r="WR88" t="s">
        <v>1900</v>
      </c>
      <c r="WS88" t="s">
        <v>1900</v>
      </c>
      <c r="WT88" t="s">
        <v>1900</v>
      </c>
      <c r="WU88" t="s">
        <v>1900</v>
      </c>
      <c r="WV88" t="s">
        <v>1900</v>
      </c>
      <c r="WW88" t="s">
        <v>1900</v>
      </c>
      <c r="WX88" t="s">
        <v>1900</v>
      </c>
      <c r="WY88" t="s">
        <v>1900</v>
      </c>
      <c r="WZ88" t="s">
        <v>1900</v>
      </c>
      <c r="XA88" t="s">
        <v>1900</v>
      </c>
      <c r="XB88" t="s">
        <v>1900</v>
      </c>
      <c r="XC88" t="s">
        <v>1900</v>
      </c>
      <c r="XD88" t="s">
        <v>1900</v>
      </c>
      <c r="XE88" t="s">
        <v>1900</v>
      </c>
      <c r="XF88" t="s">
        <v>1900</v>
      </c>
      <c r="XG88" t="s">
        <v>1900</v>
      </c>
      <c r="XH88" t="s">
        <v>1900</v>
      </c>
      <c r="XI88" t="s">
        <v>1900</v>
      </c>
      <c r="XJ88">
        <v>0</v>
      </c>
      <c r="XK88">
        <v>0</v>
      </c>
      <c r="XL88">
        <v>0</v>
      </c>
      <c r="XM88">
        <v>0</v>
      </c>
      <c r="XN88">
        <v>0</v>
      </c>
      <c r="XO88" t="s">
        <v>1900</v>
      </c>
      <c r="XP88" t="s">
        <v>1900</v>
      </c>
      <c r="XQ88" t="s">
        <v>1900</v>
      </c>
      <c r="XR88" t="s">
        <v>1900</v>
      </c>
      <c r="XS88" t="s">
        <v>1900</v>
      </c>
      <c r="XT88" t="s">
        <v>1900</v>
      </c>
      <c r="XU88" t="s">
        <v>1900</v>
      </c>
      <c r="XV88" t="s">
        <v>1900</v>
      </c>
      <c r="XW88" t="s">
        <v>1900</v>
      </c>
      <c r="XX88" t="s">
        <v>1900</v>
      </c>
      <c r="XY88">
        <v>0</v>
      </c>
      <c r="XZ88">
        <v>0</v>
      </c>
      <c r="YA88">
        <v>0</v>
      </c>
      <c r="YB88">
        <v>0</v>
      </c>
      <c r="YC88">
        <v>0</v>
      </c>
      <c r="YD88" t="s">
        <v>1900</v>
      </c>
      <c r="YE88" t="s">
        <v>1900</v>
      </c>
      <c r="YF88" t="s">
        <v>1900</v>
      </c>
      <c r="YG88" t="s">
        <v>1900</v>
      </c>
      <c r="YH88" t="s">
        <v>1900</v>
      </c>
      <c r="YI88" t="s">
        <v>1900</v>
      </c>
      <c r="YJ88" t="s">
        <v>1900</v>
      </c>
      <c r="YK88" t="s">
        <v>1900</v>
      </c>
      <c r="YL88" t="s">
        <v>1900</v>
      </c>
      <c r="YM88" t="s">
        <v>1900</v>
      </c>
      <c r="YN88" t="s">
        <v>1900</v>
      </c>
      <c r="YO88" t="s">
        <v>1900</v>
      </c>
      <c r="YP88" t="s">
        <v>1900</v>
      </c>
      <c r="YQ88" t="s">
        <v>1900</v>
      </c>
      <c r="YR88" t="s">
        <v>1900</v>
      </c>
      <c r="YS88" t="s">
        <v>1900</v>
      </c>
      <c r="YT88" t="s">
        <v>1900</v>
      </c>
      <c r="YU88" t="s">
        <v>1900</v>
      </c>
      <c r="YV88" t="s">
        <v>1900</v>
      </c>
      <c r="YW88" t="s">
        <v>1900</v>
      </c>
      <c r="YX88" t="s">
        <v>1900</v>
      </c>
      <c r="YY88" t="s">
        <v>1900</v>
      </c>
      <c r="YZ88" t="s">
        <v>1900</v>
      </c>
      <c r="ZA88" t="s">
        <v>1900</v>
      </c>
      <c r="ZB88" t="s">
        <v>1900</v>
      </c>
      <c r="ZC88" t="s">
        <v>1900</v>
      </c>
      <c r="ZD88" t="s">
        <v>1900</v>
      </c>
      <c r="ZE88" t="s">
        <v>1900</v>
      </c>
      <c r="ZF88" t="s">
        <v>1900</v>
      </c>
      <c r="ZG88" t="s">
        <v>1900</v>
      </c>
      <c r="ZH88" t="s">
        <v>1900</v>
      </c>
      <c r="ZI88" t="s">
        <v>1900</v>
      </c>
      <c r="ZJ88" t="s">
        <v>1900</v>
      </c>
      <c r="ZK88" t="s">
        <v>1900</v>
      </c>
      <c r="ZL88" t="s">
        <v>1900</v>
      </c>
      <c r="ZM88" t="s">
        <v>1900</v>
      </c>
      <c r="ZN88" t="s">
        <v>1900</v>
      </c>
      <c r="ZO88" t="s">
        <v>1900</v>
      </c>
      <c r="ZP88" t="s">
        <v>1900</v>
      </c>
      <c r="ZQ88" t="s">
        <v>1900</v>
      </c>
      <c r="ZR88" t="s">
        <v>1900</v>
      </c>
      <c r="ZS88" t="s">
        <v>1900</v>
      </c>
      <c r="ZT88" t="s">
        <v>1900</v>
      </c>
      <c r="ZU88" t="s">
        <v>1900</v>
      </c>
      <c r="ZV88" t="s">
        <v>1900</v>
      </c>
      <c r="ZW88" t="s">
        <v>1900</v>
      </c>
      <c r="ZX88" t="s">
        <v>1900</v>
      </c>
      <c r="ZY88" t="s">
        <v>1900</v>
      </c>
      <c r="ZZ88" t="s">
        <v>1900</v>
      </c>
      <c r="AAA88" t="s">
        <v>1900</v>
      </c>
      <c r="AAB88" t="s">
        <v>1900</v>
      </c>
      <c r="AAC88" t="s">
        <v>1900</v>
      </c>
      <c r="AAD88" t="s">
        <v>1900</v>
      </c>
      <c r="AAE88" t="s">
        <v>1900</v>
      </c>
      <c r="AAF88" t="s">
        <v>1900</v>
      </c>
      <c r="AAG88" t="s">
        <v>1900</v>
      </c>
      <c r="AAH88" t="s">
        <v>1900</v>
      </c>
      <c r="AAI88" t="s">
        <v>1900</v>
      </c>
      <c r="AAJ88" t="s">
        <v>1900</v>
      </c>
      <c r="AAK88" t="s">
        <v>1900</v>
      </c>
      <c r="AAL88" t="s">
        <v>1900</v>
      </c>
      <c r="AAM88" t="s">
        <v>1900</v>
      </c>
      <c r="AAN88" t="s">
        <v>1900</v>
      </c>
      <c r="AAO88" t="s">
        <v>1900</v>
      </c>
      <c r="AAP88" t="s">
        <v>1900</v>
      </c>
      <c r="AAQ88" t="s">
        <v>1900</v>
      </c>
      <c r="AAR88" t="s">
        <v>1900</v>
      </c>
      <c r="AAS88" t="s">
        <v>1900</v>
      </c>
      <c r="AAT88" t="s">
        <v>1900</v>
      </c>
      <c r="AAU88" t="s">
        <v>1900</v>
      </c>
      <c r="AAV88" t="s">
        <v>1900</v>
      </c>
      <c r="AAW88" t="s">
        <v>1900</v>
      </c>
      <c r="AAX88" t="s">
        <v>1900</v>
      </c>
      <c r="AAY88" t="s">
        <v>1900</v>
      </c>
      <c r="AAZ88" t="s">
        <v>1900</v>
      </c>
      <c r="ABA88" t="s">
        <v>1900</v>
      </c>
      <c r="ABB88" t="s">
        <v>1900</v>
      </c>
      <c r="ABC88" t="s">
        <v>1900</v>
      </c>
      <c r="ABD88" t="s">
        <v>1900</v>
      </c>
      <c r="ABE88" t="s">
        <v>1900</v>
      </c>
      <c r="ABF88" t="s">
        <v>1900</v>
      </c>
      <c r="ABG88" t="s">
        <v>1900</v>
      </c>
      <c r="ABH88" t="s">
        <v>1900</v>
      </c>
      <c r="ABI88" t="s">
        <v>1900</v>
      </c>
      <c r="ABJ88" t="s">
        <v>1900</v>
      </c>
      <c r="ABK88" t="s">
        <v>1900</v>
      </c>
      <c r="ABL88" t="s">
        <v>1900</v>
      </c>
      <c r="ABM88" t="s">
        <v>1900</v>
      </c>
      <c r="ABN88" t="s">
        <v>1900</v>
      </c>
      <c r="ABO88" t="s">
        <v>1900</v>
      </c>
      <c r="ABP88" t="s">
        <v>1900</v>
      </c>
      <c r="ABQ88" t="s">
        <v>1900</v>
      </c>
      <c r="ABR88" t="s">
        <v>1900</v>
      </c>
      <c r="ABS88" t="s">
        <v>1900</v>
      </c>
      <c r="ABT88" t="s">
        <v>1900</v>
      </c>
      <c r="ABU88" t="s">
        <v>1900</v>
      </c>
      <c r="ABV88" t="s">
        <v>1900</v>
      </c>
      <c r="ABW88" t="s">
        <v>1900</v>
      </c>
      <c r="ABX88" t="s">
        <v>1900</v>
      </c>
      <c r="ABY88" t="s">
        <v>1900</v>
      </c>
      <c r="ABZ88" t="s">
        <v>1900</v>
      </c>
      <c r="ACA88" t="s">
        <v>1900</v>
      </c>
      <c r="ACB88" t="s">
        <v>1900</v>
      </c>
      <c r="ACC88" t="s">
        <v>1900</v>
      </c>
      <c r="ACD88" t="s">
        <v>1900</v>
      </c>
      <c r="ACE88">
        <v>12.349</v>
      </c>
      <c r="ACF88">
        <v>7.683</v>
      </c>
      <c r="ACG88">
        <v>-6.695</v>
      </c>
      <c r="ACH88">
        <v>-10.312</v>
      </c>
      <c r="ACI88">
        <v>-22.033</v>
      </c>
      <c r="ACJ88">
        <v>12.914</v>
      </c>
      <c r="ACK88">
        <v>8.157999999999999</v>
      </c>
      <c r="ACL88">
        <v>-3.709</v>
      </c>
      <c r="ACM88">
        <v>-5.647</v>
      </c>
      <c r="ACN88">
        <v>-13.145</v>
      </c>
      <c r="ACO88">
        <v>9.385999999999999</v>
      </c>
      <c r="ACP88">
        <v>5.288</v>
      </c>
      <c r="ACQ88">
        <v>-4.214</v>
      </c>
      <c r="ACR88">
        <v>-5.979</v>
      </c>
      <c r="ACS88">
        <v>-13.203</v>
      </c>
      <c r="ACT88">
        <v>8.971</v>
      </c>
      <c r="ACU88">
        <v>5.735</v>
      </c>
      <c r="ACV88">
        <v>-5.031</v>
      </c>
      <c r="ACW88">
        <v>-7.732</v>
      </c>
      <c r="ACX88">
        <v>-16.274</v>
      </c>
      <c r="ACY88">
        <v>9.839</v>
      </c>
      <c r="ACZ88">
        <v>6.551</v>
      </c>
      <c r="ADA88">
        <v>-2.458</v>
      </c>
      <c r="ADB88">
        <v>-3.927</v>
      </c>
      <c r="ADC88">
        <v>-9.32</v>
      </c>
      <c r="ADD88">
        <v>6.819</v>
      </c>
      <c r="ADE88">
        <v>3.948</v>
      </c>
      <c r="ADF88">
        <v>-3.167</v>
      </c>
      <c r="ADG88">
        <v>-4.483</v>
      </c>
      <c r="ADH88">
        <v>-9.752000000000001</v>
      </c>
      <c r="ADI88">
        <v>10.589</v>
      </c>
      <c r="ADJ88">
        <v>6.727</v>
      </c>
      <c r="ADK88">
        <v>-6.755</v>
      </c>
      <c r="ADL88">
        <v>-12.657</v>
      </c>
      <c r="ADM88">
        <v>-43.996</v>
      </c>
      <c r="ADN88">
        <v>49.623</v>
      </c>
      <c r="ADO88">
        <v>51.524</v>
      </c>
      <c r="ADP88">
        <v>51.347</v>
      </c>
      <c r="ADQ88">
        <v>49.358</v>
      </c>
      <c r="ADR88">
        <v>49.965</v>
      </c>
      <c r="ADS88">
        <v>12.170574155</v>
      </c>
      <c r="ADT88">
        <v>8.678360819</v>
      </c>
      <c r="ADU88">
        <v>-4.839363966</v>
      </c>
      <c r="ADV88">
        <v>-10.365568705</v>
      </c>
      <c r="ADW88">
        <v>-39.46346597</v>
      </c>
      <c r="ADX88">
        <v>22.35</v>
      </c>
      <c r="ADY88">
        <v>21.171</v>
      </c>
      <c r="ADZ88">
        <v>10.069</v>
      </c>
      <c r="AEA88">
        <v>7.643</v>
      </c>
      <c r="AEB88">
        <v>-13.781</v>
      </c>
      <c r="AEC88">
        <v>12.171</v>
      </c>
      <c r="AED88">
        <v>8.678000000000001</v>
      </c>
      <c r="AEE88">
        <v>-4.839</v>
      </c>
      <c r="AEF88">
        <v>-10.366</v>
      </c>
      <c r="AEG88">
        <v>-39.463</v>
      </c>
      <c r="AEH88">
        <v>17.872</v>
      </c>
      <c r="AEI88">
        <v>17.514</v>
      </c>
      <c r="AEJ88">
        <v>9.832000000000001</v>
      </c>
      <c r="AEK88">
        <v>8.519</v>
      </c>
      <c r="AEL88">
        <v>-6.813</v>
      </c>
      <c r="AEM88">
        <v>13.85705763</v>
      </c>
      <c r="AEN88">
        <v>9.503071667</v>
      </c>
      <c r="AEO88">
        <v>-4.615979899</v>
      </c>
      <c r="AEP88">
        <v>-9.392031253000001</v>
      </c>
      <c r="AEQ88">
        <v>-28.296633599</v>
      </c>
      <c r="AER88">
        <v>1.324961732</v>
      </c>
      <c r="AES88">
        <v>1.202550095</v>
      </c>
      <c r="AET88">
        <v>0.913869257</v>
      </c>
      <c r="AEU88">
        <v>0.826440373</v>
      </c>
      <c r="AEV88">
        <v>0.558713091</v>
      </c>
      <c r="AEW88" t="s">
        <v>1900</v>
      </c>
      <c r="AEX88" t="s">
        <v>1900</v>
      </c>
      <c r="AEY88" t="s">
        <v>1900</v>
      </c>
      <c r="AEZ88" t="s">
        <v>1900</v>
      </c>
      <c r="AFA88" t="s">
        <v>1900</v>
      </c>
      <c r="AFB88" t="s">
        <v>1900</v>
      </c>
      <c r="AFC88" t="s">
        <v>1900</v>
      </c>
      <c r="AFD88" t="s">
        <v>1900</v>
      </c>
      <c r="AFE88" t="s">
        <v>1900</v>
      </c>
      <c r="AFF88" t="s">
        <v>1900</v>
      </c>
      <c r="AFG88">
        <v>1.061</v>
      </c>
      <c r="AFH88">
        <v>0.9419999999999999</v>
      </c>
      <c r="AFI88">
        <v>0.745</v>
      </c>
      <c r="AFJ88">
        <v>0.543</v>
      </c>
      <c r="AFK88">
        <v>0.333</v>
      </c>
      <c r="AFL88">
        <v>7.713</v>
      </c>
      <c r="AFM88">
        <v>4.494</v>
      </c>
      <c r="AFN88">
        <v>-2.724</v>
      </c>
      <c r="AFO88">
        <v>-4.583</v>
      </c>
      <c r="AFP88">
        <v>-8.823</v>
      </c>
      <c r="AFQ88" t="s">
        <v>1901</v>
      </c>
      <c r="AFR88" t="s">
        <v>1901</v>
      </c>
      <c r="AFS88" t="s">
        <v>1901</v>
      </c>
      <c r="AFT88" t="s">
        <v>1901</v>
      </c>
      <c r="AFU88" t="s">
        <v>1901</v>
      </c>
      <c r="AFV88">
        <v>1.921</v>
      </c>
      <c r="AFW88">
        <v>6.706</v>
      </c>
      <c r="AFX88">
        <v>11.074</v>
      </c>
      <c r="AFY88">
        <v>8.815</v>
      </c>
      <c r="AFZ88">
        <v>12.032</v>
      </c>
      <c r="AGA88" t="s">
        <v>1900</v>
      </c>
      <c r="AGB88">
        <v>0.929</v>
      </c>
      <c r="AGC88">
        <v>1.119</v>
      </c>
      <c r="AGD88">
        <v>0</v>
      </c>
      <c r="AGE88">
        <v>0</v>
      </c>
      <c r="AGF88" t="s">
        <v>1900</v>
      </c>
      <c r="AGG88" t="s">
        <v>1900</v>
      </c>
      <c r="AGH88" t="s">
        <v>1900</v>
      </c>
      <c r="AGI88" t="s">
        <v>1900</v>
      </c>
      <c r="AGJ88" t="s">
        <v>1900</v>
      </c>
      <c r="AGK88" t="s">
        <v>1900</v>
      </c>
      <c r="AGL88" t="s">
        <v>1900</v>
      </c>
      <c r="AGM88" t="s">
        <v>1900</v>
      </c>
      <c r="AGN88" t="s">
        <v>1900</v>
      </c>
      <c r="AGO88" t="s">
        <v>1900</v>
      </c>
      <c r="AGP88" t="s">
        <v>1900</v>
      </c>
      <c r="AGQ88" t="s">
        <v>1900</v>
      </c>
      <c r="AGR88" t="s">
        <v>1900</v>
      </c>
      <c r="AGS88" t="s">
        <v>1900</v>
      </c>
      <c r="AGT88" t="s">
        <v>1900</v>
      </c>
      <c r="AGU88">
        <v>0</v>
      </c>
      <c r="AGV88">
        <v>0</v>
      </c>
      <c r="AGW88">
        <v>0</v>
      </c>
      <c r="AGX88">
        <v>0</v>
      </c>
      <c r="AGY88">
        <v>0</v>
      </c>
      <c r="AGZ88">
        <v>1.66</v>
      </c>
      <c r="AHA88">
        <v>1.329</v>
      </c>
      <c r="AHB88">
        <v>1.202</v>
      </c>
      <c r="AHC88">
        <v>1.416</v>
      </c>
      <c r="AHD88">
        <v>2.022</v>
      </c>
      <c r="AHE88">
        <v>1.66</v>
      </c>
      <c r="AHF88">
        <v>1.329</v>
      </c>
      <c r="AHG88">
        <v>1.202</v>
      </c>
      <c r="AHH88">
        <v>1.416</v>
      </c>
      <c r="AHI88">
        <v>2.022</v>
      </c>
      <c r="AHJ88">
        <v>10.121</v>
      </c>
      <c r="AHK88">
        <v>4.715</v>
      </c>
      <c r="AHL88">
        <v>3.027</v>
      </c>
      <c r="AHM88">
        <v>2.001</v>
      </c>
      <c r="AHN88">
        <v>1.977</v>
      </c>
      <c r="AHO88">
        <v>76.005</v>
      </c>
      <c r="AHP88">
        <v>68.827</v>
      </c>
      <c r="AHQ88">
        <v>62.951</v>
      </c>
      <c r="AHR88">
        <v>57.982</v>
      </c>
      <c r="AHS88">
        <v>59.924</v>
      </c>
      <c r="AHT88" t="s">
        <v>1901</v>
      </c>
      <c r="AHU88" t="s">
        <v>1901</v>
      </c>
      <c r="AHV88" t="s">
        <v>1901</v>
      </c>
      <c r="AHW88" t="s">
        <v>1901</v>
      </c>
      <c r="AHX88" t="s">
        <v>1901</v>
      </c>
      <c r="AHY88">
        <v>13.398</v>
      </c>
      <c r="AHZ88">
        <v>24.854</v>
      </c>
      <c r="AIA88">
        <v>38.945</v>
      </c>
      <c r="AIB88">
        <v>53.365</v>
      </c>
      <c r="AIC88">
        <v>56.687</v>
      </c>
      <c r="AID88">
        <v>23.181747426</v>
      </c>
      <c r="AIE88">
        <v>25.462851092</v>
      </c>
      <c r="AIF88">
        <v>25.683916388</v>
      </c>
      <c r="AIG88">
        <v>24.06499074</v>
      </c>
      <c r="AIH88">
        <v>21.648458132</v>
      </c>
      <c r="AII88">
        <v>26.893669014</v>
      </c>
      <c r="AIJ88">
        <v>20.566271459</v>
      </c>
      <c r="AIK88">
        <v>17.609483893</v>
      </c>
      <c r="AIL88">
        <v>17.308923912</v>
      </c>
      <c r="AIM88">
        <v>18.747224729</v>
      </c>
      <c r="AIN88">
        <v>13.812150885</v>
      </c>
      <c r="AIO88">
        <v>13.864236549</v>
      </c>
      <c r="AIP88">
        <v>12.3388616</v>
      </c>
      <c r="AIQ88">
        <v>11.076504929</v>
      </c>
      <c r="AIR88">
        <v>6.10677604</v>
      </c>
      <c r="AIS88">
        <v>0</v>
      </c>
      <c r="AIT88">
        <v>0</v>
      </c>
      <c r="AIU88">
        <v>0</v>
      </c>
      <c r="AIV88">
        <v>0</v>
      </c>
      <c r="AIW88">
        <v>0</v>
      </c>
      <c r="AIX88">
        <v>30.2286937176752</v>
      </c>
      <c r="AIY88">
        <v>18.3124991684246</v>
      </c>
      <c r="AIZ88">
        <v>-12.27590095137</v>
      </c>
      <c r="AJA88">
        <v>-18.9327245578265</v>
      </c>
      <c r="AJB88">
        <v>-47.2224807464868</v>
      </c>
      <c r="AJC88">
        <v>285.472967291393</v>
      </c>
      <c r="AJD88">
        <v>272.219420298731</v>
      </c>
      <c r="AJE88">
        <v>181.741547373786</v>
      </c>
      <c r="AJF88">
        <v>149.587968149128</v>
      </c>
      <c r="AJG88">
        <v>107.333845614319</v>
      </c>
      <c r="AJH88">
        <v>18.645</v>
      </c>
      <c r="AJI88">
        <v>19.401</v>
      </c>
      <c r="AJJ88">
        <v>25.697</v>
      </c>
      <c r="AJK88">
        <v>25.435</v>
      </c>
      <c r="AJL88">
        <v>33.205</v>
      </c>
      <c r="AJM88">
        <v>53.225703309895</v>
      </c>
      <c r="AJN88">
        <v>52.8122500514889</v>
      </c>
      <c r="AJO88">
        <v>46.7016217579222</v>
      </c>
      <c r="AJP88">
        <v>38.047017403543</v>
      </c>
      <c r="AJQ88">
        <v>35.6406242645401</v>
      </c>
      <c r="AJR88">
        <v>244.78181550037</v>
      </c>
      <c r="AJS88">
        <v>238.358101132187</v>
      </c>
      <c r="AJT88">
        <v>183.361779192218</v>
      </c>
      <c r="AJU88">
        <v>183.597575789044</v>
      </c>
      <c r="AJV88">
        <v>214.322733981979</v>
      </c>
      <c r="AJW88">
        <v>1.5236126663022</v>
      </c>
      <c r="AJX88">
        <v>4.36810453035164</v>
      </c>
      <c r="AJY88">
        <v>5.02553947280645</v>
      </c>
      <c r="AJZ88">
        <v>3.66297096937895</v>
      </c>
      <c r="AKA88">
        <v>3.5873757179141</v>
      </c>
      <c r="AKB88">
        <v>322.060287205135</v>
      </c>
      <c r="AKC88">
        <v>346.315672762218</v>
      </c>
      <c r="AKD88">
        <v>291.278080888271</v>
      </c>
      <c r="AKE88">
        <v>316.647784277701</v>
      </c>
      <c r="AKF88">
        <v>357.657205344908</v>
      </c>
      <c r="AKG88">
        <v>0</v>
      </c>
      <c r="AKH88">
        <v>0</v>
      </c>
      <c r="AKI88">
        <v>0</v>
      </c>
      <c r="AKJ88">
        <v>0</v>
      </c>
      <c r="AKK88">
        <v>0</v>
      </c>
      <c r="AKL88">
        <v>0</v>
      </c>
      <c r="AKM88">
        <v>0</v>
      </c>
      <c r="AKN88">
        <v>0</v>
      </c>
      <c r="AKO88">
        <v>0</v>
      </c>
      <c r="AKP88">
        <v>0</v>
      </c>
      <c r="AKQ88">
        <v>0</v>
      </c>
      <c r="AKR88">
        <v>0</v>
      </c>
      <c r="AKS88">
        <v>0</v>
      </c>
      <c r="AKT88">
        <v>0</v>
      </c>
      <c r="AKU88">
        <v>0</v>
      </c>
      <c r="AKV88">
        <v>27.211696128</v>
      </c>
      <c r="AKW88">
        <v>31.413258214</v>
      </c>
      <c r="AKX88">
        <v>40.117375808</v>
      </c>
      <c r="AKY88">
        <v>53.949403801</v>
      </c>
      <c r="AKZ88">
        <v>84.452341244</v>
      </c>
      <c r="ALA88">
        <v>24.120340034</v>
      </c>
      <c r="ALB88">
        <v>24.69220891</v>
      </c>
      <c r="ALC88">
        <v>25.031042224</v>
      </c>
      <c r="ALD88">
        <v>25.486304084</v>
      </c>
      <c r="ALE88">
        <v>25.344364565</v>
      </c>
      <c r="ALF88">
        <v>28.577699991</v>
      </c>
      <c r="ALG88">
        <v>35.385436985</v>
      </c>
      <c r="ALH88">
        <v>47.690448436</v>
      </c>
      <c r="ALI88">
        <v>67.701575944</v>
      </c>
      <c r="ALJ88">
        <v>110.81855116</v>
      </c>
      <c r="ALK88">
        <v>25.331160466</v>
      </c>
      <c r="ALL88">
        <v>27.814516929</v>
      </c>
      <c r="ALM88">
        <v>29.75622419</v>
      </c>
      <c r="ALN88">
        <v>31.982984611</v>
      </c>
      <c r="ALO88">
        <v>33.256931896</v>
      </c>
      <c r="ALP88">
        <v>0.533715217</v>
      </c>
      <c r="ALQ88">
        <v>1.862683599</v>
      </c>
      <c r="ALR88">
        <v>3.076125029</v>
      </c>
      <c r="ALS88">
        <v>2.448706942</v>
      </c>
      <c r="ALT88">
        <v>3.342259549</v>
      </c>
      <c r="ALU88" t="s">
        <v>1900</v>
      </c>
      <c r="ALV88">
        <v>13.854057432</v>
      </c>
      <c r="ALW88">
        <v>10.107287683</v>
      </c>
      <c r="ALX88">
        <v>0</v>
      </c>
      <c r="ALY88">
        <v>0</v>
      </c>
      <c r="ALZ88">
        <v>49.6229045304371</v>
      </c>
      <c r="AMA88">
        <v>51.5238643635834</v>
      </c>
      <c r="AMB88">
        <v>51.3468920980219</v>
      </c>
      <c r="AMC88">
        <v>49.357817731706</v>
      </c>
      <c r="AMD88">
        <v>49.9646705699035</v>
      </c>
      <c r="AME88">
        <v>49.6230811468851</v>
      </c>
      <c r="AMF88">
        <v>51.5238643635834</v>
      </c>
      <c r="AMG88">
        <v>51.3468920980219</v>
      </c>
      <c r="AMH88">
        <v>49.9891409043891</v>
      </c>
      <c r="AMI88">
        <v>49.9646705699035</v>
      </c>
      <c r="AMJ88">
        <v>98.5029090460733</v>
      </c>
      <c r="AMK88">
        <v>106.287070302026</v>
      </c>
      <c r="AML88">
        <v>105.536715773018</v>
      </c>
      <c r="AMM88">
        <v>97.463844652679</v>
      </c>
      <c r="AMN88">
        <v>99.8587820625991</v>
      </c>
      <c r="AMO88">
        <v>1.32496173224357</v>
      </c>
      <c r="AMP88">
        <v>1.20255009740525</v>
      </c>
      <c r="AMQ88">
        <v>0.913869257262334</v>
      </c>
      <c r="AMR88">
        <v>0.826440370717978</v>
      </c>
      <c r="AMS88">
        <v>0.558713090791144</v>
      </c>
      <c r="AMT88">
        <v>1.32496173224357</v>
      </c>
      <c r="AMU88">
        <v>1.20255009551043</v>
      </c>
      <c r="AMV88">
        <v>0.913869257262334</v>
      </c>
      <c r="AMW88">
        <v>0.826440372830904</v>
      </c>
      <c r="AMX88">
        <v>0.558713090791144</v>
      </c>
      <c r="AMY88">
        <v>1.32496173224357</v>
      </c>
      <c r="AMZ88">
        <v>1.20255009512663</v>
      </c>
      <c r="ANA88">
        <v>0.913869257412276</v>
      </c>
      <c r="ANB88">
        <v>0.826440372830904</v>
      </c>
      <c r="ANC88">
        <v>0.558713090791144</v>
      </c>
      <c r="AND88">
        <v>12.1705741552721</v>
      </c>
      <c r="ANE88">
        <v>8.67836081875361</v>
      </c>
      <c r="ANF88">
        <v>-4.83936396648466</v>
      </c>
      <c r="ANG88">
        <v>-10.36556870516</v>
      </c>
      <c r="ANH88">
        <v>-39.4634659700028</v>
      </c>
      <c r="ANI88">
        <v>12.1706174724378</v>
      </c>
      <c r="ANJ88">
        <v>8.67836081875361</v>
      </c>
      <c r="ANK88">
        <v>-4.83936396648466</v>
      </c>
      <c r="ANL88">
        <v>-10.4981520328342</v>
      </c>
      <c r="ANM88">
        <v>-39.4634659700028</v>
      </c>
      <c r="ANN88">
        <v>13.8570576298521</v>
      </c>
      <c r="ANO88">
        <v>9.503071666869269</v>
      </c>
      <c r="ANP88">
        <v>-4.61597989857295</v>
      </c>
      <c r="ANQ88">
        <v>-9.39203125283704</v>
      </c>
      <c r="ANR88">
        <v>-28.2966335990036</v>
      </c>
      <c r="ANS88">
        <v>12.9173919121764</v>
      </c>
      <c r="ANT88">
        <v>8.17702695995982</v>
      </c>
      <c r="ANU88">
        <v>-3.60542119192301</v>
      </c>
      <c r="ANV88">
        <v>-5.63105735211083</v>
      </c>
      <c r="ANW88">
        <v>-13.1249637197607</v>
      </c>
      <c r="ANX88">
        <v>49.6229045304371</v>
      </c>
      <c r="ANY88">
        <v>51.5238643635834</v>
      </c>
      <c r="ANZ88">
        <v>51.3468921958347</v>
      </c>
      <c r="AOA88">
        <v>49.3578178578971</v>
      </c>
      <c r="AOB88">
        <v>49.9646705699035</v>
      </c>
      <c r="AOC88">
        <v>56.4991790088262</v>
      </c>
      <c r="AOD88">
        <v>56.4202141195953</v>
      </c>
      <c r="AOE88">
        <v>48.9767298802353</v>
      </c>
      <c r="AOF88">
        <v>44.7221160646258</v>
      </c>
      <c r="AOG88">
        <v>35.8263508097887</v>
      </c>
      <c r="AOH88">
        <v>43.9855466964121</v>
      </c>
      <c r="AOI88">
        <v>40.5000339047181</v>
      </c>
      <c r="AOJ88">
        <v>32.0376444942774</v>
      </c>
      <c r="AOK88">
        <v>23.3171872724046</v>
      </c>
      <c r="AOL88">
        <v>14.9945259973696</v>
      </c>
      <c r="AOM88">
        <v>24.1589437458247</v>
      </c>
      <c r="AON88">
        <v>17.9023362832457</v>
      </c>
      <c r="AOO88">
        <v>-9.946669770744551</v>
      </c>
      <c r="AOP88">
        <v>-20.4682505111529</v>
      </c>
      <c r="AOQ88">
        <v>-78.8712024473358</v>
      </c>
      <c r="AOR88">
        <v>32.4961732243572</v>
      </c>
      <c r="AOS88">
        <v>20.2550095510425</v>
      </c>
      <c r="AOT88">
        <v>-8.613074273766641</v>
      </c>
      <c r="AOU88">
        <v>-17.3559627169096</v>
      </c>
      <c r="AOV88">
        <v>-44.1286909208856</v>
      </c>
      <c r="AOW88">
        <v>10.7879488896204</v>
      </c>
      <c r="AOX88">
        <v>6.82157504562715</v>
      </c>
      <c r="AOY88">
        <v>-3.01949769502455</v>
      </c>
      <c r="AOZ88">
        <v>-4.89681103806039</v>
      </c>
      <c r="APA88">
        <v>-11.8430875193232</v>
      </c>
      <c r="APB88">
        <v>7.69260157349193</v>
      </c>
      <c r="APC88">
        <v>5.02203295795413</v>
      </c>
      <c r="APD88">
        <v>-5.07589587349019</v>
      </c>
      <c r="APE88">
        <v>-9.49010526042154</v>
      </c>
      <c r="APF88">
        <v>-32.4951052976691</v>
      </c>
      <c r="APG88">
        <v>7.69262895278339</v>
      </c>
      <c r="APH88">
        <v>5.02203295795413</v>
      </c>
      <c r="API88">
        <v>-5.07589587349019</v>
      </c>
      <c r="APJ88">
        <v>-9.61149075997246</v>
      </c>
      <c r="APK88">
        <v>-32.4951052976691</v>
      </c>
      <c r="APL88">
        <v>15.2700379047055</v>
      </c>
      <c r="APM88">
        <v>10.3598046585657</v>
      </c>
      <c r="APN88">
        <v>-10.4328296846345</v>
      </c>
      <c r="APO88">
        <v>-18.7395267324621</v>
      </c>
      <c r="APP88">
        <v>-64.94432167788069</v>
      </c>
      <c r="APQ88">
        <v>20.5397140750232</v>
      </c>
      <c r="APR88">
        <v>11.7212602302955</v>
      </c>
      <c r="APS88">
        <v>-9.034052505051481</v>
      </c>
      <c r="APT88">
        <v>-15.8900990157377</v>
      </c>
      <c r="APU88">
        <v>-36.3365564294953</v>
      </c>
      <c r="APV88">
        <v>8.75856980676561</v>
      </c>
      <c r="APW88">
        <v>5.4992803490823</v>
      </c>
      <c r="APX88">
        <v>-4.84159354029739</v>
      </c>
      <c r="APY88">
        <v>-8.59879160843562</v>
      </c>
      <c r="APZ88">
        <v>-23.3000844139773</v>
      </c>
      <c r="AQA88">
        <v>6.81869166929117</v>
      </c>
      <c r="AQB88">
        <v>3.94753979694718</v>
      </c>
      <c r="AQC88">
        <v>-3.16708063215209</v>
      </c>
      <c r="AQD88">
        <v>-4.48323227730418</v>
      </c>
      <c r="AQE88">
        <v>-9.751864579822939</v>
      </c>
      <c r="AQF88">
        <v>0.324961732243571</v>
      </c>
      <c r="AQG88">
        <v>0.202550095126629</v>
      </c>
      <c r="AQH88">
        <v>-0.0861307425877242</v>
      </c>
      <c r="AQI88">
        <v>-0.173559627169096</v>
      </c>
      <c r="AQJ88">
        <v>-0.441286909208856</v>
      </c>
      <c r="AQK88">
        <v>9</v>
      </c>
      <c r="AQO88" t="s">
        <v>1902</v>
      </c>
      <c r="AQP88">
        <v>5</v>
      </c>
      <c r="AQQ88">
        <v>0</v>
      </c>
      <c r="AQS88" t="s">
        <v>1905</v>
      </c>
      <c r="AQU88" t="s">
        <v>1906</v>
      </c>
      <c r="AQV88">
        <v>1427364.83645696</v>
      </c>
      <c r="AQW88">
        <v>1361097.10149365</v>
      </c>
      <c r="AQX88">
        <v>1090449.28210952</v>
      </c>
      <c r="AQY88">
        <v>173718.495887274</v>
      </c>
      <c r="AQZ88">
        <v>118120.917561216</v>
      </c>
      <c r="ARA88">
        <v>-52770.8096311986</v>
      </c>
      <c r="ARB88">
        <v>3878911.22006013</v>
      </c>
      <c r="ARC88">
        <v>239068.6038172914</v>
      </c>
      <c r="ARD88">
        <v>0.06568102773192586</v>
      </c>
      <c r="ARE88">
        <v>0.06568102773192586</v>
      </c>
      <c r="ARF88">
        <v>0.06568102773192586</v>
      </c>
      <c r="ARG88">
        <v>0.06568102773192586</v>
      </c>
      <c r="ARH88">
        <v>0.06568102773192586</v>
      </c>
      <c r="ARI88">
        <v>0.06568102773192586</v>
      </c>
      <c r="ARJ88" t="s">
        <v>1249</v>
      </c>
      <c r="ARK88" t="s">
        <v>1587</v>
      </c>
      <c r="ARL88" t="s">
        <v>1908</v>
      </c>
      <c r="ARM88" t="s">
        <v>1908</v>
      </c>
      <c r="ARN88" t="s">
        <v>1909</v>
      </c>
      <c r="ARO88" t="s">
        <v>1908</v>
      </c>
      <c r="ARP88" t="s">
        <v>1907</v>
      </c>
      <c r="ARQ88" t="s">
        <v>1981</v>
      </c>
      <c r="ARR88">
        <f>HYPERLINK("C:\Users\Usuario\Documents\Proyectos\llmthon\evidence\wesmartpark_com_235434.png", "Ver Evidencia")</f>
        <v>0</v>
      </c>
      <c r="ARS88">
        <v>100</v>
      </c>
    </row>
    <row r="89" spans="1:1163">
      <c r="A89">
        <v>664</v>
      </c>
      <c r="B89" t="s">
        <v>1250</v>
      </c>
      <c r="C89" t="s">
        <v>1373</v>
      </c>
      <c r="E89" s="2">
        <v>43643</v>
      </c>
      <c r="F89" t="s">
        <v>1431</v>
      </c>
      <c r="G89" t="s">
        <v>1433</v>
      </c>
      <c r="H89" t="s">
        <v>1434</v>
      </c>
      <c r="I89" t="s">
        <v>1435</v>
      </c>
      <c r="J89" t="s">
        <v>1451</v>
      </c>
      <c r="L89" t="s">
        <v>1588</v>
      </c>
      <c r="N89" t="s">
        <v>1624</v>
      </c>
      <c r="O89" t="s">
        <v>1648</v>
      </c>
      <c r="P89">
        <v>6209</v>
      </c>
      <c r="Q89">
        <v>6209</v>
      </c>
      <c r="R89" t="s">
        <v>1758</v>
      </c>
      <c r="S89" t="s">
        <v>1830</v>
      </c>
      <c r="Z89" t="s">
        <v>1899</v>
      </c>
      <c r="AA89" s="2">
        <v>45657</v>
      </c>
      <c r="AB89">
        <v>2024</v>
      </c>
      <c r="AC89">
        <v>612794.4994187379</v>
      </c>
      <c r="AD89">
        <v>398044.427837448</v>
      </c>
      <c r="AE89">
        <v>139269.244304287</v>
      </c>
      <c r="AF89">
        <v>46818.276257658</v>
      </c>
      <c r="AG89">
        <v>12561.3615015328</v>
      </c>
      <c r="AH89">
        <v>612794.4994187379</v>
      </c>
      <c r="AI89">
        <v>395423.156711054</v>
      </c>
      <c r="AJ89">
        <v>139269.244304287</v>
      </c>
      <c r="AK89">
        <v>46818.276257658</v>
      </c>
      <c r="AL89">
        <v>12561.3615015328</v>
      </c>
      <c r="AM89" t="s">
        <v>1900</v>
      </c>
      <c r="AN89" t="s">
        <v>1900</v>
      </c>
      <c r="AO89">
        <v>494.998156505823</v>
      </c>
      <c r="AP89">
        <v>1160.71031449556</v>
      </c>
      <c r="AQ89">
        <v>6478.43393836617</v>
      </c>
      <c r="AR89">
        <v>612794.4994187379</v>
      </c>
      <c r="AS89">
        <v>398044.427837448</v>
      </c>
      <c r="AT89">
        <v>138774.246147782</v>
      </c>
      <c r="AU89">
        <v>45657.5659431624</v>
      </c>
      <c r="AV89">
        <v>6082.92633606732</v>
      </c>
      <c r="AW89">
        <v>1193413.85410695</v>
      </c>
      <c r="AX89">
        <v>1468477.31478457</v>
      </c>
      <c r="AY89">
        <v>883981.219570416</v>
      </c>
      <c r="AZ89">
        <v>231549.247439582</v>
      </c>
      <c r="BA89">
        <v>4459.62121483624</v>
      </c>
      <c r="BB89">
        <v>-580619.354688216</v>
      </c>
      <c r="BC89">
        <v>-1070432.88694713</v>
      </c>
      <c r="BD89">
        <v>-745206.973422635</v>
      </c>
      <c r="BE89">
        <v>-185891.683761621</v>
      </c>
      <c r="BF89">
        <v>1623.30512123108</v>
      </c>
      <c r="BG89">
        <v>-26270.0802571212</v>
      </c>
      <c r="BH89">
        <v>-27165.7410416508</v>
      </c>
      <c r="BI89">
        <v>-11151.7562875211</v>
      </c>
      <c r="BJ89">
        <v>-1623.03889260292</v>
      </c>
      <c r="BK89">
        <v>-243.321520084143</v>
      </c>
      <c r="BL89" t="s">
        <v>1900</v>
      </c>
      <c r="BM89">
        <v>56.2997752666473</v>
      </c>
      <c r="BN89" t="s">
        <v>1900</v>
      </c>
      <c r="BO89" t="s">
        <v>1900</v>
      </c>
      <c r="BP89">
        <v>1.07984738349915</v>
      </c>
      <c r="BQ89">
        <v>26270.0802571212</v>
      </c>
      <c r="BR89">
        <v>27222.0408169174</v>
      </c>
      <c r="BS89">
        <v>11151.7562875211</v>
      </c>
      <c r="BT89">
        <v>1623.03889260292</v>
      </c>
      <c r="BU89">
        <v>244.401367467642</v>
      </c>
      <c r="BV89">
        <v>-606889.435984237</v>
      </c>
      <c r="BW89">
        <v>-1097598.62798878</v>
      </c>
      <c r="BX89">
        <v>-756358.729710156</v>
      </c>
      <c r="BY89">
        <v>-187514.722654223</v>
      </c>
      <c r="BZ89">
        <v>1379.98360114694</v>
      </c>
      <c r="CA89">
        <v>-139553.027416294</v>
      </c>
      <c r="CB89">
        <v>-252432.987488823</v>
      </c>
      <c r="CC89">
        <v>-189089.67976104</v>
      </c>
      <c r="CD89">
        <v>-46867.6689570665</v>
      </c>
      <c r="CE89">
        <v>344.998968034983</v>
      </c>
      <c r="CF89">
        <v>-467336.408567944</v>
      </c>
      <c r="CG89">
        <v>-845165.640499954</v>
      </c>
      <c r="CH89">
        <v>-567269.049949115</v>
      </c>
      <c r="CI89">
        <v>-140647.053697157</v>
      </c>
      <c r="CJ89">
        <v>1034.98340601265</v>
      </c>
      <c r="CK89" t="s">
        <v>1900</v>
      </c>
      <c r="CL89" t="s">
        <v>1900</v>
      </c>
      <c r="CM89" t="s">
        <v>1900</v>
      </c>
      <c r="CN89" t="s">
        <v>1900</v>
      </c>
      <c r="CO89" t="s">
        <v>1900</v>
      </c>
      <c r="CP89" t="s">
        <v>1900</v>
      </c>
      <c r="CQ89" t="s">
        <v>1900</v>
      </c>
      <c r="CR89" t="s">
        <v>1900</v>
      </c>
      <c r="CS89" t="s">
        <v>1900</v>
      </c>
      <c r="CT89" t="s">
        <v>1900</v>
      </c>
      <c r="CU89" t="s">
        <v>1900</v>
      </c>
      <c r="CV89" t="s">
        <v>1900</v>
      </c>
      <c r="CW89" t="s">
        <v>1900</v>
      </c>
      <c r="CX89" t="s">
        <v>1900</v>
      </c>
      <c r="CY89" t="s">
        <v>1900</v>
      </c>
      <c r="CZ89">
        <v>-467336.408567944</v>
      </c>
      <c r="DA89">
        <v>-845165.640499954</v>
      </c>
      <c r="DB89">
        <v>-567269.049949115</v>
      </c>
      <c r="DC89">
        <v>-140647.053697157</v>
      </c>
      <c r="DD89">
        <v>1034.98340601265</v>
      </c>
      <c r="DE89" t="s">
        <v>1900</v>
      </c>
      <c r="DF89" t="s">
        <v>1900</v>
      </c>
      <c r="DG89" t="s">
        <v>1900</v>
      </c>
      <c r="DH89" t="s">
        <v>1900</v>
      </c>
      <c r="DI89" t="s">
        <v>1900</v>
      </c>
      <c r="DJ89" t="s">
        <v>1900</v>
      </c>
      <c r="DK89" t="s">
        <v>1900</v>
      </c>
      <c r="DL89">
        <v>494.998156505823</v>
      </c>
      <c r="DM89">
        <v>1160.71031449556</v>
      </c>
      <c r="DN89">
        <v>6478.43393836617</v>
      </c>
      <c r="DO89">
        <v>750903.061691353</v>
      </c>
      <c r="DP89">
        <v>1100008.87717047</v>
      </c>
      <c r="DQ89">
        <v>550482.800542957</v>
      </c>
      <c r="DR89">
        <v>169045.058334303</v>
      </c>
      <c r="DS89">
        <v>6577.90260757804</v>
      </c>
      <c r="DT89">
        <v>311286.030445974</v>
      </c>
      <c r="DU89">
        <v>176129.454544735</v>
      </c>
      <c r="DV89">
        <v>57865.1661029875</v>
      </c>
      <c r="DW89">
        <v>2925.15548808575</v>
      </c>
      <c r="DX89" t="s">
        <v>1900</v>
      </c>
      <c r="DY89">
        <v>131224.761969627</v>
      </c>
      <c r="DZ89">
        <v>192338.983069372</v>
      </c>
      <c r="EA89">
        <v>275633.252924472</v>
      </c>
      <c r="EB89">
        <v>59579.0336171937</v>
      </c>
      <c r="EC89">
        <v>-2118.2801656425</v>
      </c>
      <c r="ED89">
        <v>26111.4725031114</v>
      </c>
      <c r="EE89">
        <v>27222.0408169174</v>
      </c>
      <c r="EF89">
        <v>11138.69044379</v>
      </c>
      <c r="EG89">
        <v>1585.58380043507</v>
      </c>
      <c r="EH89">
        <v>244.401367467642</v>
      </c>
      <c r="EI89" t="s">
        <v>1900</v>
      </c>
      <c r="EJ89" t="s">
        <v>1900</v>
      </c>
      <c r="EK89" t="s">
        <v>1900</v>
      </c>
      <c r="EL89" t="s">
        <v>1900</v>
      </c>
      <c r="EM89" t="s">
        <v>1900</v>
      </c>
      <c r="EN89">
        <v>-156050.37812197</v>
      </c>
      <c r="EO89">
        <v>-669036.185955219</v>
      </c>
      <c r="EP89">
        <v>-509403.883846128</v>
      </c>
      <c r="EQ89">
        <v>-137721.898209071</v>
      </c>
      <c r="ER89" t="s">
        <v>1900</v>
      </c>
      <c r="ES89">
        <v>481411.127617302</v>
      </c>
      <c r="ET89">
        <v>205761.743438342</v>
      </c>
      <c r="EU89">
        <v>-136872.071553822</v>
      </c>
      <c r="EV89">
        <v>-13958.9238987994</v>
      </c>
      <c r="EW89">
        <v>8202.287576192621</v>
      </c>
      <c r="EX89">
        <v>-269333.323203343</v>
      </c>
      <c r="EY89">
        <v>-894303.432402391</v>
      </c>
      <c r="EZ89">
        <v>-687341.8073196471</v>
      </c>
      <c r="FA89">
        <v>-182966.528273535</v>
      </c>
      <c r="FB89">
        <v>1623.30512123108</v>
      </c>
      <c r="FC89">
        <v>1364279.41757596</v>
      </c>
      <c r="FD89">
        <v>1255683.63438539</v>
      </c>
      <c r="FE89">
        <v>682949.0279932501</v>
      </c>
      <c r="FF89">
        <v>225372.329645348</v>
      </c>
      <c r="FG89">
        <v>6156.41854020953</v>
      </c>
      <c r="FH89">
        <v>741258.344302439</v>
      </c>
      <c r="FI89">
        <v>746625.0002261261</v>
      </c>
      <c r="FJ89">
        <v>430252.367770076</v>
      </c>
      <c r="FK89">
        <v>165693.954522586</v>
      </c>
      <c r="FL89">
        <v>6135.49649715424</v>
      </c>
      <c r="FM89">
        <v>6121.04026005864</v>
      </c>
      <c r="FN89">
        <v>12117.2365380669</v>
      </c>
      <c r="FO89">
        <v>13998.478323698</v>
      </c>
      <c r="FP89">
        <v>9183.54235503674</v>
      </c>
      <c r="FQ89">
        <v>0</v>
      </c>
      <c r="FR89">
        <v>616900.033013467</v>
      </c>
      <c r="FS89">
        <v>496941.396516192</v>
      </c>
      <c r="FT89">
        <v>238698.181899476</v>
      </c>
      <c r="FU89">
        <v>50494.832767725</v>
      </c>
      <c r="FV89">
        <v>20.9220430552959</v>
      </c>
      <c r="FW89">
        <v>741258.344302439</v>
      </c>
      <c r="FX89">
        <v>746625.0002261261</v>
      </c>
      <c r="FY89">
        <v>430252.367770076</v>
      </c>
      <c r="FZ89">
        <v>165693.954522586</v>
      </c>
      <c r="GA89">
        <v>6135.49649715424</v>
      </c>
      <c r="GB89">
        <v>6121.04026005864</v>
      </c>
      <c r="GC89">
        <v>12117.2365380669</v>
      </c>
      <c r="GD89">
        <v>13998.478323698</v>
      </c>
      <c r="GE89">
        <v>9183.54235503674</v>
      </c>
      <c r="GF89">
        <v>0</v>
      </c>
      <c r="GG89">
        <v>616900.033013467</v>
      </c>
      <c r="GH89">
        <v>496941.396516192</v>
      </c>
      <c r="GI89">
        <v>238698.181899476</v>
      </c>
      <c r="GJ89">
        <v>50494.832767725</v>
      </c>
      <c r="GK89">
        <v>20.9220430552959</v>
      </c>
      <c r="GL89">
        <v>436527.738792565</v>
      </c>
      <c r="GM89">
        <v>767207.192513161</v>
      </c>
      <c r="GN89">
        <v>1943721.07587395</v>
      </c>
      <c r="GO89">
        <v>339478.107019401</v>
      </c>
      <c r="GP89">
        <v>2511.36915522218</v>
      </c>
      <c r="GQ89">
        <v>0</v>
      </c>
      <c r="GR89">
        <v>0</v>
      </c>
      <c r="GS89">
        <v>0</v>
      </c>
      <c r="GT89">
        <v>0</v>
      </c>
      <c r="GU89">
        <v>0</v>
      </c>
      <c r="GV89">
        <v>72878.6157923007</v>
      </c>
      <c r="GW89">
        <v>84691.238108387</v>
      </c>
      <c r="GX89">
        <v>56071.5830695272</v>
      </c>
      <c r="GY89">
        <v>32508.1318709135</v>
      </c>
      <c r="GZ89">
        <v>2215.9449988842</v>
      </c>
      <c r="HA89">
        <v>363649.123000264</v>
      </c>
      <c r="HB89">
        <v>682515.954404774</v>
      </c>
      <c r="HC89">
        <v>1887649.49173782</v>
      </c>
      <c r="HD89">
        <v>306969.975148487</v>
      </c>
      <c r="HE89">
        <v>295.424156337976</v>
      </c>
      <c r="HF89">
        <v>363649.123000264</v>
      </c>
      <c r="HG89">
        <v>680976.489813881</v>
      </c>
      <c r="HH89">
        <v>1886163.52772937</v>
      </c>
      <c r="HI89">
        <v>306969.975148487</v>
      </c>
      <c r="HJ89">
        <v>144.380503571033</v>
      </c>
      <c r="HK89">
        <v>1800807.15636853</v>
      </c>
      <c r="HL89">
        <v>2022890.82689855</v>
      </c>
      <c r="HM89">
        <v>2626670.1038672</v>
      </c>
      <c r="HN89">
        <v>564850.436664748</v>
      </c>
      <c r="HO89">
        <v>8667.787695431711</v>
      </c>
      <c r="HP89">
        <v>993266.616185774</v>
      </c>
      <c r="HQ89">
        <v>1553535.25835753</v>
      </c>
      <c r="HR89">
        <v>2315341.17918908</v>
      </c>
      <c r="HS89">
        <v>259085.933327508</v>
      </c>
      <c r="HT89">
        <v>3618.51949813366</v>
      </c>
      <c r="HU89">
        <v>5118.59570404768</v>
      </c>
      <c r="HV89">
        <v>5444.27114332199</v>
      </c>
      <c r="HW89">
        <v>5255.07168267965</v>
      </c>
      <c r="HX89">
        <v>4073.38567979336</v>
      </c>
      <c r="HY89">
        <v>3681.29789829254</v>
      </c>
      <c r="HZ89">
        <v>988148.020481726</v>
      </c>
      <c r="IA89">
        <v>1548090.98721421</v>
      </c>
      <c r="IB89">
        <v>2310086.1075064</v>
      </c>
      <c r="IC89">
        <v>255012.547647715</v>
      </c>
      <c r="ID89">
        <v>-62.7771730595827</v>
      </c>
      <c r="IE89">
        <v>554512.629956007</v>
      </c>
      <c r="IF89">
        <v>331500.148773193</v>
      </c>
      <c r="IG89">
        <v>207986.900210381</v>
      </c>
      <c r="IH89">
        <v>277487.075328827</v>
      </c>
      <c r="II89">
        <v>0</v>
      </c>
      <c r="IJ89">
        <v>554512.629956007</v>
      </c>
      <c r="IK89">
        <v>331500.148773193</v>
      </c>
      <c r="IL89">
        <v>207986.900210381</v>
      </c>
      <c r="IM89">
        <v>277487.075328827</v>
      </c>
      <c r="IN89" t="s">
        <v>1900</v>
      </c>
      <c r="IO89">
        <v>0</v>
      </c>
      <c r="IP89">
        <v>0</v>
      </c>
      <c r="IQ89">
        <v>0</v>
      </c>
      <c r="IR89">
        <v>0</v>
      </c>
      <c r="IS89" t="s">
        <v>1900</v>
      </c>
      <c r="IT89">
        <v>0</v>
      </c>
      <c r="IU89">
        <v>0</v>
      </c>
      <c r="IV89">
        <v>0</v>
      </c>
      <c r="IW89">
        <v>0</v>
      </c>
      <c r="IX89" t="s">
        <v>1900</v>
      </c>
      <c r="IY89">
        <v>253027.910226748</v>
      </c>
      <c r="IZ89">
        <v>137855.419767818</v>
      </c>
      <c r="JA89">
        <v>103342.024467736</v>
      </c>
      <c r="JB89">
        <v>28277.4280084133</v>
      </c>
      <c r="JC89">
        <v>5049.26819729805</v>
      </c>
      <c r="JD89">
        <v>77917.46556758881</v>
      </c>
      <c r="JE89">
        <v>0</v>
      </c>
      <c r="JF89">
        <v>0</v>
      </c>
      <c r="JG89">
        <v>0</v>
      </c>
      <c r="JH89">
        <v>0</v>
      </c>
      <c r="JI89">
        <v>0</v>
      </c>
      <c r="JJ89">
        <v>168.810925760269</v>
      </c>
      <c r="JK89">
        <v>16781.1723925948</v>
      </c>
      <c r="JL89">
        <v>0</v>
      </c>
      <c r="JM89">
        <v>0</v>
      </c>
      <c r="JN89">
        <v>175110.444659159</v>
      </c>
      <c r="JO89">
        <v>137686.608842058</v>
      </c>
      <c r="JP89">
        <v>86560.85207514169</v>
      </c>
      <c r="JQ89">
        <v>28277.4280084133</v>
      </c>
      <c r="JR89">
        <v>5049.26819729805</v>
      </c>
      <c r="JS89">
        <v>1800807.15636853</v>
      </c>
      <c r="JT89">
        <v>2022890.82689855</v>
      </c>
      <c r="JU89">
        <v>2626670.1038672</v>
      </c>
      <c r="JV89">
        <v>564850.436664748</v>
      </c>
      <c r="JW89">
        <v>8667.787695431711</v>
      </c>
      <c r="JX89">
        <v>72878.6157923007</v>
      </c>
      <c r="JY89">
        <v>84522.42607762619</v>
      </c>
      <c r="JZ89">
        <v>39290.4106769323</v>
      </c>
      <c r="KA89">
        <v>32508.1318709135</v>
      </c>
      <c r="KB89">
        <v>2215.9449988842</v>
      </c>
      <c r="KC89" t="s">
        <v>1900</v>
      </c>
      <c r="KD89" t="s">
        <v>1900</v>
      </c>
      <c r="KE89" t="s">
        <v>1900</v>
      </c>
      <c r="KF89" t="s">
        <v>1900</v>
      </c>
      <c r="KG89" t="s">
        <v>1900</v>
      </c>
      <c r="KH89" t="s">
        <v>1900</v>
      </c>
      <c r="KI89" t="s">
        <v>1900</v>
      </c>
      <c r="KJ89" t="s">
        <v>1900</v>
      </c>
      <c r="KK89" t="s">
        <v>1900</v>
      </c>
      <c r="KL89" t="s">
        <v>1900</v>
      </c>
      <c r="KM89">
        <v>17</v>
      </c>
      <c r="KN89">
        <v>27</v>
      </c>
      <c r="KO89">
        <v>17</v>
      </c>
      <c r="KP89">
        <v>6</v>
      </c>
      <c r="KQ89" t="s">
        <v>1900</v>
      </c>
      <c r="KR89" t="s">
        <v>1900</v>
      </c>
      <c r="KS89" t="s">
        <v>1900</v>
      </c>
      <c r="KT89" t="s">
        <v>1900</v>
      </c>
      <c r="KU89" t="s">
        <v>1900</v>
      </c>
      <c r="KV89" t="s">
        <v>1900</v>
      </c>
      <c r="KW89" t="s">
        <v>1900</v>
      </c>
      <c r="KX89" t="s">
        <v>1900</v>
      </c>
      <c r="KY89" t="s">
        <v>1900</v>
      </c>
      <c r="KZ89" t="s">
        <v>1900</v>
      </c>
      <c r="LA89" t="s">
        <v>1900</v>
      </c>
      <c r="LB89" t="s">
        <v>1900</v>
      </c>
      <c r="LC89" t="s">
        <v>1900</v>
      </c>
      <c r="LD89" t="s">
        <v>1900</v>
      </c>
      <c r="LE89" t="s">
        <v>1900</v>
      </c>
      <c r="LF89" t="s">
        <v>1900</v>
      </c>
      <c r="LG89" t="s">
        <v>1900</v>
      </c>
      <c r="LH89" t="s">
        <v>1900</v>
      </c>
      <c r="LI89" t="s">
        <v>1900</v>
      </c>
      <c r="LJ89" t="s">
        <v>1900</v>
      </c>
      <c r="LK89" t="s">
        <v>1900</v>
      </c>
      <c r="LL89" t="s">
        <v>1900</v>
      </c>
      <c r="LM89" t="s">
        <v>1900</v>
      </c>
      <c r="LN89" t="s">
        <v>1900</v>
      </c>
      <c r="LO89" t="s">
        <v>1900</v>
      </c>
      <c r="LP89" t="s">
        <v>1900</v>
      </c>
      <c r="LQ89" t="s">
        <v>1900</v>
      </c>
      <c r="LR89" t="s">
        <v>1900</v>
      </c>
      <c r="LS89" t="s">
        <v>1900</v>
      </c>
      <c r="LT89" t="s">
        <v>1900</v>
      </c>
      <c r="LU89" t="s">
        <v>1900</v>
      </c>
      <c r="LV89" t="s">
        <v>1900</v>
      </c>
      <c r="LW89" t="s">
        <v>1900</v>
      </c>
      <c r="LX89" t="s">
        <v>1900</v>
      </c>
      <c r="LY89" t="s">
        <v>1900</v>
      </c>
      <c r="LZ89" t="s">
        <v>1900</v>
      </c>
      <c r="MA89" t="s">
        <v>1900</v>
      </c>
      <c r="MB89" t="s">
        <v>1900</v>
      </c>
      <c r="MC89" t="s">
        <v>1900</v>
      </c>
      <c r="MD89" t="s">
        <v>1900</v>
      </c>
      <c r="ME89" t="s">
        <v>1900</v>
      </c>
      <c r="MF89" t="s">
        <v>1900</v>
      </c>
      <c r="MG89" t="s">
        <v>1900</v>
      </c>
      <c r="MH89" t="s">
        <v>1900</v>
      </c>
      <c r="MI89" t="s">
        <v>1900</v>
      </c>
      <c r="MJ89" t="s">
        <v>1900</v>
      </c>
      <c r="MK89" t="s">
        <v>1900</v>
      </c>
      <c r="ML89" t="s">
        <v>1900</v>
      </c>
      <c r="MM89" t="s">
        <v>1900</v>
      </c>
      <c r="MN89" t="s">
        <v>1900</v>
      </c>
      <c r="MO89" t="s">
        <v>1900</v>
      </c>
      <c r="MP89">
        <v>363649.123000264</v>
      </c>
      <c r="MQ89">
        <v>682515.954404774</v>
      </c>
      <c r="MR89">
        <v>1887649.49173782</v>
      </c>
      <c r="MS89">
        <v>306969.975148487</v>
      </c>
      <c r="MT89">
        <v>295.424156337976</v>
      </c>
      <c r="MU89" t="s">
        <v>1900</v>
      </c>
      <c r="MV89" t="s">
        <v>1900</v>
      </c>
      <c r="MW89" t="s">
        <v>1900</v>
      </c>
      <c r="MX89" t="s">
        <v>1900</v>
      </c>
      <c r="MY89" t="s">
        <v>1900</v>
      </c>
      <c r="MZ89" t="s">
        <v>1900</v>
      </c>
      <c r="NA89" t="s">
        <v>1900</v>
      </c>
      <c r="NB89" t="s">
        <v>1900</v>
      </c>
      <c r="NC89" t="s">
        <v>1900</v>
      </c>
      <c r="ND89" t="s">
        <v>1900</v>
      </c>
      <c r="NE89" t="s">
        <v>1900</v>
      </c>
      <c r="NF89" t="s">
        <v>1900</v>
      </c>
      <c r="NG89" t="s">
        <v>1900</v>
      </c>
      <c r="NH89" t="s">
        <v>1900</v>
      </c>
      <c r="NI89" t="s">
        <v>1900</v>
      </c>
      <c r="NJ89" t="s">
        <v>1900</v>
      </c>
      <c r="NK89" t="s">
        <v>1900</v>
      </c>
      <c r="NL89" t="s">
        <v>1900</v>
      </c>
      <c r="NM89" t="s">
        <v>1900</v>
      </c>
      <c r="NN89" t="s">
        <v>1900</v>
      </c>
      <c r="NO89" t="s">
        <v>1900</v>
      </c>
      <c r="NP89" t="s">
        <v>1900</v>
      </c>
      <c r="NQ89" t="s">
        <v>1900</v>
      </c>
      <c r="NR89" t="s">
        <v>1900</v>
      </c>
      <c r="NS89" t="s">
        <v>1900</v>
      </c>
      <c r="NT89">
        <v>1364279.41757596</v>
      </c>
      <c r="NU89">
        <v>1255683.63438539</v>
      </c>
      <c r="NV89">
        <v>682949.0279932501</v>
      </c>
      <c r="NW89">
        <v>225372.329645348</v>
      </c>
      <c r="NX89">
        <v>6156.41854020953</v>
      </c>
      <c r="NY89" t="s">
        <v>1900</v>
      </c>
      <c r="NZ89" t="s">
        <v>1900</v>
      </c>
      <c r="OA89" t="s">
        <v>1900</v>
      </c>
      <c r="OB89" t="s">
        <v>1900</v>
      </c>
      <c r="OC89" t="s">
        <v>1900</v>
      </c>
      <c r="OD89" t="s">
        <v>1900</v>
      </c>
      <c r="OE89" t="s">
        <v>1900</v>
      </c>
      <c r="OF89" t="s">
        <v>1900</v>
      </c>
      <c r="OG89" t="s">
        <v>1900</v>
      </c>
      <c r="OH89" t="s">
        <v>1900</v>
      </c>
      <c r="OI89" t="s">
        <v>1900</v>
      </c>
      <c r="OJ89" t="s">
        <v>1900</v>
      </c>
      <c r="OK89" t="s">
        <v>1900</v>
      </c>
      <c r="OL89" t="s">
        <v>1900</v>
      </c>
      <c r="OM89" t="s">
        <v>1900</v>
      </c>
      <c r="ON89" t="s">
        <v>1900</v>
      </c>
      <c r="OO89" t="s">
        <v>1900</v>
      </c>
      <c r="OP89" t="s">
        <v>1900</v>
      </c>
      <c r="OQ89" t="s">
        <v>1900</v>
      </c>
      <c r="OR89" t="s">
        <v>1900</v>
      </c>
      <c r="OS89" t="s">
        <v>1900</v>
      </c>
      <c r="OT89" t="s">
        <v>1900</v>
      </c>
      <c r="OU89" t="s">
        <v>1900</v>
      </c>
      <c r="OV89" t="s">
        <v>1900</v>
      </c>
      <c r="OW89" t="s">
        <v>1900</v>
      </c>
      <c r="OX89" t="s">
        <v>1900</v>
      </c>
      <c r="OY89" t="s">
        <v>1900</v>
      </c>
      <c r="OZ89" t="s">
        <v>1900</v>
      </c>
      <c r="PA89" t="s">
        <v>1900</v>
      </c>
      <c r="PB89" t="s">
        <v>1900</v>
      </c>
      <c r="PC89" t="s">
        <v>1900</v>
      </c>
      <c r="PD89" t="s">
        <v>1900</v>
      </c>
      <c r="PE89" t="s">
        <v>1900</v>
      </c>
      <c r="PF89" t="s">
        <v>1900</v>
      </c>
      <c r="PG89" t="s">
        <v>1900</v>
      </c>
      <c r="PH89" t="s">
        <v>1900</v>
      </c>
      <c r="PI89" t="s">
        <v>1900</v>
      </c>
      <c r="PJ89" t="s">
        <v>1900</v>
      </c>
      <c r="PK89" t="s">
        <v>1900</v>
      </c>
      <c r="PL89" t="s">
        <v>1900</v>
      </c>
      <c r="PM89" t="s">
        <v>1900</v>
      </c>
      <c r="PN89" t="s">
        <v>1900</v>
      </c>
      <c r="PO89" t="s">
        <v>1900</v>
      </c>
      <c r="PP89" t="s">
        <v>1900</v>
      </c>
      <c r="PQ89" t="s">
        <v>1900</v>
      </c>
      <c r="PR89" t="s">
        <v>1900</v>
      </c>
      <c r="PS89" t="s">
        <v>1900</v>
      </c>
      <c r="PT89" t="s">
        <v>1900</v>
      </c>
      <c r="PU89" t="s">
        <v>1900</v>
      </c>
      <c r="PV89" t="s">
        <v>1900</v>
      </c>
      <c r="PW89" t="s">
        <v>1900</v>
      </c>
      <c r="PX89" t="s">
        <v>1900</v>
      </c>
      <c r="PY89" t="s">
        <v>1900</v>
      </c>
      <c r="PZ89" t="s">
        <v>1900</v>
      </c>
      <c r="QA89" t="s">
        <v>1900</v>
      </c>
      <c r="QB89" t="s">
        <v>1900</v>
      </c>
      <c r="QC89" t="s">
        <v>1900</v>
      </c>
      <c r="QD89" t="s">
        <v>1900</v>
      </c>
      <c r="QE89" t="s">
        <v>1900</v>
      </c>
      <c r="QF89" t="s">
        <v>1900</v>
      </c>
      <c r="QG89" t="s">
        <v>1900</v>
      </c>
      <c r="QH89" t="s">
        <v>1900</v>
      </c>
      <c r="QI89" t="s">
        <v>1900</v>
      </c>
      <c r="QJ89" t="s">
        <v>1900</v>
      </c>
      <c r="QK89" t="s">
        <v>1900</v>
      </c>
      <c r="QL89" t="s">
        <v>1900</v>
      </c>
      <c r="QM89" t="s">
        <v>1900</v>
      </c>
      <c r="QN89" t="s">
        <v>1900</v>
      </c>
      <c r="QO89" t="s">
        <v>1900</v>
      </c>
      <c r="QP89" t="s">
        <v>1900</v>
      </c>
      <c r="QQ89" t="s">
        <v>1900</v>
      </c>
      <c r="QR89" t="s">
        <v>1900</v>
      </c>
      <c r="QS89" t="s">
        <v>1900</v>
      </c>
      <c r="QT89" t="s">
        <v>1900</v>
      </c>
      <c r="QU89" t="s">
        <v>1900</v>
      </c>
      <c r="QV89" t="s">
        <v>1900</v>
      </c>
      <c r="QW89" t="s">
        <v>1900</v>
      </c>
      <c r="QX89" t="s">
        <v>1900</v>
      </c>
      <c r="QY89" t="s">
        <v>1900</v>
      </c>
      <c r="QZ89" t="s">
        <v>1900</v>
      </c>
      <c r="RA89" t="s">
        <v>1900</v>
      </c>
      <c r="RB89" t="s">
        <v>1900</v>
      </c>
      <c r="RC89" t="s">
        <v>1900</v>
      </c>
      <c r="RD89" t="s">
        <v>1900</v>
      </c>
      <c r="RE89" t="s">
        <v>1900</v>
      </c>
      <c r="RF89" t="s">
        <v>1900</v>
      </c>
      <c r="RG89" t="s">
        <v>1900</v>
      </c>
      <c r="RH89" t="s">
        <v>1900</v>
      </c>
      <c r="RI89" t="s">
        <v>1900</v>
      </c>
      <c r="RJ89" t="s">
        <v>1900</v>
      </c>
      <c r="RK89" t="s">
        <v>1900</v>
      </c>
      <c r="RL89" t="s">
        <v>1900</v>
      </c>
      <c r="RM89" t="s">
        <v>1900</v>
      </c>
      <c r="RN89" t="s">
        <v>1900</v>
      </c>
      <c r="RO89" t="s">
        <v>1900</v>
      </c>
      <c r="RP89" t="s">
        <v>1900</v>
      </c>
      <c r="RQ89" t="s">
        <v>1900</v>
      </c>
      <c r="RR89" t="s">
        <v>1900</v>
      </c>
      <c r="RS89" t="s">
        <v>1900</v>
      </c>
      <c r="RT89" t="s">
        <v>1900</v>
      </c>
      <c r="RU89" t="s">
        <v>1900</v>
      </c>
      <c r="RV89" t="s">
        <v>1900</v>
      </c>
      <c r="RW89" t="s">
        <v>1900</v>
      </c>
      <c r="RX89" t="s">
        <v>1900</v>
      </c>
      <c r="RY89" t="s">
        <v>1900</v>
      </c>
      <c r="RZ89" t="s">
        <v>1900</v>
      </c>
      <c r="SA89" t="s">
        <v>1900</v>
      </c>
      <c r="SB89" t="s">
        <v>1900</v>
      </c>
      <c r="SC89" t="s">
        <v>1900</v>
      </c>
      <c r="SD89" t="s">
        <v>1900</v>
      </c>
      <c r="SE89" t="s">
        <v>1900</v>
      </c>
      <c r="SF89" t="s">
        <v>1900</v>
      </c>
      <c r="SG89" t="s">
        <v>1900</v>
      </c>
      <c r="SH89" t="s">
        <v>1900</v>
      </c>
      <c r="SI89" t="s">
        <v>1900</v>
      </c>
      <c r="SJ89">
        <v>616900.033013467</v>
      </c>
      <c r="SK89">
        <v>496941.396516192</v>
      </c>
      <c r="SL89">
        <v>238698.181899476</v>
      </c>
      <c r="SM89">
        <v>50494.832767725</v>
      </c>
      <c r="SN89">
        <v>20.9220430552959</v>
      </c>
      <c r="SO89" t="s">
        <v>1900</v>
      </c>
      <c r="SP89" t="s">
        <v>1900</v>
      </c>
      <c r="SQ89" t="s">
        <v>1900</v>
      </c>
      <c r="SR89" t="s">
        <v>1900</v>
      </c>
      <c r="SS89" t="s">
        <v>1900</v>
      </c>
      <c r="ST89" t="s">
        <v>1900</v>
      </c>
      <c r="SU89" t="s">
        <v>1900</v>
      </c>
      <c r="SV89" t="s">
        <v>1900</v>
      </c>
      <c r="SW89" t="s">
        <v>1900</v>
      </c>
      <c r="SX89" t="s">
        <v>1900</v>
      </c>
      <c r="SY89" t="s">
        <v>1900</v>
      </c>
      <c r="SZ89" t="s">
        <v>1900</v>
      </c>
      <c r="TA89" t="s">
        <v>1900</v>
      </c>
      <c r="TB89" t="s">
        <v>1900</v>
      </c>
      <c r="TC89" t="s">
        <v>1900</v>
      </c>
      <c r="TD89" t="s">
        <v>1900</v>
      </c>
      <c r="TE89" t="s">
        <v>1900</v>
      </c>
      <c r="TF89" t="s">
        <v>1900</v>
      </c>
      <c r="TG89" t="s">
        <v>1900</v>
      </c>
      <c r="TH89" t="s">
        <v>1900</v>
      </c>
      <c r="TI89" t="s">
        <v>1900</v>
      </c>
      <c r="TJ89" t="s">
        <v>1900</v>
      </c>
      <c r="TK89" t="s">
        <v>1900</v>
      </c>
      <c r="TL89" t="s">
        <v>1900</v>
      </c>
      <c r="TM89" t="s">
        <v>1900</v>
      </c>
      <c r="TN89" t="s">
        <v>1900</v>
      </c>
      <c r="TO89" t="s">
        <v>1900</v>
      </c>
      <c r="TP89" t="s">
        <v>1900</v>
      </c>
      <c r="TQ89" t="s">
        <v>1900</v>
      </c>
      <c r="TR89" t="s">
        <v>1900</v>
      </c>
      <c r="TS89">
        <v>1800807.15636853</v>
      </c>
      <c r="TT89">
        <v>2022890.82689855</v>
      </c>
      <c r="TU89">
        <v>2626670.1038672</v>
      </c>
      <c r="TV89">
        <v>564850.436664748</v>
      </c>
      <c r="TW89">
        <v>8667.787695431711</v>
      </c>
      <c r="TX89" t="s">
        <v>1900</v>
      </c>
      <c r="TY89" t="s">
        <v>1900</v>
      </c>
      <c r="TZ89" t="s">
        <v>1900</v>
      </c>
      <c r="UA89" t="s">
        <v>1900</v>
      </c>
      <c r="UB89" t="s">
        <v>1900</v>
      </c>
      <c r="UC89">
        <v>77917.46556758881</v>
      </c>
      <c r="UD89">
        <v>0</v>
      </c>
      <c r="UE89">
        <v>0</v>
      </c>
      <c r="UF89">
        <v>0</v>
      </c>
      <c r="UG89">
        <v>0</v>
      </c>
      <c r="UH89" t="s">
        <v>1900</v>
      </c>
      <c r="UI89" t="s">
        <v>1900</v>
      </c>
      <c r="UJ89" t="s">
        <v>1900</v>
      </c>
      <c r="UK89" t="s">
        <v>1900</v>
      </c>
      <c r="UL89" t="s">
        <v>1900</v>
      </c>
      <c r="UM89" t="s">
        <v>1900</v>
      </c>
      <c r="UN89" t="s">
        <v>1900</v>
      </c>
      <c r="UO89" t="s">
        <v>1900</v>
      </c>
      <c r="UP89" t="s">
        <v>1900</v>
      </c>
      <c r="UQ89" t="s">
        <v>1900</v>
      </c>
      <c r="UR89" t="s">
        <v>1900</v>
      </c>
      <c r="US89" t="s">
        <v>1900</v>
      </c>
      <c r="UT89" t="s">
        <v>1900</v>
      </c>
      <c r="UU89" t="s">
        <v>1900</v>
      </c>
      <c r="UV89" t="s">
        <v>1900</v>
      </c>
      <c r="UW89" t="s">
        <v>1900</v>
      </c>
      <c r="UX89" t="s">
        <v>1900</v>
      </c>
      <c r="UY89" t="s">
        <v>1900</v>
      </c>
      <c r="UZ89" t="s">
        <v>1900</v>
      </c>
      <c r="VA89" t="s">
        <v>1900</v>
      </c>
      <c r="VB89" t="s">
        <v>1900</v>
      </c>
      <c r="VC89" t="s">
        <v>1900</v>
      </c>
      <c r="VD89" t="s">
        <v>1900</v>
      </c>
      <c r="VE89" t="s">
        <v>1900</v>
      </c>
      <c r="VF89" t="s">
        <v>1900</v>
      </c>
      <c r="VG89" t="s">
        <v>1900</v>
      </c>
      <c r="VH89" t="s">
        <v>1900</v>
      </c>
      <c r="VI89" t="s">
        <v>1900</v>
      </c>
      <c r="VJ89" t="s">
        <v>1900</v>
      </c>
      <c r="VK89" t="s">
        <v>1900</v>
      </c>
      <c r="VL89" t="s">
        <v>1900</v>
      </c>
      <c r="VM89" t="s">
        <v>1900</v>
      </c>
      <c r="VN89" t="s">
        <v>1900</v>
      </c>
      <c r="VO89" t="s">
        <v>1900</v>
      </c>
      <c r="VP89" t="s">
        <v>1900</v>
      </c>
      <c r="VQ89" t="s">
        <v>1900</v>
      </c>
      <c r="VR89" t="s">
        <v>1900</v>
      </c>
      <c r="VS89" t="s">
        <v>1900</v>
      </c>
      <c r="VT89" t="s">
        <v>1900</v>
      </c>
      <c r="VU89" t="s">
        <v>1900</v>
      </c>
      <c r="VV89" t="s">
        <v>1900</v>
      </c>
      <c r="VW89" t="s">
        <v>1900</v>
      </c>
      <c r="VX89" t="s">
        <v>1900</v>
      </c>
      <c r="VY89" t="s">
        <v>1900</v>
      </c>
      <c r="VZ89" t="s">
        <v>1900</v>
      </c>
      <c r="WA89">
        <v>175110.444659159</v>
      </c>
      <c r="WB89">
        <v>137686.608842058</v>
      </c>
      <c r="WC89">
        <v>86560.85207514169</v>
      </c>
      <c r="WD89">
        <v>28277.4280084133</v>
      </c>
      <c r="WE89">
        <v>5049.26819729805</v>
      </c>
      <c r="WF89" t="s">
        <v>1900</v>
      </c>
      <c r="WG89" t="s">
        <v>1900</v>
      </c>
      <c r="WH89" t="s">
        <v>1900</v>
      </c>
      <c r="WI89" t="s">
        <v>1900</v>
      </c>
      <c r="WJ89" t="s">
        <v>1900</v>
      </c>
      <c r="WK89" t="s">
        <v>1900</v>
      </c>
      <c r="WL89" t="s">
        <v>1900</v>
      </c>
      <c r="WM89" t="s">
        <v>1900</v>
      </c>
      <c r="WN89" t="s">
        <v>1900</v>
      </c>
      <c r="WO89" t="s">
        <v>1900</v>
      </c>
      <c r="WP89" t="s">
        <v>1900</v>
      </c>
      <c r="WQ89" t="s">
        <v>1900</v>
      </c>
      <c r="WR89" t="s">
        <v>1900</v>
      </c>
      <c r="WS89" t="s">
        <v>1900</v>
      </c>
      <c r="WT89" t="s">
        <v>1900</v>
      </c>
      <c r="WU89" t="s">
        <v>1900</v>
      </c>
      <c r="WV89" t="s">
        <v>1900</v>
      </c>
      <c r="WW89" t="s">
        <v>1900</v>
      </c>
      <c r="WX89" t="s">
        <v>1900</v>
      </c>
      <c r="WY89" t="s">
        <v>1900</v>
      </c>
      <c r="WZ89" t="s">
        <v>1900</v>
      </c>
      <c r="XA89" t="s">
        <v>1900</v>
      </c>
      <c r="XB89" t="s">
        <v>1900</v>
      </c>
      <c r="XC89" t="s">
        <v>1900</v>
      </c>
      <c r="XD89" t="s">
        <v>1900</v>
      </c>
      <c r="XE89" t="s">
        <v>1900</v>
      </c>
      <c r="XF89" t="s">
        <v>1900</v>
      </c>
      <c r="XG89" t="s">
        <v>1900</v>
      </c>
      <c r="XH89" t="s">
        <v>1900</v>
      </c>
      <c r="XI89" t="s">
        <v>1900</v>
      </c>
      <c r="XJ89">
        <v>0</v>
      </c>
      <c r="XK89">
        <v>0</v>
      </c>
      <c r="XL89">
        <v>0</v>
      </c>
      <c r="XM89">
        <v>0</v>
      </c>
      <c r="XN89" t="s">
        <v>1900</v>
      </c>
      <c r="XO89" t="s">
        <v>1900</v>
      </c>
      <c r="XP89" t="s">
        <v>1900</v>
      </c>
      <c r="XQ89" t="s">
        <v>1900</v>
      </c>
      <c r="XR89" t="s">
        <v>1900</v>
      </c>
      <c r="XS89" t="s">
        <v>1900</v>
      </c>
      <c r="XT89" t="s">
        <v>1900</v>
      </c>
      <c r="XU89" t="s">
        <v>1900</v>
      </c>
      <c r="XV89" t="s">
        <v>1900</v>
      </c>
      <c r="XW89" t="s">
        <v>1900</v>
      </c>
      <c r="XX89" t="s">
        <v>1900</v>
      </c>
      <c r="XY89">
        <v>0</v>
      </c>
      <c r="XZ89">
        <v>0</v>
      </c>
      <c r="YA89">
        <v>0</v>
      </c>
      <c r="YB89">
        <v>0</v>
      </c>
      <c r="YC89" t="s">
        <v>1900</v>
      </c>
      <c r="YD89" t="s">
        <v>1900</v>
      </c>
      <c r="YE89" t="s">
        <v>1900</v>
      </c>
      <c r="YF89" t="s">
        <v>1900</v>
      </c>
      <c r="YG89" t="s">
        <v>1900</v>
      </c>
      <c r="YH89" t="s">
        <v>1900</v>
      </c>
      <c r="YI89" t="s">
        <v>1900</v>
      </c>
      <c r="YJ89" t="s">
        <v>1900</v>
      </c>
      <c r="YK89" t="s">
        <v>1900</v>
      </c>
      <c r="YL89" t="s">
        <v>1900</v>
      </c>
      <c r="YM89" t="s">
        <v>1900</v>
      </c>
      <c r="YN89" t="s">
        <v>1900</v>
      </c>
      <c r="YO89" t="s">
        <v>1900</v>
      </c>
      <c r="YP89" t="s">
        <v>1900</v>
      </c>
      <c r="YQ89" t="s">
        <v>1900</v>
      </c>
      <c r="YR89" t="s">
        <v>1900</v>
      </c>
      <c r="YS89" t="s">
        <v>1900</v>
      </c>
      <c r="YT89" t="s">
        <v>1900</v>
      </c>
      <c r="YU89" t="s">
        <v>1900</v>
      </c>
      <c r="YV89" t="s">
        <v>1900</v>
      </c>
      <c r="YW89" t="s">
        <v>1900</v>
      </c>
      <c r="YX89" t="s">
        <v>1900</v>
      </c>
      <c r="YY89" t="s">
        <v>1900</v>
      </c>
      <c r="YZ89" t="s">
        <v>1900</v>
      </c>
      <c r="ZA89" t="s">
        <v>1900</v>
      </c>
      <c r="ZB89" t="s">
        <v>1900</v>
      </c>
      <c r="ZC89" t="s">
        <v>1900</v>
      </c>
      <c r="ZD89" t="s">
        <v>1900</v>
      </c>
      <c r="ZE89" t="s">
        <v>1900</v>
      </c>
      <c r="ZF89" t="s">
        <v>1900</v>
      </c>
      <c r="ZG89" t="s">
        <v>1900</v>
      </c>
      <c r="ZH89" t="s">
        <v>1900</v>
      </c>
      <c r="ZI89" t="s">
        <v>1900</v>
      </c>
      <c r="ZJ89" t="s">
        <v>1900</v>
      </c>
      <c r="ZK89" t="s">
        <v>1900</v>
      </c>
      <c r="ZL89" t="s">
        <v>1900</v>
      </c>
      <c r="ZM89" t="s">
        <v>1900</v>
      </c>
      <c r="ZN89" t="s">
        <v>1900</v>
      </c>
      <c r="ZO89" t="s">
        <v>1900</v>
      </c>
      <c r="ZP89" t="s">
        <v>1900</v>
      </c>
      <c r="ZQ89" t="s">
        <v>1900</v>
      </c>
      <c r="ZR89" t="s">
        <v>1900</v>
      </c>
      <c r="ZS89" t="s">
        <v>1900</v>
      </c>
      <c r="ZT89" t="s">
        <v>1900</v>
      </c>
      <c r="ZU89" t="s">
        <v>1900</v>
      </c>
      <c r="ZV89" t="s">
        <v>1900</v>
      </c>
      <c r="ZW89" t="s">
        <v>1900</v>
      </c>
      <c r="ZX89" t="s">
        <v>1900</v>
      </c>
      <c r="ZY89" t="s">
        <v>1900</v>
      </c>
      <c r="ZZ89" t="s">
        <v>1900</v>
      </c>
      <c r="AAA89" t="s">
        <v>1900</v>
      </c>
      <c r="AAB89" t="s">
        <v>1900</v>
      </c>
      <c r="AAC89" t="s">
        <v>1900</v>
      </c>
      <c r="AAD89" t="s">
        <v>1900</v>
      </c>
      <c r="AAE89" t="s">
        <v>1900</v>
      </c>
      <c r="AAF89" t="s">
        <v>1900</v>
      </c>
      <c r="AAG89" t="s">
        <v>1900</v>
      </c>
      <c r="AAH89" t="s">
        <v>1900</v>
      </c>
      <c r="AAI89" t="s">
        <v>1900</v>
      </c>
      <c r="AAJ89" t="s">
        <v>1900</v>
      </c>
      <c r="AAK89" t="s">
        <v>1900</v>
      </c>
      <c r="AAL89" t="s">
        <v>1900</v>
      </c>
      <c r="AAM89" t="s">
        <v>1900</v>
      </c>
      <c r="AAN89" t="s">
        <v>1900</v>
      </c>
      <c r="AAO89" t="s">
        <v>1900</v>
      </c>
      <c r="AAP89" t="s">
        <v>1900</v>
      </c>
      <c r="AAQ89" t="s">
        <v>1900</v>
      </c>
      <c r="AAR89" t="s">
        <v>1900</v>
      </c>
      <c r="AAS89" t="s">
        <v>1900</v>
      </c>
      <c r="AAT89" t="s">
        <v>1900</v>
      </c>
      <c r="AAU89" t="s">
        <v>1900</v>
      </c>
      <c r="AAV89" t="s">
        <v>1900</v>
      </c>
      <c r="AAW89" t="s">
        <v>1900</v>
      </c>
      <c r="AAX89" t="s">
        <v>1900</v>
      </c>
      <c r="AAY89" t="s">
        <v>1900</v>
      </c>
      <c r="AAZ89" t="s">
        <v>1900</v>
      </c>
      <c r="ABA89" t="s">
        <v>1900</v>
      </c>
      <c r="ABB89" t="s">
        <v>1900</v>
      </c>
      <c r="ABC89" t="s">
        <v>1900</v>
      </c>
      <c r="ABD89" t="s">
        <v>1900</v>
      </c>
      <c r="ABE89" t="s">
        <v>1900</v>
      </c>
      <c r="ABF89" t="s">
        <v>1900</v>
      </c>
      <c r="ABG89" t="s">
        <v>1900</v>
      </c>
      <c r="ABH89" t="s">
        <v>1900</v>
      </c>
      <c r="ABI89" t="s">
        <v>1900</v>
      </c>
      <c r="ABJ89" t="s">
        <v>1900</v>
      </c>
      <c r="ABK89" t="s">
        <v>1900</v>
      </c>
      <c r="ABL89" t="s">
        <v>1900</v>
      </c>
      <c r="ABM89" t="s">
        <v>1900</v>
      </c>
      <c r="ABN89" t="s">
        <v>1900</v>
      </c>
      <c r="ABO89" t="s">
        <v>1900</v>
      </c>
      <c r="ABP89" t="s">
        <v>1900</v>
      </c>
      <c r="ABQ89" t="s">
        <v>1900</v>
      </c>
      <c r="ABR89" t="s">
        <v>1900</v>
      </c>
      <c r="ABS89" t="s">
        <v>1900</v>
      </c>
      <c r="ABT89" t="s">
        <v>1900</v>
      </c>
      <c r="ABU89" t="s">
        <v>1900</v>
      </c>
      <c r="ABV89" t="s">
        <v>1900</v>
      </c>
      <c r="ABW89" t="s">
        <v>1900</v>
      </c>
      <c r="ABX89" t="s">
        <v>1900</v>
      </c>
      <c r="ABY89" t="s">
        <v>1900</v>
      </c>
      <c r="ABZ89" t="s">
        <v>1900</v>
      </c>
      <c r="ACA89" t="s">
        <v>1900</v>
      </c>
      <c r="ACB89" t="s">
        <v>1900</v>
      </c>
      <c r="ACC89" t="s">
        <v>1900</v>
      </c>
      <c r="ACD89" t="s">
        <v>1900</v>
      </c>
      <c r="ACE89">
        <v>-61.1</v>
      </c>
      <c r="ACF89">
        <v>-70.652</v>
      </c>
      <c r="ACG89">
        <v>-32.667</v>
      </c>
      <c r="ACH89">
        <v>-72.375</v>
      </c>
      <c r="ACI89">
        <v>38.137</v>
      </c>
      <c r="ACJ89">
        <v>-37.523</v>
      </c>
      <c r="ACK89">
        <v>-56.783</v>
      </c>
      <c r="ACL89">
        <v>-29.533</v>
      </c>
      <c r="ACM89">
        <v>-34.651</v>
      </c>
      <c r="ACN89">
        <v>44.891</v>
      </c>
      <c r="ACO89">
        <v>-33.701</v>
      </c>
      <c r="ACP89">
        <v>-54.259</v>
      </c>
      <c r="ACQ89">
        <v>-28.795</v>
      </c>
      <c r="ACR89">
        <v>-33.197</v>
      </c>
      <c r="ACS89">
        <v>15.921</v>
      </c>
      <c r="ACT89">
        <v>-47.05</v>
      </c>
      <c r="ACU89">
        <v>-54.403</v>
      </c>
      <c r="ACV89">
        <v>-24.5</v>
      </c>
      <c r="ACW89">
        <v>-54.286</v>
      </c>
      <c r="ACX89">
        <v>28.602</v>
      </c>
      <c r="ACY89">
        <v>-28.507</v>
      </c>
      <c r="ACZ89">
        <v>-43.391</v>
      </c>
      <c r="ADA89">
        <v>-22.04</v>
      </c>
      <c r="ADB89">
        <v>-25.917</v>
      </c>
      <c r="ADC89">
        <v>35.357</v>
      </c>
      <c r="ADD89">
        <v>-25.951</v>
      </c>
      <c r="ADE89">
        <v>-41.78</v>
      </c>
      <c r="ADF89">
        <v>-21.597</v>
      </c>
      <c r="ADG89">
        <v>-24.9</v>
      </c>
      <c r="ADH89">
        <v>11.941</v>
      </c>
      <c r="ADI89">
        <v>-99.036</v>
      </c>
      <c r="ADJ89" t="s">
        <v>1901</v>
      </c>
      <c r="ADK89" t="s">
        <v>1901</v>
      </c>
      <c r="ADL89" t="s">
        <v>1901</v>
      </c>
      <c r="ADM89">
        <v>10.986</v>
      </c>
      <c r="ADN89">
        <v>100</v>
      </c>
      <c r="ADO89">
        <v>100</v>
      </c>
      <c r="ADP89">
        <v>99.645</v>
      </c>
      <c r="ADQ89">
        <v>97.521</v>
      </c>
      <c r="ADR89">
        <v>48.426</v>
      </c>
      <c r="ADS89">
        <v>-94.749439696</v>
      </c>
      <c r="ADT89">
        <v>-268.922967409</v>
      </c>
      <c r="ADU89">
        <v>-535.083662689</v>
      </c>
      <c r="ADV89">
        <v>-397.049397416</v>
      </c>
      <c r="ADW89">
        <v>12.92300298</v>
      </c>
      <c r="ADX89">
        <v>-43.952</v>
      </c>
      <c r="ADY89" t="s">
        <v>1901</v>
      </c>
      <c r="ADZ89" t="s">
        <v>1901</v>
      </c>
      <c r="AEA89" t="s">
        <v>1901</v>
      </c>
      <c r="AEB89">
        <v>12.923</v>
      </c>
      <c r="AEC89">
        <v>-94.749</v>
      </c>
      <c r="AED89" t="s">
        <v>1901</v>
      </c>
      <c r="AEE89" t="s">
        <v>1901</v>
      </c>
      <c r="AEF89" t="s">
        <v>1901</v>
      </c>
      <c r="AEG89">
        <v>12.923</v>
      </c>
      <c r="AEH89">
        <v>-25.465</v>
      </c>
      <c r="AEI89" t="s">
        <v>1901</v>
      </c>
      <c r="AEJ89" t="s">
        <v>1901</v>
      </c>
      <c r="AEK89" t="s">
        <v>1901</v>
      </c>
      <c r="AEL89" t="s">
        <v>1900</v>
      </c>
      <c r="AEM89">
        <v>-48.65197037</v>
      </c>
      <c r="AEN89">
        <v>-72.894070352</v>
      </c>
      <c r="AEO89">
        <v>-84.25404306900001</v>
      </c>
      <c r="AEP89">
        <v>-79.881275278</v>
      </c>
      <c r="AEQ89">
        <v>14.840891881</v>
      </c>
      <c r="AER89" t="s">
        <v>1900</v>
      </c>
      <c r="AES89" t="s">
        <v>1900</v>
      </c>
      <c r="AET89">
        <v>0.156987777</v>
      </c>
      <c r="AEU89">
        <v>0.197182958</v>
      </c>
      <c r="AEV89">
        <v>1.364000572</v>
      </c>
      <c r="AEW89" t="s">
        <v>1900</v>
      </c>
      <c r="AEX89" t="s">
        <v>1900</v>
      </c>
      <c r="AEY89" t="s">
        <v>1900</v>
      </c>
      <c r="AEZ89" t="s">
        <v>1900</v>
      </c>
      <c r="AFA89" t="s">
        <v>1900</v>
      </c>
      <c r="AFB89" t="s">
        <v>1900</v>
      </c>
      <c r="AFC89" t="s">
        <v>1900</v>
      </c>
      <c r="AFD89" t="s">
        <v>1900</v>
      </c>
      <c r="AFE89" t="s">
        <v>1900</v>
      </c>
      <c r="AFF89" t="s">
        <v>1900</v>
      </c>
      <c r="AFG89">
        <v>0.396</v>
      </c>
      <c r="AFH89">
        <v>0.211</v>
      </c>
      <c r="AFI89">
        <v>0.055</v>
      </c>
      <c r="AFJ89">
        <v>0.08699999999999999</v>
      </c>
      <c r="AFK89">
        <v>3.471</v>
      </c>
      <c r="AFL89">
        <v>-22.236</v>
      </c>
      <c r="AFM89">
        <v>-39.322</v>
      </c>
      <c r="AFN89">
        <v>-66.90300000000001</v>
      </c>
      <c r="AFO89" t="s">
        <v>1901</v>
      </c>
      <c r="AFP89">
        <v>6.642</v>
      </c>
      <c r="AFQ89" t="s">
        <v>1901</v>
      </c>
      <c r="AFR89" t="s">
        <v>1901</v>
      </c>
      <c r="AFS89" t="s">
        <v>1901</v>
      </c>
      <c r="AFT89" t="s">
        <v>1901</v>
      </c>
      <c r="AFU89" t="s">
        <v>1901</v>
      </c>
      <c r="AFV89">
        <v>42.814</v>
      </c>
      <c r="AFW89">
        <v>76.59699999999999</v>
      </c>
      <c r="AFX89">
        <v>144.941</v>
      </c>
      <c r="AFY89">
        <v>249.965</v>
      </c>
      <c r="AFZ89">
        <v>63.507</v>
      </c>
      <c r="AGA89">
        <v>0</v>
      </c>
      <c r="AGB89">
        <v>0.153</v>
      </c>
      <c r="AGC89">
        <v>43.378</v>
      </c>
      <c r="AGD89">
        <v>0</v>
      </c>
      <c r="AGE89">
        <v>0</v>
      </c>
      <c r="AGF89" t="s">
        <v>1900</v>
      </c>
      <c r="AGG89" t="s">
        <v>1900</v>
      </c>
      <c r="AGH89" t="s">
        <v>1900</v>
      </c>
      <c r="AGI89" t="s">
        <v>1900</v>
      </c>
      <c r="AGJ89" t="s">
        <v>1900</v>
      </c>
      <c r="AGK89" t="s">
        <v>1900</v>
      </c>
      <c r="AGL89" t="s">
        <v>1900</v>
      </c>
      <c r="AGM89" t="s">
        <v>1900</v>
      </c>
      <c r="AGN89" t="s">
        <v>1900</v>
      </c>
      <c r="AGO89" t="s">
        <v>1900</v>
      </c>
      <c r="AGP89" t="s">
        <v>1900</v>
      </c>
      <c r="AGQ89" t="s">
        <v>1900</v>
      </c>
      <c r="AGR89" t="s">
        <v>1900</v>
      </c>
      <c r="AGS89" t="s">
        <v>1900</v>
      </c>
      <c r="AGT89" t="s">
        <v>1900</v>
      </c>
      <c r="AGU89">
        <v>0</v>
      </c>
      <c r="AGV89">
        <v>0</v>
      </c>
      <c r="AGW89">
        <v>0</v>
      </c>
      <c r="AGX89">
        <v>0</v>
      </c>
      <c r="AGY89">
        <v>0</v>
      </c>
      <c r="AGZ89">
        <v>1.725</v>
      </c>
      <c r="AHA89">
        <v>5.565</v>
      </c>
      <c r="AHB89">
        <v>18.809</v>
      </c>
      <c r="AHC89">
        <v>12.005</v>
      </c>
      <c r="AHD89">
        <v>0.497</v>
      </c>
      <c r="AHE89">
        <v>1.725</v>
      </c>
      <c r="AHF89">
        <v>5.565</v>
      </c>
      <c r="AHG89">
        <v>18.809</v>
      </c>
      <c r="AHH89">
        <v>12.005</v>
      </c>
      <c r="AHI89">
        <v>0.497</v>
      </c>
      <c r="AHJ89">
        <v>1.791</v>
      </c>
      <c r="AHK89">
        <v>4.686</v>
      </c>
      <c r="AHL89">
        <v>11.132</v>
      </c>
      <c r="AHM89">
        <v>0.9340000000000001</v>
      </c>
      <c r="AHN89" t="s">
        <v>1901</v>
      </c>
      <c r="AHO89">
        <v>55.157</v>
      </c>
      <c r="AHP89">
        <v>76.798</v>
      </c>
      <c r="AHQ89">
        <v>88.14700000000001</v>
      </c>
      <c r="AHR89">
        <v>45.868</v>
      </c>
      <c r="AHS89">
        <v>41.747</v>
      </c>
      <c r="AHT89" t="s">
        <v>1901</v>
      </c>
      <c r="AHU89" t="s">
        <v>1901</v>
      </c>
      <c r="AHV89" t="s">
        <v>1901</v>
      </c>
      <c r="AHW89">
        <v>84.73399999999999</v>
      </c>
      <c r="AHX89">
        <v>71.664</v>
      </c>
      <c r="AHY89">
        <v>63.672</v>
      </c>
      <c r="AHZ89">
        <v>21.338</v>
      </c>
      <c r="AIA89">
        <v>8.983000000000001</v>
      </c>
      <c r="AIB89">
        <v>107.102</v>
      </c>
      <c r="AIC89">
        <v>0</v>
      </c>
      <c r="AID89">
        <v>34.256862587</v>
      </c>
      <c r="AIE89">
        <v>24.56590291</v>
      </c>
      <c r="AIF89">
        <v>9.087482343</v>
      </c>
      <c r="AIG89">
        <v>8.939504954</v>
      </c>
      <c r="AIH89">
        <v>0.241376967</v>
      </c>
      <c r="AII89">
        <v>20.193673804</v>
      </c>
      <c r="AIJ89">
        <v>33.739633663</v>
      </c>
      <c r="AIK89">
        <v>71.864734325</v>
      </c>
      <c r="AIL89">
        <v>54.345355022</v>
      </c>
      <c r="AIM89">
        <v>3.408299404</v>
      </c>
      <c r="AIN89">
        <v>9.723997600000001</v>
      </c>
      <c r="AIO89">
        <v>6.806428059</v>
      </c>
      <c r="AIP89">
        <v>3.295459599</v>
      </c>
      <c r="AIQ89">
        <v>5.00617972</v>
      </c>
      <c r="AIR89">
        <v>58.253251864</v>
      </c>
      <c r="AIS89" t="s">
        <v>1900</v>
      </c>
      <c r="AIT89" t="s">
        <v>1900</v>
      </c>
      <c r="AIU89">
        <v>0</v>
      </c>
      <c r="AIV89">
        <v>0</v>
      </c>
      <c r="AIW89">
        <v>0</v>
      </c>
      <c r="AIX89">
        <v>-35.6993787095316</v>
      </c>
      <c r="AIY89">
        <v>-40.6518013640289</v>
      </c>
      <c r="AIZ89">
        <v>-44.4916894810212</v>
      </c>
      <c r="AJA89">
        <v>-31.2524541532373</v>
      </c>
      <c r="AJB89" t="s">
        <v>1900</v>
      </c>
      <c r="AJC89">
        <v>36.0467347710319</v>
      </c>
      <c r="AJD89">
        <v>14.7423862162018</v>
      </c>
      <c r="AJE89">
        <v>8.19230855122864</v>
      </c>
      <c r="AJF89">
        <v>7.80304642047644</v>
      </c>
      <c r="AJG89" t="s">
        <v>1900</v>
      </c>
      <c r="AJH89" t="s">
        <v>1901</v>
      </c>
      <c r="AJI89" t="s">
        <v>1901</v>
      </c>
      <c r="AJJ89" t="s">
        <v>1901</v>
      </c>
      <c r="AJK89" t="s">
        <v>1901</v>
      </c>
      <c r="AJL89">
        <v>52.366</v>
      </c>
      <c r="AJM89">
        <v>44.1707681514503</v>
      </c>
      <c r="AJN89">
        <v>40.7410699340916</v>
      </c>
      <c r="AJO89">
        <v>32.3813407692212</v>
      </c>
      <c r="AJP89">
        <v>28.1741767665839</v>
      </c>
      <c r="AJQ89" t="s">
        <v>1900</v>
      </c>
      <c r="AJR89">
        <v>58.4274483775983</v>
      </c>
      <c r="AJS89">
        <v>57.5383426975012</v>
      </c>
      <c r="AJT89">
        <v>136.196539701334</v>
      </c>
      <c r="AJU89">
        <v>43.1809892654514</v>
      </c>
      <c r="AJV89" t="s">
        <v>1900</v>
      </c>
      <c r="AJW89">
        <v>4.2869773995471</v>
      </c>
      <c r="AJX89">
        <v>3.13045977491188</v>
      </c>
      <c r="AJY89">
        <v>2.3112005653137</v>
      </c>
      <c r="AJZ89">
        <v>5.41802235601902</v>
      </c>
      <c r="AKA89" t="s">
        <v>1900</v>
      </c>
      <c r="AKB89">
        <v>105.929832299778</v>
      </c>
      <c r="AKC89">
        <v>74.92188231402019</v>
      </c>
      <c r="AKD89">
        <v>154.510005984353</v>
      </c>
      <c r="AKE89">
        <v>94.14173982165811</v>
      </c>
      <c r="AKF89" t="s">
        <v>1900</v>
      </c>
      <c r="AKG89" t="s">
        <v>1900</v>
      </c>
      <c r="AKH89" t="s">
        <v>1900</v>
      </c>
      <c r="AKI89">
        <v>0</v>
      </c>
      <c r="AKJ89">
        <v>0</v>
      </c>
      <c r="AKK89">
        <v>0</v>
      </c>
      <c r="AKL89">
        <v>0</v>
      </c>
      <c r="AKM89">
        <v>0</v>
      </c>
      <c r="AKN89">
        <v>0</v>
      </c>
      <c r="AKO89">
        <v>0</v>
      </c>
      <c r="AKP89">
        <v>0</v>
      </c>
      <c r="AKQ89">
        <v>0</v>
      </c>
      <c r="AKR89">
        <v>0</v>
      </c>
      <c r="AKS89">
        <v>0</v>
      </c>
      <c r="AKT89">
        <v>0</v>
      </c>
      <c r="AKU89">
        <v>0</v>
      </c>
      <c r="AKV89">
        <v>120.963609335</v>
      </c>
      <c r="AKW89">
        <v>187.573282782</v>
      </c>
      <c r="AKX89">
        <v>308.935666248</v>
      </c>
      <c r="AKY89">
        <v>353.908703539</v>
      </c>
      <c r="AKZ89">
        <v>48.844199702</v>
      </c>
      <c r="ALA89">
        <v>41.162561004</v>
      </c>
      <c r="ALB89">
        <v>36.908813382</v>
      </c>
      <c r="ALC89">
        <v>16.380144851</v>
      </c>
      <c r="ALD89">
        <v>29.334128783</v>
      </c>
      <c r="ALE89">
        <v>70.785034345</v>
      </c>
      <c r="ALF89">
        <v>0.9988732380000001</v>
      </c>
      <c r="ALG89">
        <v>3.044191977</v>
      </c>
      <c r="ALH89">
        <v>10.051378101</v>
      </c>
      <c r="ALI89">
        <v>19.615293618</v>
      </c>
      <c r="ALJ89">
        <v>0</v>
      </c>
      <c r="ALK89">
        <v>0.339905372</v>
      </c>
      <c r="ALL89">
        <v>0.599005956</v>
      </c>
      <c r="ALM89">
        <v>0.5329362949999999</v>
      </c>
      <c r="ALN89">
        <v>1.625836108</v>
      </c>
      <c r="ALO89">
        <v>0</v>
      </c>
      <c r="ALP89">
        <v>11.892831261</v>
      </c>
      <c r="ALQ89">
        <v>21.276830471</v>
      </c>
      <c r="ALR89">
        <v>40.261281914</v>
      </c>
      <c r="ALS89">
        <v>69.434704712</v>
      </c>
      <c r="ALT89">
        <v>17.640961918</v>
      </c>
      <c r="ALU89">
        <v>0</v>
      </c>
      <c r="ALV89">
        <v>0.199325136</v>
      </c>
      <c r="ALW89">
        <v>29.928123078</v>
      </c>
      <c r="ALX89">
        <v>0</v>
      </c>
      <c r="ALY89">
        <v>0</v>
      </c>
      <c r="ALZ89">
        <v>100</v>
      </c>
      <c r="AMA89">
        <v>100</v>
      </c>
      <c r="AMB89">
        <v>99.64457468052009</v>
      </c>
      <c r="AMC89">
        <v>97.52081792138659</v>
      </c>
      <c r="AMD89">
        <v>48.4256928305507</v>
      </c>
      <c r="AME89">
        <v>100</v>
      </c>
      <c r="AMF89" t="s">
        <v>1901</v>
      </c>
      <c r="AMG89">
        <v>99.64457468052009</v>
      </c>
      <c r="AMH89">
        <v>97.52081792138659</v>
      </c>
      <c r="AMI89">
        <v>48.4256928305507</v>
      </c>
      <c r="AMJ89" t="s">
        <v>1900</v>
      </c>
      <c r="AMK89" t="s">
        <v>1900</v>
      </c>
      <c r="AML89">
        <v>28035.305651921</v>
      </c>
      <c r="AMM89">
        <v>3933.58837023904</v>
      </c>
      <c r="AMN89">
        <v>93.8950121887235</v>
      </c>
      <c r="AMO89">
        <v>0.513480296302827</v>
      </c>
      <c r="AMP89">
        <v>0.271059296476664</v>
      </c>
      <c r="AMQ89">
        <v>0.156987776522244</v>
      </c>
      <c r="AMR89">
        <v>0.1971829597722</v>
      </c>
      <c r="AMS89">
        <v>1.36400067248552</v>
      </c>
      <c r="AMT89">
        <v>0.513480296302827</v>
      </c>
      <c r="AMU89">
        <v>0.271059296476665</v>
      </c>
      <c r="AMV89">
        <v>0.156987776522244</v>
      </c>
      <c r="AMW89">
        <v>0.197182949989397</v>
      </c>
      <c r="AMX89">
        <v>1.36400067248552</v>
      </c>
      <c r="AMY89" t="s">
        <v>1900</v>
      </c>
      <c r="AMZ89" t="s">
        <v>1900</v>
      </c>
      <c r="ANA89">
        <v>0.156987776522244</v>
      </c>
      <c r="ANB89">
        <v>0.197182957843198</v>
      </c>
      <c r="ANC89">
        <v>1.36400057232794</v>
      </c>
      <c r="AND89">
        <v>-94.749439696172</v>
      </c>
      <c r="ANE89" t="s">
        <v>1901</v>
      </c>
      <c r="ANF89" t="s">
        <v>1901</v>
      </c>
      <c r="ANG89" t="s">
        <v>1901</v>
      </c>
      <c r="ANH89">
        <v>12.9230029804731</v>
      </c>
      <c r="ANI89">
        <v>-94.749439696172</v>
      </c>
      <c r="ANJ89" t="s">
        <v>1901</v>
      </c>
      <c r="ANK89" t="s">
        <v>1901</v>
      </c>
      <c r="ANL89" t="s">
        <v>1901</v>
      </c>
      <c r="ANM89">
        <v>12.9230029804731</v>
      </c>
      <c r="ANN89">
        <v>-48.6519703697173</v>
      </c>
      <c r="ANO89">
        <v>-72.8940703523336</v>
      </c>
      <c r="ANP89">
        <v>-84.25404306944451</v>
      </c>
      <c r="ANQ89">
        <v>-79.8812752776979</v>
      </c>
      <c r="ANR89">
        <v>14.8408918805217</v>
      </c>
      <c r="ANS89">
        <v>-37.513059833019</v>
      </c>
      <c r="ANT89">
        <v>-56.7858239106748</v>
      </c>
      <c r="ANU89">
        <v>-29.53270244589</v>
      </c>
      <c r="ANV89">
        <v>-34.644247989127</v>
      </c>
      <c r="ANW89">
        <v>44.8610300999715</v>
      </c>
      <c r="ANX89" t="s">
        <v>1900</v>
      </c>
      <c r="ANY89" t="s">
        <v>1900</v>
      </c>
      <c r="ANZ89">
        <v>99.64457468052009</v>
      </c>
      <c r="AOA89">
        <v>97.52081792138659</v>
      </c>
      <c r="AOB89">
        <v>48.4257025993906</v>
      </c>
      <c r="AOC89">
        <v>51.3480296302827</v>
      </c>
      <c r="AOD89">
        <v>27.1059296476664</v>
      </c>
      <c r="AOE89">
        <v>15.6899918128299</v>
      </c>
      <c r="AOF89">
        <v>19.6199449045413</v>
      </c>
      <c r="AOG89">
        <v>55.6124975459262</v>
      </c>
      <c r="AOH89">
        <v>34.0288796194306</v>
      </c>
      <c r="AOI89">
        <v>19.677009878369</v>
      </c>
      <c r="AOJ89">
        <v>5.28327656919942</v>
      </c>
      <c r="AOK89">
        <v>8.083124837922581</v>
      </c>
      <c r="AOL89">
        <v>70.1785340136247</v>
      </c>
      <c r="AOM89" t="s">
        <v>1900</v>
      </c>
      <c r="AON89" t="s">
        <v>1900</v>
      </c>
      <c r="AOO89">
        <v>-150547.423991036</v>
      </c>
      <c r="AOP89">
        <v>-16015.3383182786</v>
      </c>
      <c r="AOQ89">
        <v>25.0570606519215</v>
      </c>
      <c r="AOR89">
        <v>-48.6519703697173</v>
      </c>
      <c r="AOS89">
        <v>-72.8940703523335</v>
      </c>
      <c r="AOT89">
        <v>-84.30122234777561</v>
      </c>
      <c r="AOU89">
        <v>-80.2817050010603</v>
      </c>
      <c r="AOV89">
        <v>36.4000672485519</v>
      </c>
      <c r="AOW89">
        <v>-32.2421727742954</v>
      </c>
      <c r="AOX89">
        <v>-52.9159988622961</v>
      </c>
      <c r="AOY89">
        <v>-28.3707867358554</v>
      </c>
      <c r="AOZ89">
        <v>-32.9098946721628</v>
      </c>
      <c r="APA89">
        <v>18.7280212468359</v>
      </c>
      <c r="APB89">
        <v>-76.2631533101607</v>
      </c>
      <c r="APC89">
        <v>-212.329474147318</v>
      </c>
      <c r="APD89">
        <v>-407.318250905201</v>
      </c>
      <c r="APE89">
        <v>-300.410576679767</v>
      </c>
      <c r="APF89">
        <v>8.23942059056545</v>
      </c>
      <c r="APG89">
        <v>-76.2631533101607</v>
      </c>
      <c r="APH89">
        <v>-213.737012149124</v>
      </c>
      <c r="API89">
        <v>-407.318250905201</v>
      </c>
      <c r="APJ89">
        <v>-300.410576679767</v>
      </c>
      <c r="APK89">
        <v>8.23942059056545</v>
      </c>
      <c r="APL89" t="s">
        <v>1900</v>
      </c>
      <c r="APM89" t="s">
        <v>1900</v>
      </c>
      <c r="APN89">
        <v>-114600.234868237</v>
      </c>
      <c r="APO89">
        <v>-12117.3260839231</v>
      </c>
      <c r="APP89">
        <v>15.9758271190101</v>
      </c>
      <c r="APQ89">
        <v>-39.1596265586892</v>
      </c>
      <c r="APR89">
        <v>-57.5538778836321</v>
      </c>
      <c r="APS89">
        <v>-64.17207033253359</v>
      </c>
      <c r="APT89">
        <v>-60.7417451157364</v>
      </c>
      <c r="APU89">
        <v>23.2078769956847</v>
      </c>
      <c r="APV89">
        <v>-39.1596265586892</v>
      </c>
      <c r="APW89">
        <v>-57.5538778836321</v>
      </c>
      <c r="APX89">
        <v>-64.136156357825</v>
      </c>
      <c r="APY89">
        <v>-60.4387769588827</v>
      </c>
      <c r="APZ89">
        <v>9.462224091992709</v>
      </c>
      <c r="AQA89">
        <v>-25.9514966338964</v>
      </c>
      <c r="AQB89">
        <v>-41.7800916026568</v>
      </c>
      <c r="AQC89">
        <v>-21.5965091738752</v>
      </c>
      <c r="AQD89">
        <v>-24.8998751824696</v>
      </c>
      <c r="AQE89">
        <v>11.9405717165654</v>
      </c>
      <c r="AQF89" t="s">
        <v>1900</v>
      </c>
      <c r="AQG89" t="s">
        <v>1900</v>
      </c>
      <c r="AQH89">
        <v>-0.843012223477756</v>
      </c>
      <c r="AQI89">
        <v>-0.8028170421568021</v>
      </c>
      <c r="AQJ89">
        <v>0.364000572327944</v>
      </c>
      <c r="AQK89">
        <v>6</v>
      </c>
      <c r="AQO89" t="s">
        <v>1902</v>
      </c>
      <c r="AQP89">
        <v>11</v>
      </c>
      <c r="AQQ89">
        <v>0</v>
      </c>
      <c r="AQS89" t="s">
        <v>1905</v>
      </c>
      <c r="AQU89" t="s">
        <v>1906</v>
      </c>
      <c r="AQV89">
        <v>612794.4994187379</v>
      </c>
      <c r="AQW89">
        <v>398044.427837448</v>
      </c>
      <c r="AQX89">
        <v>139269.244304287</v>
      </c>
      <c r="AQY89">
        <v>-580619.354688216</v>
      </c>
      <c r="AQZ89">
        <v>-1070432.88694713</v>
      </c>
      <c r="ARA89">
        <v>-745206.973422635</v>
      </c>
      <c r="ARB89">
        <v>1150108.171560473</v>
      </c>
      <c r="ARC89">
        <v>-2396259.215057981</v>
      </c>
      <c r="ARD89">
        <v>-0.6756940141339591</v>
      </c>
      <c r="ARE89">
        <v>-0.6756940141339591</v>
      </c>
      <c r="ARF89">
        <v>-0.6756940141339591</v>
      </c>
      <c r="ARG89" t="s">
        <v>1907</v>
      </c>
      <c r="ARH89" t="s">
        <v>1907</v>
      </c>
      <c r="ARI89" t="s">
        <v>1907</v>
      </c>
      <c r="ARJ89" t="s">
        <v>1250</v>
      </c>
      <c r="ARK89" t="s">
        <v>1588</v>
      </c>
      <c r="ARL89" t="s">
        <v>1908</v>
      </c>
      <c r="ARM89" t="s">
        <v>1908</v>
      </c>
      <c r="ARN89" t="s">
        <v>1909</v>
      </c>
      <c r="ARO89" t="s">
        <v>1908</v>
      </c>
      <c r="ARP89" t="s">
        <v>1907</v>
      </c>
      <c r="ARQ89" t="s">
        <v>1982</v>
      </c>
      <c r="ARR89">
        <f>HYPERLINK("C:\Users\Usuario\Documents\Proyectos\llmthon\evidence\stockagile_com_235451.png", "Ver Evidencia")</f>
        <v>0</v>
      </c>
      <c r="ARS89">
        <v>100</v>
      </c>
    </row>
    <row r="90" spans="1:1163">
      <c r="A90">
        <v>685</v>
      </c>
      <c r="B90" t="s">
        <v>1251</v>
      </c>
      <c r="C90" t="s">
        <v>1374</v>
      </c>
      <c r="E90" s="2">
        <v>42899</v>
      </c>
      <c r="F90" t="s">
        <v>1431</v>
      </c>
      <c r="G90" t="s">
        <v>1433</v>
      </c>
      <c r="H90" t="s">
        <v>1434</v>
      </c>
      <c r="I90" t="s">
        <v>1441</v>
      </c>
      <c r="J90" t="s">
        <v>1490</v>
      </c>
      <c r="L90" t="s">
        <v>1589</v>
      </c>
      <c r="N90" t="s">
        <v>1645</v>
      </c>
      <c r="O90" t="s">
        <v>1669</v>
      </c>
      <c r="P90">
        <v>7490</v>
      </c>
      <c r="Q90">
        <v>7490</v>
      </c>
      <c r="R90" t="s">
        <v>1759</v>
      </c>
      <c r="S90" t="s">
        <v>1831</v>
      </c>
      <c r="Z90" t="s">
        <v>1899</v>
      </c>
      <c r="AA90" s="2">
        <v>45657</v>
      </c>
      <c r="AB90">
        <v>2024</v>
      </c>
      <c r="AC90">
        <v>461490.811743164</v>
      </c>
      <c r="AD90">
        <v>355215.437366323</v>
      </c>
      <c r="AE90">
        <v>231794.851363611</v>
      </c>
      <c r="AF90">
        <v>185982.699522328</v>
      </c>
      <c r="AG90">
        <v>89000.6286762238</v>
      </c>
      <c r="AH90">
        <v>436661.112715626</v>
      </c>
      <c r="AI90">
        <v>325575.368164225</v>
      </c>
      <c r="AJ90">
        <v>208621.91088171</v>
      </c>
      <c r="AK90">
        <v>162011.021472788</v>
      </c>
      <c r="AL90">
        <v>73665.5687312365</v>
      </c>
      <c r="AM90">
        <v>32876.2034908174</v>
      </c>
      <c r="AN90">
        <v>42285.9158773994</v>
      </c>
      <c r="AO90">
        <v>13992.5480305433</v>
      </c>
      <c r="AP90">
        <v>21479.7308530569</v>
      </c>
      <c r="AQ90">
        <v>34744.2490869939</v>
      </c>
      <c r="AR90">
        <v>428614.607213447</v>
      </c>
      <c r="AS90">
        <v>312929.521488924</v>
      </c>
      <c r="AT90">
        <v>217802.303333068</v>
      </c>
      <c r="AU90">
        <v>164502.968669271</v>
      </c>
      <c r="AV90">
        <v>54256.3783621305</v>
      </c>
      <c r="AW90">
        <v>464571.230955</v>
      </c>
      <c r="AX90">
        <v>395656.720665875</v>
      </c>
      <c r="AY90">
        <v>293066.512246203</v>
      </c>
      <c r="AZ90">
        <v>428935.657743652</v>
      </c>
      <c r="BA90">
        <v>273621.01917271</v>
      </c>
      <c r="BB90">
        <v>-35956.6247804523</v>
      </c>
      <c r="BC90">
        <v>-82727.1991769505</v>
      </c>
      <c r="BD90">
        <v>-75264.2089131355</v>
      </c>
      <c r="BE90">
        <v>-264432.690206981</v>
      </c>
      <c r="BF90">
        <v>-219364.63958348</v>
      </c>
      <c r="BG90">
        <v>-24532.1478100288</v>
      </c>
      <c r="BH90">
        <v>-26609.7268921185</v>
      </c>
      <c r="BI90">
        <v>-16295.3789896727</v>
      </c>
      <c r="BJ90">
        <v>-14852.0709818602</v>
      </c>
      <c r="BK90">
        <v>-11625.7473696888</v>
      </c>
      <c r="BL90" t="s">
        <v>1900</v>
      </c>
      <c r="BM90">
        <v>26.4205618572235</v>
      </c>
      <c r="BN90">
        <v>84.50667745471</v>
      </c>
      <c r="BO90" t="s">
        <v>1900</v>
      </c>
      <c r="BP90" t="s">
        <v>1900</v>
      </c>
      <c r="BQ90">
        <v>24532.1478100288</v>
      </c>
      <c r="BR90">
        <v>26636.1474539757</v>
      </c>
      <c r="BS90">
        <v>16379.8856671274</v>
      </c>
      <c r="BT90">
        <v>14852.0709818602</v>
      </c>
      <c r="BU90">
        <v>11625.7473696888</v>
      </c>
      <c r="BV90">
        <v>-60488.772590481</v>
      </c>
      <c r="BW90">
        <v>-109336.926069069</v>
      </c>
      <c r="BX90">
        <v>-91559.5879028082</v>
      </c>
      <c r="BY90">
        <v>-279284.761188841</v>
      </c>
      <c r="BZ90">
        <v>-230990.386953169</v>
      </c>
      <c r="CA90">
        <v>-135120.71835997</v>
      </c>
      <c r="CB90">
        <v>-116242.217818079</v>
      </c>
      <c r="CC90">
        <v>-123942.380313933</v>
      </c>
      <c r="CD90">
        <v>-39711.8549104929</v>
      </c>
      <c r="CE90">
        <v>-80273.9770273983</v>
      </c>
      <c r="CF90">
        <v>74631.9457694888</v>
      </c>
      <c r="CG90">
        <v>6905.29174901009</v>
      </c>
      <c r="CH90">
        <v>32382.7924111247</v>
      </c>
      <c r="CI90">
        <v>-239572.905145748</v>
      </c>
      <c r="CJ90">
        <v>-150716.408698671</v>
      </c>
      <c r="CK90" t="s">
        <v>1900</v>
      </c>
      <c r="CL90" t="s">
        <v>1900</v>
      </c>
      <c r="CM90" t="s">
        <v>1900</v>
      </c>
      <c r="CN90" t="s">
        <v>1900</v>
      </c>
      <c r="CO90" t="s">
        <v>1900</v>
      </c>
      <c r="CP90" t="s">
        <v>1900</v>
      </c>
      <c r="CQ90" t="s">
        <v>1900</v>
      </c>
      <c r="CR90" t="s">
        <v>1900</v>
      </c>
      <c r="CS90" t="s">
        <v>1900</v>
      </c>
      <c r="CT90" t="s">
        <v>1900</v>
      </c>
      <c r="CU90" t="s">
        <v>1900</v>
      </c>
      <c r="CV90" t="s">
        <v>1900</v>
      </c>
      <c r="CW90" t="s">
        <v>1900</v>
      </c>
      <c r="CX90" t="s">
        <v>1900</v>
      </c>
      <c r="CY90" t="s">
        <v>1900</v>
      </c>
      <c r="CZ90">
        <v>74631.9457694888</v>
      </c>
      <c r="DA90">
        <v>6905.29174901009</v>
      </c>
      <c r="DB90">
        <v>32382.7924111247</v>
      </c>
      <c r="DC90">
        <v>-239572.905145748</v>
      </c>
      <c r="DD90">
        <v>-150716.408698671</v>
      </c>
      <c r="DE90" t="s">
        <v>1900</v>
      </c>
      <c r="DF90" t="s">
        <v>1900</v>
      </c>
      <c r="DG90" t="s">
        <v>1900</v>
      </c>
      <c r="DH90" t="s">
        <v>1900</v>
      </c>
      <c r="DI90" t="s">
        <v>1900</v>
      </c>
      <c r="DJ90">
        <v>31178.1128411186</v>
      </c>
      <c r="DK90">
        <v>56451.6907348251</v>
      </c>
      <c r="DL90">
        <v>13992.5480305433</v>
      </c>
      <c r="DM90">
        <v>21479.7308530569</v>
      </c>
      <c r="DN90">
        <v>34744.2490869939</v>
      </c>
      <c r="DO90">
        <v>468989.038012632</v>
      </c>
      <c r="DP90">
        <v>357150.602634802</v>
      </c>
      <c r="DQ90">
        <v>258433.578890669</v>
      </c>
      <c r="DR90">
        <v>224268.871143794</v>
      </c>
      <c r="DS90">
        <v>185164.191822022</v>
      </c>
      <c r="DT90">
        <v>309435.636084679</v>
      </c>
      <c r="DU90">
        <v>183412.148163118</v>
      </c>
      <c r="DV90">
        <v>190510.614265293</v>
      </c>
      <c r="DW90">
        <v>213158.62842772</v>
      </c>
      <c r="DX90">
        <v>92584.2003863096</v>
      </c>
      <c r="DY90">
        <v>-313853.442103412</v>
      </c>
      <c r="DZ90">
        <v>-144906.029027045</v>
      </c>
      <c r="EA90">
        <v>-155877.680909759</v>
      </c>
      <c r="EB90">
        <v>-8491.840695261961</v>
      </c>
      <c r="EC90">
        <v>-4127.37180852234</v>
      </c>
      <c r="ED90">
        <v>24532.1478100288</v>
      </c>
      <c r="EE90">
        <v>26636.1474539757</v>
      </c>
      <c r="EF90">
        <v>16379.8856671274</v>
      </c>
      <c r="EG90">
        <v>14852.0709818602</v>
      </c>
      <c r="EH90">
        <v>11625.7473696888</v>
      </c>
      <c r="EI90" t="s">
        <v>1900</v>
      </c>
      <c r="EJ90" t="s">
        <v>1900</v>
      </c>
      <c r="EK90" t="s">
        <v>1900</v>
      </c>
      <c r="EL90" t="s">
        <v>1900</v>
      </c>
      <c r="EM90" t="s">
        <v>1900</v>
      </c>
      <c r="EN90">
        <v>384067.581854168</v>
      </c>
      <c r="EO90">
        <v>190317.439912128</v>
      </c>
      <c r="EP90">
        <v>222893.406676418</v>
      </c>
      <c r="EQ90">
        <v>-26414.2767180276</v>
      </c>
      <c r="ER90">
        <v>-58132.2083123618</v>
      </c>
      <c r="ES90">
        <v>742468.04827796</v>
      </c>
      <c r="ET90">
        <v>457861.972182827</v>
      </c>
      <c r="EU90">
        <v>373764.489853682</v>
      </c>
      <c r="EV90">
        <v>172994.809364533</v>
      </c>
      <c r="EW90">
        <v>58383.7526248515</v>
      </c>
      <c r="EX90">
        <v>273479.011304227</v>
      </c>
      <c r="EY90">
        <v>100684.947881167</v>
      </c>
      <c r="EZ90">
        <v>115246.405352157</v>
      </c>
      <c r="FA90">
        <v>-51274.0617792606</v>
      </c>
      <c r="FB90">
        <v>-126780.439197171</v>
      </c>
      <c r="FC90">
        <v>2065787.64736933</v>
      </c>
      <c r="FD90">
        <v>1741451.98524225</v>
      </c>
      <c r="FE90">
        <v>1264123.13281689</v>
      </c>
      <c r="FF90">
        <v>1098297.30990844</v>
      </c>
      <c r="FG90">
        <v>1127215.03622825</v>
      </c>
      <c r="FH90">
        <v>1599572.00362611</v>
      </c>
      <c r="FI90">
        <v>1325252.14510688</v>
      </c>
      <c r="FJ90">
        <v>1015435.60675018</v>
      </c>
      <c r="FK90">
        <v>878431.365829897</v>
      </c>
      <c r="FL90">
        <v>952086.185186905</v>
      </c>
      <c r="FM90">
        <v>200851.331307036</v>
      </c>
      <c r="FN90">
        <v>171671.164293909</v>
      </c>
      <c r="FO90">
        <v>68038.22136607771</v>
      </c>
      <c r="FP90">
        <v>46499.336011076</v>
      </c>
      <c r="FQ90">
        <v>41687.2750911176</v>
      </c>
      <c r="FR90">
        <v>265364.312436184</v>
      </c>
      <c r="FS90">
        <v>244528.675841465</v>
      </c>
      <c r="FT90">
        <v>180649.303634031</v>
      </c>
      <c r="FU90">
        <v>173366.608067465</v>
      </c>
      <c r="FV90">
        <v>133441.575950229</v>
      </c>
      <c r="FW90">
        <v>1599572.00362611</v>
      </c>
      <c r="FX90">
        <v>1325252.14510688</v>
      </c>
      <c r="FY90">
        <v>1015435.60675018</v>
      </c>
      <c r="FZ90">
        <v>878431.365829897</v>
      </c>
      <c r="GA90">
        <v>952086.185186905</v>
      </c>
      <c r="GB90">
        <v>200851.331307036</v>
      </c>
      <c r="GC90">
        <v>171671.164293909</v>
      </c>
      <c r="GD90">
        <v>68038.22136607771</v>
      </c>
      <c r="GE90">
        <v>46499.336011076</v>
      </c>
      <c r="GF90">
        <v>41687.2750911176</v>
      </c>
      <c r="GG90">
        <v>265364.312436184</v>
      </c>
      <c r="GH90">
        <v>244528.675841465</v>
      </c>
      <c r="GI90">
        <v>180649.303634031</v>
      </c>
      <c r="GJ90">
        <v>173366.608067465</v>
      </c>
      <c r="GK90">
        <v>133441.575950229</v>
      </c>
      <c r="GL90">
        <v>1209503.40557584</v>
      </c>
      <c r="GM90">
        <v>1201325.27869002</v>
      </c>
      <c r="GN90">
        <v>764868.177753425</v>
      </c>
      <c r="GO90">
        <v>149209.601497014</v>
      </c>
      <c r="GP90">
        <v>406163.389027309</v>
      </c>
      <c r="GQ90">
        <v>36346.0978293407</v>
      </c>
      <c r="GR90">
        <v>14165.7748574257</v>
      </c>
      <c r="GS90">
        <v>0</v>
      </c>
      <c r="GT90">
        <v>0</v>
      </c>
      <c r="GU90">
        <v>0</v>
      </c>
      <c r="GV90">
        <v>1089393.1960656</v>
      </c>
      <c r="GW90">
        <v>827184.8293303869</v>
      </c>
      <c r="GX90">
        <v>735300.589363599</v>
      </c>
      <c r="GY90">
        <v>133430.07923398</v>
      </c>
      <c r="GZ90">
        <v>115015.722831821</v>
      </c>
      <c r="HA90">
        <v>83764.11168090461</v>
      </c>
      <c r="HB90">
        <v>359974.674502211</v>
      </c>
      <c r="HC90">
        <v>29567.5883898258</v>
      </c>
      <c r="HD90">
        <v>15779.5233956337</v>
      </c>
      <c r="HE90">
        <v>291147.666195488</v>
      </c>
      <c r="HF90">
        <v>83764.11168090461</v>
      </c>
      <c r="HG90">
        <v>359974.674502211</v>
      </c>
      <c r="HH90">
        <v>29567.5883898258</v>
      </c>
      <c r="HI90">
        <v>15779.5233956337</v>
      </c>
      <c r="HJ90">
        <v>291147.666195488</v>
      </c>
      <c r="HK90">
        <v>3275291.05294517</v>
      </c>
      <c r="HL90">
        <v>2942777.26393228</v>
      </c>
      <c r="HM90">
        <v>2028991.31057031</v>
      </c>
      <c r="HN90">
        <v>1247506.91253805</v>
      </c>
      <c r="HO90">
        <v>1533378.42525556</v>
      </c>
      <c r="HP90">
        <v>1296293.71734044</v>
      </c>
      <c r="HQ90">
        <v>1080922.17045459</v>
      </c>
      <c r="HR90">
        <v>898492.529594064</v>
      </c>
      <c r="HS90">
        <v>308436.069616485</v>
      </c>
      <c r="HT90">
        <v>543808.994906396</v>
      </c>
      <c r="HU90">
        <v>7805.2522507906</v>
      </c>
      <c r="HV90">
        <v>8010.14859485626</v>
      </c>
      <c r="HW90">
        <v>7731.77969038486</v>
      </c>
      <c r="HX90">
        <v>7383.42140436172</v>
      </c>
      <c r="HY90">
        <v>7999.46033298969</v>
      </c>
      <c r="HZ90">
        <v>1288488.46508965</v>
      </c>
      <c r="IA90">
        <v>1072912.02075473</v>
      </c>
      <c r="IB90">
        <v>890760.748837079</v>
      </c>
      <c r="IC90">
        <v>301052.647079523</v>
      </c>
      <c r="ID90">
        <v>535809.534573406</v>
      </c>
      <c r="IE90">
        <v>805453.442950062</v>
      </c>
      <c r="IF90">
        <v>1257211.14287091</v>
      </c>
      <c r="IG90">
        <v>310832.67860021</v>
      </c>
      <c r="IH90">
        <v>388585.662974524</v>
      </c>
      <c r="II90">
        <v>663414.572228801</v>
      </c>
      <c r="IJ90">
        <v>675825.73968868</v>
      </c>
      <c r="IK90">
        <v>1169376.89549698</v>
      </c>
      <c r="IL90">
        <v>258468.563353884</v>
      </c>
      <c r="IM90">
        <v>369308.318723345</v>
      </c>
      <c r="IN90">
        <v>648847.909594125</v>
      </c>
      <c r="IO90">
        <v>129627.703261381</v>
      </c>
      <c r="IP90">
        <v>87834.24626893039</v>
      </c>
      <c r="IQ90">
        <v>52364.1152463257</v>
      </c>
      <c r="IR90">
        <v>19277.3442511797</v>
      </c>
      <c r="IS90">
        <v>14566.6626346767</v>
      </c>
      <c r="IT90" t="s">
        <v>1900</v>
      </c>
      <c r="IU90" t="s">
        <v>1900</v>
      </c>
      <c r="IV90" t="s">
        <v>1900</v>
      </c>
      <c r="IW90" t="s">
        <v>1900</v>
      </c>
      <c r="IX90" t="s">
        <v>1900</v>
      </c>
      <c r="IY90">
        <v>1173543.89265466</v>
      </c>
      <c r="IZ90">
        <v>604643.950606775</v>
      </c>
      <c r="JA90">
        <v>819666.102376038</v>
      </c>
      <c r="JB90">
        <v>550485.179947042</v>
      </c>
      <c r="JC90">
        <v>326154.858120364</v>
      </c>
      <c r="JD90">
        <v>47327.4322005928</v>
      </c>
      <c r="JE90">
        <v>31732.2550410461</v>
      </c>
      <c r="JF90">
        <v>18668.1468772471</v>
      </c>
      <c r="JG90">
        <v>23177.600647974</v>
      </c>
      <c r="JH90">
        <v>8946.191984486581</v>
      </c>
      <c r="JI90">
        <v>41432.3318126893</v>
      </c>
      <c r="JJ90">
        <v>31087.3767516327</v>
      </c>
      <c r="JK90">
        <v>22123.7052333117</v>
      </c>
      <c r="JL90">
        <v>23291.9026710033</v>
      </c>
      <c r="JM90">
        <v>7832.47666032314</v>
      </c>
      <c r="JN90">
        <v>1084784.12864138</v>
      </c>
      <c r="JO90">
        <v>541824.317709096</v>
      </c>
      <c r="JP90">
        <v>778874.250265479</v>
      </c>
      <c r="JQ90">
        <v>504015.676628065</v>
      </c>
      <c r="JR90">
        <v>309376.189475554</v>
      </c>
      <c r="JS90">
        <v>3275291.05294517</v>
      </c>
      <c r="JT90">
        <v>2942777.26393228</v>
      </c>
      <c r="JU90">
        <v>2028991.31057031</v>
      </c>
      <c r="JV90">
        <v>1247506.91253805</v>
      </c>
      <c r="JW90">
        <v>1533378.42525556</v>
      </c>
      <c r="JX90">
        <v>1084306.96208225</v>
      </c>
      <c r="JY90">
        <v>810263.22633118</v>
      </c>
      <c r="JZ90">
        <v>713176.884130287</v>
      </c>
      <c r="KA90">
        <v>110138.176562977</v>
      </c>
      <c r="KB90">
        <v>107183.246171498</v>
      </c>
      <c r="KC90" t="s">
        <v>1900</v>
      </c>
      <c r="KD90" t="s">
        <v>1900</v>
      </c>
      <c r="KE90" t="s">
        <v>1900</v>
      </c>
      <c r="KF90" t="s">
        <v>1900</v>
      </c>
      <c r="KG90" t="s">
        <v>1900</v>
      </c>
      <c r="KH90" t="s">
        <v>1900</v>
      </c>
      <c r="KI90" t="s">
        <v>1900</v>
      </c>
      <c r="KJ90" t="s">
        <v>1900</v>
      </c>
      <c r="KK90" t="s">
        <v>1900</v>
      </c>
      <c r="KL90" t="s">
        <v>1900</v>
      </c>
      <c r="KM90">
        <v>12</v>
      </c>
      <c r="KN90">
        <v>8</v>
      </c>
      <c r="KO90">
        <v>7</v>
      </c>
      <c r="KP90">
        <v>5</v>
      </c>
      <c r="KQ90">
        <v>3</v>
      </c>
      <c r="KR90" t="s">
        <v>1900</v>
      </c>
      <c r="KS90" t="s">
        <v>1900</v>
      </c>
      <c r="KT90" t="s">
        <v>1900</v>
      </c>
      <c r="KU90" t="s">
        <v>1900</v>
      </c>
      <c r="KV90" t="s">
        <v>1900</v>
      </c>
      <c r="KW90" t="s">
        <v>1900</v>
      </c>
      <c r="KX90" t="s">
        <v>1900</v>
      </c>
      <c r="KY90" t="s">
        <v>1900</v>
      </c>
      <c r="KZ90" t="s">
        <v>1900</v>
      </c>
      <c r="LA90" t="s">
        <v>1900</v>
      </c>
      <c r="LB90" t="s">
        <v>1900</v>
      </c>
      <c r="LC90" t="s">
        <v>1900</v>
      </c>
      <c r="LD90" t="s">
        <v>1900</v>
      </c>
      <c r="LE90" t="s">
        <v>1900</v>
      </c>
      <c r="LF90" t="s">
        <v>1900</v>
      </c>
      <c r="LG90" t="s">
        <v>1900</v>
      </c>
      <c r="LH90" t="s">
        <v>1900</v>
      </c>
      <c r="LI90" t="s">
        <v>1900</v>
      </c>
      <c r="LJ90" t="s">
        <v>1900</v>
      </c>
      <c r="LK90" t="s">
        <v>1900</v>
      </c>
      <c r="LL90" t="s">
        <v>1900</v>
      </c>
      <c r="LM90" t="s">
        <v>1900</v>
      </c>
      <c r="LN90" t="s">
        <v>1900</v>
      </c>
      <c r="LO90" t="s">
        <v>1900</v>
      </c>
      <c r="LP90" t="s">
        <v>1900</v>
      </c>
      <c r="LQ90" t="s">
        <v>1900</v>
      </c>
      <c r="LR90" t="s">
        <v>1900</v>
      </c>
      <c r="LS90" t="s">
        <v>1900</v>
      </c>
      <c r="LT90" t="s">
        <v>1900</v>
      </c>
      <c r="LU90" t="s">
        <v>1900</v>
      </c>
      <c r="LV90" t="s">
        <v>1900</v>
      </c>
      <c r="LW90" t="s">
        <v>1900</v>
      </c>
      <c r="LX90" t="s">
        <v>1900</v>
      </c>
      <c r="LY90" t="s">
        <v>1900</v>
      </c>
      <c r="LZ90" t="s">
        <v>1900</v>
      </c>
      <c r="MA90" t="s">
        <v>1900</v>
      </c>
      <c r="MB90" t="s">
        <v>1900</v>
      </c>
      <c r="MC90" t="s">
        <v>1900</v>
      </c>
      <c r="MD90" t="s">
        <v>1900</v>
      </c>
      <c r="ME90" t="s">
        <v>1900</v>
      </c>
      <c r="MF90" t="s">
        <v>1900</v>
      </c>
      <c r="MG90" t="s">
        <v>1900</v>
      </c>
      <c r="MH90" t="s">
        <v>1900</v>
      </c>
      <c r="MI90" t="s">
        <v>1900</v>
      </c>
      <c r="MJ90" t="s">
        <v>1900</v>
      </c>
      <c r="MK90" t="s">
        <v>1900</v>
      </c>
      <c r="ML90" t="s">
        <v>1900</v>
      </c>
      <c r="MM90" t="s">
        <v>1900</v>
      </c>
      <c r="MN90" t="s">
        <v>1900</v>
      </c>
      <c r="MO90" t="s">
        <v>1900</v>
      </c>
      <c r="MP90">
        <v>83764.11168090461</v>
      </c>
      <c r="MQ90">
        <v>359974.674502211</v>
      </c>
      <c r="MR90">
        <v>29567.5883898258</v>
      </c>
      <c r="MS90">
        <v>15779.5233956337</v>
      </c>
      <c r="MT90">
        <v>291147.666195488</v>
      </c>
      <c r="MU90" t="s">
        <v>1900</v>
      </c>
      <c r="MV90" t="s">
        <v>1900</v>
      </c>
      <c r="MW90" t="s">
        <v>1900</v>
      </c>
      <c r="MX90" t="s">
        <v>1900</v>
      </c>
      <c r="MY90" t="s">
        <v>1900</v>
      </c>
      <c r="MZ90" t="s">
        <v>1900</v>
      </c>
      <c r="NA90" t="s">
        <v>1900</v>
      </c>
      <c r="NB90" t="s">
        <v>1900</v>
      </c>
      <c r="NC90" t="s">
        <v>1900</v>
      </c>
      <c r="ND90" t="s">
        <v>1900</v>
      </c>
      <c r="NE90" t="s">
        <v>1900</v>
      </c>
      <c r="NF90" t="s">
        <v>1900</v>
      </c>
      <c r="NG90" t="s">
        <v>1900</v>
      </c>
      <c r="NH90" t="s">
        <v>1900</v>
      </c>
      <c r="NI90" t="s">
        <v>1900</v>
      </c>
      <c r="NJ90" t="s">
        <v>1900</v>
      </c>
      <c r="NK90" t="s">
        <v>1900</v>
      </c>
      <c r="NL90" t="s">
        <v>1900</v>
      </c>
      <c r="NM90" t="s">
        <v>1900</v>
      </c>
      <c r="NN90" t="s">
        <v>1900</v>
      </c>
      <c r="NO90" t="s">
        <v>1900</v>
      </c>
      <c r="NP90" t="s">
        <v>1900</v>
      </c>
      <c r="NQ90" t="s">
        <v>1900</v>
      </c>
      <c r="NR90" t="s">
        <v>1900</v>
      </c>
      <c r="NS90" t="s">
        <v>1900</v>
      </c>
      <c r="NT90">
        <v>2065787.64736933</v>
      </c>
      <c r="NU90">
        <v>1741451.98524225</v>
      </c>
      <c r="NV90">
        <v>1264123.13281689</v>
      </c>
      <c r="NW90">
        <v>1098297.30990844</v>
      </c>
      <c r="NX90">
        <v>1127215.03622825</v>
      </c>
      <c r="NY90" t="s">
        <v>1900</v>
      </c>
      <c r="NZ90" t="s">
        <v>1900</v>
      </c>
      <c r="OA90" t="s">
        <v>1900</v>
      </c>
      <c r="OB90" t="s">
        <v>1900</v>
      </c>
      <c r="OC90" t="s">
        <v>1900</v>
      </c>
      <c r="OD90" t="s">
        <v>1900</v>
      </c>
      <c r="OE90" t="s">
        <v>1900</v>
      </c>
      <c r="OF90" t="s">
        <v>1900</v>
      </c>
      <c r="OG90" t="s">
        <v>1900</v>
      </c>
      <c r="OH90" t="s">
        <v>1900</v>
      </c>
      <c r="OI90" t="s">
        <v>1900</v>
      </c>
      <c r="OJ90" t="s">
        <v>1900</v>
      </c>
      <c r="OK90" t="s">
        <v>1900</v>
      </c>
      <c r="OL90" t="s">
        <v>1900</v>
      </c>
      <c r="OM90" t="s">
        <v>1900</v>
      </c>
      <c r="ON90" t="s">
        <v>1900</v>
      </c>
      <c r="OO90" t="s">
        <v>1900</v>
      </c>
      <c r="OP90" t="s">
        <v>1900</v>
      </c>
      <c r="OQ90" t="s">
        <v>1900</v>
      </c>
      <c r="OR90" t="s">
        <v>1900</v>
      </c>
      <c r="OS90" t="s">
        <v>1900</v>
      </c>
      <c r="OT90" t="s">
        <v>1900</v>
      </c>
      <c r="OU90" t="s">
        <v>1900</v>
      </c>
      <c r="OV90" t="s">
        <v>1900</v>
      </c>
      <c r="OW90" t="s">
        <v>1900</v>
      </c>
      <c r="OX90" t="s">
        <v>1900</v>
      </c>
      <c r="OY90" t="s">
        <v>1900</v>
      </c>
      <c r="OZ90" t="s">
        <v>1900</v>
      </c>
      <c r="PA90" t="s">
        <v>1900</v>
      </c>
      <c r="PB90" t="s">
        <v>1900</v>
      </c>
      <c r="PC90" t="s">
        <v>1900</v>
      </c>
      <c r="PD90" t="s">
        <v>1900</v>
      </c>
      <c r="PE90" t="s">
        <v>1900</v>
      </c>
      <c r="PF90" t="s">
        <v>1900</v>
      </c>
      <c r="PG90" t="s">
        <v>1900</v>
      </c>
      <c r="PH90" t="s">
        <v>1900</v>
      </c>
      <c r="PI90" t="s">
        <v>1900</v>
      </c>
      <c r="PJ90" t="s">
        <v>1900</v>
      </c>
      <c r="PK90" t="s">
        <v>1900</v>
      </c>
      <c r="PL90" t="s">
        <v>1900</v>
      </c>
      <c r="PM90" t="s">
        <v>1900</v>
      </c>
      <c r="PN90" t="s">
        <v>1900</v>
      </c>
      <c r="PO90" t="s">
        <v>1900</v>
      </c>
      <c r="PP90" t="s">
        <v>1900</v>
      </c>
      <c r="PQ90" t="s">
        <v>1900</v>
      </c>
      <c r="PR90" t="s">
        <v>1900</v>
      </c>
      <c r="PS90" t="s">
        <v>1900</v>
      </c>
      <c r="PT90" t="s">
        <v>1900</v>
      </c>
      <c r="PU90" t="s">
        <v>1900</v>
      </c>
      <c r="PV90" t="s">
        <v>1900</v>
      </c>
      <c r="PW90" t="s">
        <v>1900</v>
      </c>
      <c r="PX90" t="s">
        <v>1900</v>
      </c>
      <c r="PY90" t="s">
        <v>1900</v>
      </c>
      <c r="PZ90" t="s">
        <v>1900</v>
      </c>
      <c r="QA90" t="s">
        <v>1900</v>
      </c>
      <c r="QB90" t="s">
        <v>1900</v>
      </c>
      <c r="QC90" t="s">
        <v>1900</v>
      </c>
      <c r="QD90" t="s">
        <v>1900</v>
      </c>
      <c r="QE90" t="s">
        <v>1900</v>
      </c>
      <c r="QF90" t="s">
        <v>1900</v>
      </c>
      <c r="QG90" t="s">
        <v>1900</v>
      </c>
      <c r="QH90" t="s">
        <v>1900</v>
      </c>
      <c r="QI90" t="s">
        <v>1900</v>
      </c>
      <c r="QJ90" t="s">
        <v>1900</v>
      </c>
      <c r="QK90" t="s">
        <v>1900</v>
      </c>
      <c r="QL90" t="s">
        <v>1900</v>
      </c>
      <c r="QM90" t="s">
        <v>1900</v>
      </c>
      <c r="QN90" t="s">
        <v>1900</v>
      </c>
      <c r="QO90" t="s">
        <v>1900</v>
      </c>
      <c r="QP90" t="s">
        <v>1900</v>
      </c>
      <c r="QQ90" t="s">
        <v>1900</v>
      </c>
      <c r="QR90" t="s">
        <v>1900</v>
      </c>
      <c r="QS90" t="s">
        <v>1900</v>
      </c>
      <c r="QT90" t="s">
        <v>1900</v>
      </c>
      <c r="QU90" t="s">
        <v>1900</v>
      </c>
      <c r="QV90" t="s">
        <v>1900</v>
      </c>
      <c r="QW90" t="s">
        <v>1900</v>
      </c>
      <c r="QX90" t="s">
        <v>1900</v>
      </c>
      <c r="QY90" t="s">
        <v>1900</v>
      </c>
      <c r="QZ90" t="s">
        <v>1900</v>
      </c>
      <c r="RA90" t="s">
        <v>1900</v>
      </c>
      <c r="RB90" t="s">
        <v>1900</v>
      </c>
      <c r="RC90" t="s">
        <v>1900</v>
      </c>
      <c r="RD90" t="s">
        <v>1900</v>
      </c>
      <c r="RE90" t="s">
        <v>1900</v>
      </c>
      <c r="RF90" t="s">
        <v>1900</v>
      </c>
      <c r="RG90" t="s">
        <v>1900</v>
      </c>
      <c r="RH90" t="s">
        <v>1900</v>
      </c>
      <c r="RI90" t="s">
        <v>1900</v>
      </c>
      <c r="RJ90" t="s">
        <v>1900</v>
      </c>
      <c r="RK90" t="s">
        <v>1900</v>
      </c>
      <c r="RL90" t="s">
        <v>1900</v>
      </c>
      <c r="RM90" t="s">
        <v>1900</v>
      </c>
      <c r="RN90" t="s">
        <v>1900</v>
      </c>
      <c r="RO90" t="s">
        <v>1900</v>
      </c>
      <c r="RP90" t="s">
        <v>1900</v>
      </c>
      <c r="RQ90" t="s">
        <v>1900</v>
      </c>
      <c r="RR90" t="s">
        <v>1900</v>
      </c>
      <c r="RS90" t="s">
        <v>1900</v>
      </c>
      <c r="RT90" t="s">
        <v>1900</v>
      </c>
      <c r="RU90" t="s">
        <v>1900</v>
      </c>
      <c r="RV90" t="s">
        <v>1900</v>
      </c>
      <c r="RW90" t="s">
        <v>1900</v>
      </c>
      <c r="RX90" t="s">
        <v>1900</v>
      </c>
      <c r="RY90" t="s">
        <v>1900</v>
      </c>
      <c r="RZ90" t="s">
        <v>1900</v>
      </c>
      <c r="SA90" t="s">
        <v>1900</v>
      </c>
      <c r="SB90" t="s">
        <v>1900</v>
      </c>
      <c r="SC90" t="s">
        <v>1900</v>
      </c>
      <c r="SD90" t="s">
        <v>1900</v>
      </c>
      <c r="SE90" t="s">
        <v>1900</v>
      </c>
      <c r="SF90" t="s">
        <v>1900</v>
      </c>
      <c r="SG90" t="s">
        <v>1900</v>
      </c>
      <c r="SH90" t="s">
        <v>1900</v>
      </c>
      <c r="SI90" t="s">
        <v>1900</v>
      </c>
      <c r="SJ90">
        <v>265364.312436184</v>
      </c>
      <c r="SK90">
        <v>244528.675841465</v>
      </c>
      <c r="SL90">
        <v>180649.303634031</v>
      </c>
      <c r="SM90">
        <v>173366.608067465</v>
      </c>
      <c r="SN90">
        <v>133441.575950229</v>
      </c>
      <c r="SO90" t="s">
        <v>1900</v>
      </c>
      <c r="SP90" t="s">
        <v>1900</v>
      </c>
      <c r="SQ90" t="s">
        <v>1900</v>
      </c>
      <c r="SR90" t="s">
        <v>1900</v>
      </c>
      <c r="SS90" t="s">
        <v>1900</v>
      </c>
      <c r="ST90" t="s">
        <v>1900</v>
      </c>
      <c r="SU90" t="s">
        <v>1900</v>
      </c>
      <c r="SV90" t="s">
        <v>1900</v>
      </c>
      <c r="SW90" t="s">
        <v>1900</v>
      </c>
      <c r="SX90" t="s">
        <v>1900</v>
      </c>
      <c r="SY90" t="s">
        <v>1900</v>
      </c>
      <c r="SZ90" t="s">
        <v>1900</v>
      </c>
      <c r="TA90" t="s">
        <v>1900</v>
      </c>
      <c r="TB90" t="s">
        <v>1900</v>
      </c>
      <c r="TC90" t="s">
        <v>1900</v>
      </c>
      <c r="TD90" t="s">
        <v>1900</v>
      </c>
      <c r="TE90" t="s">
        <v>1900</v>
      </c>
      <c r="TF90" t="s">
        <v>1900</v>
      </c>
      <c r="TG90" t="s">
        <v>1900</v>
      </c>
      <c r="TH90" t="s">
        <v>1900</v>
      </c>
      <c r="TI90" t="s">
        <v>1900</v>
      </c>
      <c r="TJ90" t="s">
        <v>1900</v>
      </c>
      <c r="TK90" t="s">
        <v>1900</v>
      </c>
      <c r="TL90" t="s">
        <v>1900</v>
      </c>
      <c r="TM90" t="s">
        <v>1900</v>
      </c>
      <c r="TN90" t="s">
        <v>1900</v>
      </c>
      <c r="TO90" t="s">
        <v>1900</v>
      </c>
      <c r="TP90" t="s">
        <v>1900</v>
      </c>
      <c r="TQ90" t="s">
        <v>1900</v>
      </c>
      <c r="TR90" t="s">
        <v>1900</v>
      </c>
      <c r="TS90">
        <v>3275291.05294517</v>
      </c>
      <c r="TT90">
        <v>2942777.26393228</v>
      </c>
      <c r="TU90">
        <v>2028991.31057031</v>
      </c>
      <c r="TV90">
        <v>1247506.91253805</v>
      </c>
      <c r="TW90">
        <v>1533378.42525556</v>
      </c>
      <c r="TX90" t="s">
        <v>1900</v>
      </c>
      <c r="TY90" t="s">
        <v>1900</v>
      </c>
      <c r="TZ90" t="s">
        <v>1900</v>
      </c>
      <c r="UA90" t="s">
        <v>1900</v>
      </c>
      <c r="UB90" t="s">
        <v>1900</v>
      </c>
      <c r="UC90">
        <v>47327.4322005928</v>
      </c>
      <c r="UD90">
        <v>31732.2550410461</v>
      </c>
      <c r="UE90">
        <v>18668.1468772471</v>
      </c>
      <c r="UF90">
        <v>23177.600647974</v>
      </c>
      <c r="UG90">
        <v>8946.191984486581</v>
      </c>
      <c r="UH90" t="s">
        <v>1900</v>
      </c>
      <c r="UI90" t="s">
        <v>1900</v>
      </c>
      <c r="UJ90" t="s">
        <v>1900</v>
      </c>
      <c r="UK90" t="s">
        <v>1900</v>
      </c>
      <c r="UL90" t="s">
        <v>1900</v>
      </c>
      <c r="UM90" t="s">
        <v>1900</v>
      </c>
      <c r="UN90" t="s">
        <v>1900</v>
      </c>
      <c r="UO90" t="s">
        <v>1900</v>
      </c>
      <c r="UP90" t="s">
        <v>1900</v>
      </c>
      <c r="UQ90" t="s">
        <v>1900</v>
      </c>
      <c r="UR90" t="s">
        <v>1900</v>
      </c>
      <c r="US90" t="s">
        <v>1900</v>
      </c>
      <c r="UT90" t="s">
        <v>1900</v>
      </c>
      <c r="UU90" t="s">
        <v>1900</v>
      </c>
      <c r="UV90" t="s">
        <v>1900</v>
      </c>
      <c r="UW90" t="s">
        <v>1900</v>
      </c>
      <c r="UX90" t="s">
        <v>1900</v>
      </c>
      <c r="UY90" t="s">
        <v>1900</v>
      </c>
      <c r="UZ90" t="s">
        <v>1900</v>
      </c>
      <c r="VA90" t="s">
        <v>1900</v>
      </c>
      <c r="VB90" t="s">
        <v>1900</v>
      </c>
      <c r="VC90" t="s">
        <v>1900</v>
      </c>
      <c r="VD90" t="s">
        <v>1900</v>
      </c>
      <c r="VE90" t="s">
        <v>1900</v>
      </c>
      <c r="VF90" t="s">
        <v>1900</v>
      </c>
      <c r="VG90" t="s">
        <v>1900</v>
      </c>
      <c r="VH90" t="s">
        <v>1900</v>
      </c>
      <c r="VI90" t="s">
        <v>1900</v>
      </c>
      <c r="VJ90" t="s">
        <v>1900</v>
      </c>
      <c r="VK90" t="s">
        <v>1900</v>
      </c>
      <c r="VL90" t="s">
        <v>1900</v>
      </c>
      <c r="VM90" t="s">
        <v>1900</v>
      </c>
      <c r="VN90" t="s">
        <v>1900</v>
      </c>
      <c r="VO90" t="s">
        <v>1900</v>
      </c>
      <c r="VP90" t="s">
        <v>1900</v>
      </c>
      <c r="VQ90" t="s">
        <v>1900</v>
      </c>
      <c r="VR90" t="s">
        <v>1900</v>
      </c>
      <c r="VS90" t="s">
        <v>1900</v>
      </c>
      <c r="VT90" t="s">
        <v>1900</v>
      </c>
      <c r="VU90" t="s">
        <v>1900</v>
      </c>
      <c r="VV90" t="s">
        <v>1900</v>
      </c>
      <c r="VW90" t="s">
        <v>1900</v>
      </c>
      <c r="VX90" t="s">
        <v>1900</v>
      </c>
      <c r="VY90" t="s">
        <v>1900</v>
      </c>
      <c r="VZ90" t="s">
        <v>1900</v>
      </c>
      <c r="WA90">
        <v>1084784.12864138</v>
      </c>
      <c r="WB90">
        <v>541824.317709096</v>
      </c>
      <c r="WC90">
        <v>778874.250265479</v>
      </c>
      <c r="WD90">
        <v>504015.676628065</v>
      </c>
      <c r="WE90">
        <v>309376.189475554</v>
      </c>
      <c r="WF90" t="s">
        <v>1900</v>
      </c>
      <c r="WG90" t="s">
        <v>1900</v>
      </c>
      <c r="WH90" t="s">
        <v>1900</v>
      </c>
      <c r="WI90" t="s">
        <v>1900</v>
      </c>
      <c r="WJ90" t="s">
        <v>1900</v>
      </c>
      <c r="WK90" t="s">
        <v>1900</v>
      </c>
      <c r="WL90" t="s">
        <v>1900</v>
      </c>
      <c r="WM90" t="s">
        <v>1900</v>
      </c>
      <c r="WN90" t="s">
        <v>1900</v>
      </c>
      <c r="WO90" t="s">
        <v>1900</v>
      </c>
      <c r="WP90" t="s">
        <v>1900</v>
      </c>
      <c r="WQ90" t="s">
        <v>1900</v>
      </c>
      <c r="WR90" t="s">
        <v>1900</v>
      </c>
      <c r="WS90" t="s">
        <v>1900</v>
      </c>
      <c r="WT90" t="s">
        <v>1900</v>
      </c>
      <c r="WU90" t="s">
        <v>1900</v>
      </c>
      <c r="WV90" t="s">
        <v>1900</v>
      </c>
      <c r="WW90" t="s">
        <v>1900</v>
      </c>
      <c r="WX90" t="s">
        <v>1900</v>
      </c>
      <c r="WY90" t="s">
        <v>1900</v>
      </c>
      <c r="WZ90" t="s">
        <v>1900</v>
      </c>
      <c r="XA90" t="s">
        <v>1900</v>
      </c>
      <c r="XB90" t="s">
        <v>1900</v>
      </c>
      <c r="XC90" t="s">
        <v>1900</v>
      </c>
      <c r="XD90" t="s">
        <v>1900</v>
      </c>
      <c r="XE90" t="s">
        <v>1900</v>
      </c>
      <c r="XF90" t="s">
        <v>1900</v>
      </c>
      <c r="XG90" t="s">
        <v>1900</v>
      </c>
      <c r="XH90" t="s">
        <v>1900</v>
      </c>
      <c r="XI90" t="s">
        <v>1900</v>
      </c>
      <c r="XJ90">
        <v>129627.703261381</v>
      </c>
      <c r="XK90">
        <v>87834.24626893039</v>
      </c>
      <c r="XL90">
        <v>52364.1152463257</v>
      </c>
      <c r="XM90">
        <v>19277.3442511797</v>
      </c>
      <c r="XN90">
        <v>14566.6626346767</v>
      </c>
      <c r="XO90" t="s">
        <v>1900</v>
      </c>
      <c r="XP90" t="s">
        <v>1900</v>
      </c>
      <c r="XQ90" t="s">
        <v>1900</v>
      </c>
      <c r="XR90" t="s">
        <v>1900</v>
      </c>
      <c r="XS90" t="s">
        <v>1900</v>
      </c>
      <c r="XT90" t="s">
        <v>1900</v>
      </c>
      <c r="XU90" t="s">
        <v>1900</v>
      </c>
      <c r="XV90" t="s">
        <v>1900</v>
      </c>
      <c r="XW90" t="s">
        <v>1900</v>
      </c>
      <c r="XX90" t="s">
        <v>1900</v>
      </c>
      <c r="XY90" t="s">
        <v>1900</v>
      </c>
      <c r="XZ90" t="s">
        <v>1900</v>
      </c>
      <c r="YA90" t="s">
        <v>1900</v>
      </c>
      <c r="YB90" t="s">
        <v>1900</v>
      </c>
      <c r="YC90" t="s">
        <v>1900</v>
      </c>
      <c r="YD90" t="s">
        <v>1900</v>
      </c>
      <c r="YE90" t="s">
        <v>1900</v>
      </c>
      <c r="YF90" t="s">
        <v>1900</v>
      </c>
      <c r="YG90" t="s">
        <v>1900</v>
      </c>
      <c r="YH90" t="s">
        <v>1900</v>
      </c>
      <c r="YI90" t="s">
        <v>1900</v>
      </c>
      <c r="YJ90" t="s">
        <v>1900</v>
      </c>
      <c r="YK90" t="s">
        <v>1900</v>
      </c>
      <c r="YL90" t="s">
        <v>1900</v>
      </c>
      <c r="YM90" t="s">
        <v>1900</v>
      </c>
      <c r="YN90" t="s">
        <v>1900</v>
      </c>
      <c r="YO90" t="s">
        <v>1900</v>
      </c>
      <c r="YP90" t="s">
        <v>1900</v>
      </c>
      <c r="YQ90" t="s">
        <v>1900</v>
      </c>
      <c r="YR90" t="s">
        <v>1900</v>
      </c>
      <c r="YS90" t="s">
        <v>1900</v>
      </c>
      <c r="YT90" t="s">
        <v>1900</v>
      </c>
      <c r="YU90" t="s">
        <v>1900</v>
      </c>
      <c r="YV90" t="s">
        <v>1900</v>
      </c>
      <c r="YW90" t="s">
        <v>1900</v>
      </c>
      <c r="YX90" t="s">
        <v>1900</v>
      </c>
      <c r="YY90" t="s">
        <v>1900</v>
      </c>
      <c r="YZ90" t="s">
        <v>1900</v>
      </c>
      <c r="ZA90" t="s">
        <v>1900</v>
      </c>
      <c r="ZB90" t="s">
        <v>1900</v>
      </c>
      <c r="ZC90" t="s">
        <v>1900</v>
      </c>
      <c r="ZD90" t="s">
        <v>1900</v>
      </c>
      <c r="ZE90" t="s">
        <v>1900</v>
      </c>
      <c r="ZF90" t="s">
        <v>1900</v>
      </c>
      <c r="ZG90" t="s">
        <v>1900</v>
      </c>
      <c r="ZH90" t="s">
        <v>1900</v>
      </c>
      <c r="ZI90" t="s">
        <v>1900</v>
      </c>
      <c r="ZJ90" t="s">
        <v>1900</v>
      </c>
      <c r="ZK90" t="s">
        <v>1900</v>
      </c>
      <c r="ZL90" t="s">
        <v>1900</v>
      </c>
      <c r="ZM90" t="s">
        <v>1900</v>
      </c>
      <c r="ZN90" t="s">
        <v>1900</v>
      </c>
      <c r="ZO90" t="s">
        <v>1900</v>
      </c>
      <c r="ZP90" t="s">
        <v>1900</v>
      </c>
      <c r="ZQ90" t="s">
        <v>1900</v>
      </c>
      <c r="ZR90" t="s">
        <v>1900</v>
      </c>
      <c r="ZS90" t="s">
        <v>1900</v>
      </c>
      <c r="ZT90" t="s">
        <v>1900</v>
      </c>
      <c r="ZU90" t="s">
        <v>1900</v>
      </c>
      <c r="ZV90" t="s">
        <v>1900</v>
      </c>
      <c r="ZW90" t="s">
        <v>1900</v>
      </c>
      <c r="ZX90" t="s">
        <v>1900</v>
      </c>
      <c r="ZY90" t="s">
        <v>1900</v>
      </c>
      <c r="ZZ90" t="s">
        <v>1900</v>
      </c>
      <c r="AAA90" t="s">
        <v>1900</v>
      </c>
      <c r="AAB90" t="s">
        <v>1900</v>
      </c>
      <c r="AAC90" t="s">
        <v>1900</v>
      </c>
      <c r="AAD90" t="s">
        <v>1900</v>
      </c>
      <c r="AAE90" t="s">
        <v>1900</v>
      </c>
      <c r="AAF90" t="s">
        <v>1900</v>
      </c>
      <c r="AAG90" t="s">
        <v>1900</v>
      </c>
      <c r="AAH90" t="s">
        <v>1900</v>
      </c>
      <c r="AAI90" t="s">
        <v>1900</v>
      </c>
      <c r="AAJ90" t="s">
        <v>1900</v>
      </c>
      <c r="AAK90" t="s">
        <v>1900</v>
      </c>
      <c r="AAL90" t="s">
        <v>1900</v>
      </c>
      <c r="AAM90" t="s">
        <v>1900</v>
      </c>
      <c r="AAN90" t="s">
        <v>1900</v>
      </c>
      <c r="AAO90" t="s">
        <v>1900</v>
      </c>
      <c r="AAP90" t="s">
        <v>1900</v>
      </c>
      <c r="AAQ90" t="s">
        <v>1900</v>
      </c>
      <c r="AAR90" t="s">
        <v>1900</v>
      </c>
      <c r="AAS90" t="s">
        <v>1900</v>
      </c>
      <c r="AAT90" t="s">
        <v>1900</v>
      </c>
      <c r="AAU90" t="s">
        <v>1900</v>
      </c>
      <c r="AAV90" t="s">
        <v>1900</v>
      </c>
      <c r="AAW90" t="s">
        <v>1900</v>
      </c>
      <c r="AAX90" t="s">
        <v>1900</v>
      </c>
      <c r="AAY90" t="s">
        <v>1900</v>
      </c>
      <c r="AAZ90" t="s">
        <v>1900</v>
      </c>
      <c r="ABA90" t="s">
        <v>1900</v>
      </c>
      <c r="ABB90" t="s">
        <v>1900</v>
      </c>
      <c r="ABC90" t="s">
        <v>1900</v>
      </c>
      <c r="ABD90" t="s">
        <v>1900</v>
      </c>
      <c r="ABE90" t="s">
        <v>1900</v>
      </c>
      <c r="ABF90" t="s">
        <v>1900</v>
      </c>
      <c r="ABG90" t="s">
        <v>1900</v>
      </c>
      <c r="ABH90" t="s">
        <v>1900</v>
      </c>
      <c r="ABI90" t="s">
        <v>1900</v>
      </c>
      <c r="ABJ90" t="s">
        <v>1900</v>
      </c>
      <c r="ABK90" t="s">
        <v>1900</v>
      </c>
      <c r="ABL90" t="s">
        <v>1900</v>
      </c>
      <c r="ABM90" t="s">
        <v>1900</v>
      </c>
      <c r="ABN90" t="s">
        <v>1900</v>
      </c>
      <c r="ABO90" t="s">
        <v>1900</v>
      </c>
      <c r="ABP90" t="s">
        <v>1900</v>
      </c>
      <c r="ABQ90" t="s">
        <v>1900</v>
      </c>
      <c r="ABR90" t="s">
        <v>1900</v>
      </c>
      <c r="ABS90" t="s">
        <v>1900</v>
      </c>
      <c r="ABT90" t="s">
        <v>1900</v>
      </c>
      <c r="ABU90" t="s">
        <v>1900</v>
      </c>
      <c r="ABV90" t="s">
        <v>1900</v>
      </c>
      <c r="ABW90" t="s">
        <v>1900</v>
      </c>
      <c r="ABX90" t="s">
        <v>1900</v>
      </c>
      <c r="ABY90" t="s">
        <v>1900</v>
      </c>
      <c r="ABZ90" t="s">
        <v>1900</v>
      </c>
      <c r="ACA90" t="s">
        <v>1900</v>
      </c>
      <c r="ACB90" t="s">
        <v>1900</v>
      </c>
      <c r="ACC90" t="s">
        <v>1900</v>
      </c>
      <c r="ACD90" t="s">
        <v>1900</v>
      </c>
      <c r="ACE90">
        <v>-4.666</v>
      </c>
      <c r="ACF90">
        <v>-10.115</v>
      </c>
      <c r="ACG90">
        <v>-10.19</v>
      </c>
      <c r="ACH90">
        <v>-90.54900000000001</v>
      </c>
      <c r="ACI90">
        <v>-42.476</v>
      </c>
      <c r="ACJ90">
        <v>-1.711</v>
      </c>
      <c r="ACK90">
        <v>-3.537</v>
      </c>
      <c r="ACL90">
        <v>-6.217</v>
      </c>
      <c r="ACM90">
        <v>-37.938</v>
      </c>
      <c r="ACN90">
        <v>-18.171</v>
      </c>
      <c r="ACO90">
        <v>-1.847</v>
      </c>
      <c r="ACP90">
        <v>-3.715</v>
      </c>
      <c r="ACQ90">
        <v>-4.513</v>
      </c>
      <c r="ACR90">
        <v>-22.387</v>
      </c>
      <c r="ACS90">
        <v>-15.064</v>
      </c>
      <c r="ACT90">
        <v>5.757</v>
      </c>
      <c r="ACU90">
        <v>0.639</v>
      </c>
      <c r="ACV90">
        <v>3.604</v>
      </c>
      <c r="ACW90">
        <v>-77.673</v>
      </c>
      <c r="ACX90">
        <v>-27.715</v>
      </c>
      <c r="ACY90">
        <v>4.718</v>
      </c>
      <c r="ACZ90">
        <v>1.435</v>
      </c>
      <c r="ADA90">
        <v>4.032</v>
      </c>
      <c r="ADB90">
        <v>-32.24</v>
      </c>
      <c r="ADC90">
        <v>-11.522</v>
      </c>
      <c r="ADD90">
        <v>2.279</v>
      </c>
      <c r="ADE90">
        <v>0.235</v>
      </c>
      <c r="ADF90">
        <v>1.596</v>
      </c>
      <c r="ADG90">
        <v>-19.204</v>
      </c>
      <c r="ADH90">
        <v>-9.829000000000001</v>
      </c>
      <c r="ADI90">
        <v>-13.107</v>
      </c>
      <c r="ADJ90">
        <v>-30.78</v>
      </c>
      <c r="ADK90">
        <v>-39.5</v>
      </c>
      <c r="ADL90" t="s">
        <v>1901</v>
      </c>
      <c r="ADM90" t="s">
        <v>1901</v>
      </c>
      <c r="ADN90">
        <v>92.876</v>
      </c>
      <c r="ADO90">
        <v>88.096</v>
      </c>
      <c r="ADP90">
        <v>93.96299999999999</v>
      </c>
      <c r="ADQ90">
        <v>88.45099999999999</v>
      </c>
      <c r="ADR90">
        <v>60.962</v>
      </c>
      <c r="ADS90">
        <v>-7.79140643</v>
      </c>
      <c r="ADT90">
        <v>-23.289302906</v>
      </c>
      <c r="ADU90">
        <v>-32.470181486</v>
      </c>
      <c r="ADV90">
        <v>-142.181337773</v>
      </c>
      <c r="ADW90">
        <v>-246.47538208</v>
      </c>
      <c r="ADX90">
        <v>59.26</v>
      </c>
      <c r="ADY90">
        <v>28.345</v>
      </c>
      <c r="ADZ90">
        <v>49.719</v>
      </c>
      <c r="AEA90">
        <v>-27.569</v>
      </c>
      <c r="AEB90" t="s">
        <v>1901</v>
      </c>
      <c r="AEC90">
        <v>-7.791</v>
      </c>
      <c r="AED90">
        <v>-23.289</v>
      </c>
      <c r="AEE90">
        <v>-32.47</v>
      </c>
      <c r="AEF90" t="s">
        <v>1901</v>
      </c>
      <c r="AEG90" t="s">
        <v>1901</v>
      </c>
      <c r="AEH90">
        <v>83.223</v>
      </c>
      <c r="AEI90">
        <v>53.578</v>
      </c>
      <c r="AEJ90">
        <v>96.16</v>
      </c>
      <c r="AEK90">
        <v>-14.203</v>
      </c>
      <c r="AEL90">
        <v>-65.31699999999999</v>
      </c>
      <c r="AEM90">
        <v>-7.228225967</v>
      </c>
      <c r="AEN90">
        <v>-18.889962354</v>
      </c>
      <c r="AEO90">
        <v>-24.511313506</v>
      </c>
      <c r="AEP90">
        <v>-58.7086268</v>
      </c>
      <c r="AEQ90">
        <v>-71.137920565</v>
      </c>
      <c r="AER90">
        <v>0.922602559</v>
      </c>
      <c r="AES90">
        <v>0.79091168</v>
      </c>
      <c r="AET90">
        <v>0.743183865</v>
      </c>
      <c r="AEU90">
        <v>0.383514323</v>
      </c>
      <c r="AEV90">
        <v>0.198290247</v>
      </c>
      <c r="AEW90" t="s">
        <v>1900</v>
      </c>
      <c r="AEX90" t="s">
        <v>1900</v>
      </c>
      <c r="AEY90" t="s">
        <v>1900</v>
      </c>
      <c r="AEZ90" t="s">
        <v>1900</v>
      </c>
      <c r="AFA90" t="s">
        <v>1900</v>
      </c>
      <c r="AFB90" t="s">
        <v>1900</v>
      </c>
      <c r="AFC90" t="s">
        <v>1900</v>
      </c>
      <c r="AFD90" t="s">
        <v>1900</v>
      </c>
      <c r="AFE90" t="s">
        <v>1900</v>
      </c>
      <c r="AFF90" t="s">
        <v>1900</v>
      </c>
      <c r="AFG90">
        <v>0.22</v>
      </c>
      <c r="AFH90">
        <v>0.152</v>
      </c>
      <c r="AFI90">
        <v>0.192</v>
      </c>
      <c r="AFJ90">
        <v>0.267</v>
      </c>
      <c r="AFK90">
        <v>0.074</v>
      </c>
      <c r="AFL90">
        <v>-1.466</v>
      </c>
      <c r="AFM90">
        <v>-3.106</v>
      </c>
      <c r="AFN90">
        <v>-4.595</v>
      </c>
      <c r="AFO90">
        <v>-17.804</v>
      </c>
      <c r="AFP90">
        <v>-18.869</v>
      </c>
      <c r="AFQ90">
        <v>12.697</v>
      </c>
      <c r="AFR90">
        <v>25.076</v>
      </c>
      <c r="AFS90" t="s">
        <v>1901</v>
      </c>
      <c r="AFT90" t="s">
        <v>1901</v>
      </c>
      <c r="AFU90" t="s">
        <v>1901</v>
      </c>
      <c r="AFV90">
        <v>849.814</v>
      </c>
      <c r="AFW90">
        <v>838.327</v>
      </c>
      <c r="AFX90" t="s">
        <v>1901</v>
      </c>
      <c r="AFY90">
        <v>258.276</v>
      </c>
      <c r="AFZ90">
        <v>465.229</v>
      </c>
      <c r="AGA90">
        <v>32.321</v>
      </c>
      <c r="AGB90">
        <v>31.506</v>
      </c>
      <c r="AGC90">
        <v>34.36</v>
      </c>
      <c r="AGD90">
        <v>45.085</v>
      </c>
      <c r="AGE90">
        <v>31.682</v>
      </c>
      <c r="AGF90" t="s">
        <v>1900</v>
      </c>
      <c r="AGG90" t="s">
        <v>1900</v>
      </c>
      <c r="AGH90" t="s">
        <v>1900</v>
      </c>
      <c r="AGI90" t="s">
        <v>1900</v>
      </c>
      <c r="AGJ90" t="s">
        <v>1900</v>
      </c>
      <c r="AGK90" t="s">
        <v>1900</v>
      </c>
      <c r="AGL90" t="s">
        <v>1900</v>
      </c>
      <c r="AGM90" t="s">
        <v>1900</v>
      </c>
      <c r="AGN90" t="s">
        <v>1900</v>
      </c>
      <c r="AGO90" t="s">
        <v>1900</v>
      </c>
      <c r="AGP90" t="s">
        <v>1900</v>
      </c>
      <c r="AGQ90" t="s">
        <v>1900</v>
      </c>
      <c r="AGR90" t="s">
        <v>1900</v>
      </c>
      <c r="AGS90" t="s">
        <v>1900</v>
      </c>
      <c r="AGT90" t="s">
        <v>1900</v>
      </c>
      <c r="AGU90">
        <v>0</v>
      </c>
      <c r="AGV90">
        <v>0</v>
      </c>
      <c r="AGW90">
        <v>0</v>
      </c>
      <c r="AGX90">
        <v>0</v>
      </c>
      <c r="AGY90">
        <v>0</v>
      </c>
      <c r="AGZ90">
        <v>1.031</v>
      </c>
      <c r="AHA90">
        <v>1.987</v>
      </c>
      <c r="AHB90">
        <v>0.9330000000000001</v>
      </c>
      <c r="AHC90">
        <v>0.271</v>
      </c>
      <c r="AHD90">
        <v>1.245</v>
      </c>
      <c r="AHE90">
        <v>1</v>
      </c>
      <c r="AHF90">
        <v>1.963</v>
      </c>
      <c r="AHG90">
        <v>0.9330000000000001</v>
      </c>
      <c r="AHH90">
        <v>0.271</v>
      </c>
      <c r="AHI90">
        <v>1.245</v>
      </c>
      <c r="AHJ90">
        <v>1.609</v>
      </c>
      <c r="AHK90">
        <v>0.86</v>
      </c>
      <c r="AHL90">
        <v>2.891</v>
      </c>
      <c r="AHM90">
        <v>0.794</v>
      </c>
      <c r="AHN90">
        <v>0.82</v>
      </c>
      <c r="AHO90">
        <v>39.578</v>
      </c>
      <c r="AHP90">
        <v>36.731</v>
      </c>
      <c r="AHQ90">
        <v>44.283</v>
      </c>
      <c r="AHR90">
        <v>24.724</v>
      </c>
      <c r="AHS90">
        <v>35.465</v>
      </c>
      <c r="AHT90">
        <v>65.503</v>
      </c>
      <c r="AHU90">
        <v>58.056</v>
      </c>
      <c r="AHV90">
        <v>79.47799999999999</v>
      </c>
      <c r="AHW90">
        <v>32.845</v>
      </c>
      <c r="AHX90">
        <v>54.954</v>
      </c>
      <c r="AHY90">
        <v>65.786</v>
      </c>
      <c r="AHZ90">
        <v>119.245</v>
      </c>
      <c r="AIA90">
        <v>36.673</v>
      </c>
      <c r="AIB90">
        <v>133.5</v>
      </c>
      <c r="AIC90">
        <v>123.639</v>
      </c>
      <c r="AID90">
        <v>8.102007063</v>
      </c>
      <c r="AIE90">
        <v>8.309452394999999</v>
      </c>
      <c r="AIF90">
        <v>8.903404499000001</v>
      </c>
      <c r="AIG90">
        <v>13.897045886</v>
      </c>
      <c r="AIH90">
        <v>8.702455555</v>
      </c>
      <c r="AII90">
        <v>2.557455515</v>
      </c>
      <c r="AIJ90">
        <v>12.232481164</v>
      </c>
      <c r="AIK90">
        <v>1.457255545</v>
      </c>
      <c r="AIL90">
        <v>1.264884646</v>
      </c>
      <c r="AIM90">
        <v>18.987332898</v>
      </c>
      <c r="AIN90">
        <v>33.120236068</v>
      </c>
      <c r="AIO90">
        <v>18.412005705</v>
      </c>
      <c r="AIP90">
        <v>38.387263967</v>
      </c>
      <c r="AIQ90">
        <v>40.401834376</v>
      </c>
      <c r="AIR90">
        <v>20.176114675</v>
      </c>
      <c r="AIS90">
        <v>110.554425299</v>
      </c>
      <c r="AIT90">
        <v>33.499983537</v>
      </c>
      <c r="AIU90">
        <v>0</v>
      </c>
      <c r="AIV90">
        <v>0</v>
      </c>
      <c r="AIW90">
        <v>0</v>
      </c>
      <c r="AIX90">
        <v>-5.04073122235668</v>
      </c>
      <c r="AIY90">
        <v>-13.6671157586336</v>
      </c>
      <c r="AIZ90">
        <v>-13.0799409766012</v>
      </c>
      <c r="AJA90">
        <v>-55.8569522377682</v>
      </c>
      <c r="AJB90">
        <v>-76.99679606008949</v>
      </c>
      <c r="AJC90">
        <v>38.4575676452637</v>
      </c>
      <c r="AJD90">
        <v>44.4019299470405</v>
      </c>
      <c r="AJE90">
        <v>33.1135506519157</v>
      </c>
      <c r="AJF90">
        <v>37.1965399044657</v>
      </c>
      <c r="AJG90">
        <v>29.666876634441</v>
      </c>
      <c r="AJH90" t="s">
        <v>1901</v>
      </c>
      <c r="AJI90" t="s">
        <v>1901</v>
      </c>
      <c r="AJJ90" t="s">
        <v>1901</v>
      </c>
      <c r="AJK90" t="s">
        <v>1901</v>
      </c>
      <c r="AJL90" t="s">
        <v>1901</v>
      </c>
      <c r="AJM90">
        <v>39.0824200075359</v>
      </c>
      <c r="AJN90">
        <v>44.6438256056004</v>
      </c>
      <c r="AJO90">
        <v>36.9190826986671</v>
      </c>
      <c r="AJP90">
        <v>44.8537742287588</v>
      </c>
      <c r="AJQ90">
        <v>61.7213976830405</v>
      </c>
      <c r="AJR90">
        <v>108.024476098737</v>
      </c>
      <c r="AJS90">
        <v>135.115271583074</v>
      </c>
      <c r="AJT90">
        <v>128.356075656295</v>
      </c>
      <c r="AJU90">
        <v>61.6872139232969</v>
      </c>
      <c r="AJV90">
        <v>181.269664559765</v>
      </c>
      <c r="AJW90">
        <v>90.35891402630369</v>
      </c>
      <c r="AJX90">
        <v>101.282903429523</v>
      </c>
      <c r="AJY90">
        <v>101.882411866241</v>
      </c>
      <c r="AJZ90">
        <v>22.0276353125954</v>
      </c>
      <c r="AKA90">
        <v>35.7277483147997</v>
      </c>
      <c r="AKB90">
        <v>272.940921598214</v>
      </c>
      <c r="AKC90">
        <v>367.847157715284</v>
      </c>
      <c r="AKD90">
        <v>289.855901662416</v>
      </c>
      <c r="AKE90">
        <v>249.50138250761</v>
      </c>
      <c r="AKF90">
        <v>511.126141342821</v>
      </c>
      <c r="AKG90">
        <v>110.554425299</v>
      </c>
      <c r="AKH90">
        <v>33.499983537</v>
      </c>
      <c r="AKI90">
        <v>0</v>
      </c>
      <c r="AKJ90">
        <v>0</v>
      </c>
      <c r="AKK90">
        <v>0</v>
      </c>
      <c r="AKL90">
        <v>7.87580097</v>
      </c>
      <c r="AKM90">
        <v>3.987938971</v>
      </c>
      <c r="AKN90">
        <v>0</v>
      </c>
      <c r="AKO90">
        <v>0</v>
      </c>
      <c r="AKP90">
        <v>0</v>
      </c>
      <c r="AKQ90">
        <v>1.109705893</v>
      </c>
      <c r="AKR90">
        <v>0.481374348</v>
      </c>
      <c r="AKS90">
        <v>0</v>
      </c>
      <c r="AKT90">
        <v>0</v>
      </c>
      <c r="AKU90">
        <v>0</v>
      </c>
      <c r="AKV90">
        <v>346.60971853</v>
      </c>
      <c r="AKW90">
        <v>373.084051451</v>
      </c>
      <c r="AKX90">
        <v>438.075134446</v>
      </c>
      <c r="AKY90">
        <v>472.318859811</v>
      </c>
      <c r="AKZ90" t="s">
        <v>1901</v>
      </c>
      <c r="ALA90">
        <v>48.837552992</v>
      </c>
      <c r="ALB90">
        <v>45.034062256</v>
      </c>
      <c r="ALC90">
        <v>50.046326047</v>
      </c>
      <c r="ALD90">
        <v>70.414949769</v>
      </c>
      <c r="ALE90">
        <v>62.090751344</v>
      </c>
      <c r="ALF90">
        <v>43.522281743</v>
      </c>
      <c r="ALG90">
        <v>48.328745385</v>
      </c>
      <c r="ALH90">
        <v>29.352775079</v>
      </c>
      <c r="ALI90">
        <v>25.001968533</v>
      </c>
      <c r="ALJ90">
        <v>46.839304071</v>
      </c>
      <c r="ALK90">
        <v>6.132320092</v>
      </c>
      <c r="ALL90">
        <v>5.83364451</v>
      </c>
      <c r="ALM90">
        <v>3.353302748</v>
      </c>
      <c r="ALN90">
        <v>3.72738103</v>
      </c>
      <c r="ALO90">
        <v>2.718655382</v>
      </c>
      <c r="ALP90">
        <v>236.059563559</v>
      </c>
      <c r="ALQ90">
        <v>232.868491151</v>
      </c>
      <c r="ALR90">
        <v>317.220414965</v>
      </c>
      <c r="ALS90">
        <v>71.74327481900001</v>
      </c>
      <c r="ALT90">
        <v>129.230236396</v>
      </c>
      <c r="ALU90">
        <v>3.803248631</v>
      </c>
      <c r="ALV90">
        <v>3.758214083</v>
      </c>
      <c r="ALW90">
        <v>3.00879743</v>
      </c>
      <c r="ALX90">
        <v>17.456260841</v>
      </c>
      <c r="ALY90">
        <v>6.809918216</v>
      </c>
      <c r="ALZ90">
        <v>92.8760868703896</v>
      </c>
      <c r="AMA90">
        <v>88.09569871430131</v>
      </c>
      <c r="AMB90">
        <v>93.9633913573889</v>
      </c>
      <c r="AMC90">
        <v>88.45068336559009</v>
      </c>
      <c r="AMD90">
        <v>60.9617922582438</v>
      </c>
      <c r="AME90">
        <v>98.1572653786052</v>
      </c>
      <c r="AMF90">
        <v>96.1158466174499</v>
      </c>
      <c r="AMG90" t="s">
        <v>1901</v>
      </c>
      <c r="AMH90" t="s">
        <v>1901</v>
      </c>
      <c r="AMI90">
        <v>73.6522900679435</v>
      </c>
      <c r="AMJ90">
        <v>1303.7229415287</v>
      </c>
      <c r="AMK90">
        <v>740.032502538689</v>
      </c>
      <c r="AML90">
        <v>1556.55926895976</v>
      </c>
      <c r="AMM90">
        <v>765.852094677714</v>
      </c>
      <c r="AMN90">
        <v>156.159306325146</v>
      </c>
      <c r="AMO90">
        <v>0.922602560499413</v>
      </c>
      <c r="AMP90">
        <v>0.7909116796051791</v>
      </c>
      <c r="AMQ90">
        <v>0.74318386520427</v>
      </c>
      <c r="AMR90">
        <v>0.383514323650809</v>
      </c>
      <c r="AMS90">
        <v>0.19829024292861</v>
      </c>
      <c r="AMT90">
        <v>0.922602558263159</v>
      </c>
      <c r="AMU90">
        <v>0.7909116796051791</v>
      </c>
      <c r="AMV90">
        <v>0.74318386520427</v>
      </c>
      <c r="AMW90">
        <v>0.383514321010319</v>
      </c>
      <c r="AMX90">
        <v>0.198290247413277</v>
      </c>
      <c r="AMY90">
        <v>0.922884429761593</v>
      </c>
      <c r="AMZ90">
        <v>0.7831476733959269</v>
      </c>
      <c r="ANA90">
        <v>0.74318386520427</v>
      </c>
      <c r="ANB90">
        <v>0.383514322638143</v>
      </c>
      <c r="ANC90">
        <v>0.198290247413277</v>
      </c>
      <c r="AND90">
        <v>-7.79140643009451</v>
      </c>
      <c r="ANE90">
        <v>-23.2893029059535</v>
      </c>
      <c r="ANF90">
        <v>-32.4701814860721</v>
      </c>
      <c r="ANG90" t="s">
        <v>1901</v>
      </c>
      <c r="ANH90" t="s">
        <v>1901</v>
      </c>
      <c r="ANI90">
        <v>-8.23444628646584</v>
      </c>
      <c r="ANJ90">
        <v>-25.4095387017183</v>
      </c>
      <c r="ANK90">
        <v>-36.0768476307413</v>
      </c>
      <c r="ANL90" t="s">
        <v>1901</v>
      </c>
      <c r="ANM90" t="s">
        <v>1901</v>
      </c>
      <c r="ANN90">
        <v>-7.22822596729679</v>
      </c>
      <c r="ANO90">
        <v>-18.8899623544135</v>
      </c>
      <c r="ANP90">
        <v>-24.5113135060406</v>
      </c>
      <c r="ANQ90">
        <v>-58.7086268002298</v>
      </c>
      <c r="ANR90">
        <v>-71.13792056462469</v>
      </c>
      <c r="ANS90">
        <v>-1.71079687698887</v>
      </c>
      <c r="ANT90">
        <v>-3.53817289653551</v>
      </c>
      <c r="ANU90">
        <v>-6.22365335669449</v>
      </c>
      <c r="ANV90">
        <v>-37.9375101008711</v>
      </c>
      <c r="ANW90">
        <v>-18.171003744074</v>
      </c>
      <c r="ANX90">
        <v>93.2440447246715</v>
      </c>
      <c r="ANY90">
        <v>84.10775974338971</v>
      </c>
      <c r="ANZ90">
        <v>93.9633913573889</v>
      </c>
      <c r="AOA90">
        <v>88.45068336559009</v>
      </c>
      <c r="AOB90">
        <v>60.9617936369974</v>
      </c>
      <c r="AOC90">
        <v>86.162793441815</v>
      </c>
      <c r="AOD90">
        <v>71.4544543913123</v>
      </c>
      <c r="AOE90">
        <v>70.9317299208715</v>
      </c>
      <c r="AOF90">
        <v>36.5225017662328</v>
      </c>
      <c r="AOG90">
        <v>17.5948409068028</v>
      </c>
      <c r="AOH90">
        <v>13.086305927775</v>
      </c>
      <c r="AOI90">
        <v>10.63381606635</v>
      </c>
      <c r="AOJ90">
        <v>10.734511389891</v>
      </c>
      <c r="AOK90">
        <v>13.1865376468809</v>
      </c>
      <c r="AOL90">
        <v>3.53835540323895</v>
      </c>
      <c r="AOM90">
        <v>-109.36975977319</v>
      </c>
      <c r="AON90">
        <v>-195.637714024696</v>
      </c>
      <c r="AOO90">
        <v>-537.887801055581</v>
      </c>
      <c r="AOP90">
        <v>-1231.08009134736</v>
      </c>
      <c r="AOQ90">
        <v>-631.36963770386</v>
      </c>
      <c r="AOR90">
        <v>-7.73974417368413</v>
      </c>
      <c r="AOS90">
        <v>-20.9088320394821</v>
      </c>
      <c r="AOT90">
        <v>-25.681613479573</v>
      </c>
      <c r="AOU90">
        <v>-61.6485678989681</v>
      </c>
      <c r="AOV90">
        <v>-80.1709752586723</v>
      </c>
      <c r="AOW90">
        <v>-1.09781464301073</v>
      </c>
      <c r="AOX90">
        <v>-2.81119472380341</v>
      </c>
      <c r="AOY90">
        <v>-3.70943968665791</v>
      </c>
      <c r="AOZ90">
        <v>-21.196891780663</v>
      </c>
      <c r="APA90">
        <v>-14.3059688313353</v>
      </c>
      <c r="APB90">
        <v>16.1719245259912</v>
      </c>
      <c r="APC90">
        <v>1.94397287466109</v>
      </c>
      <c r="APD90">
        <v>13.9704537096584</v>
      </c>
      <c r="APE90">
        <v>-128.814618650583</v>
      </c>
      <c r="APF90">
        <v>-169.343083234798</v>
      </c>
      <c r="APG90">
        <v>17.091502677064</v>
      </c>
      <c r="APH90">
        <v>2.12095030037007</v>
      </c>
      <c r="API90">
        <v>15.5222393823657</v>
      </c>
      <c r="APJ90">
        <v>-147.874448891113</v>
      </c>
      <c r="APK90">
        <v>-204.595459309558</v>
      </c>
      <c r="APL90">
        <v>227.009015169085</v>
      </c>
      <c r="APM90">
        <v>16.3300039876889</v>
      </c>
      <c r="APN90">
        <v>231.428845843078</v>
      </c>
      <c r="APO90">
        <v>-1115.34407383719</v>
      </c>
      <c r="APP90">
        <v>-433.788073304742</v>
      </c>
      <c r="APQ90">
        <v>16.0646938072491</v>
      </c>
      <c r="APR90">
        <v>1.74527346265944</v>
      </c>
      <c r="APS90">
        <v>11.0496392654785</v>
      </c>
      <c r="APT90">
        <v>-55.8528769573467</v>
      </c>
      <c r="APU90">
        <v>-55.0821750296672</v>
      </c>
      <c r="APV90">
        <v>15.0029812779919</v>
      </c>
      <c r="APW90">
        <v>1.5767571304576</v>
      </c>
      <c r="APX90">
        <v>10.5461120026677</v>
      </c>
      <c r="APY90">
        <v>-53.1893249228732</v>
      </c>
      <c r="APZ90">
        <v>-48.8759352015411</v>
      </c>
      <c r="AQA90">
        <v>2.27863553385215</v>
      </c>
      <c r="AQB90">
        <v>0.234652205372245</v>
      </c>
      <c r="AQC90">
        <v>1.59600448964084</v>
      </c>
      <c r="AQD90">
        <v>-19.2041344811739</v>
      </c>
      <c r="AQE90">
        <v>-9.82904195182949</v>
      </c>
      <c r="AQF90">
        <v>-0.07711557023840721</v>
      </c>
      <c r="AQG90">
        <v>-0.216852326604073</v>
      </c>
      <c r="AQH90">
        <v>-0.25681613479573</v>
      </c>
      <c r="AQI90">
        <v>-0.616485677361857</v>
      </c>
      <c r="AQJ90">
        <v>-0.8017097525867229</v>
      </c>
      <c r="AQK90">
        <v>9</v>
      </c>
      <c r="AQO90" t="s">
        <v>1902</v>
      </c>
      <c r="AQP90">
        <v>6</v>
      </c>
      <c r="AQQ90">
        <v>0</v>
      </c>
      <c r="AQS90" t="s">
        <v>1905</v>
      </c>
      <c r="AQU90" t="s">
        <v>1906</v>
      </c>
      <c r="AQV90">
        <v>461490.811743164</v>
      </c>
      <c r="AQW90">
        <v>355215.437366323</v>
      </c>
      <c r="AQX90">
        <v>231794.851363611</v>
      </c>
      <c r="AQY90">
        <v>-35956.6247804523</v>
      </c>
      <c r="AQZ90">
        <v>-82727.1991769505</v>
      </c>
      <c r="ARA90">
        <v>-75264.2089131355</v>
      </c>
      <c r="ARB90">
        <v>1048501.100473098</v>
      </c>
      <c r="ARC90">
        <v>-193948.0328705383</v>
      </c>
      <c r="ARD90">
        <v>-0.156101386902329</v>
      </c>
      <c r="ARE90">
        <v>-0.156101386902329</v>
      </c>
      <c r="ARF90">
        <v>-0.156101386902329</v>
      </c>
      <c r="ARG90" t="s">
        <v>1907</v>
      </c>
      <c r="ARH90" t="s">
        <v>1907</v>
      </c>
      <c r="ARI90" t="s">
        <v>1907</v>
      </c>
      <c r="ARJ90" t="s">
        <v>1251</v>
      </c>
      <c r="ARK90" t="s">
        <v>1589</v>
      </c>
      <c r="ARL90" t="s">
        <v>1908</v>
      </c>
      <c r="ARM90" t="s">
        <v>1908</v>
      </c>
      <c r="ARN90" t="s">
        <v>1909</v>
      </c>
      <c r="ARO90" t="s">
        <v>1908</v>
      </c>
      <c r="ARP90" t="s">
        <v>1907</v>
      </c>
      <c r="ARQ90" t="s">
        <v>1983</v>
      </c>
      <c r="ARR90">
        <f>HYPERLINK("C:\Users\Usuario\Documents\Proyectos\llmthon\evidence\nucapsnanotechnology_com_235511.png", "Ver Evidencia")</f>
        <v>0</v>
      </c>
      <c r="ARS90">
        <v>100</v>
      </c>
    </row>
    <row r="91" spans="1:1163">
      <c r="A91">
        <v>288</v>
      </c>
      <c r="B91" t="s">
        <v>1252</v>
      </c>
      <c r="C91" t="s">
        <v>1375</v>
      </c>
      <c r="E91" s="2">
        <v>39479</v>
      </c>
      <c r="F91" t="s">
        <v>1431</v>
      </c>
      <c r="G91" t="s">
        <v>1433</v>
      </c>
      <c r="H91" t="s">
        <v>1434</v>
      </c>
      <c r="I91" t="s">
        <v>1437</v>
      </c>
      <c r="J91" t="s">
        <v>1453</v>
      </c>
      <c r="L91" t="s">
        <v>1590</v>
      </c>
      <c r="N91" t="s">
        <v>1627</v>
      </c>
      <c r="O91" t="s">
        <v>1651</v>
      </c>
      <c r="P91">
        <v>6910</v>
      </c>
      <c r="Q91">
        <v>6910</v>
      </c>
      <c r="R91" t="s">
        <v>1760</v>
      </c>
      <c r="Z91" t="s">
        <v>1899</v>
      </c>
      <c r="AA91" s="2">
        <v>45657</v>
      </c>
      <c r="AB91">
        <v>2024</v>
      </c>
      <c r="AC91">
        <v>2707186.21979267</v>
      </c>
      <c r="AD91">
        <v>4543188.93067737</v>
      </c>
      <c r="AE91">
        <v>3540388.75712995</v>
      </c>
      <c r="AF91">
        <v>4343560.24582307</v>
      </c>
      <c r="AG91">
        <v>4313231.77791814</v>
      </c>
      <c r="AH91">
        <v>2707186.21979267</v>
      </c>
      <c r="AI91">
        <v>4543188.93067737</v>
      </c>
      <c r="AJ91">
        <v>3540388.75712995</v>
      </c>
      <c r="AK91">
        <v>4343560.24582307</v>
      </c>
      <c r="AL91">
        <v>4313231.77791814</v>
      </c>
      <c r="AM91">
        <v>1730837.38656778</v>
      </c>
      <c r="AN91">
        <v>3087743.45029132</v>
      </c>
      <c r="AO91">
        <v>2632670.70726018</v>
      </c>
      <c r="AP91">
        <v>3454623.07208319</v>
      </c>
      <c r="AQ91">
        <v>3383386.28896469</v>
      </c>
      <c r="AR91">
        <v>976348.832185991</v>
      </c>
      <c r="AS91">
        <v>1455445.48038605</v>
      </c>
      <c r="AT91">
        <v>907718.04880317</v>
      </c>
      <c r="AU91">
        <v>888937.172607286</v>
      </c>
      <c r="AV91">
        <v>929845.488953447</v>
      </c>
      <c r="AW91">
        <v>963474.447277194</v>
      </c>
      <c r="AX91">
        <v>1415662.97628215</v>
      </c>
      <c r="AY91">
        <v>876133.692503565</v>
      </c>
      <c r="AZ91">
        <v>862830.814802248</v>
      </c>
      <c r="BA91">
        <v>913530.798824745</v>
      </c>
      <c r="BB91">
        <v>12874.385947696</v>
      </c>
      <c r="BC91">
        <v>39782.504103899</v>
      </c>
      <c r="BD91">
        <v>31584.3573662043</v>
      </c>
      <c r="BE91">
        <v>26106.3578050375</v>
      </c>
      <c r="BF91">
        <v>16314.6901287019</v>
      </c>
      <c r="BG91">
        <v>2491.09409716368</v>
      </c>
      <c r="BH91">
        <v>-7274.54976472855</v>
      </c>
      <c r="BI91">
        <v>-10937.0924745142</v>
      </c>
      <c r="BJ91">
        <v>-11611.7468062162</v>
      </c>
      <c r="BK91">
        <v>-16267.2872827649</v>
      </c>
      <c r="BL91">
        <v>5705.5219996798</v>
      </c>
      <c r="BM91" t="s">
        <v>1900</v>
      </c>
      <c r="BN91" t="s">
        <v>1900</v>
      </c>
      <c r="BO91" t="s">
        <v>1900</v>
      </c>
      <c r="BP91" t="s">
        <v>1900</v>
      </c>
      <c r="BQ91">
        <v>3214.42790251613</v>
      </c>
      <c r="BR91">
        <v>7274.54976472855</v>
      </c>
      <c r="BS91">
        <v>10937.0924745142</v>
      </c>
      <c r="BT91">
        <v>11611.7468062162</v>
      </c>
      <c r="BU91">
        <v>16267.2872827649</v>
      </c>
      <c r="BV91">
        <v>15365.4800448596</v>
      </c>
      <c r="BW91">
        <v>32507.9543391705</v>
      </c>
      <c r="BX91">
        <v>20647.26489169</v>
      </c>
      <c r="BY91">
        <v>14494.6109988213</v>
      </c>
      <c r="BZ91">
        <v>47.4028459370136</v>
      </c>
      <c r="CA91">
        <v>9519.935165057181</v>
      </c>
      <c r="CB91">
        <v>26064.6522474957</v>
      </c>
      <c r="CC91">
        <v>17241.8793755531</v>
      </c>
      <c r="CD91">
        <v>9872.77494614124</v>
      </c>
      <c r="CE91">
        <v>-888.530331724882</v>
      </c>
      <c r="CF91">
        <v>5845.54487980247</v>
      </c>
      <c r="CG91">
        <v>6443.3020916748</v>
      </c>
      <c r="CH91">
        <v>3405.3844495374</v>
      </c>
      <c r="CI91">
        <v>4621.83492007971</v>
      </c>
      <c r="CJ91">
        <v>935.933177661896</v>
      </c>
      <c r="CK91" t="s">
        <v>1900</v>
      </c>
      <c r="CL91" t="s">
        <v>1900</v>
      </c>
      <c r="CM91" t="s">
        <v>1900</v>
      </c>
      <c r="CN91" t="s">
        <v>1900</v>
      </c>
      <c r="CO91" t="s">
        <v>1900</v>
      </c>
      <c r="CP91" t="s">
        <v>1900</v>
      </c>
      <c r="CQ91" t="s">
        <v>1900</v>
      </c>
      <c r="CR91" t="s">
        <v>1900</v>
      </c>
      <c r="CS91" t="s">
        <v>1900</v>
      </c>
      <c r="CT91" t="s">
        <v>1900</v>
      </c>
      <c r="CU91" t="s">
        <v>1900</v>
      </c>
      <c r="CV91" t="s">
        <v>1900</v>
      </c>
      <c r="CW91" t="s">
        <v>1900</v>
      </c>
      <c r="CX91" t="s">
        <v>1900</v>
      </c>
      <c r="CY91" t="s">
        <v>1900</v>
      </c>
      <c r="CZ91">
        <v>5845.54487980247</v>
      </c>
      <c r="DA91">
        <v>6443.3020916748</v>
      </c>
      <c r="DB91">
        <v>3405.3844495374</v>
      </c>
      <c r="DC91">
        <v>4621.83492007971</v>
      </c>
      <c r="DD91">
        <v>935.933177661896</v>
      </c>
      <c r="DE91" t="s">
        <v>1900</v>
      </c>
      <c r="DF91" t="s">
        <v>1900</v>
      </c>
      <c r="DG91" t="s">
        <v>1900</v>
      </c>
      <c r="DH91" t="s">
        <v>1900</v>
      </c>
      <c r="DI91" t="s">
        <v>1900</v>
      </c>
      <c r="DJ91">
        <v>1730837.38656778</v>
      </c>
      <c r="DK91">
        <v>3087743.45029132</v>
      </c>
      <c r="DL91">
        <v>2632670.70726018</v>
      </c>
      <c r="DM91">
        <v>3454623.07208319</v>
      </c>
      <c r="DN91">
        <v>3383386.28896469</v>
      </c>
      <c r="DO91">
        <v>546717.912146561</v>
      </c>
      <c r="DP91">
        <v>609175.237190361</v>
      </c>
      <c r="DQ91">
        <v>500474.66490826</v>
      </c>
      <c r="DR91">
        <v>532507.460570669</v>
      </c>
      <c r="DS91">
        <v>512536.320176429</v>
      </c>
      <c r="DT91">
        <v>8261.34992723703</v>
      </c>
      <c r="DU91">
        <v>6408.39512600899</v>
      </c>
      <c r="DV91">
        <v>3351.50090999007</v>
      </c>
      <c r="DW91">
        <v>4138.07980935574</v>
      </c>
      <c r="DX91">
        <v>4863.01906563044</v>
      </c>
      <c r="DY91">
        <v>408495.185203396</v>
      </c>
      <c r="DZ91">
        <v>800079.343965778</v>
      </c>
      <c r="EA91">
        <v>372307.526685315</v>
      </c>
      <c r="EB91">
        <v>326185.275554824</v>
      </c>
      <c r="EC91">
        <v>396131.459582686</v>
      </c>
      <c r="ED91">
        <v>3214.42790251613</v>
      </c>
      <c r="EE91">
        <v>7274.54976472855</v>
      </c>
      <c r="EF91">
        <v>10310.0279693723</v>
      </c>
      <c r="EG91">
        <v>11611.7468062162</v>
      </c>
      <c r="EH91">
        <v>6649.11117992401</v>
      </c>
      <c r="EI91" t="s">
        <v>1900</v>
      </c>
      <c r="EJ91" t="s">
        <v>1900</v>
      </c>
      <c r="EK91" t="s">
        <v>1900</v>
      </c>
      <c r="EL91" t="s">
        <v>1900</v>
      </c>
      <c r="EM91" t="s">
        <v>1900</v>
      </c>
      <c r="EN91">
        <v>14106.8948070395</v>
      </c>
      <c r="EO91">
        <v>12851.6972176838</v>
      </c>
      <c r="EP91">
        <v>6756.88535952747</v>
      </c>
      <c r="EQ91">
        <v>8759.91586203575</v>
      </c>
      <c r="ER91">
        <v>5798.95224329233</v>
      </c>
      <c r="ES91">
        <v>573559.170021174</v>
      </c>
      <c r="ET91">
        <v>655366.136420269</v>
      </c>
      <c r="EU91">
        <v>534783.457612713</v>
      </c>
      <c r="EV91">
        <v>562751.898185062</v>
      </c>
      <c r="EW91">
        <v>524095.85326792</v>
      </c>
      <c r="EX91">
        <v>21135.735874933</v>
      </c>
      <c r="EY91">
        <v>46190.899229908</v>
      </c>
      <c r="EZ91">
        <v>34935.8582761943</v>
      </c>
      <c r="FA91">
        <v>30244.4376143932</v>
      </c>
      <c r="FB91">
        <v>21177.7091943324</v>
      </c>
      <c r="FC91">
        <v>71384.40813860419</v>
      </c>
      <c r="FD91">
        <v>45336.4465464401</v>
      </c>
      <c r="FE91">
        <v>51879.0471310556</v>
      </c>
      <c r="FF91">
        <v>49667.0718330145</v>
      </c>
      <c r="FG91">
        <v>47681.6919818163</v>
      </c>
      <c r="FH91">
        <v>19036.4523506248</v>
      </c>
      <c r="FI91">
        <v>0</v>
      </c>
      <c r="FJ91">
        <v>0</v>
      </c>
      <c r="FK91">
        <v>0</v>
      </c>
      <c r="FL91">
        <v>0</v>
      </c>
      <c r="FM91">
        <v>9947.328047188519</v>
      </c>
      <c r="FN91">
        <v>6290.99987332344</v>
      </c>
      <c r="FO91">
        <v>4638.92915629744</v>
      </c>
      <c r="FP91">
        <v>870.720464372635</v>
      </c>
      <c r="FQ91">
        <v>4442.32034181356</v>
      </c>
      <c r="FR91">
        <v>42400.6277407908</v>
      </c>
      <c r="FS91">
        <v>39045.4455681162</v>
      </c>
      <c r="FT91">
        <v>47240.1179747581</v>
      </c>
      <c r="FU91">
        <v>48796.3513686419</v>
      </c>
      <c r="FV91">
        <v>43239.3716400027</v>
      </c>
      <c r="FW91">
        <v>19036.4523506248</v>
      </c>
      <c r="FX91">
        <v>0</v>
      </c>
      <c r="FY91">
        <v>0</v>
      </c>
      <c r="FZ91">
        <v>0</v>
      </c>
      <c r="GA91">
        <v>0</v>
      </c>
      <c r="GB91">
        <v>9947.328047188519</v>
      </c>
      <c r="GC91">
        <v>6290.99987332344</v>
      </c>
      <c r="GD91">
        <v>4638.92915629744</v>
      </c>
      <c r="GE91">
        <v>870.720464372635</v>
      </c>
      <c r="GF91">
        <v>4442.32034181356</v>
      </c>
      <c r="GG91">
        <v>42400.6277407908</v>
      </c>
      <c r="GH91">
        <v>39045.4455681162</v>
      </c>
      <c r="GI91">
        <v>47240.1179747581</v>
      </c>
      <c r="GJ91">
        <v>48796.3513686419</v>
      </c>
      <c r="GK91">
        <v>43239.3716400027</v>
      </c>
      <c r="GL91">
        <v>1867548.46273396</v>
      </c>
      <c r="GM91">
        <v>2718343.15470901</v>
      </c>
      <c r="GN91">
        <v>3337461.7408959</v>
      </c>
      <c r="GO91">
        <v>3571735.14443135</v>
      </c>
      <c r="GP91">
        <v>3864017.47516123</v>
      </c>
      <c r="GQ91">
        <v>0</v>
      </c>
      <c r="GR91">
        <v>0</v>
      </c>
      <c r="GS91">
        <v>0</v>
      </c>
      <c r="GT91">
        <v>0</v>
      </c>
      <c r="GU91">
        <v>0</v>
      </c>
      <c r="GV91">
        <v>805201.44747742</v>
      </c>
      <c r="GW91">
        <v>1158809.36800941</v>
      </c>
      <c r="GX91">
        <v>1799418.87923041</v>
      </c>
      <c r="GY91">
        <v>1198969.1111676</v>
      </c>
      <c r="GZ91">
        <v>1119006.99355634</v>
      </c>
      <c r="HA91">
        <v>1062347.01421764</v>
      </c>
      <c r="HB91">
        <v>1559533.7866996</v>
      </c>
      <c r="HC91">
        <v>1538042.86166549</v>
      </c>
      <c r="HD91">
        <v>2372766.03326376</v>
      </c>
      <c r="HE91">
        <v>2745010.48160489</v>
      </c>
      <c r="HF91">
        <v>1040237.07211512</v>
      </c>
      <c r="HG91">
        <v>1536948.68156368</v>
      </c>
      <c r="HH91">
        <v>1516242.63472497</v>
      </c>
      <c r="HI91">
        <v>2349311.01349647</v>
      </c>
      <c r="HJ91">
        <v>2719929.79902382</v>
      </c>
      <c r="HK91">
        <v>1938932.87087256</v>
      </c>
      <c r="HL91">
        <v>2763679.60125545</v>
      </c>
      <c r="HM91">
        <v>3389340.78802695</v>
      </c>
      <c r="HN91">
        <v>3621402.21626437</v>
      </c>
      <c r="HO91">
        <v>3911699.16714305</v>
      </c>
      <c r="HP91">
        <v>975178.793394941</v>
      </c>
      <c r="HQ91">
        <v>1031007.98310371</v>
      </c>
      <c r="HR91">
        <v>988958.981013346</v>
      </c>
      <c r="HS91">
        <v>1046539.32199581</v>
      </c>
      <c r="HT91">
        <v>1128850.31783865</v>
      </c>
      <c r="HU91">
        <v>23375.2396702766</v>
      </c>
      <c r="HV91">
        <v>24862.5111579895</v>
      </c>
      <c r="HW91">
        <v>23998.4884858131</v>
      </c>
      <c r="HX91">
        <v>25483.5069179535</v>
      </c>
      <c r="HY91">
        <v>27609.7342371941</v>
      </c>
      <c r="HZ91">
        <v>951803.553724664</v>
      </c>
      <c r="IA91">
        <v>1006145.47194572</v>
      </c>
      <c r="IB91">
        <v>964960.492527533</v>
      </c>
      <c r="IC91">
        <v>1021055.81507785</v>
      </c>
      <c r="ID91">
        <v>1101240.58360145</v>
      </c>
      <c r="IE91">
        <v>0</v>
      </c>
      <c r="IF91">
        <v>87244.5296042728</v>
      </c>
      <c r="IG91">
        <v>334340.094015634</v>
      </c>
      <c r="IH91">
        <v>616682.338073444</v>
      </c>
      <c r="II91">
        <v>710774.702839202</v>
      </c>
      <c r="IJ91" t="s">
        <v>1900</v>
      </c>
      <c r="IK91">
        <v>87244.5296042728</v>
      </c>
      <c r="IL91">
        <v>334340.094015634</v>
      </c>
      <c r="IM91">
        <v>616682.338073444</v>
      </c>
      <c r="IN91">
        <v>710774.702839202</v>
      </c>
      <c r="IO91" t="s">
        <v>1900</v>
      </c>
      <c r="IP91">
        <v>0</v>
      </c>
      <c r="IQ91">
        <v>0</v>
      </c>
      <c r="IR91">
        <v>0</v>
      </c>
      <c r="IS91">
        <v>0</v>
      </c>
      <c r="IT91" t="s">
        <v>1900</v>
      </c>
      <c r="IU91">
        <v>0</v>
      </c>
      <c r="IV91">
        <v>0</v>
      </c>
      <c r="IW91">
        <v>0</v>
      </c>
      <c r="IX91">
        <v>0</v>
      </c>
      <c r="IY91">
        <v>963754.077477623</v>
      </c>
      <c r="IZ91">
        <v>1645427.08854746</v>
      </c>
      <c r="JA91">
        <v>2066041.71299797</v>
      </c>
      <c r="JB91">
        <v>1958180.55619512</v>
      </c>
      <c r="JC91">
        <v>2072074.1464652</v>
      </c>
      <c r="JD91">
        <v>89652.7605026591</v>
      </c>
      <c r="JE91">
        <v>270197.340111246</v>
      </c>
      <c r="JF91">
        <v>253602.128526741</v>
      </c>
      <c r="JG91">
        <v>157605.965118957</v>
      </c>
      <c r="JH91">
        <v>144655.999634749</v>
      </c>
      <c r="JI91">
        <v>639818.3958326411</v>
      </c>
      <c r="JJ91">
        <v>1046901.38203648</v>
      </c>
      <c r="JK91">
        <v>1437380.51908807</v>
      </c>
      <c r="JL91">
        <v>1374900.92301943</v>
      </c>
      <c r="JM91">
        <v>1541384.14379498</v>
      </c>
      <c r="JN91">
        <v>234282.921142323</v>
      </c>
      <c r="JO91">
        <v>328328.366399736</v>
      </c>
      <c r="JP91">
        <v>375059.06538316</v>
      </c>
      <c r="JQ91">
        <v>425673.668056726</v>
      </c>
      <c r="JR91">
        <v>386034.003035474</v>
      </c>
      <c r="JS91">
        <v>1938932.87087256</v>
      </c>
      <c r="JT91">
        <v>2763679.60125545</v>
      </c>
      <c r="JU91">
        <v>3389340.78802695</v>
      </c>
      <c r="JV91">
        <v>3621402.21626437</v>
      </c>
      <c r="JW91">
        <v>3911699.16714305</v>
      </c>
      <c r="JX91">
        <v>165383.051644779</v>
      </c>
      <c r="JY91">
        <v>111907.985972929</v>
      </c>
      <c r="JZ91">
        <v>362038.359075739</v>
      </c>
      <c r="KA91">
        <v>-175931.810719235</v>
      </c>
      <c r="KB91">
        <v>-422377.149011534</v>
      </c>
      <c r="KC91" t="s">
        <v>1900</v>
      </c>
      <c r="KD91" t="s">
        <v>1900</v>
      </c>
      <c r="KE91" t="s">
        <v>1900</v>
      </c>
      <c r="KF91" t="s">
        <v>1900</v>
      </c>
      <c r="KG91" t="s">
        <v>1900</v>
      </c>
      <c r="KH91" t="s">
        <v>1900</v>
      </c>
      <c r="KI91" t="s">
        <v>1900</v>
      </c>
      <c r="KJ91" t="s">
        <v>1900</v>
      </c>
      <c r="KK91" t="s">
        <v>1900</v>
      </c>
      <c r="KL91" t="s">
        <v>1900</v>
      </c>
      <c r="KM91">
        <v>9</v>
      </c>
      <c r="KN91">
        <v>10</v>
      </c>
      <c r="KO91">
        <v>8</v>
      </c>
      <c r="KP91">
        <v>8</v>
      </c>
      <c r="KQ91">
        <v>8</v>
      </c>
      <c r="KR91" t="s">
        <v>1900</v>
      </c>
      <c r="KS91" t="s">
        <v>1900</v>
      </c>
      <c r="KT91" t="s">
        <v>1900</v>
      </c>
      <c r="KU91" t="s">
        <v>1900</v>
      </c>
      <c r="KV91" t="s">
        <v>1900</v>
      </c>
      <c r="KW91" t="s">
        <v>1900</v>
      </c>
      <c r="KX91" t="s">
        <v>1900</v>
      </c>
      <c r="KY91" t="s">
        <v>1900</v>
      </c>
      <c r="KZ91" t="s">
        <v>1900</v>
      </c>
      <c r="LA91" t="s">
        <v>1900</v>
      </c>
      <c r="LB91" t="s">
        <v>1900</v>
      </c>
      <c r="LC91" t="s">
        <v>1900</v>
      </c>
      <c r="LD91" t="s">
        <v>1900</v>
      </c>
      <c r="LE91" t="s">
        <v>1900</v>
      </c>
      <c r="LF91" t="s">
        <v>1900</v>
      </c>
      <c r="LG91" t="s">
        <v>1900</v>
      </c>
      <c r="LH91" t="s">
        <v>1900</v>
      </c>
      <c r="LI91" t="s">
        <v>1900</v>
      </c>
      <c r="LJ91" t="s">
        <v>1900</v>
      </c>
      <c r="LK91" t="s">
        <v>1900</v>
      </c>
      <c r="LL91" t="s">
        <v>1900</v>
      </c>
      <c r="LM91" t="s">
        <v>1900</v>
      </c>
      <c r="LN91" t="s">
        <v>1900</v>
      </c>
      <c r="LO91" t="s">
        <v>1900</v>
      </c>
      <c r="LP91" t="s">
        <v>1900</v>
      </c>
      <c r="LQ91" t="s">
        <v>1900</v>
      </c>
      <c r="LR91" t="s">
        <v>1900</v>
      </c>
      <c r="LS91" t="s">
        <v>1900</v>
      </c>
      <c r="LT91" t="s">
        <v>1900</v>
      </c>
      <c r="LU91" t="s">
        <v>1900</v>
      </c>
      <c r="LV91" t="s">
        <v>1900</v>
      </c>
      <c r="LW91" t="s">
        <v>1900</v>
      </c>
      <c r="LX91" t="s">
        <v>1900</v>
      </c>
      <c r="LY91" t="s">
        <v>1900</v>
      </c>
      <c r="LZ91" t="s">
        <v>1900</v>
      </c>
      <c r="MA91" t="s">
        <v>1900</v>
      </c>
      <c r="MB91" t="s">
        <v>1900</v>
      </c>
      <c r="MC91" t="s">
        <v>1900</v>
      </c>
      <c r="MD91" t="s">
        <v>1900</v>
      </c>
      <c r="ME91" t="s">
        <v>1900</v>
      </c>
      <c r="MF91" t="s">
        <v>1900</v>
      </c>
      <c r="MG91" t="s">
        <v>1900</v>
      </c>
      <c r="MH91" t="s">
        <v>1900</v>
      </c>
      <c r="MI91" t="s">
        <v>1900</v>
      </c>
      <c r="MJ91" t="s">
        <v>1900</v>
      </c>
      <c r="MK91" t="s">
        <v>1900</v>
      </c>
      <c r="ML91" t="s">
        <v>1900</v>
      </c>
      <c r="MM91" t="s">
        <v>1900</v>
      </c>
      <c r="MN91" t="s">
        <v>1900</v>
      </c>
      <c r="MO91" t="s">
        <v>1900</v>
      </c>
      <c r="MP91">
        <v>1062347.01421764</v>
      </c>
      <c r="MQ91">
        <v>1559533.7866996</v>
      </c>
      <c r="MR91">
        <v>1538042.86166549</v>
      </c>
      <c r="MS91">
        <v>2372766.03326376</v>
      </c>
      <c r="MT91">
        <v>2745010.48160489</v>
      </c>
      <c r="MU91" t="s">
        <v>1900</v>
      </c>
      <c r="MV91" t="s">
        <v>1900</v>
      </c>
      <c r="MW91" t="s">
        <v>1900</v>
      </c>
      <c r="MX91" t="s">
        <v>1900</v>
      </c>
      <c r="MY91" t="s">
        <v>1900</v>
      </c>
      <c r="MZ91" t="s">
        <v>1900</v>
      </c>
      <c r="NA91" t="s">
        <v>1900</v>
      </c>
      <c r="NB91" t="s">
        <v>1900</v>
      </c>
      <c r="NC91" t="s">
        <v>1900</v>
      </c>
      <c r="ND91" t="s">
        <v>1900</v>
      </c>
      <c r="NE91" t="s">
        <v>1900</v>
      </c>
      <c r="NF91" t="s">
        <v>1900</v>
      </c>
      <c r="NG91" t="s">
        <v>1900</v>
      </c>
      <c r="NH91" t="s">
        <v>1900</v>
      </c>
      <c r="NI91" t="s">
        <v>1900</v>
      </c>
      <c r="NJ91" t="s">
        <v>1900</v>
      </c>
      <c r="NK91" t="s">
        <v>1900</v>
      </c>
      <c r="NL91" t="s">
        <v>1900</v>
      </c>
      <c r="NM91" t="s">
        <v>1900</v>
      </c>
      <c r="NN91" t="s">
        <v>1900</v>
      </c>
      <c r="NO91" t="s">
        <v>1900</v>
      </c>
      <c r="NP91" t="s">
        <v>1900</v>
      </c>
      <c r="NQ91" t="s">
        <v>1900</v>
      </c>
      <c r="NR91" t="s">
        <v>1900</v>
      </c>
      <c r="NS91" t="s">
        <v>1900</v>
      </c>
      <c r="NT91">
        <v>71384.40813860419</v>
      </c>
      <c r="NU91">
        <v>45336.4465464401</v>
      </c>
      <c r="NV91">
        <v>51879.0471310556</v>
      </c>
      <c r="NW91">
        <v>49667.0718330145</v>
      </c>
      <c r="NX91">
        <v>47681.6919818163</v>
      </c>
      <c r="NY91" t="s">
        <v>1900</v>
      </c>
      <c r="NZ91" t="s">
        <v>1900</v>
      </c>
      <c r="OA91" t="s">
        <v>1900</v>
      </c>
      <c r="OB91" t="s">
        <v>1900</v>
      </c>
      <c r="OC91" t="s">
        <v>1900</v>
      </c>
      <c r="OD91" t="s">
        <v>1900</v>
      </c>
      <c r="OE91" t="s">
        <v>1900</v>
      </c>
      <c r="OF91" t="s">
        <v>1900</v>
      </c>
      <c r="OG91" t="s">
        <v>1900</v>
      </c>
      <c r="OH91" t="s">
        <v>1900</v>
      </c>
      <c r="OI91" t="s">
        <v>1900</v>
      </c>
      <c r="OJ91" t="s">
        <v>1900</v>
      </c>
      <c r="OK91" t="s">
        <v>1900</v>
      </c>
      <c r="OL91" t="s">
        <v>1900</v>
      </c>
      <c r="OM91" t="s">
        <v>1900</v>
      </c>
      <c r="ON91" t="s">
        <v>1900</v>
      </c>
      <c r="OO91" t="s">
        <v>1900</v>
      </c>
      <c r="OP91" t="s">
        <v>1900</v>
      </c>
      <c r="OQ91" t="s">
        <v>1900</v>
      </c>
      <c r="OR91" t="s">
        <v>1900</v>
      </c>
      <c r="OS91" t="s">
        <v>1900</v>
      </c>
      <c r="OT91" t="s">
        <v>1900</v>
      </c>
      <c r="OU91" t="s">
        <v>1900</v>
      </c>
      <c r="OV91" t="s">
        <v>1900</v>
      </c>
      <c r="OW91" t="s">
        <v>1900</v>
      </c>
      <c r="OX91" t="s">
        <v>1900</v>
      </c>
      <c r="OY91" t="s">
        <v>1900</v>
      </c>
      <c r="OZ91" t="s">
        <v>1900</v>
      </c>
      <c r="PA91" t="s">
        <v>1900</v>
      </c>
      <c r="PB91" t="s">
        <v>1900</v>
      </c>
      <c r="PC91" t="s">
        <v>1900</v>
      </c>
      <c r="PD91" t="s">
        <v>1900</v>
      </c>
      <c r="PE91" t="s">
        <v>1900</v>
      </c>
      <c r="PF91" t="s">
        <v>1900</v>
      </c>
      <c r="PG91" t="s">
        <v>1900</v>
      </c>
      <c r="PH91" t="s">
        <v>1900</v>
      </c>
      <c r="PI91" t="s">
        <v>1900</v>
      </c>
      <c r="PJ91" t="s">
        <v>1900</v>
      </c>
      <c r="PK91" t="s">
        <v>1900</v>
      </c>
      <c r="PL91" t="s">
        <v>1900</v>
      </c>
      <c r="PM91" t="s">
        <v>1900</v>
      </c>
      <c r="PN91" t="s">
        <v>1900</v>
      </c>
      <c r="PO91" t="s">
        <v>1900</v>
      </c>
      <c r="PP91" t="s">
        <v>1900</v>
      </c>
      <c r="PQ91" t="s">
        <v>1900</v>
      </c>
      <c r="PR91" t="s">
        <v>1900</v>
      </c>
      <c r="PS91" t="s">
        <v>1900</v>
      </c>
      <c r="PT91" t="s">
        <v>1900</v>
      </c>
      <c r="PU91" t="s">
        <v>1900</v>
      </c>
      <c r="PV91" t="s">
        <v>1900</v>
      </c>
      <c r="PW91" t="s">
        <v>1900</v>
      </c>
      <c r="PX91" t="s">
        <v>1900</v>
      </c>
      <c r="PY91" t="s">
        <v>1900</v>
      </c>
      <c r="PZ91" t="s">
        <v>1900</v>
      </c>
      <c r="QA91" t="s">
        <v>1900</v>
      </c>
      <c r="QB91" t="s">
        <v>1900</v>
      </c>
      <c r="QC91" t="s">
        <v>1900</v>
      </c>
      <c r="QD91" t="s">
        <v>1900</v>
      </c>
      <c r="QE91" t="s">
        <v>1900</v>
      </c>
      <c r="QF91" t="s">
        <v>1900</v>
      </c>
      <c r="QG91" t="s">
        <v>1900</v>
      </c>
      <c r="QH91" t="s">
        <v>1900</v>
      </c>
      <c r="QI91" t="s">
        <v>1900</v>
      </c>
      <c r="QJ91" t="s">
        <v>1900</v>
      </c>
      <c r="QK91" t="s">
        <v>1900</v>
      </c>
      <c r="QL91" t="s">
        <v>1900</v>
      </c>
      <c r="QM91" t="s">
        <v>1900</v>
      </c>
      <c r="QN91" t="s">
        <v>1900</v>
      </c>
      <c r="QO91" t="s">
        <v>1900</v>
      </c>
      <c r="QP91" t="s">
        <v>1900</v>
      </c>
      <c r="QQ91" t="s">
        <v>1900</v>
      </c>
      <c r="QR91" t="s">
        <v>1900</v>
      </c>
      <c r="QS91" t="s">
        <v>1900</v>
      </c>
      <c r="QT91" t="s">
        <v>1900</v>
      </c>
      <c r="QU91" t="s">
        <v>1900</v>
      </c>
      <c r="QV91" t="s">
        <v>1900</v>
      </c>
      <c r="QW91" t="s">
        <v>1900</v>
      </c>
      <c r="QX91" t="s">
        <v>1900</v>
      </c>
      <c r="QY91" t="s">
        <v>1900</v>
      </c>
      <c r="QZ91" t="s">
        <v>1900</v>
      </c>
      <c r="RA91" t="s">
        <v>1900</v>
      </c>
      <c r="RB91" t="s">
        <v>1900</v>
      </c>
      <c r="RC91" t="s">
        <v>1900</v>
      </c>
      <c r="RD91" t="s">
        <v>1900</v>
      </c>
      <c r="RE91" t="s">
        <v>1900</v>
      </c>
      <c r="RF91" t="s">
        <v>1900</v>
      </c>
      <c r="RG91" t="s">
        <v>1900</v>
      </c>
      <c r="RH91" t="s">
        <v>1900</v>
      </c>
      <c r="RI91" t="s">
        <v>1900</v>
      </c>
      <c r="RJ91" t="s">
        <v>1900</v>
      </c>
      <c r="RK91" t="s">
        <v>1900</v>
      </c>
      <c r="RL91" t="s">
        <v>1900</v>
      </c>
      <c r="RM91" t="s">
        <v>1900</v>
      </c>
      <c r="RN91" t="s">
        <v>1900</v>
      </c>
      <c r="RO91" t="s">
        <v>1900</v>
      </c>
      <c r="RP91" t="s">
        <v>1900</v>
      </c>
      <c r="RQ91" t="s">
        <v>1900</v>
      </c>
      <c r="RR91" t="s">
        <v>1900</v>
      </c>
      <c r="RS91" t="s">
        <v>1900</v>
      </c>
      <c r="RT91" t="s">
        <v>1900</v>
      </c>
      <c r="RU91" t="s">
        <v>1900</v>
      </c>
      <c r="RV91" t="s">
        <v>1900</v>
      </c>
      <c r="RW91" t="s">
        <v>1900</v>
      </c>
      <c r="RX91" t="s">
        <v>1900</v>
      </c>
      <c r="RY91" t="s">
        <v>1900</v>
      </c>
      <c r="RZ91" t="s">
        <v>1900</v>
      </c>
      <c r="SA91" t="s">
        <v>1900</v>
      </c>
      <c r="SB91" t="s">
        <v>1900</v>
      </c>
      <c r="SC91" t="s">
        <v>1900</v>
      </c>
      <c r="SD91" t="s">
        <v>1900</v>
      </c>
      <c r="SE91" t="s">
        <v>1900</v>
      </c>
      <c r="SF91" t="s">
        <v>1900</v>
      </c>
      <c r="SG91" t="s">
        <v>1900</v>
      </c>
      <c r="SH91" t="s">
        <v>1900</v>
      </c>
      <c r="SI91" t="s">
        <v>1900</v>
      </c>
      <c r="SJ91">
        <v>42400.6277407908</v>
      </c>
      <c r="SK91">
        <v>39045.4455681162</v>
      </c>
      <c r="SL91">
        <v>47240.1179747581</v>
      </c>
      <c r="SM91">
        <v>48796.3513686419</v>
      </c>
      <c r="SN91">
        <v>43239.3716400027</v>
      </c>
      <c r="SO91" t="s">
        <v>1900</v>
      </c>
      <c r="SP91" t="s">
        <v>1900</v>
      </c>
      <c r="SQ91" t="s">
        <v>1900</v>
      </c>
      <c r="SR91" t="s">
        <v>1900</v>
      </c>
      <c r="SS91" t="s">
        <v>1900</v>
      </c>
      <c r="ST91" t="s">
        <v>1900</v>
      </c>
      <c r="SU91" t="s">
        <v>1900</v>
      </c>
      <c r="SV91" t="s">
        <v>1900</v>
      </c>
      <c r="SW91" t="s">
        <v>1900</v>
      </c>
      <c r="SX91" t="s">
        <v>1900</v>
      </c>
      <c r="SY91" t="s">
        <v>1900</v>
      </c>
      <c r="SZ91" t="s">
        <v>1900</v>
      </c>
      <c r="TA91" t="s">
        <v>1900</v>
      </c>
      <c r="TB91" t="s">
        <v>1900</v>
      </c>
      <c r="TC91" t="s">
        <v>1900</v>
      </c>
      <c r="TD91" t="s">
        <v>1900</v>
      </c>
      <c r="TE91" t="s">
        <v>1900</v>
      </c>
      <c r="TF91" t="s">
        <v>1900</v>
      </c>
      <c r="TG91" t="s">
        <v>1900</v>
      </c>
      <c r="TH91" t="s">
        <v>1900</v>
      </c>
      <c r="TI91" t="s">
        <v>1900</v>
      </c>
      <c r="TJ91" t="s">
        <v>1900</v>
      </c>
      <c r="TK91" t="s">
        <v>1900</v>
      </c>
      <c r="TL91" t="s">
        <v>1900</v>
      </c>
      <c r="TM91" t="s">
        <v>1900</v>
      </c>
      <c r="TN91" t="s">
        <v>1900</v>
      </c>
      <c r="TO91" t="s">
        <v>1900</v>
      </c>
      <c r="TP91" t="s">
        <v>1900</v>
      </c>
      <c r="TQ91" t="s">
        <v>1900</v>
      </c>
      <c r="TR91" t="s">
        <v>1900</v>
      </c>
      <c r="TS91">
        <v>1938932.87087256</v>
      </c>
      <c r="TT91">
        <v>2763679.60125545</v>
      </c>
      <c r="TU91">
        <v>3389340.78802695</v>
      </c>
      <c r="TV91">
        <v>3621402.21626437</v>
      </c>
      <c r="TW91">
        <v>3911699.16714305</v>
      </c>
      <c r="TX91" t="s">
        <v>1900</v>
      </c>
      <c r="TY91" t="s">
        <v>1900</v>
      </c>
      <c r="TZ91" t="s">
        <v>1900</v>
      </c>
      <c r="UA91" t="s">
        <v>1900</v>
      </c>
      <c r="UB91" t="s">
        <v>1900</v>
      </c>
      <c r="UC91">
        <v>89652.7605026591</v>
      </c>
      <c r="UD91">
        <v>270197.340111246</v>
      </c>
      <c r="UE91">
        <v>253602.128526741</v>
      </c>
      <c r="UF91">
        <v>157605.965118957</v>
      </c>
      <c r="UG91">
        <v>144655.999634749</v>
      </c>
      <c r="UH91" t="s">
        <v>1900</v>
      </c>
      <c r="UI91" t="s">
        <v>1900</v>
      </c>
      <c r="UJ91" t="s">
        <v>1900</v>
      </c>
      <c r="UK91" t="s">
        <v>1900</v>
      </c>
      <c r="UL91" t="s">
        <v>1900</v>
      </c>
      <c r="UM91" t="s">
        <v>1900</v>
      </c>
      <c r="UN91" t="s">
        <v>1900</v>
      </c>
      <c r="UO91" t="s">
        <v>1900</v>
      </c>
      <c r="UP91" t="s">
        <v>1900</v>
      </c>
      <c r="UQ91" t="s">
        <v>1900</v>
      </c>
      <c r="UR91" t="s">
        <v>1900</v>
      </c>
      <c r="US91" t="s">
        <v>1900</v>
      </c>
      <c r="UT91" t="s">
        <v>1900</v>
      </c>
      <c r="UU91" t="s">
        <v>1900</v>
      </c>
      <c r="UV91" t="s">
        <v>1900</v>
      </c>
      <c r="UW91" t="s">
        <v>1900</v>
      </c>
      <c r="UX91" t="s">
        <v>1900</v>
      </c>
      <c r="UY91" t="s">
        <v>1900</v>
      </c>
      <c r="UZ91" t="s">
        <v>1900</v>
      </c>
      <c r="VA91" t="s">
        <v>1900</v>
      </c>
      <c r="VB91" t="s">
        <v>1900</v>
      </c>
      <c r="VC91" t="s">
        <v>1900</v>
      </c>
      <c r="VD91" t="s">
        <v>1900</v>
      </c>
      <c r="VE91" t="s">
        <v>1900</v>
      </c>
      <c r="VF91" t="s">
        <v>1900</v>
      </c>
      <c r="VG91" t="s">
        <v>1900</v>
      </c>
      <c r="VH91" t="s">
        <v>1900</v>
      </c>
      <c r="VI91" t="s">
        <v>1900</v>
      </c>
      <c r="VJ91" t="s">
        <v>1900</v>
      </c>
      <c r="VK91" t="s">
        <v>1900</v>
      </c>
      <c r="VL91" t="s">
        <v>1900</v>
      </c>
      <c r="VM91" t="s">
        <v>1900</v>
      </c>
      <c r="VN91" t="s">
        <v>1900</v>
      </c>
      <c r="VO91" t="s">
        <v>1900</v>
      </c>
      <c r="VP91" t="s">
        <v>1900</v>
      </c>
      <c r="VQ91" t="s">
        <v>1900</v>
      </c>
      <c r="VR91" t="s">
        <v>1900</v>
      </c>
      <c r="VS91" t="s">
        <v>1900</v>
      </c>
      <c r="VT91" t="s">
        <v>1900</v>
      </c>
      <c r="VU91" t="s">
        <v>1900</v>
      </c>
      <c r="VV91" t="s">
        <v>1900</v>
      </c>
      <c r="VW91" t="s">
        <v>1900</v>
      </c>
      <c r="VX91" t="s">
        <v>1900</v>
      </c>
      <c r="VY91" t="s">
        <v>1900</v>
      </c>
      <c r="VZ91" t="s">
        <v>1900</v>
      </c>
      <c r="WA91">
        <v>234282.921142323</v>
      </c>
      <c r="WB91">
        <v>328328.366399736</v>
      </c>
      <c r="WC91">
        <v>375059.06538316</v>
      </c>
      <c r="WD91">
        <v>425673.668056726</v>
      </c>
      <c r="WE91">
        <v>386034.003035474</v>
      </c>
      <c r="WF91" t="s">
        <v>1900</v>
      </c>
      <c r="WG91" t="s">
        <v>1900</v>
      </c>
      <c r="WH91" t="s">
        <v>1900</v>
      </c>
      <c r="WI91" t="s">
        <v>1900</v>
      </c>
      <c r="WJ91" t="s">
        <v>1900</v>
      </c>
      <c r="WK91" t="s">
        <v>1900</v>
      </c>
      <c r="WL91" t="s">
        <v>1900</v>
      </c>
      <c r="WM91" t="s">
        <v>1900</v>
      </c>
      <c r="WN91" t="s">
        <v>1900</v>
      </c>
      <c r="WO91" t="s">
        <v>1900</v>
      </c>
      <c r="WP91" t="s">
        <v>1900</v>
      </c>
      <c r="WQ91" t="s">
        <v>1900</v>
      </c>
      <c r="WR91" t="s">
        <v>1900</v>
      </c>
      <c r="WS91" t="s">
        <v>1900</v>
      </c>
      <c r="WT91" t="s">
        <v>1900</v>
      </c>
      <c r="WU91" t="s">
        <v>1900</v>
      </c>
      <c r="WV91" t="s">
        <v>1900</v>
      </c>
      <c r="WW91" t="s">
        <v>1900</v>
      </c>
      <c r="WX91" t="s">
        <v>1900</v>
      </c>
      <c r="WY91" t="s">
        <v>1900</v>
      </c>
      <c r="WZ91" t="s">
        <v>1900</v>
      </c>
      <c r="XA91" t="s">
        <v>1900</v>
      </c>
      <c r="XB91" t="s">
        <v>1900</v>
      </c>
      <c r="XC91" t="s">
        <v>1900</v>
      </c>
      <c r="XD91" t="s">
        <v>1900</v>
      </c>
      <c r="XE91" t="s">
        <v>1900</v>
      </c>
      <c r="XF91" t="s">
        <v>1900</v>
      </c>
      <c r="XG91" t="s">
        <v>1900</v>
      </c>
      <c r="XH91" t="s">
        <v>1900</v>
      </c>
      <c r="XI91" t="s">
        <v>1900</v>
      </c>
      <c r="XJ91" t="s">
        <v>1900</v>
      </c>
      <c r="XK91">
        <v>0</v>
      </c>
      <c r="XL91">
        <v>0</v>
      </c>
      <c r="XM91">
        <v>0</v>
      </c>
      <c r="XN91">
        <v>0</v>
      </c>
      <c r="XO91" t="s">
        <v>1900</v>
      </c>
      <c r="XP91" t="s">
        <v>1900</v>
      </c>
      <c r="XQ91" t="s">
        <v>1900</v>
      </c>
      <c r="XR91" t="s">
        <v>1900</v>
      </c>
      <c r="XS91" t="s">
        <v>1900</v>
      </c>
      <c r="XT91" t="s">
        <v>1900</v>
      </c>
      <c r="XU91" t="s">
        <v>1900</v>
      </c>
      <c r="XV91" t="s">
        <v>1900</v>
      </c>
      <c r="XW91" t="s">
        <v>1900</v>
      </c>
      <c r="XX91" t="s">
        <v>1900</v>
      </c>
      <c r="XY91" t="s">
        <v>1900</v>
      </c>
      <c r="XZ91">
        <v>0</v>
      </c>
      <c r="YA91">
        <v>0</v>
      </c>
      <c r="YB91">
        <v>0</v>
      </c>
      <c r="YC91">
        <v>0</v>
      </c>
      <c r="YD91" t="s">
        <v>1900</v>
      </c>
      <c r="YE91" t="s">
        <v>1900</v>
      </c>
      <c r="YF91" t="s">
        <v>1900</v>
      </c>
      <c r="YG91" t="s">
        <v>1900</v>
      </c>
      <c r="YH91" t="s">
        <v>1900</v>
      </c>
      <c r="YI91" t="s">
        <v>1900</v>
      </c>
      <c r="YJ91" t="s">
        <v>1900</v>
      </c>
      <c r="YK91" t="s">
        <v>1900</v>
      </c>
      <c r="YL91" t="s">
        <v>1900</v>
      </c>
      <c r="YM91" t="s">
        <v>1900</v>
      </c>
      <c r="YN91" t="s">
        <v>1900</v>
      </c>
      <c r="YO91" t="s">
        <v>1900</v>
      </c>
      <c r="YP91" t="s">
        <v>1900</v>
      </c>
      <c r="YQ91" t="s">
        <v>1900</v>
      </c>
      <c r="YR91" t="s">
        <v>1900</v>
      </c>
      <c r="YS91" t="s">
        <v>1900</v>
      </c>
      <c r="YT91" t="s">
        <v>1900</v>
      </c>
      <c r="YU91" t="s">
        <v>1900</v>
      </c>
      <c r="YV91" t="s">
        <v>1900</v>
      </c>
      <c r="YW91" t="s">
        <v>1900</v>
      </c>
      <c r="YX91" t="s">
        <v>1900</v>
      </c>
      <c r="YY91" t="s">
        <v>1900</v>
      </c>
      <c r="YZ91" t="s">
        <v>1900</v>
      </c>
      <c r="ZA91" t="s">
        <v>1900</v>
      </c>
      <c r="ZB91" t="s">
        <v>1900</v>
      </c>
      <c r="ZC91" t="s">
        <v>1900</v>
      </c>
      <c r="ZD91" t="s">
        <v>1900</v>
      </c>
      <c r="ZE91" t="s">
        <v>1900</v>
      </c>
      <c r="ZF91" t="s">
        <v>1900</v>
      </c>
      <c r="ZG91" t="s">
        <v>1900</v>
      </c>
      <c r="ZH91" t="s">
        <v>1900</v>
      </c>
      <c r="ZI91" t="s">
        <v>1900</v>
      </c>
      <c r="ZJ91" t="s">
        <v>1900</v>
      </c>
      <c r="ZK91" t="s">
        <v>1900</v>
      </c>
      <c r="ZL91" t="s">
        <v>1900</v>
      </c>
      <c r="ZM91" t="s">
        <v>1900</v>
      </c>
      <c r="ZN91" t="s">
        <v>1900</v>
      </c>
      <c r="ZO91" t="s">
        <v>1900</v>
      </c>
      <c r="ZP91" t="s">
        <v>1900</v>
      </c>
      <c r="ZQ91" t="s">
        <v>1900</v>
      </c>
      <c r="ZR91" t="s">
        <v>1900</v>
      </c>
      <c r="ZS91" t="s">
        <v>1900</v>
      </c>
      <c r="ZT91" t="s">
        <v>1900</v>
      </c>
      <c r="ZU91" t="s">
        <v>1900</v>
      </c>
      <c r="ZV91" t="s">
        <v>1900</v>
      </c>
      <c r="ZW91" t="s">
        <v>1900</v>
      </c>
      <c r="ZX91" t="s">
        <v>1900</v>
      </c>
      <c r="ZY91" t="s">
        <v>1900</v>
      </c>
      <c r="ZZ91" t="s">
        <v>1900</v>
      </c>
      <c r="AAA91" t="s">
        <v>1900</v>
      </c>
      <c r="AAB91" t="s">
        <v>1900</v>
      </c>
      <c r="AAC91" t="s">
        <v>1900</v>
      </c>
      <c r="AAD91" t="s">
        <v>1900</v>
      </c>
      <c r="AAE91" t="s">
        <v>1900</v>
      </c>
      <c r="AAF91" t="s">
        <v>1900</v>
      </c>
      <c r="AAG91" t="s">
        <v>1900</v>
      </c>
      <c r="AAH91" t="s">
        <v>1900</v>
      </c>
      <c r="AAI91" t="s">
        <v>1900</v>
      </c>
      <c r="AAJ91" t="s">
        <v>1900</v>
      </c>
      <c r="AAK91" t="s">
        <v>1900</v>
      </c>
      <c r="AAL91" t="s">
        <v>1900</v>
      </c>
      <c r="AAM91" t="s">
        <v>1900</v>
      </c>
      <c r="AAN91" t="s">
        <v>1900</v>
      </c>
      <c r="AAO91" t="s">
        <v>1900</v>
      </c>
      <c r="AAP91" t="s">
        <v>1900</v>
      </c>
      <c r="AAQ91" t="s">
        <v>1900</v>
      </c>
      <c r="AAR91" t="s">
        <v>1900</v>
      </c>
      <c r="AAS91" t="s">
        <v>1900</v>
      </c>
      <c r="AAT91" t="s">
        <v>1900</v>
      </c>
      <c r="AAU91" t="s">
        <v>1900</v>
      </c>
      <c r="AAV91" t="s">
        <v>1900</v>
      </c>
      <c r="AAW91" t="s">
        <v>1900</v>
      </c>
      <c r="AAX91" t="s">
        <v>1900</v>
      </c>
      <c r="AAY91" t="s">
        <v>1900</v>
      </c>
      <c r="AAZ91" t="s">
        <v>1900</v>
      </c>
      <c r="ABA91" t="s">
        <v>1900</v>
      </c>
      <c r="ABB91" t="s">
        <v>1900</v>
      </c>
      <c r="ABC91" t="s">
        <v>1900</v>
      </c>
      <c r="ABD91" t="s">
        <v>1900</v>
      </c>
      <c r="ABE91" t="s">
        <v>1900</v>
      </c>
      <c r="ABF91" t="s">
        <v>1900</v>
      </c>
      <c r="ABG91" t="s">
        <v>1900</v>
      </c>
      <c r="ABH91" t="s">
        <v>1900</v>
      </c>
      <c r="ABI91" t="s">
        <v>1900</v>
      </c>
      <c r="ABJ91" t="s">
        <v>1900</v>
      </c>
      <c r="ABK91" t="s">
        <v>1900</v>
      </c>
      <c r="ABL91" t="s">
        <v>1900</v>
      </c>
      <c r="ABM91" t="s">
        <v>1900</v>
      </c>
      <c r="ABN91" t="s">
        <v>1900</v>
      </c>
      <c r="ABO91" t="s">
        <v>1900</v>
      </c>
      <c r="ABP91" t="s">
        <v>1900</v>
      </c>
      <c r="ABQ91" t="s">
        <v>1900</v>
      </c>
      <c r="ABR91" t="s">
        <v>1900</v>
      </c>
      <c r="ABS91" t="s">
        <v>1900</v>
      </c>
      <c r="ABT91" t="s">
        <v>1900</v>
      </c>
      <c r="ABU91" t="s">
        <v>1900</v>
      </c>
      <c r="ABV91" t="s">
        <v>1900</v>
      </c>
      <c r="ABW91" t="s">
        <v>1900</v>
      </c>
      <c r="ABX91" t="s">
        <v>1900</v>
      </c>
      <c r="ABY91" t="s">
        <v>1900</v>
      </c>
      <c r="ABZ91" t="s">
        <v>1900</v>
      </c>
      <c r="ACA91" t="s">
        <v>1900</v>
      </c>
      <c r="ACB91" t="s">
        <v>1900</v>
      </c>
      <c r="ACC91" t="s">
        <v>1900</v>
      </c>
      <c r="ACD91" t="s">
        <v>1900</v>
      </c>
      <c r="ACE91">
        <v>1.576</v>
      </c>
      <c r="ACF91">
        <v>3.153</v>
      </c>
      <c r="ACG91">
        <v>2.088</v>
      </c>
      <c r="ACH91">
        <v>1.385</v>
      </c>
      <c r="ACI91">
        <v>0.004</v>
      </c>
      <c r="ACJ91">
        <v>1.905</v>
      </c>
      <c r="ACK91">
        <v>3.558</v>
      </c>
      <c r="ACL91">
        <v>2.339</v>
      </c>
      <c r="ACM91">
        <v>1.57</v>
      </c>
      <c r="ACN91">
        <v>0.364</v>
      </c>
      <c r="ACO91">
        <v>0.792</v>
      </c>
      <c r="ACP91">
        <v>1.176</v>
      </c>
      <c r="ACQ91">
        <v>0.609</v>
      </c>
      <c r="ACR91">
        <v>0.4</v>
      </c>
      <c r="ACS91">
        <v>0.001</v>
      </c>
      <c r="ACT91">
        <v>0.599</v>
      </c>
      <c r="ACU91">
        <v>0.625</v>
      </c>
      <c r="ACV91">
        <v>0.344</v>
      </c>
      <c r="ACW91">
        <v>0.442</v>
      </c>
      <c r="ACX91">
        <v>0.083</v>
      </c>
      <c r="ACY91">
        <v>0.929</v>
      </c>
      <c r="ACZ91">
        <v>1.227</v>
      </c>
      <c r="ADA91">
        <v>1.036</v>
      </c>
      <c r="ADB91">
        <v>0.976</v>
      </c>
      <c r="ADC91">
        <v>0.412</v>
      </c>
      <c r="ADD91">
        <v>0.301</v>
      </c>
      <c r="ADE91">
        <v>0.233</v>
      </c>
      <c r="ADF91">
        <v>0.1</v>
      </c>
      <c r="ADG91">
        <v>0.128</v>
      </c>
      <c r="ADH91">
        <v>0.024</v>
      </c>
      <c r="ADI91">
        <v>0.5679999999999999</v>
      </c>
      <c r="ADJ91">
        <v>0.716</v>
      </c>
      <c r="ADK91">
        <v>0.583</v>
      </c>
      <c r="ADL91">
        <v>0.334</v>
      </c>
      <c r="ADM91">
        <v>0.001</v>
      </c>
      <c r="ADN91">
        <v>36.065</v>
      </c>
      <c r="ADO91">
        <v>32.036</v>
      </c>
      <c r="ADP91">
        <v>25.639</v>
      </c>
      <c r="ADQ91">
        <v>20.466</v>
      </c>
      <c r="ADR91">
        <v>21.558</v>
      </c>
      <c r="ADS91">
        <v>0.475563367</v>
      </c>
      <c r="ADT91">
        <v>0.8756515459999999</v>
      </c>
      <c r="ADU91">
        <v>0.892115514</v>
      </c>
      <c r="ADV91">
        <v>0.6010359320000001</v>
      </c>
      <c r="ADW91">
        <v>0.378247471</v>
      </c>
      <c r="ADX91">
        <v>0.781</v>
      </c>
      <c r="ADY91">
        <v>1.017</v>
      </c>
      <c r="ADZ91">
        <v>0.987</v>
      </c>
      <c r="AEA91">
        <v>0.696</v>
      </c>
      <c r="AEB91">
        <v>0.491</v>
      </c>
      <c r="AEC91">
        <v>0.476</v>
      </c>
      <c r="AED91">
        <v>0.876</v>
      </c>
      <c r="AEE91">
        <v>0.892</v>
      </c>
      <c r="AEF91">
        <v>0.601</v>
      </c>
      <c r="AEG91">
        <v>0.378</v>
      </c>
      <c r="AEH91">
        <v>0.521</v>
      </c>
      <c r="AEI91">
        <v>0.283</v>
      </c>
      <c r="AEJ91">
        <v>0.191</v>
      </c>
      <c r="AEK91">
        <v>0.202</v>
      </c>
      <c r="AEL91">
        <v>0.134</v>
      </c>
      <c r="AEM91">
        <v>0.477835779</v>
      </c>
      <c r="AEN91">
        <v>0.883386937</v>
      </c>
      <c r="AEO91">
        <v>0.900145855</v>
      </c>
      <c r="AEP91">
        <v>0.604670217</v>
      </c>
      <c r="AEQ91">
        <v>0.379683615</v>
      </c>
      <c r="AER91">
        <v>1.013362457</v>
      </c>
      <c r="AES91">
        <v>1.028101677</v>
      </c>
      <c r="AET91">
        <v>1.036049701</v>
      </c>
      <c r="AEU91">
        <v>1.030256636</v>
      </c>
      <c r="AEV91">
        <v>1.017858938</v>
      </c>
      <c r="AEW91" t="s">
        <v>1900</v>
      </c>
      <c r="AEX91" t="s">
        <v>1900</v>
      </c>
      <c r="AEY91" t="s">
        <v>1900</v>
      </c>
      <c r="AEZ91" t="s">
        <v>1900</v>
      </c>
      <c r="AFA91" t="s">
        <v>1900</v>
      </c>
      <c r="AFB91" t="s">
        <v>1900</v>
      </c>
      <c r="AFC91" t="s">
        <v>1900</v>
      </c>
      <c r="AFD91" t="s">
        <v>1900</v>
      </c>
      <c r="AFE91" t="s">
        <v>1900</v>
      </c>
      <c r="AFF91" t="s">
        <v>1900</v>
      </c>
      <c r="AFG91">
        <v>2.776</v>
      </c>
      <c r="AFH91">
        <v>4.063</v>
      </c>
      <c r="AFI91">
        <v>2.675</v>
      </c>
      <c r="AFJ91">
        <v>2.612</v>
      </c>
      <c r="AFK91">
        <v>2.345</v>
      </c>
      <c r="AFL91">
        <v>4.005</v>
      </c>
      <c r="AFM91">
        <v>5.469</v>
      </c>
      <c r="AFN91">
        <v>3.063</v>
      </c>
      <c r="AFO91">
        <v>2.248</v>
      </c>
      <c r="AFP91">
        <v>2.454</v>
      </c>
      <c r="AFQ91" t="s">
        <v>1901</v>
      </c>
      <c r="AFR91" t="s">
        <v>1901</v>
      </c>
      <c r="AFS91" t="s">
        <v>1901</v>
      </c>
      <c r="AFT91" t="s">
        <v>1901</v>
      </c>
      <c r="AFU91" t="s">
        <v>1901</v>
      </c>
      <c r="AFV91">
        <v>107.075</v>
      </c>
      <c r="AFW91">
        <v>91.82299999999999</v>
      </c>
      <c r="AFX91">
        <v>182.972</v>
      </c>
      <c r="AFY91">
        <v>99.372</v>
      </c>
      <c r="AFZ91">
        <v>93.39700000000001</v>
      </c>
      <c r="AGA91">
        <v>85.083</v>
      </c>
      <c r="AGB91">
        <v>82.956</v>
      </c>
      <c r="AGC91">
        <v>146.158</v>
      </c>
      <c r="AGD91">
        <v>113.954</v>
      </c>
      <c r="AGE91">
        <v>128.65</v>
      </c>
      <c r="AGF91" t="s">
        <v>1900</v>
      </c>
      <c r="AGG91" t="s">
        <v>1900</v>
      </c>
      <c r="AGH91" t="s">
        <v>1900</v>
      </c>
      <c r="AGI91" t="s">
        <v>1900</v>
      </c>
      <c r="AGJ91" t="s">
        <v>1900</v>
      </c>
      <c r="AGK91" t="s">
        <v>1900</v>
      </c>
      <c r="AGL91" t="s">
        <v>1900</v>
      </c>
      <c r="AGM91" t="s">
        <v>1900</v>
      </c>
      <c r="AGN91" t="s">
        <v>1900</v>
      </c>
      <c r="AGO91" t="s">
        <v>1900</v>
      </c>
      <c r="AGP91" t="s">
        <v>1900</v>
      </c>
      <c r="AGQ91" t="s">
        <v>1900</v>
      </c>
      <c r="AGR91" t="s">
        <v>1900</v>
      </c>
      <c r="AGS91" t="s">
        <v>1900</v>
      </c>
      <c r="AGT91" t="s">
        <v>1900</v>
      </c>
      <c r="AGU91">
        <v>0</v>
      </c>
      <c r="AGV91">
        <v>0</v>
      </c>
      <c r="AGW91">
        <v>0</v>
      </c>
      <c r="AGX91">
        <v>0</v>
      </c>
      <c r="AGY91">
        <v>0</v>
      </c>
      <c r="AGZ91">
        <v>1.938</v>
      </c>
      <c r="AHA91">
        <v>1.652</v>
      </c>
      <c r="AHB91">
        <v>1.615</v>
      </c>
      <c r="AHC91">
        <v>1.824</v>
      </c>
      <c r="AHD91">
        <v>1.865</v>
      </c>
      <c r="AHE91">
        <v>1.938</v>
      </c>
      <c r="AHF91">
        <v>1.652</v>
      </c>
      <c r="AHG91">
        <v>1.615</v>
      </c>
      <c r="AHH91">
        <v>1.824</v>
      </c>
      <c r="AHI91">
        <v>1.865</v>
      </c>
      <c r="AHJ91" t="s">
        <v>1901</v>
      </c>
      <c r="AHK91">
        <v>11.817</v>
      </c>
      <c r="AHL91">
        <v>2.958</v>
      </c>
      <c r="AHM91">
        <v>1.697</v>
      </c>
      <c r="AHN91">
        <v>1.588</v>
      </c>
      <c r="AHO91">
        <v>50.295</v>
      </c>
      <c r="AHP91">
        <v>37.306</v>
      </c>
      <c r="AHQ91">
        <v>29.179</v>
      </c>
      <c r="AHR91">
        <v>28.899</v>
      </c>
      <c r="AHS91">
        <v>28.858</v>
      </c>
      <c r="AHT91" t="s">
        <v>1901</v>
      </c>
      <c r="AHU91">
        <v>59.504</v>
      </c>
      <c r="AHV91">
        <v>41.2</v>
      </c>
      <c r="AHW91">
        <v>40.644</v>
      </c>
      <c r="AHX91">
        <v>40.565</v>
      </c>
      <c r="AHY91">
        <v>9.193</v>
      </c>
      <c r="AHZ91">
        <v>34.669</v>
      </c>
      <c r="AIA91">
        <v>59.451</v>
      </c>
      <c r="AIB91">
        <v>73.986</v>
      </c>
      <c r="AIC91">
        <v>75.779</v>
      </c>
      <c r="AID91">
        <v>2.186802255</v>
      </c>
      <c r="AIE91">
        <v>1.412806519</v>
      </c>
      <c r="AIF91">
        <v>1.393784837</v>
      </c>
      <c r="AIG91">
        <v>1.347443572</v>
      </c>
      <c r="AIH91">
        <v>1.105385915</v>
      </c>
      <c r="AII91">
        <v>54.79029368</v>
      </c>
      <c r="AIJ91">
        <v>56.429616009</v>
      </c>
      <c r="AIK91">
        <v>45.378820185</v>
      </c>
      <c r="AIL91">
        <v>65.520643429</v>
      </c>
      <c r="AIM91">
        <v>70.174376002</v>
      </c>
      <c r="AIN91">
        <v>12.083085736</v>
      </c>
      <c r="AIO91">
        <v>11.880116865</v>
      </c>
      <c r="AIP91">
        <v>11.065841084</v>
      </c>
      <c r="AIQ91">
        <v>11.754388014</v>
      </c>
      <c r="AIR91">
        <v>9.868703765999999</v>
      </c>
      <c r="AIS91">
        <v>0</v>
      </c>
      <c r="AIT91">
        <v>0</v>
      </c>
      <c r="AIU91">
        <v>0</v>
      </c>
      <c r="AIV91">
        <v>0</v>
      </c>
      <c r="AIW91">
        <v>0</v>
      </c>
      <c r="AIX91">
        <v>1.70727556053996</v>
      </c>
      <c r="AIY91">
        <v>3.25079543391705</v>
      </c>
      <c r="AIZ91">
        <v>2.58090837811112</v>
      </c>
      <c r="AJA91">
        <v>1.81182637485266</v>
      </c>
      <c r="AJB91">
        <v>0.00592566251695156</v>
      </c>
      <c r="AJC91">
        <v>300.798468404119</v>
      </c>
      <c r="AJD91">
        <v>454.318893067737</v>
      </c>
      <c r="AJE91">
        <v>442.548594907894</v>
      </c>
      <c r="AJF91">
        <v>542.945030444734</v>
      </c>
      <c r="AJG91">
        <v>539.153971626217</v>
      </c>
      <c r="AJH91">
        <v>20.195</v>
      </c>
      <c r="AJI91">
        <v>13.409</v>
      </c>
      <c r="AJJ91">
        <v>14.136</v>
      </c>
      <c r="AJK91">
        <v>12.26</v>
      </c>
      <c r="AJL91">
        <v>11.883</v>
      </c>
      <c r="AJM91">
        <v>60.7464342212181</v>
      </c>
      <c r="AJN91">
        <v>60.9175237190361</v>
      </c>
      <c r="AJO91">
        <v>62.5593333801824</v>
      </c>
      <c r="AJP91">
        <v>66.56343313763379</v>
      </c>
      <c r="AJQ91">
        <v>64.0670397152787</v>
      </c>
      <c r="AJR91">
        <v>108.353199496971</v>
      </c>
      <c r="AJS91">
        <v>103.100798310371</v>
      </c>
      <c r="AJT91">
        <v>123.619872626668</v>
      </c>
      <c r="AJU91">
        <v>130.817414966326</v>
      </c>
      <c r="AJV91">
        <v>141.106289729831</v>
      </c>
      <c r="AJW91">
        <v>18.3758950889308</v>
      </c>
      <c r="AJX91">
        <v>11.1907985972929</v>
      </c>
      <c r="AJY91">
        <v>45.2547944844925</v>
      </c>
      <c r="AJZ91">
        <v>-21.9914759151793</v>
      </c>
      <c r="AKA91">
        <v>-52.7971437798291</v>
      </c>
      <c r="AKB91">
        <v>215.436985306207</v>
      </c>
      <c r="AKC91">
        <v>276.367960125545</v>
      </c>
      <c r="AKD91">
        <v>423.667598503369</v>
      </c>
      <c r="AKE91">
        <v>452.675277316196</v>
      </c>
      <c r="AKF91">
        <v>488.962396506431</v>
      </c>
      <c r="AKG91">
        <v>0</v>
      </c>
      <c r="AKH91">
        <v>0</v>
      </c>
      <c r="AKI91">
        <v>0</v>
      </c>
      <c r="AKJ91">
        <v>0</v>
      </c>
      <c r="AKK91">
        <v>0</v>
      </c>
      <c r="AKL91">
        <v>0</v>
      </c>
      <c r="AKM91">
        <v>0</v>
      </c>
      <c r="AKN91">
        <v>0</v>
      </c>
      <c r="AKO91">
        <v>0</v>
      </c>
      <c r="AKP91">
        <v>0</v>
      </c>
      <c r="AKQ91">
        <v>0</v>
      </c>
      <c r="AKR91">
        <v>0</v>
      </c>
      <c r="AKS91">
        <v>0</v>
      </c>
      <c r="AKT91">
        <v>0</v>
      </c>
      <c r="AKU91">
        <v>0</v>
      </c>
      <c r="AKV91">
        <v>0.703182227</v>
      </c>
      <c r="AKW91">
        <v>0</v>
      </c>
      <c r="AKX91">
        <v>0</v>
      </c>
      <c r="AKY91">
        <v>0</v>
      </c>
      <c r="AKZ91">
        <v>0</v>
      </c>
      <c r="ALA91">
        <v>0.981800486</v>
      </c>
      <c r="ALB91">
        <v>0</v>
      </c>
      <c r="ALC91">
        <v>0</v>
      </c>
      <c r="ALD91">
        <v>0</v>
      </c>
      <c r="ALE91">
        <v>0</v>
      </c>
      <c r="ALF91">
        <v>0.367441588</v>
      </c>
      <c r="ALG91">
        <v>0.138471016</v>
      </c>
      <c r="ALH91">
        <v>0.131028807</v>
      </c>
      <c r="ALI91">
        <v>0.020046239</v>
      </c>
      <c r="ALJ91">
        <v>0.10299285</v>
      </c>
      <c r="ALK91">
        <v>0.51303107</v>
      </c>
      <c r="ALL91">
        <v>0.227631303</v>
      </c>
      <c r="ALM91">
        <v>0.136868183</v>
      </c>
      <c r="ALN91">
        <v>0.024043738</v>
      </c>
      <c r="ALO91">
        <v>0.113564979</v>
      </c>
      <c r="ALP91">
        <v>29.743112668</v>
      </c>
      <c r="ALQ91">
        <v>25.506519445</v>
      </c>
      <c r="ALR91">
        <v>50.825460216</v>
      </c>
      <c r="ALS91">
        <v>27.603372425</v>
      </c>
      <c r="ALT91">
        <v>25.943585951</v>
      </c>
      <c r="ALU91">
        <v>79.46066140800001</v>
      </c>
      <c r="ALV91">
        <v>90.342847662</v>
      </c>
      <c r="ALW91">
        <v>79.88026221600001</v>
      </c>
      <c r="ALX91">
        <v>114.673590021</v>
      </c>
      <c r="ALY91">
        <v>137.745711392</v>
      </c>
      <c r="ALZ91">
        <v>36.0650783846249</v>
      </c>
      <c r="AMA91">
        <v>32.0357683247183</v>
      </c>
      <c r="AMB91">
        <v>25.6389371640368</v>
      </c>
      <c r="AMC91">
        <v>20.4656346936162</v>
      </c>
      <c r="AMD91">
        <v>21.5579764044643</v>
      </c>
      <c r="AME91">
        <v>36.0650783846249</v>
      </c>
      <c r="AMF91">
        <v>32.0357683247183</v>
      </c>
      <c r="AMG91">
        <v>25.6389371640368</v>
      </c>
      <c r="AMH91">
        <v>20.4656346936162</v>
      </c>
      <c r="AMI91">
        <v>21.5579764044643</v>
      </c>
      <c r="AMJ91">
        <v>56.4090445331824</v>
      </c>
      <c r="AMK91">
        <v>47.1362178826331</v>
      </c>
      <c r="AML91">
        <v>34.4789816022161</v>
      </c>
      <c r="AMM91">
        <v>25.7318136902051</v>
      </c>
      <c r="AMN91">
        <v>27.4826877435263</v>
      </c>
      <c r="AMO91">
        <v>1.01336245599993</v>
      </c>
      <c r="AMP91">
        <v>1.02810167728507</v>
      </c>
      <c r="AMQ91">
        <v>1.0360496994578</v>
      </c>
      <c r="AMR91">
        <v>1.03025663589799</v>
      </c>
      <c r="AMS91">
        <v>1.0178589382533</v>
      </c>
      <c r="AMT91">
        <v>1.01336245707821</v>
      </c>
      <c r="AMU91">
        <v>1.02810167728507</v>
      </c>
      <c r="AMV91">
        <v>1.03604970067519</v>
      </c>
      <c r="AMW91">
        <v>1.03025663589799</v>
      </c>
      <c r="AMX91">
        <v>1.0178589382533</v>
      </c>
      <c r="AMY91">
        <v>1.01336245707821</v>
      </c>
      <c r="AMZ91">
        <v>1.02810167728507</v>
      </c>
      <c r="ANA91">
        <v>1.03604970067519</v>
      </c>
      <c r="ANB91">
        <v>1.03025663585827</v>
      </c>
      <c r="ANC91">
        <v>1.0178589382533</v>
      </c>
      <c r="AND91">
        <v>0.475563367365321</v>
      </c>
      <c r="ANE91">
        <v>0.875651545883821</v>
      </c>
      <c r="ANF91">
        <v>0.892115514224162</v>
      </c>
      <c r="ANG91">
        <v>0.601035931990176</v>
      </c>
      <c r="ANH91">
        <v>0.37824747124015</v>
      </c>
      <c r="ANI91">
        <v>0.475563367365321</v>
      </c>
      <c r="ANJ91">
        <v>0.875651545883821</v>
      </c>
      <c r="ANK91">
        <v>0.892115514224162</v>
      </c>
      <c r="ANL91">
        <v>0.601035931990176</v>
      </c>
      <c r="ANM91">
        <v>0.37824747124015</v>
      </c>
      <c r="ANN91">
        <v>0.477835779287778</v>
      </c>
      <c r="ANO91">
        <v>0.88338693725604</v>
      </c>
      <c r="ANP91">
        <v>0.900145855047688</v>
      </c>
      <c r="ANQ91">
        <v>0.604670217265988</v>
      </c>
      <c r="ANR91">
        <v>0.379683614912269</v>
      </c>
      <c r="ANS91">
        <v>1.32020774394362</v>
      </c>
      <c r="ANT91">
        <v>3.55756000114507</v>
      </c>
      <c r="ANU91">
        <v>2.38678904581813</v>
      </c>
      <c r="ANV91">
        <v>1.56962589123271</v>
      </c>
      <c r="ANW91">
        <v>0.886848675426824</v>
      </c>
      <c r="ANX91">
        <v>36.0650784230005</v>
      </c>
      <c r="ANY91">
        <v>32.0357683247183</v>
      </c>
      <c r="ANZ91">
        <v>25.6389371941634</v>
      </c>
      <c r="AOA91">
        <v>20.4656347196915</v>
      </c>
      <c r="AOB91">
        <v>21.5579764044643</v>
      </c>
      <c r="AOC91">
        <v>36.2374102329748</v>
      </c>
      <c r="AOD91">
        <v>32.3187681173485</v>
      </c>
      <c r="AOE91">
        <v>25.8697249941971</v>
      </c>
      <c r="AOF91">
        <v>20.5893842913829</v>
      </c>
      <c r="AOG91">
        <v>21.6398285085787</v>
      </c>
      <c r="AOH91">
        <v>50.3549579695666</v>
      </c>
      <c r="AOI91">
        <v>52.6633217441301</v>
      </c>
      <c r="AOJ91">
        <v>26.7815515043438</v>
      </c>
      <c r="AOK91">
        <v>24.5467672332808</v>
      </c>
      <c r="AOL91">
        <v>23.7708844474502</v>
      </c>
      <c r="AOM91">
        <v>0.743824119331373</v>
      </c>
      <c r="AON91">
        <v>1.28840056644426</v>
      </c>
      <c r="AOO91">
        <v>1.19970785860546</v>
      </c>
      <c r="AOP91">
        <v>0.755693378418126</v>
      </c>
      <c r="AOQ91">
        <v>0.482200042658865</v>
      </c>
      <c r="AOR91">
        <v>1.33624570782124</v>
      </c>
      <c r="AOS91">
        <v>2.81016772850674</v>
      </c>
      <c r="AOT91">
        <v>3.6049700675192</v>
      </c>
      <c r="AOU91">
        <v>3.02566358979898</v>
      </c>
      <c r="AOV91">
        <v>1.78589382533033</v>
      </c>
      <c r="AOW91">
        <v>0.663993382189771</v>
      </c>
      <c r="AOX91">
        <v>1.43947598288265</v>
      </c>
      <c r="AOY91">
        <v>0.931873167719749</v>
      </c>
      <c r="AOZ91">
        <v>0.720890866189598</v>
      </c>
      <c r="APA91">
        <v>0.417074254220258</v>
      </c>
      <c r="APB91">
        <v>0.215926959034615</v>
      </c>
      <c r="APC91">
        <v>0.141823335766803</v>
      </c>
      <c r="APD91">
        <v>0.09618673776091199</v>
      </c>
      <c r="APE91">
        <v>0.10640660330484</v>
      </c>
      <c r="APF91">
        <v>0.0216991162509157</v>
      </c>
      <c r="APG91">
        <v>0.215926959034615</v>
      </c>
      <c r="APH91">
        <v>0.141823335766803</v>
      </c>
      <c r="API91">
        <v>0.09618673776091199</v>
      </c>
      <c r="APJ91">
        <v>0.10640660330484</v>
      </c>
      <c r="APK91">
        <v>0.0216991162509157</v>
      </c>
      <c r="APL91">
        <v>0.337729293645203</v>
      </c>
      <c r="APM91">
        <v>0.208673492322262</v>
      </c>
      <c r="APN91">
        <v>0.129350945416238</v>
      </c>
      <c r="APO91">
        <v>0.133786952256203</v>
      </c>
      <c r="APP91">
        <v>0.0276626166132597</v>
      </c>
      <c r="APQ91">
        <v>0.60671509206312</v>
      </c>
      <c r="APR91">
        <v>0.455143787725266</v>
      </c>
      <c r="APS91">
        <v>0.38868319740181</v>
      </c>
      <c r="APT91">
        <v>0.535659464264612</v>
      </c>
      <c r="APU91">
        <v>0.102452285009544</v>
      </c>
      <c r="APV91">
        <v>0.21695873530201</v>
      </c>
      <c r="APW91">
        <v>0.143076184588948</v>
      </c>
      <c r="APX91">
        <v>0.0970525586939725</v>
      </c>
      <c r="APY91">
        <v>0.107050012344229</v>
      </c>
      <c r="APZ91">
        <v>0.0217815042399012</v>
      </c>
      <c r="AQA91">
        <v>0.30148258186844</v>
      </c>
      <c r="AQB91">
        <v>0.23314215181629</v>
      </c>
      <c r="AQC91">
        <v>0.100473356399189</v>
      </c>
      <c r="AQD91">
        <v>0.127625561704309</v>
      </c>
      <c r="AQE91">
        <v>0.023926512179756</v>
      </c>
      <c r="AQF91">
        <v>0.0133624570782124</v>
      </c>
      <c r="AQG91">
        <v>0.0281016772850674</v>
      </c>
      <c r="AQH91">
        <v>0.036049700675192</v>
      </c>
      <c r="AQI91">
        <v>0.0302566358582732</v>
      </c>
      <c r="AQJ91">
        <v>0.0178589382533033</v>
      </c>
      <c r="AQK91">
        <v>2</v>
      </c>
      <c r="AQO91" t="s">
        <v>1902</v>
      </c>
      <c r="AQP91">
        <v>4</v>
      </c>
      <c r="AQQ91">
        <v>0</v>
      </c>
      <c r="AQS91" t="s">
        <v>1905</v>
      </c>
      <c r="AQU91" t="s">
        <v>1906</v>
      </c>
      <c r="AQV91">
        <v>2707186.21979267</v>
      </c>
      <c r="AQW91">
        <v>4543188.93067737</v>
      </c>
      <c r="AQX91">
        <v>3540388.75712995</v>
      </c>
      <c r="AQY91">
        <v>12874.385947696</v>
      </c>
      <c r="AQZ91">
        <v>39782.504103899</v>
      </c>
      <c r="ARA91">
        <v>31584.3573662043</v>
      </c>
      <c r="ARB91">
        <v>10790763.90759999</v>
      </c>
      <c r="ARC91">
        <v>84241.2474177993</v>
      </c>
      <c r="ARD91">
        <v>0.007868217356051043</v>
      </c>
      <c r="ARE91">
        <v>0.007868217356051043</v>
      </c>
      <c r="ARF91">
        <v>0.007868217356051043</v>
      </c>
      <c r="ARG91">
        <v>0.007868217356051043</v>
      </c>
      <c r="ARH91">
        <v>0.007868217356051043</v>
      </c>
      <c r="ARI91">
        <v>0.007868217356051043</v>
      </c>
      <c r="ARJ91" t="s">
        <v>1252</v>
      </c>
      <c r="ARK91" t="s">
        <v>1590</v>
      </c>
      <c r="ARL91" t="s">
        <v>1908</v>
      </c>
      <c r="ARM91" t="s">
        <v>1908</v>
      </c>
      <c r="ARN91" t="s">
        <v>1909</v>
      </c>
      <c r="ARO91" t="s">
        <v>1908</v>
      </c>
      <c r="ARP91" t="s">
        <v>1907</v>
      </c>
      <c r="ARQ91" t="s">
        <v>1984</v>
      </c>
      <c r="ARR91">
        <f>HYPERLINK("C:\Users\Usuario\Documents\Proyectos\llmthon\evidence\oliva-ayala_com_235525.png", "Ver Evidencia")</f>
        <v>0</v>
      </c>
      <c r="ARS91">
        <v>100</v>
      </c>
    </row>
    <row r="92" spans="1:1163">
      <c r="A92">
        <v>54</v>
      </c>
      <c r="B92" t="s">
        <v>1253</v>
      </c>
      <c r="C92" t="s">
        <v>1376</v>
      </c>
      <c r="D92" t="s">
        <v>1422</v>
      </c>
      <c r="E92" s="2">
        <v>37376</v>
      </c>
      <c r="F92" t="s">
        <v>1431</v>
      </c>
      <c r="G92" t="s">
        <v>1433</v>
      </c>
      <c r="H92" t="s">
        <v>1434</v>
      </c>
      <c r="I92" t="s">
        <v>1442</v>
      </c>
      <c r="J92" t="s">
        <v>1491</v>
      </c>
      <c r="L92" t="s">
        <v>1591</v>
      </c>
      <c r="N92" t="s">
        <v>1631</v>
      </c>
      <c r="O92" t="s">
        <v>1655</v>
      </c>
      <c r="P92">
        <v>6202</v>
      </c>
      <c r="Q92">
        <v>6202</v>
      </c>
      <c r="R92" t="s">
        <v>1761</v>
      </c>
      <c r="S92" t="s">
        <v>1832</v>
      </c>
      <c r="T92" t="s">
        <v>1865</v>
      </c>
      <c r="U92" t="s">
        <v>1873</v>
      </c>
      <c r="X92" t="s">
        <v>1891</v>
      </c>
      <c r="Z92" t="s">
        <v>1899</v>
      </c>
      <c r="AA92" s="2">
        <v>45382</v>
      </c>
      <c r="AB92">
        <v>2024</v>
      </c>
      <c r="AC92">
        <v>17977049.0289317</v>
      </c>
      <c r="AD92">
        <v>16162892.2036308</v>
      </c>
      <c r="AE92">
        <v>12847188.4587109</v>
      </c>
      <c r="AF92">
        <v>14430045.5639888</v>
      </c>
      <c r="AG92">
        <v>10018209.2597416</v>
      </c>
      <c r="AH92">
        <v>17747260.5854605</v>
      </c>
      <c r="AI92">
        <v>16050675.6556141</v>
      </c>
      <c r="AJ92">
        <v>12701949.9555831</v>
      </c>
      <c r="AK92">
        <v>14323125.7804525</v>
      </c>
      <c r="AL92">
        <v>9925135.41966714</v>
      </c>
      <c r="AM92">
        <v>9520533.516970599</v>
      </c>
      <c r="AN92">
        <v>8519168.63568325</v>
      </c>
      <c r="AO92">
        <v>6164190.47264467</v>
      </c>
      <c r="AP92">
        <v>9059059.65203123</v>
      </c>
      <c r="AQ92">
        <v>6000671.47054637</v>
      </c>
      <c r="AR92">
        <v>8456515.511961119</v>
      </c>
      <c r="AS92">
        <v>7643723.56686003</v>
      </c>
      <c r="AT92">
        <v>6682997.98495614</v>
      </c>
      <c r="AU92">
        <v>5370985.9119576</v>
      </c>
      <c r="AV92">
        <v>4017537.78919522</v>
      </c>
      <c r="AW92">
        <v>7158305.69014936</v>
      </c>
      <c r="AX92">
        <v>6753975.02313957</v>
      </c>
      <c r="AY92">
        <v>6179525.96567296</v>
      </c>
      <c r="AZ92">
        <v>5089745.60934282</v>
      </c>
      <c r="BA92">
        <v>3892897.67848113</v>
      </c>
      <c r="BB92">
        <v>1298209.82181176</v>
      </c>
      <c r="BC92">
        <v>889748.544807966</v>
      </c>
      <c r="BD92">
        <v>503472.019283172</v>
      </c>
      <c r="BE92">
        <v>281240.303787284</v>
      </c>
      <c r="BF92">
        <v>124640.110714087</v>
      </c>
      <c r="BG92">
        <v>-66268.50535045841</v>
      </c>
      <c r="BH92">
        <v>-43739.5196303272</v>
      </c>
      <c r="BI92">
        <v>-89116.7036818278</v>
      </c>
      <c r="BJ92">
        <v>-79240.8845352769</v>
      </c>
      <c r="BK92">
        <v>-72636.51863534949</v>
      </c>
      <c r="BL92">
        <v>24316.9496145701</v>
      </c>
      <c r="BM92">
        <v>1433.28178280354</v>
      </c>
      <c r="BN92">
        <v>741.2357538366319</v>
      </c>
      <c r="BO92">
        <v>37.9526491043568</v>
      </c>
      <c r="BP92">
        <v>227.884777069092</v>
      </c>
      <c r="BQ92">
        <v>90585.4549650285</v>
      </c>
      <c r="BR92">
        <v>45172.8014131308</v>
      </c>
      <c r="BS92">
        <v>89857.9394356644</v>
      </c>
      <c r="BT92">
        <v>79278.8383568811</v>
      </c>
      <c r="BU92">
        <v>72864.4034124186</v>
      </c>
      <c r="BV92">
        <v>1231941.3153802</v>
      </c>
      <c r="BW92">
        <v>846009.025177639</v>
      </c>
      <c r="BX92">
        <v>414355.315601344</v>
      </c>
      <c r="BY92">
        <v>201999.419252007</v>
      </c>
      <c r="BZ92">
        <v>52003.5909831381</v>
      </c>
      <c r="CA92">
        <v>187808.021290927</v>
      </c>
      <c r="CB92">
        <v>142891.101069113</v>
      </c>
      <c r="CC92">
        <v>-35025.209932245</v>
      </c>
      <c r="CD92">
        <v>-32859.3916350532</v>
      </c>
      <c r="CE92">
        <v>83539.25056186201</v>
      </c>
      <c r="CF92">
        <v>1044133.29408927</v>
      </c>
      <c r="CG92">
        <v>703117.924108526</v>
      </c>
      <c r="CH92">
        <v>449380.525533589</v>
      </c>
      <c r="CI92">
        <v>234858.81088706</v>
      </c>
      <c r="CJ92">
        <v>-31535.6595787239</v>
      </c>
      <c r="CK92" t="s">
        <v>1900</v>
      </c>
      <c r="CL92" t="s">
        <v>1900</v>
      </c>
      <c r="CM92" t="s">
        <v>1900</v>
      </c>
      <c r="CN92" t="s">
        <v>1900</v>
      </c>
      <c r="CO92" t="s">
        <v>1900</v>
      </c>
      <c r="CP92" t="s">
        <v>1900</v>
      </c>
      <c r="CQ92" t="s">
        <v>1900</v>
      </c>
      <c r="CR92" t="s">
        <v>1900</v>
      </c>
      <c r="CS92" t="s">
        <v>1900</v>
      </c>
      <c r="CT92" t="s">
        <v>1900</v>
      </c>
      <c r="CU92" t="s">
        <v>1900</v>
      </c>
      <c r="CV92" t="s">
        <v>1900</v>
      </c>
      <c r="CW92" t="s">
        <v>1900</v>
      </c>
      <c r="CX92" t="s">
        <v>1900</v>
      </c>
      <c r="CY92" t="s">
        <v>1900</v>
      </c>
      <c r="CZ92">
        <v>1044133.29408927</v>
      </c>
      <c r="DA92">
        <v>703117.924108526</v>
      </c>
      <c r="DB92">
        <v>449380.525533589</v>
      </c>
      <c r="DC92">
        <v>234858.81088706</v>
      </c>
      <c r="DD92">
        <v>-31535.6595787239</v>
      </c>
      <c r="DE92" t="s">
        <v>1900</v>
      </c>
      <c r="DF92" t="s">
        <v>1900</v>
      </c>
      <c r="DG92" t="s">
        <v>1900</v>
      </c>
      <c r="DH92" t="s">
        <v>1900</v>
      </c>
      <c r="DI92" t="s">
        <v>1900</v>
      </c>
      <c r="DJ92">
        <v>9520533.516970599</v>
      </c>
      <c r="DK92">
        <v>8519168.63568325</v>
      </c>
      <c r="DL92">
        <v>6164190.47264467</v>
      </c>
      <c r="DM92">
        <v>9059059.65203123</v>
      </c>
      <c r="DN92">
        <v>6000671.47054637</v>
      </c>
      <c r="DO92">
        <v>6151094.91468848</v>
      </c>
      <c r="DP92">
        <v>5745650.66406018</v>
      </c>
      <c r="DQ92">
        <v>5154535.38195925</v>
      </c>
      <c r="DR92">
        <v>4354725.39278046</v>
      </c>
      <c r="DS92">
        <v>2857676.12335431</v>
      </c>
      <c r="DT92">
        <v>220209.899698505</v>
      </c>
      <c r="DU92">
        <v>253921.382101707</v>
      </c>
      <c r="DV92">
        <v>247158.89662324</v>
      </c>
      <c r="DW92">
        <v>201672.338681271</v>
      </c>
      <c r="DX92">
        <v>154922.732698898</v>
      </c>
      <c r="DY92">
        <v>787000.8757623771</v>
      </c>
      <c r="DZ92">
        <v>754402.976977676</v>
      </c>
      <c r="EA92">
        <v>777831.688200575</v>
      </c>
      <c r="EB92">
        <v>533347.876708588</v>
      </c>
      <c r="EC92">
        <v>880298.821332321</v>
      </c>
      <c r="ED92">
        <v>70583.18633926391</v>
      </c>
      <c r="EE92">
        <v>42799.2886948085</v>
      </c>
      <c r="EF92">
        <v>52776.2476566911</v>
      </c>
      <c r="EG92">
        <v>76490.3873813653</v>
      </c>
      <c r="EH92">
        <v>72562.80667476681</v>
      </c>
      <c r="EI92" t="s">
        <v>1900</v>
      </c>
      <c r="EJ92" t="s">
        <v>1900</v>
      </c>
      <c r="EK92" t="s">
        <v>1900</v>
      </c>
      <c r="EL92" t="s">
        <v>1900</v>
      </c>
      <c r="EM92" t="s">
        <v>1900</v>
      </c>
      <c r="EN92">
        <v>1264343.19378778</v>
      </c>
      <c r="EO92">
        <v>957039.306210233</v>
      </c>
      <c r="EP92">
        <v>696539.421046729</v>
      </c>
      <c r="EQ92">
        <v>436531.149568331</v>
      </c>
      <c r="ER92">
        <v>123387.073120174</v>
      </c>
      <c r="ES92">
        <v>7673829.31610645</v>
      </c>
      <c r="ET92">
        <v>6888380.35894684</v>
      </c>
      <c r="EU92">
        <v>5868825.84184052</v>
      </c>
      <c r="EV92">
        <v>4834887.5380951</v>
      </c>
      <c r="EW92">
        <v>3137165.25371111</v>
      </c>
      <c r="EX92">
        <v>1518419.72151026</v>
      </c>
      <c r="EY92">
        <v>1143669.92690967</v>
      </c>
      <c r="EZ92">
        <v>750630.915906411</v>
      </c>
      <c r="FA92">
        <v>482912.642468555</v>
      </c>
      <c r="FB92">
        <v>279562.843412986</v>
      </c>
      <c r="FC92">
        <v>910402.984945636</v>
      </c>
      <c r="FD92">
        <v>755229.368390733</v>
      </c>
      <c r="FE92">
        <v>1015325.61302845</v>
      </c>
      <c r="FF92">
        <v>992419.4820077131</v>
      </c>
      <c r="FG92">
        <v>754880.759100115</v>
      </c>
      <c r="FH92">
        <v>110136.604449892</v>
      </c>
      <c r="FI92">
        <v>175427.008613834</v>
      </c>
      <c r="FJ92">
        <v>302767.818919207</v>
      </c>
      <c r="FK92">
        <v>538205.814621446</v>
      </c>
      <c r="FL92">
        <v>410668.87790844</v>
      </c>
      <c r="FM92">
        <v>192490.83728503</v>
      </c>
      <c r="FN92">
        <v>233494.278321197</v>
      </c>
      <c r="FO92">
        <v>299744.107227157</v>
      </c>
      <c r="FP92">
        <v>77531.3914132261</v>
      </c>
      <c r="FQ92">
        <v>100217.940187569</v>
      </c>
      <c r="FR92">
        <v>607775.543210714</v>
      </c>
      <c r="FS92">
        <v>346308.080368201</v>
      </c>
      <c r="FT92">
        <v>412813.685771983</v>
      </c>
      <c r="FU92">
        <v>376682.275973041</v>
      </c>
      <c r="FV92">
        <v>243993.941004107</v>
      </c>
      <c r="FW92">
        <v>110136.604449892</v>
      </c>
      <c r="FX92">
        <v>175427.008613834</v>
      </c>
      <c r="FY92">
        <v>302767.818919207</v>
      </c>
      <c r="FZ92">
        <v>538205.814621446</v>
      </c>
      <c r="GA92">
        <v>410668.87790844</v>
      </c>
      <c r="GB92">
        <v>192490.83728503</v>
      </c>
      <c r="GC92">
        <v>233494.278321197</v>
      </c>
      <c r="GD92">
        <v>299744.107227157</v>
      </c>
      <c r="GE92">
        <v>77531.3914132261</v>
      </c>
      <c r="GF92">
        <v>100217.940187569</v>
      </c>
      <c r="GG92">
        <v>607775.543210714</v>
      </c>
      <c r="GH92">
        <v>346308.080368201</v>
      </c>
      <c r="GI92">
        <v>412813.685771983</v>
      </c>
      <c r="GJ92">
        <v>376682.275973041</v>
      </c>
      <c r="GK92">
        <v>243993.941004107</v>
      </c>
      <c r="GL92">
        <v>7251898.61434216</v>
      </c>
      <c r="GM92">
        <v>7603979.1978555</v>
      </c>
      <c r="GN92">
        <v>6661624.64870392</v>
      </c>
      <c r="GO92">
        <v>8154648.59839935</v>
      </c>
      <c r="GP92">
        <v>5505848.09700197</v>
      </c>
      <c r="GQ92">
        <v>8856.639415562149</v>
      </c>
      <c r="GR92">
        <v>8909.073632866141</v>
      </c>
      <c r="GS92">
        <v>21969.0390489876</v>
      </c>
      <c r="GT92">
        <v>16638.430111351</v>
      </c>
      <c r="GU92">
        <v>15766.2959495163</v>
      </c>
      <c r="GV92">
        <v>6255641.93073012</v>
      </c>
      <c r="GW92">
        <v>6479224.390553</v>
      </c>
      <c r="GX92">
        <v>6260018.88335508</v>
      </c>
      <c r="GY92">
        <v>7625404.75155107</v>
      </c>
      <c r="GZ92">
        <v>4894040.7305091</v>
      </c>
      <c r="HA92">
        <v>987400.044196479</v>
      </c>
      <c r="HB92">
        <v>1115845.73366963</v>
      </c>
      <c r="HC92">
        <v>379636.725189754</v>
      </c>
      <c r="HD92">
        <v>512605.416736927</v>
      </c>
      <c r="HE92">
        <v>596041.070543361</v>
      </c>
      <c r="HF92">
        <v>840105.684623895</v>
      </c>
      <c r="HG92">
        <v>850347.716033714</v>
      </c>
      <c r="HH92">
        <v>158726.291865065</v>
      </c>
      <c r="HI92">
        <v>284254.109242637</v>
      </c>
      <c r="HJ92">
        <v>400855.173367944</v>
      </c>
      <c r="HK92">
        <v>8162301.5992878</v>
      </c>
      <c r="HL92">
        <v>8359208.56624623</v>
      </c>
      <c r="HM92">
        <v>7676950.26173237</v>
      </c>
      <c r="HN92">
        <v>9147068.08040707</v>
      </c>
      <c r="HO92">
        <v>6260728.85610209</v>
      </c>
      <c r="HP92">
        <v>2172840.41609656</v>
      </c>
      <c r="HQ92">
        <v>1445835.61340556</v>
      </c>
      <c r="HR92">
        <v>934554.327862363</v>
      </c>
      <c r="HS92">
        <v>515739.637931507</v>
      </c>
      <c r="HT92">
        <v>358742.964957485</v>
      </c>
      <c r="HU92">
        <v>14767.8225660324</v>
      </c>
      <c r="HV92">
        <v>14855.252931118</v>
      </c>
      <c r="HW92">
        <v>15163.9615368843</v>
      </c>
      <c r="HX92">
        <v>16016.348567009</v>
      </c>
      <c r="HY92">
        <v>14965.8944940567</v>
      </c>
      <c r="HZ92">
        <v>2158072.59353053</v>
      </c>
      <c r="IA92">
        <v>1430980.36047444</v>
      </c>
      <c r="IB92">
        <v>919390.366325479</v>
      </c>
      <c r="IC92">
        <v>499723.289364498</v>
      </c>
      <c r="ID92">
        <v>343777.070463429</v>
      </c>
      <c r="IE92">
        <v>606719.4384882899</v>
      </c>
      <c r="IF92">
        <v>552804.362199873</v>
      </c>
      <c r="IG92">
        <v>1533983.24079213</v>
      </c>
      <c r="IH92">
        <v>2525440.06694757</v>
      </c>
      <c r="II92">
        <v>458032.723874452</v>
      </c>
      <c r="IJ92">
        <v>600836.569340236</v>
      </c>
      <c r="IK92">
        <v>531145.229426268</v>
      </c>
      <c r="IL92">
        <v>1477256.29271123</v>
      </c>
      <c r="IM92">
        <v>2436511.73032903</v>
      </c>
      <c r="IN92">
        <v>436430.211136205</v>
      </c>
      <c r="IO92">
        <v>5882.86914805412</v>
      </c>
      <c r="IP92">
        <v>21659.1327736044</v>
      </c>
      <c r="IQ92">
        <v>56726.9480809057</v>
      </c>
      <c r="IR92">
        <v>88928.3366185355</v>
      </c>
      <c r="IS92">
        <v>21602.5127382469</v>
      </c>
      <c r="IT92" t="s">
        <v>1900</v>
      </c>
      <c r="IU92" t="s">
        <v>1900</v>
      </c>
      <c r="IV92" t="s">
        <v>1900</v>
      </c>
      <c r="IW92" t="s">
        <v>1900</v>
      </c>
      <c r="IX92" t="s">
        <v>1900</v>
      </c>
      <c r="IY92">
        <v>5382741.74470294</v>
      </c>
      <c r="IZ92">
        <v>6360568.5906408</v>
      </c>
      <c r="JA92">
        <v>5208412.69307787</v>
      </c>
      <c r="JB92">
        <v>6105888.37552799</v>
      </c>
      <c r="JC92">
        <v>5443953.16727015</v>
      </c>
      <c r="JD92">
        <v>256349.172370026</v>
      </c>
      <c r="JE92">
        <v>1099880.53451951</v>
      </c>
      <c r="JF92">
        <v>1359853.0604377</v>
      </c>
      <c r="JG92">
        <v>1976515.21138516</v>
      </c>
      <c r="JH92">
        <v>1995242.42662871</v>
      </c>
      <c r="JI92">
        <v>2265401.41976832</v>
      </c>
      <c r="JJ92">
        <v>2792671.75402734</v>
      </c>
      <c r="JK92">
        <v>1979487.4980846</v>
      </c>
      <c r="JL92">
        <v>2647834.70459685</v>
      </c>
      <c r="JM92">
        <v>2648410.59530365</v>
      </c>
      <c r="JN92">
        <v>2860991.1525646</v>
      </c>
      <c r="JO92">
        <v>2468016.30209396</v>
      </c>
      <c r="JP92">
        <v>1869072.13344548</v>
      </c>
      <c r="JQ92">
        <v>1481538.45837348</v>
      </c>
      <c r="JR92">
        <v>800300.145337789</v>
      </c>
      <c r="JS92">
        <v>8162301.5992878</v>
      </c>
      <c r="JT92">
        <v>8359208.56624623</v>
      </c>
      <c r="JU92">
        <v>7676950.26173237</v>
      </c>
      <c r="JV92">
        <v>9147068.08040707</v>
      </c>
      <c r="JW92">
        <v>6260728.85610209</v>
      </c>
      <c r="JX92">
        <v>3999097.15037737</v>
      </c>
      <c r="JY92">
        <v>3695461.70907103</v>
      </c>
      <c r="JZ92">
        <v>4302500.42431947</v>
      </c>
      <c r="KA92">
        <v>4994208.47706557</v>
      </c>
      <c r="KB92">
        <v>2261396.43005936</v>
      </c>
      <c r="KC92" t="s">
        <v>1900</v>
      </c>
      <c r="KD92" t="s">
        <v>1900</v>
      </c>
      <c r="KE92" t="s">
        <v>1900</v>
      </c>
      <c r="KF92" t="s">
        <v>1900</v>
      </c>
      <c r="KG92" t="s">
        <v>1900</v>
      </c>
      <c r="KH92" t="s">
        <v>1900</v>
      </c>
      <c r="KI92" t="s">
        <v>1900</v>
      </c>
      <c r="KJ92" t="s">
        <v>1900</v>
      </c>
      <c r="KK92" t="s">
        <v>1900</v>
      </c>
      <c r="KL92" t="s">
        <v>1900</v>
      </c>
      <c r="KM92">
        <v>128</v>
      </c>
      <c r="KN92">
        <v>97</v>
      </c>
      <c r="KO92">
        <v>89</v>
      </c>
      <c r="KP92">
        <v>71</v>
      </c>
      <c r="KQ92">
        <v>51</v>
      </c>
      <c r="KR92" t="s">
        <v>1900</v>
      </c>
      <c r="KS92" t="s">
        <v>1900</v>
      </c>
      <c r="KT92" t="s">
        <v>1900</v>
      </c>
      <c r="KU92" t="s">
        <v>1900</v>
      </c>
      <c r="KV92" t="s">
        <v>1900</v>
      </c>
      <c r="KW92" t="s">
        <v>1900</v>
      </c>
      <c r="KX92" t="s">
        <v>1900</v>
      </c>
      <c r="KY92" t="s">
        <v>1900</v>
      </c>
      <c r="KZ92" t="s">
        <v>1900</v>
      </c>
      <c r="LA92" t="s">
        <v>1900</v>
      </c>
      <c r="LB92" t="s">
        <v>1900</v>
      </c>
      <c r="LC92" t="s">
        <v>1900</v>
      </c>
      <c r="LD92" t="s">
        <v>1900</v>
      </c>
      <c r="LE92" t="s">
        <v>1900</v>
      </c>
      <c r="LF92" t="s">
        <v>1900</v>
      </c>
      <c r="LG92" t="s">
        <v>1900</v>
      </c>
      <c r="LH92" t="s">
        <v>1900</v>
      </c>
      <c r="LI92" t="s">
        <v>1900</v>
      </c>
      <c r="LJ92" t="s">
        <v>1900</v>
      </c>
      <c r="LK92" t="s">
        <v>1900</v>
      </c>
      <c r="LL92" t="s">
        <v>1900</v>
      </c>
      <c r="LM92" t="s">
        <v>1900</v>
      </c>
      <c r="LN92" t="s">
        <v>1900</v>
      </c>
      <c r="LO92" t="s">
        <v>1900</v>
      </c>
      <c r="LP92" t="s">
        <v>1900</v>
      </c>
      <c r="LQ92" t="s">
        <v>1900</v>
      </c>
      <c r="LR92" t="s">
        <v>1900</v>
      </c>
      <c r="LS92" t="s">
        <v>1900</v>
      </c>
      <c r="LT92" t="s">
        <v>1900</v>
      </c>
      <c r="LU92" t="s">
        <v>1900</v>
      </c>
      <c r="LV92" t="s">
        <v>1900</v>
      </c>
      <c r="LW92" t="s">
        <v>1900</v>
      </c>
      <c r="LX92" t="s">
        <v>1900</v>
      </c>
      <c r="LY92" t="s">
        <v>1900</v>
      </c>
      <c r="LZ92" t="s">
        <v>1900</v>
      </c>
      <c r="MA92" t="s">
        <v>1900</v>
      </c>
      <c r="MB92" t="s">
        <v>1900</v>
      </c>
      <c r="MC92" t="s">
        <v>1900</v>
      </c>
      <c r="MD92" t="s">
        <v>1900</v>
      </c>
      <c r="ME92" t="s">
        <v>1900</v>
      </c>
      <c r="MF92" t="s">
        <v>1900</v>
      </c>
      <c r="MG92" t="s">
        <v>1900</v>
      </c>
      <c r="MH92" t="s">
        <v>1900</v>
      </c>
      <c r="MI92" t="s">
        <v>1900</v>
      </c>
      <c r="MJ92" t="s">
        <v>1900</v>
      </c>
      <c r="MK92" t="s">
        <v>1900</v>
      </c>
      <c r="ML92" t="s">
        <v>1900</v>
      </c>
      <c r="MM92" t="s">
        <v>1900</v>
      </c>
      <c r="MN92" t="s">
        <v>1900</v>
      </c>
      <c r="MO92" t="s">
        <v>1900</v>
      </c>
      <c r="MP92">
        <v>987400.044196479</v>
      </c>
      <c r="MQ92">
        <v>1115845.73366963</v>
      </c>
      <c r="MR92">
        <v>379636.725189754</v>
      </c>
      <c r="MS92">
        <v>512605.416736927</v>
      </c>
      <c r="MT92">
        <v>596041.070543361</v>
      </c>
      <c r="MU92" t="s">
        <v>1900</v>
      </c>
      <c r="MV92" t="s">
        <v>1900</v>
      </c>
      <c r="MW92" t="s">
        <v>1900</v>
      </c>
      <c r="MX92" t="s">
        <v>1900</v>
      </c>
      <c r="MY92" t="s">
        <v>1900</v>
      </c>
      <c r="MZ92" t="s">
        <v>1900</v>
      </c>
      <c r="NA92" t="s">
        <v>1900</v>
      </c>
      <c r="NB92" t="s">
        <v>1900</v>
      </c>
      <c r="NC92" t="s">
        <v>1900</v>
      </c>
      <c r="ND92" t="s">
        <v>1900</v>
      </c>
      <c r="NE92" t="s">
        <v>1900</v>
      </c>
      <c r="NF92" t="s">
        <v>1900</v>
      </c>
      <c r="NG92" t="s">
        <v>1900</v>
      </c>
      <c r="NH92" t="s">
        <v>1900</v>
      </c>
      <c r="NI92" t="s">
        <v>1900</v>
      </c>
      <c r="NJ92" t="s">
        <v>1900</v>
      </c>
      <c r="NK92" t="s">
        <v>1900</v>
      </c>
      <c r="NL92" t="s">
        <v>1900</v>
      </c>
      <c r="NM92" t="s">
        <v>1900</v>
      </c>
      <c r="NN92" t="s">
        <v>1900</v>
      </c>
      <c r="NO92" t="s">
        <v>1900</v>
      </c>
      <c r="NP92" t="s">
        <v>1900</v>
      </c>
      <c r="NQ92" t="s">
        <v>1900</v>
      </c>
      <c r="NR92" t="s">
        <v>1900</v>
      </c>
      <c r="NS92" t="s">
        <v>1900</v>
      </c>
      <c r="NT92">
        <v>910402.984945636</v>
      </c>
      <c r="NU92">
        <v>755229.368390733</v>
      </c>
      <c r="NV92">
        <v>1015325.61302845</v>
      </c>
      <c r="NW92">
        <v>992419.4820077131</v>
      </c>
      <c r="NX92">
        <v>754880.759100115</v>
      </c>
      <c r="NY92" t="s">
        <v>1900</v>
      </c>
      <c r="NZ92" t="s">
        <v>1900</v>
      </c>
      <c r="OA92" t="s">
        <v>1900</v>
      </c>
      <c r="OB92" t="s">
        <v>1900</v>
      </c>
      <c r="OC92" t="s">
        <v>1900</v>
      </c>
      <c r="OD92" t="s">
        <v>1900</v>
      </c>
      <c r="OE92" t="s">
        <v>1900</v>
      </c>
      <c r="OF92" t="s">
        <v>1900</v>
      </c>
      <c r="OG92" t="s">
        <v>1900</v>
      </c>
      <c r="OH92" t="s">
        <v>1900</v>
      </c>
      <c r="OI92" t="s">
        <v>1900</v>
      </c>
      <c r="OJ92" t="s">
        <v>1900</v>
      </c>
      <c r="OK92" t="s">
        <v>1900</v>
      </c>
      <c r="OL92" t="s">
        <v>1900</v>
      </c>
      <c r="OM92" t="s">
        <v>1900</v>
      </c>
      <c r="ON92" t="s">
        <v>1900</v>
      </c>
      <c r="OO92" t="s">
        <v>1900</v>
      </c>
      <c r="OP92" t="s">
        <v>1900</v>
      </c>
      <c r="OQ92" t="s">
        <v>1900</v>
      </c>
      <c r="OR92" t="s">
        <v>1900</v>
      </c>
      <c r="OS92" t="s">
        <v>1900</v>
      </c>
      <c r="OT92" t="s">
        <v>1900</v>
      </c>
      <c r="OU92" t="s">
        <v>1900</v>
      </c>
      <c r="OV92" t="s">
        <v>1900</v>
      </c>
      <c r="OW92" t="s">
        <v>1900</v>
      </c>
      <c r="OX92" t="s">
        <v>1900</v>
      </c>
      <c r="OY92" t="s">
        <v>1900</v>
      </c>
      <c r="OZ92" t="s">
        <v>1900</v>
      </c>
      <c r="PA92" t="s">
        <v>1900</v>
      </c>
      <c r="PB92" t="s">
        <v>1900</v>
      </c>
      <c r="PC92" t="s">
        <v>1900</v>
      </c>
      <c r="PD92" t="s">
        <v>1900</v>
      </c>
      <c r="PE92" t="s">
        <v>1900</v>
      </c>
      <c r="PF92" t="s">
        <v>1900</v>
      </c>
      <c r="PG92" t="s">
        <v>1900</v>
      </c>
      <c r="PH92" t="s">
        <v>1900</v>
      </c>
      <c r="PI92" t="s">
        <v>1900</v>
      </c>
      <c r="PJ92" t="s">
        <v>1900</v>
      </c>
      <c r="PK92" t="s">
        <v>1900</v>
      </c>
      <c r="PL92" t="s">
        <v>1900</v>
      </c>
      <c r="PM92" t="s">
        <v>1900</v>
      </c>
      <c r="PN92" t="s">
        <v>1900</v>
      </c>
      <c r="PO92" t="s">
        <v>1900</v>
      </c>
      <c r="PP92" t="s">
        <v>1900</v>
      </c>
      <c r="PQ92" t="s">
        <v>1900</v>
      </c>
      <c r="PR92" t="s">
        <v>1900</v>
      </c>
      <c r="PS92" t="s">
        <v>1900</v>
      </c>
      <c r="PT92" t="s">
        <v>1900</v>
      </c>
      <c r="PU92" t="s">
        <v>1900</v>
      </c>
      <c r="PV92" t="s">
        <v>1900</v>
      </c>
      <c r="PW92" t="s">
        <v>1900</v>
      </c>
      <c r="PX92" t="s">
        <v>1900</v>
      </c>
      <c r="PY92" t="s">
        <v>1900</v>
      </c>
      <c r="PZ92" t="s">
        <v>1900</v>
      </c>
      <c r="QA92" t="s">
        <v>1900</v>
      </c>
      <c r="QB92" t="s">
        <v>1900</v>
      </c>
      <c r="QC92" t="s">
        <v>1900</v>
      </c>
      <c r="QD92" t="s">
        <v>1900</v>
      </c>
      <c r="QE92" t="s">
        <v>1900</v>
      </c>
      <c r="QF92" t="s">
        <v>1900</v>
      </c>
      <c r="QG92" t="s">
        <v>1900</v>
      </c>
      <c r="QH92" t="s">
        <v>1900</v>
      </c>
      <c r="QI92" t="s">
        <v>1900</v>
      </c>
      <c r="QJ92" t="s">
        <v>1900</v>
      </c>
      <c r="QK92" t="s">
        <v>1900</v>
      </c>
      <c r="QL92" t="s">
        <v>1900</v>
      </c>
      <c r="QM92" t="s">
        <v>1900</v>
      </c>
      <c r="QN92" t="s">
        <v>1900</v>
      </c>
      <c r="QO92" t="s">
        <v>1900</v>
      </c>
      <c r="QP92" t="s">
        <v>1900</v>
      </c>
      <c r="QQ92" t="s">
        <v>1900</v>
      </c>
      <c r="QR92" t="s">
        <v>1900</v>
      </c>
      <c r="QS92" t="s">
        <v>1900</v>
      </c>
      <c r="QT92" t="s">
        <v>1900</v>
      </c>
      <c r="QU92" t="s">
        <v>1900</v>
      </c>
      <c r="QV92" t="s">
        <v>1900</v>
      </c>
      <c r="QW92" t="s">
        <v>1900</v>
      </c>
      <c r="QX92" t="s">
        <v>1900</v>
      </c>
      <c r="QY92" t="s">
        <v>1900</v>
      </c>
      <c r="QZ92" t="s">
        <v>1900</v>
      </c>
      <c r="RA92" t="s">
        <v>1900</v>
      </c>
      <c r="RB92" t="s">
        <v>1900</v>
      </c>
      <c r="RC92" t="s">
        <v>1900</v>
      </c>
      <c r="RD92" t="s">
        <v>1900</v>
      </c>
      <c r="RE92" t="s">
        <v>1900</v>
      </c>
      <c r="RF92" t="s">
        <v>1900</v>
      </c>
      <c r="RG92" t="s">
        <v>1900</v>
      </c>
      <c r="RH92" t="s">
        <v>1900</v>
      </c>
      <c r="RI92" t="s">
        <v>1900</v>
      </c>
      <c r="RJ92" t="s">
        <v>1900</v>
      </c>
      <c r="RK92" t="s">
        <v>1900</v>
      </c>
      <c r="RL92" t="s">
        <v>1900</v>
      </c>
      <c r="RM92" t="s">
        <v>1900</v>
      </c>
      <c r="RN92" t="s">
        <v>1900</v>
      </c>
      <c r="RO92" t="s">
        <v>1900</v>
      </c>
      <c r="RP92" t="s">
        <v>1900</v>
      </c>
      <c r="RQ92" t="s">
        <v>1900</v>
      </c>
      <c r="RR92" t="s">
        <v>1900</v>
      </c>
      <c r="RS92" t="s">
        <v>1900</v>
      </c>
      <c r="RT92" t="s">
        <v>1900</v>
      </c>
      <c r="RU92" t="s">
        <v>1900</v>
      </c>
      <c r="RV92" t="s">
        <v>1900</v>
      </c>
      <c r="RW92" t="s">
        <v>1900</v>
      </c>
      <c r="RX92" t="s">
        <v>1900</v>
      </c>
      <c r="RY92" t="s">
        <v>1900</v>
      </c>
      <c r="RZ92" t="s">
        <v>1900</v>
      </c>
      <c r="SA92" t="s">
        <v>1900</v>
      </c>
      <c r="SB92" t="s">
        <v>1900</v>
      </c>
      <c r="SC92" t="s">
        <v>1900</v>
      </c>
      <c r="SD92" t="s">
        <v>1900</v>
      </c>
      <c r="SE92" t="s">
        <v>1900</v>
      </c>
      <c r="SF92" t="s">
        <v>1900</v>
      </c>
      <c r="SG92" t="s">
        <v>1900</v>
      </c>
      <c r="SH92" t="s">
        <v>1900</v>
      </c>
      <c r="SI92" t="s">
        <v>1900</v>
      </c>
      <c r="SJ92">
        <v>607775.543210714</v>
      </c>
      <c r="SK92">
        <v>346308.080368201</v>
      </c>
      <c r="SL92">
        <v>412813.685771983</v>
      </c>
      <c r="SM92">
        <v>376682.275973041</v>
      </c>
      <c r="SN92">
        <v>243993.941004107</v>
      </c>
      <c r="SO92" t="s">
        <v>1900</v>
      </c>
      <c r="SP92" t="s">
        <v>1900</v>
      </c>
      <c r="SQ92" t="s">
        <v>1900</v>
      </c>
      <c r="SR92" t="s">
        <v>1900</v>
      </c>
      <c r="SS92" t="s">
        <v>1900</v>
      </c>
      <c r="ST92" t="s">
        <v>1900</v>
      </c>
      <c r="SU92" t="s">
        <v>1900</v>
      </c>
      <c r="SV92" t="s">
        <v>1900</v>
      </c>
      <c r="SW92" t="s">
        <v>1900</v>
      </c>
      <c r="SX92" t="s">
        <v>1900</v>
      </c>
      <c r="SY92" t="s">
        <v>1900</v>
      </c>
      <c r="SZ92" t="s">
        <v>1900</v>
      </c>
      <c r="TA92" t="s">
        <v>1900</v>
      </c>
      <c r="TB92" t="s">
        <v>1900</v>
      </c>
      <c r="TC92" t="s">
        <v>1900</v>
      </c>
      <c r="TD92" t="s">
        <v>1900</v>
      </c>
      <c r="TE92" t="s">
        <v>1900</v>
      </c>
      <c r="TF92" t="s">
        <v>1900</v>
      </c>
      <c r="TG92" t="s">
        <v>1900</v>
      </c>
      <c r="TH92" t="s">
        <v>1900</v>
      </c>
      <c r="TI92" t="s">
        <v>1900</v>
      </c>
      <c r="TJ92" t="s">
        <v>1900</v>
      </c>
      <c r="TK92" t="s">
        <v>1900</v>
      </c>
      <c r="TL92" t="s">
        <v>1900</v>
      </c>
      <c r="TM92" t="s">
        <v>1900</v>
      </c>
      <c r="TN92" t="s">
        <v>1900</v>
      </c>
      <c r="TO92" t="s">
        <v>1900</v>
      </c>
      <c r="TP92" t="s">
        <v>1900</v>
      </c>
      <c r="TQ92" t="s">
        <v>1900</v>
      </c>
      <c r="TR92" t="s">
        <v>1900</v>
      </c>
      <c r="TS92">
        <v>8162301.5992878</v>
      </c>
      <c r="TT92">
        <v>8359208.56624623</v>
      </c>
      <c r="TU92">
        <v>7676950.26173237</v>
      </c>
      <c r="TV92">
        <v>9147068.08040707</v>
      </c>
      <c r="TW92">
        <v>6260728.85610209</v>
      </c>
      <c r="TX92" t="s">
        <v>1900</v>
      </c>
      <c r="TY92" t="s">
        <v>1900</v>
      </c>
      <c r="TZ92" t="s">
        <v>1900</v>
      </c>
      <c r="UA92" t="s">
        <v>1900</v>
      </c>
      <c r="UB92" t="s">
        <v>1900</v>
      </c>
      <c r="UC92">
        <v>256349.172370026</v>
      </c>
      <c r="UD92">
        <v>1099880.53451951</v>
      </c>
      <c r="UE92">
        <v>1359853.0604377</v>
      </c>
      <c r="UF92">
        <v>1976515.21138516</v>
      </c>
      <c r="UG92">
        <v>1995242.42662871</v>
      </c>
      <c r="UH92" t="s">
        <v>1900</v>
      </c>
      <c r="UI92" t="s">
        <v>1900</v>
      </c>
      <c r="UJ92" t="s">
        <v>1900</v>
      </c>
      <c r="UK92" t="s">
        <v>1900</v>
      </c>
      <c r="UL92" t="s">
        <v>1900</v>
      </c>
      <c r="UM92" t="s">
        <v>1900</v>
      </c>
      <c r="UN92" t="s">
        <v>1900</v>
      </c>
      <c r="UO92" t="s">
        <v>1900</v>
      </c>
      <c r="UP92" t="s">
        <v>1900</v>
      </c>
      <c r="UQ92" t="s">
        <v>1900</v>
      </c>
      <c r="UR92" t="s">
        <v>1900</v>
      </c>
      <c r="US92" t="s">
        <v>1900</v>
      </c>
      <c r="UT92" t="s">
        <v>1900</v>
      </c>
      <c r="UU92" t="s">
        <v>1900</v>
      </c>
      <c r="UV92" t="s">
        <v>1900</v>
      </c>
      <c r="UW92" t="s">
        <v>1900</v>
      </c>
      <c r="UX92" t="s">
        <v>1900</v>
      </c>
      <c r="UY92" t="s">
        <v>1900</v>
      </c>
      <c r="UZ92" t="s">
        <v>1900</v>
      </c>
      <c r="VA92" t="s">
        <v>1900</v>
      </c>
      <c r="VB92" t="s">
        <v>1900</v>
      </c>
      <c r="VC92" t="s">
        <v>1900</v>
      </c>
      <c r="VD92" t="s">
        <v>1900</v>
      </c>
      <c r="VE92" t="s">
        <v>1900</v>
      </c>
      <c r="VF92" t="s">
        <v>1900</v>
      </c>
      <c r="VG92" t="s">
        <v>1900</v>
      </c>
      <c r="VH92" t="s">
        <v>1900</v>
      </c>
      <c r="VI92" t="s">
        <v>1900</v>
      </c>
      <c r="VJ92" t="s">
        <v>1900</v>
      </c>
      <c r="VK92" t="s">
        <v>1900</v>
      </c>
      <c r="VL92" t="s">
        <v>1900</v>
      </c>
      <c r="VM92" t="s">
        <v>1900</v>
      </c>
      <c r="VN92" t="s">
        <v>1900</v>
      </c>
      <c r="VO92" t="s">
        <v>1900</v>
      </c>
      <c r="VP92" t="s">
        <v>1900</v>
      </c>
      <c r="VQ92" t="s">
        <v>1900</v>
      </c>
      <c r="VR92" t="s">
        <v>1900</v>
      </c>
      <c r="VS92" t="s">
        <v>1900</v>
      </c>
      <c r="VT92" t="s">
        <v>1900</v>
      </c>
      <c r="VU92" t="s">
        <v>1900</v>
      </c>
      <c r="VV92" t="s">
        <v>1900</v>
      </c>
      <c r="VW92" t="s">
        <v>1900</v>
      </c>
      <c r="VX92" t="s">
        <v>1900</v>
      </c>
      <c r="VY92" t="s">
        <v>1900</v>
      </c>
      <c r="VZ92" t="s">
        <v>1900</v>
      </c>
      <c r="WA92">
        <v>2860991.1525646</v>
      </c>
      <c r="WB92">
        <v>2468016.30209396</v>
      </c>
      <c r="WC92">
        <v>1869072.13344548</v>
      </c>
      <c r="WD92">
        <v>1481538.45837348</v>
      </c>
      <c r="WE92">
        <v>800300.145337789</v>
      </c>
      <c r="WF92" t="s">
        <v>1900</v>
      </c>
      <c r="WG92" t="s">
        <v>1900</v>
      </c>
      <c r="WH92" t="s">
        <v>1900</v>
      </c>
      <c r="WI92" t="s">
        <v>1900</v>
      </c>
      <c r="WJ92" t="s">
        <v>1900</v>
      </c>
      <c r="WK92" t="s">
        <v>1900</v>
      </c>
      <c r="WL92" t="s">
        <v>1900</v>
      </c>
      <c r="WM92" t="s">
        <v>1900</v>
      </c>
      <c r="WN92" t="s">
        <v>1900</v>
      </c>
      <c r="WO92" t="s">
        <v>1900</v>
      </c>
      <c r="WP92" t="s">
        <v>1900</v>
      </c>
      <c r="WQ92" t="s">
        <v>1900</v>
      </c>
      <c r="WR92" t="s">
        <v>1900</v>
      </c>
      <c r="WS92" t="s">
        <v>1900</v>
      </c>
      <c r="WT92" t="s">
        <v>1900</v>
      </c>
      <c r="WU92" t="s">
        <v>1900</v>
      </c>
      <c r="WV92" t="s">
        <v>1900</v>
      </c>
      <c r="WW92" t="s">
        <v>1900</v>
      </c>
      <c r="WX92" t="s">
        <v>1900</v>
      </c>
      <c r="WY92" t="s">
        <v>1900</v>
      </c>
      <c r="WZ92" t="s">
        <v>1900</v>
      </c>
      <c r="XA92" t="s">
        <v>1900</v>
      </c>
      <c r="XB92" t="s">
        <v>1900</v>
      </c>
      <c r="XC92" t="s">
        <v>1900</v>
      </c>
      <c r="XD92" t="s">
        <v>1900</v>
      </c>
      <c r="XE92" t="s">
        <v>1900</v>
      </c>
      <c r="XF92" t="s">
        <v>1900</v>
      </c>
      <c r="XG92" t="s">
        <v>1900</v>
      </c>
      <c r="XH92" t="s">
        <v>1900</v>
      </c>
      <c r="XI92" t="s">
        <v>1900</v>
      </c>
      <c r="XJ92">
        <v>5882.86914805412</v>
      </c>
      <c r="XK92">
        <v>21659.1327736044</v>
      </c>
      <c r="XL92">
        <v>56726.9480809057</v>
      </c>
      <c r="XM92">
        <v>88928.3366185355</v>
      </c>
      <c r="XN92">
        <v>21602.5127382469</v>
      </c>
      <c r="XO92" t="s">
        <v>1900</v>
      </c>
      <c r="XP92" t="s">
        <v>1900</v>
      </c>
      <c r="XQ92" t="s">
        <v>1900</v>
      </c>
      <c r="XR92" t="s">
        <v>1900</v>
      </c>
      <c r="XS92" t="s">
        <v>1900</v>
      </c>
      <c r="XT92" t="s">
        <v>1900</v>
      </c>
      <c r="XU92" t="s">
        <v>1900</v>
      </c>
      <c r="XV92" t="s">
        <v>1900</v>
      </c>
      <c r="XW92" t="s">
        <v>1900</v>
      </c>
      <c r="XX92" t="s">
        <v>1900</v>
      </c>
      <c r="XY92" t="s">
        <v>1900</v>
      </c>
      <c r="XZ92" t="s">
        <v>1900</v>
      </c>
      <c r="YA92" t="s">
        <v>1900</v>
      </c>
      <c r="YB92" t="s">
        <v>1900</v>
      </c>
      <c r="YC92" t="s">
        <v>1900</v>
      </c>
      <c r="YD92" t="s">
        <v>1900</v>
      </c>
      <c r="YE92" t="s">
        <v>1900</v>
      </c>
      <c r="YF92" t="s">
        <v>1900</v>
      </c>
      <c r="YG92" t="s">
        <v>1900</v>
      </c>
      <c r="YH92" t="s">
        <v>1900</v>
      </c>
      <c r="YI92" t="s">
        <v>1900</v>
      </c>
      <c r="YJ92" t="s">
        <v>1900</v>
      </c>
      <c r="YK92" t="s">
        <v>1900</v>
      </c>
      <c r="YL92" t="s">
        <v>1900</v>
      </c>
      <c r="YM92" t="s">
        <v>1900</v>
      </c>
      <c r="YN92" t="s">
        <v>1900</v>
      </c>
      <c r="YO92" t="s">
        <v>1900</v>
      </c>
      <c r="YP92" t="s">
        <v>1900</v>
      </c>
      <c r="YQ92" t="s">
        <v>1900</v>
      </c>
      <c r="YR92" t="s">
        <v>1900</v>
      </c>
      <c r="YS92" t="s">
        <v>1900</v>
      </c>
      <c r="YT92" t="s">
        <v>1900</v>
      </c>
      <c r="YU92" t="s">
        <v>1900</v>
      </c>
      <c r="YV92" t="s">
        <v>1900</v>
      </c>
      <c r="YW92" t="s">
        <v>1900</v>
      </c>
      <c r="YX92" t="s">
        <v>1900</v>
      </c>
      <c r="YY92" t="s">
        <v>1900</v>
      </c>
      <c r="YZ92" t="s">
        <v>1900</v>
      </c>
      <c r="ZA92" t="s">
        <v>1900</v>
      </c>
      <c r="ZB92" t="s">
        <v>1900</v>
      </c>
      <c r="ZC92" t="s">
        <v>1900</v>
      </c>
      <c r="ZD92" t="s">
        <v>1900</v>
      </c>
      <c r="ZE92" t="s">
        <v>1900</v>
      </c>
      <c r="ZF92" t="s">
        <v>1900</v>
      </c>
      <c r="ZG92" t="s">
        <v>1900</v>
      </c>
      <c r="ZH92" t="s">
        <v>1900</v>
      </c>
      <c r="ZI92" t="s">
        <v>1900</v>
      </c>
      <c r="ZJ92" t="s">
        <v>1900</v>
      </c>
      <c r="ZK92" t="s">
        <v>1900</v>
      </c>
      <c r="ZL92" t="s">
        <v>1900</v>
      </c>
      <c r="ZM92" t="s">
        <v>1900</v>
      </c>
      <c r="ZN92" t="s">
        <v>1900</v>
      </c>
      <c r="ZO92" t="s">
        <v>1900</v>
      </c>
      <c r="ZP92" t="s">
        <v>1900</v>
      </c>
      <c r="ZQ92" t="s">
        <v>1900</v>
      </c>
      <c r="ZR92" t="s">
        <v>1900</v>
      </c>
      <c r="ZS92" t="s">
        <v>1900</v>
      </c>
      <c r="ZT92" t="s">
        <v>1900</v>
      </c>
      <c r="ZU92" t="s">
        <v>1900</v>
      </c>
      <c r="ZV92" t="s">
        <v>1900</v>
      </c>
      <c r="ZW92" t="s">
        <v>1900</v>
      </c>
      <c r="ZX92" t="s">
        <v>1900</v>
      </c>
      <c r="ZY92" t="s">
        <v>1900</v>
      </c>
      <c r="ZZ92" t="s">
        <v>1900</v>
      </c>
      <c r="AAA92" t="s">
        <v>1900</v>
      </c>
      <c r="AAB92" t="s">
        <v>1900</v>
      </c>
      <c r="AAC92" t="s">
        <v>1900</v>
      </c>
      <c r="AAD92" t="s">
        <v>1900</v>
      </c>
      <c r="AAE92" t="s">
        <v>1900</v>
      </c>
      <c r="AAF92" t="s">
        <v>1900</v>
      </c>
      <c r="AAG92" t="s">
        <v>1900</v>
      </c>
      <c r="AAH92" t="s">
        <v>1900</v>
      </c>
      <c r="AAI92" t="s">
        <v>1900</v>
      </c>
      <c r="AAJ92" t="s">
        <v>1900</v>
      </c>
      <c r="AAK92" t="s">
        <v>1900</v>
      </c>
      <c r="AAL92" t="s">
        <v>1900</v>
      </c>
      <c r="AAM92" t="s">
        <v>1900</v>
      </c>
      <c r="AAN92" t="s">
        <v>1900</v>
      </c>
      <c r="AAO92" t="s">
        <v>1900</v>
      </c>
      <c r="AAP92" t="s">
        <v>1900</v>
      </c>
      <c r="AAQ92" t="s">
        <v>1900</v>
      </c>
      <c r="AAR92" t="s">
        <v>1900</v>
      </c>
      <c r="AAS92" t="s">
        <v>1900</v>
      </c>
      <c r="AAT92" t="s">
        <v>1900</v>
      </c>
      <c r="AAU92" t="s">
        <v>1900</v>
      </c>
      <c r="AAV92" t="s">
        <v>1900</v>
      </c>
      <c r="AAW92" t="s">
        <v>1900</v>
      </c>
      <c r="AAX92" t="s">
        <v>1900</v>
      </c>
      <c r="AAY92" t="s">
        <v>1900</v>
      </c>
      <c r="AAZ92" t="s">
        <v>1900</v>
      </c>
      <c r="ABA92" t="s">
        <v>1900</v>
      </c>
      <c r="ABB92" t="s">
        <v>1900</v>
      </c>
      <c r="ABC92" t="s">
        <v>1900</v>
      </c>
      <c r="ABD92" t="s">
        <v>1900</v>
      </c>
      <c r="ABE92" t="s">
        <v>1900</v>
      </c>
      <c r="ABF92" t="s">
        <v>1900</v>
      </c>
      <c r="ABG92" t="s">
        <v>1900</v>
      </c>
      <c r="ABH92" t="s">
        <v>1900</v>
      </c>
      <c r="ABI92" t="s">
        <v>1900</v>
      </c>
      <c r="ABJ92" t="s">
        <v>1900</v>
      </c>
      <c r="ABK92" t="s">
        <v>1900</v>
      </c>
      <c r="ABL92" t="s">
        <v>1900</v>
      </c>
      <c r="ABM92" t="s">
        <v>1900</v>
      </c>
      <c r="ABN92" t="s">
        <v>1900</v>
      </c>
      <c r="ABO92" t="s">
        <v>1900</v>
      </c>
      <c r="ABP92" t="s">
        <v>1900</v>
      </c>
      <c r="ABQ92" t="s">
        <v>1900</v>
      </c>
      <c r="ABR92" t="s">
        <v>1900</v>
      </c>
      <c r="ABS92" t="s">
        <v>1900</v>
      </c>
      <c r="ABT92" t="s">
        <v>1900</v>
      </c>
      <c r="ABU92" t="s">
        <v>1900</v>
      </c>
      <c r="ABV92" t="s">
        <v>1900</v>
      </c>
      <c r="ABW92" t="s">
        <v>1900</v>
      </c>
      <c r="ABX92" t="s">
        <v>1900</v>
      </c>
      <c r="ABY92" t="s">
        <v>1900</v>
      </c>
      <c r="ABZ92" t="s">
        <v>1900</v>
      </c>
      <c r="ACA92" t="s">
        <v>1900</v>
      </c>
      <c r="ACB92" t="s">
        <v>1900</v>
      </c>
      <c r="ACC92" t="s">
        <v>1900</v>
      </c>
      <c r="ACD92" t="s">
        <v>1900</v>
      </c>
      <c r="ACE92">
        <v>56.697</v>
      </c>
      <c r="ACF92">
        <v>58.514</v>
      </c>
      <c r="ACG92">
        <v>44.337</v>
      </c>
      <c r="ACH92">
        <v>39.167</v>
      </c>
      <c r="ACI92">
        <v>14.496</v>
      </c>
      <c r="ACJ92">
        <v>46.861</v>
      </c>
      <c r="ACK92">
        <v>44.471</v>
      </c>
      <c r="ACL92">
        <v>18.923</v>
      </c>
      <c r="ACM92">
        <v>9.157</v>
      </c>
      <c r="ACN92">
        <v>15.251</v>
      </c>
      <c r="ACO92">
        <v>15.093</v>
      </c>
      <c r="ACP92">
        <v>10.121</v>
      </c>
      <c r="ACQ92">
        <v>5.397</v>
      </c>
      <c r="ACR92">
        <v>2.208</v>
      </c>
      <c r="ACS92">
        <v>0.831</v>
      </c>
      <c r="ACT92">
        <v>48.054</v>
      </c>
      <c r="ACU92">
        <v>48.631</v>
      </c>
      <c r="ACV92">
        <v>48.085</v>
      </c>
      <c r="ACW92">
        <v>45.538</v>
      </c>
      <c r="ACX92">
        <v>-8.791</v>
      </c>
      <c r="ACY92">
        <v>40.104</v>
      </c>
      <c r="ACZ92">
        <v>37.321</v>
      </c>
      <c r="ADA92">
        <v>20.342</v>
      </c>
      <c r="ADB92">
        <v>10.238</v>
      </c>
      <c r="ADC92">
        <v>5.023</v>
      </c>
      <c r="ADD92">
        <v>12.792</v>
      </c>
      <c r="ADE92">
        <v>8.411</v>
      </c>
      <c r="ADF92">
        <v>5.854</v>
      </c>
      <c r="ADG92">
        <v>2.568</v>
      </c>
      <c r="ADH92">
        <v>-0.504</v>
      </c>
      <c r="ADI92">
        <v>6.853</v>
      </c>
      <c r="ADJ92">
        <v>5.234</v>
      </c>
      <c r="ADK92">
        <v>3.225</v>
      </c>
      <c r="ADL92">
        <v>1.4</v>
      </c>
      <c r="ADM92">
        <v>0.519</v>
      </c>
      <c r="ADN92">
        <v>47.041</v>
      </c>
      <c r="ADO92">
        <v>47.292</v>
      </c>
      <c r="ADP92">
        <v>52.019</v>
      </c>
      <c r="ADQ92">
        <v>37.221</v>
      </c>
      <c r="ADR92">
        <v>40.102</v>
      </c>
      <c r="ADS92">
        <v>7.22148457</v>
      </c>
      <c r="ADT92">
        <v>5.504884482</v>
      </c>
      <c r="ADU92">
        <v>3.918927639</v>
      </c>
      <c r="ADV92">
        <v>1.9489911</v>
      </c>
      <c r="ADW92">
        <v>1.244135628</v>
      </c>
      <c r="ADX92">
        <v>8.446</v>
      </c>
      <c r="ADY92">
        <v>7.076</v>
      </c>
      <c r="ADZ92">
        <v>5.843</v>
      </c>
      <c r="AEA92">
        <v>3.347</v>
      </c>
      <c r="AEB92">
        <v>2.791</v>
      </c>
      <c r="AEC92">
        <v>7.221</v>
      </c>
      <c r="AED92">
        <v>5.505</v>
      </c>
      <c r="AEE92">
        <v>3.919</v>
      </c>
      <c r="AEF92">
        <v>1.949</v>
      </c>
      <c r="AEG92">
        <v>1.244</v>
      </c>
      <c r="AEH92">
        <v>7.033</v>
      </c>
      <c r="AEI92">
        <v>5.921</v>
      </c>
      <c r="AEJ92">
        <v>5.422</v>
      </c>
      <c r="AEK92">
        <v>3.025</v>
      </c>
      <c r="AEL92">
        <v>1.232</v>
      </c>
      <c r="AEM92">
        <v>7.783574179</v>
      </c>
      <c r="AEN92">
        <v>5.825575695</v>
      </c>
      <c r="AEO92">
        <v>4.078771752</v>
      </c>
      <c r="AEP92">
        <v>1.987731816</v>
      </c>
      <c r="AEQ92">
        <v>1.259809365</v>
      </c>
      <c r="AER92">
        <v>1.181357136</v>
      </c>
      <c r="AES92">
        <v>1.13173702</v>
      </c>
      <c r="AET92">
        <v>1.081474214</v>
      </c>
      <c r="AEU92">
        <v>1.055256259</v>
      </c>
      <c r="AEV92">
        <v>1.03201731</v>
      </c>
      <c r="AEW92" t="s">
        <v>1900</v>
      </c>
      <c r="AEX92" t="s">
        <v>1900</v>
      </c>
      <c r="AEY92" t="s">
        <v>1900</v>
      </c>
      <c r="AEZ92" t="s">
        <v>1900</v>
      </c>
      <c r="AFA92" t="s">
        <v>1900</v>
      </c>
      <c r="AFB92" t="s">
        <v>1900</v>
      </c>
      <c r="AFC92" t="s">
        <v>1900</v>
      </c>
      <c r="AFD92" t="s">
        <v>1900</v>
      </c>
      <c r="AFE92" t="s">
        <v>1900</v>
      </c>
      <c r="AFF92" t="s">
        <v>1900</v>
      </c>
      <c r="AFG92">
        <v>6.468</v>
      </c>
      <c r="AFH92">
        <v>8.087</v>
      </c>
      <c r="AFI92">
        <v>5.204</v>
      </c>
      <c r="AFJ92">
        <v>4.745</v>
      </c>
      <c r="AFK92">
        <v>12.266</v>
      </c>
      <c r="AFL92">
        <v>18.393</v>
      </c>
      <c r="AFM92">
        <v>20.789</v>
      </c>
      <c r="AFN92">
        <v>9.539999999999999</v>
      </c>
      <c r="AFO92">
        <v>3.677</v>
      </c>
      <c r="AFP92">
        <v>1.718</v>
      </c>
      <c r="AFQ92" t="s">
        <v>1901</v>
      </c>
      <c r="AFR92" t="s">
        <v>1901</v>
      </c>
      <c r="AFS92">
        <v>584.7859999999999</v>
      </c>
      <c r="AFT92">
        <v>867.272</v>
      </c>
      <c r="AFU92">
        <v>635.419</v>
      </c>
      <c r="AFV92">
        <v>125.273</v>
      </c>
      <c r="AFW92">
        <v>144.313</v>
      </c>
      <c r="AFX92">
        <v>175.416</v>
      </c>
      <c r="AFY92">
        <v>190.238</v>
      </c>
      <c r="AFZ92">
        <v>175.865</v>
      </c>
      <c r="AGA92">
        <v>45.366</v>
      </c>
      <c r="AGB92">
        <v>62.202</v>
      </c>
      <c r="AGC92">
        <v>55.469</v>
      </c>
      <c r="AGD92">
        <v>66.05800000000001</v>
      </c>
      <c r="AGE92">
        <v>95.169</v>
      </c>
      <c r="AGF92" t="s">
        <v>1900</v>
      </c>
      <c r="AGG92" t="s">
        <v>1900</v>
      </c>
      <c r="AGH92" t="s">
        <v>1900</v>
      </c>
      <c r="AGI92" t="s">
        <v>1900</v>
      </c>
      <c r="AGJ92" t="s">
        <v>1900</v>
      </c>
      <c r="AGK92" t="s">
        <v>1900</v>
      </c>
      <c r="AGL92" t="s">
        <v>1900</v>
      </c>
      <c r="AGM92" t="s">
        <v>1900</v>
      </c>
      <c r="AGN92" t="s">
        <v>1900</v>
      </c>
      <c r="AGO92" t="s">
        <v>1900</v>
      </c>
      <c r="AGP92" t="s">
        <v>1900</v>
      </c>
      <c r="AGQ92" t="s">
        <v>1900</v>
      </c>
      <c r="AGR92" t="s">
        <v>1900</v>
      </c>
      <c r="AGS92" t="s">
        <v>1900</v>
      </c>
      <c r="AGT92" t="s">
        <v>1900</v>
      </c>
      <c r="AGU92">
        <v>0</v>
      </c>
      <c r="AGV92">
        <v>0</v>
      </c>
      <c r="AGW92">
        <v>0</v>
      </c>
      <c r="AGX92">
        <v>0</v>
      </c>
      <c r="AGY92">
        <v>0</v>
      </c>
      <c r="AGZ92">
        <v>1.347</v>
      </c>
      <c r="AHA92">
        <v>1.195</v>
      </c>
      <c r="AHB92">
        <v>1.279</v>
      </c>
      <c r="AHC92">
        <v>1.336</v>
      </c>
      <c r="AHD92">
        <v>1.011</v>
      </c>
      <c r="AHE92">
        <v>1.346</v>
      </c>
      <c r="AHF92">
        <v>1.194</v>
      </c>
      <c r="AHG92">
        <v>1.275</v>
      </c>
      <c r="AHH92">
        <v>1.333</v>
      </c>
      <c r="AHI92">
        <v>1.008</v>
      </c>
      <c r="AHJ92">
        <v>3.581</v>
      </c>
      <c r="AHK92">
        <v>2.615</v>
      </c>
      <c r="AHL92">
        <v>0.609</v>
      </c>
      <c r="AHM92">
        <v>0.204</v>
      </c>
      <c r="AHN92">
        <v>0.783</v>
      </c>
      <c r="AHO92">
        <v>26.62</v>
      </c>
      <c r="AHP92">
        <v>17.296</v>
      </c>
      <c r="AHQ92">
        <v>12.174</v>
      </c>
      <c r="AHR92">
        <v>5.638</v>
      </c>
      <c r="AHS92">
        <v>5.73</v>
      </c>
      <c r="AHT92">
        <v>36.278</v>
      </c>
      <c r="AHU92">
        <v>20.914</v>
      </c>
      <c r="AHV92">
        <v>13.861</v>
      </c>
      <c r="AHW92">
        <v>5.975</v>
      </c>
      <c r="AHX92">
        <v>6.078</v>
      </c>
      <c r="AHY92">
        <v>39.721</v>
      </c>
      <c r="AHZ92">
        <v>114.307</v>
      </c>
      <c r="AIA92">
        <v>309.649</v>
      </c>
      <c r="AIB92">
        <v>872.912</v>
      </c>
      <c r="AIC92">
        <v>683.853</v>
      </c>
      <c r="AID92">
        <v>7.44612945</v>
      </c>
      <c r="AIE92">
        <v>4.142833351</v>
      </c>
      <c r="AIF92">
        <v>5.377313539</v>
      </c>
      <c r="AIG92">
        <v>4.118065731</v>
      </c>
      <c r="AIH92">
        <v>3.897213034</v>
      </c>
      <c r="AII92">
        <v>12.097078651</v>
      </c>
      <c r="AIJ92">
        <v>13.348700715</v>
      </c>
      <c r="AIK92">
        <v>4.945150252</v>
      </c>
      <c r="AIL92">
        <v>5.604040685</v>
      </c>
      <c r="AIM92">
        <v>9.520314395</v>
      </c>
      <c r="AIN92">
        <v>35.051279566</v>
      </c>
      <c r="AIO92">
        <v>29.524521162</v>
      </c>
      <c r="AIP92">
        <v>24.346544783</v>
      </c>
      <c r="AIQ92">
        <v>16.196867076</v>
      </c>
      <c r="AIR92">
        <v>12.782859053</v>
      </c>
      <c r="AIS92">
        <v>0.093026713</v>
      </c>
      <c r="AIT92">
        <v>0.104576796</v>
      </c>
      <c r="AIU92">
        <v>0.356397797</v>
      </c>
      <c r="AIV92">
        <v>0.183666194</v>
      </c>
      <c r="AIW92">
        <v>0.262742195</v>
      </c>
      <c r="AIX92">
        <v>9.624541323701621</v>
      </c>
      <c r="AIY92">
        <v>8.72174302090359</v>
      </c>
      <c r="AIZ92">
        <v>4.65567810252285</v>
      </c>
      <c r="AJA92">
        <v>2.84506278795075</v>
      </c>
      <c r="AJB92">
        <v>1.01967810419488</v>
      </c>
      <c r="AJC92">
        <v>140.445695369607</v>
      </c>
      <c r="AJD92">
        <v>166.627755102637</v>
      </c>
      <c r="AJE92">
        <v>144.350432270024</v>
      </c>
      <c r="AJF92">
        <v>203.240078911005</v>
      </c>
      <c r="AJG92">
        <v>196.435475960478</v>
      </c>
      <c r="AJH92">
        <v>34.216</v>
      </c>
      <c r="AJI92">
        <v>35.548</v>
      </c>
      <c r="AJJ92">
        <v>40.122</v>
      </c>
      <c r="AJK92">
        <v>30.178</v>
      </c>
      <c r="AJL92">
        <v>28.525</v>
      </c>
      <c r="AJM92">
        <v>48.0554287000523</v>
      </c>
      <c r="AJN92">
        <v>59.233511462476</v>
      </c>
      <c r="AJO92">
        <v>57.9161279246017</v>
      </c>
      <c r="AJP92">
        <v>61.3341601149008</v>
      </c>
      <c r="AJQ92">
        <v>56.0328655504923</v>
      </c>
      <c r="AJR92">
        <v>16.9753158183231</v>
      </c>
      <c r="AJS92">
        <v>14.9055215410366</v>
      </c>
      <c r="AJT92">
        <v>10.5006104254198</v>
      </c>
      <c r="AJU92">
        <v>7.26393818259168</v>
      </c>
      <c r="AJV92">
        <v>7.03417528938603</v>
      </c>
      <c r="AJW92">
        <v>31.2429459636655</v>
      </c>
      <c r="AJX92">
        <v>38.0975435045983</v>
      </c>
      <c r="AJY92">
        <v>48.3427016088895</v>
      </c>
      <c r="AJZ92">
        <v>70.34096428405741</v>
      </c>
      <c r="AKA92">
        <v>44.3411066865756</v>
      </c>
      <c r="AKB92">
        <v>63.7679810924063</v>
      </c>
      <c r="AKC92">
        <v>86.1774080788272</v>
      </c>
      <c r="AKD92">
        <v>86.2578684336512</v>
      </c>
      <c r="AKE92">
        <v>128.831944645839</v>
      </c>
      <c r="AKF92">
        <v>122.759389700535</v>
      </c>
      <c r="AKG92">
        <v>0.093026713</v>
      </c>
      <c r="AKH92">
        <v>0.104576796</v>
      </c>
      <c r="AKI92">
        <v>0.356397797</v>
      </c>
      <c r="AKJ92">
        <v>0.183666194</v>
      </c>
      <c r="AKK92">
        <v>0.262742195</v>
      </c>
      <c r="AKL92">
        <v>0.04926637</v>
      </c>
      <c r="AKM92">
        <v>0.055120541</v>
      </c>
      <c r="AKN92">
        <v>0.171002699</v>
      </c>
      <c r="AKO92">
        <v>0.115304072</v>
      </c>
      <c r="AKP92">
        <v>0.157376389</v>
      </c>
      <c r="AKQ92">
        <v>0.108506642</v>
      </c>
      <c r="AKR92">
        <v>0.106577956</v>
      </c>
      <c r="AKS92">
        <v>0.286168834</v>
      </c>
      <c r="AKT92">
        <v>0.181899052</v>
      </c>
      <c r="AKU92">
        <v>0.251828442</v>
      </c>
      <c r="AKV92">
        <v>0.612651188</v>
      </c>
      <c r="AKW92">
        <v>1.08536892</v>
      </c>
      <c r="AKX92">
        <v>2.356685433</v>
      </c>
      <c r="AKY92">
        <v>3.729758248</v>
      </c>
      <c r="AKZ92">
        <v>4.099224395</v>
      </c>
      <c r="ALA92">
        <v>1.349332699</v>
      </c>
      <c r="ALB92">
        <v>2.098607867</v>
      </c>
      <c r="ALC92">
        <v>3.943855419</v>
      </c>
      <c r="ALD92">
        <v>5.883916135</v>
      </c>
      <c r="ALE92">
        <v>6.559441997</v>
      </c>
      <c r="ALF92">
        <v>1.070758816</v>
      </c>
      <c r="ALG92">
        <v>1.444631786</v>
      </c>
      <c r="ALH92">
        <v>2.333149453</v>
      </c>
      <c r="ALI92">
        <v>0.537291383</v>
      </c>
      <c r="ALJ92">
        <v>1.000357824</v>
      </c>
      <c r="ALK92">
        <v>2.358291163</v>
      </c>
      <c r="ALL92">
        <v>2.793258195</v>
      </c>
      <c r="ALM92">
        <v>3.904468533</v>
      </c>
      <c r="ALN92">
        <v>0.847609209</v>
      </c>
      <c r="ALO92">
        <v>1.600739187</v>
      </c>
      <c r="ALP92">
        <v>34.797935527</v>
      </c>
      <c r="ALQ92">
        <v>40.087035841</v>
      </c>
      <c r="ALR92">
        <v>48.726761528</v>
      </c>
      <c r="ALS92">
        <v>52.843940913</v>
      </c>
      <c r="ALT92">
        <v>48.851452426</v>
      </c>
      <c r="ALU92">
        <v>36.213732257</v>
      </c>
      <c r="ALV92">
        <v>43.101945321</v>
      </c>
      <c r="ALW92">
        <v>31.621110654</v>
      </c>
      <c r="ALX92">
        <v>34.723857826</v>
      </c>
      <c r="ALY92">
        <v>54.115009276</v>
      </c>
      <c r="ALZ92">
        <v>47.0406210627309</v>
      </c>
      <c r="AMA92">
        <v>47.2918056407192</v>
      </c>
      <c r="AMB92">
        <v>52.0191480527772</v>
      </c>
      <c r="AMC92">
        <v>37.2208520627354</v>
      </c>
      <c r="AMD92">
        <v>40.1023544730673</v>
      </c>
      <c r="AME92">
        <v>47.6496948429841</v>
      </c>
      <c r="AMF92">
        <v>47.6224411412017</v>
      </c>
      <c r="AMG92">
        <v>52.6139530412704</v>
      </c>
      <c r="AMH92">
        <v>37.4986996154684</v>
      </c>
      <c r="AMI92">
        <v>40.4784178685791</v>
      </c>
      <c r="AMJ92">
        <v>88.82396660740881</v>
      </c>
      <c r="AMK92">
        <v>89.72382040711879</v>
      </c>
      <c r="AML92">
        <v>108.41647438725</v>
      </c>
      <c r="AMM92">
        <v>59.2885588379288</v>
      </c>
      <c r="AMN92">
        <v>66.95147049650789</v>
      </c>
      <c r="AMO92">
        <v>1.18135713645175</v>
      </c>
      <c r="AMP92">
        <v>1.13173702015067</v>
      </c>
      <c r="AMQ92">
        <v>1.08147421373095</v>
      </c>
      <c r="AMR92">
        <v>1.05525625919271</v>
      </c>
      <c r="AMS92">
        <v>1.03201730972871</v>
      </c>
      <c r="AMT92">
        <v>1.18135713645175</v>
      </c>
      <c r="AMU92">
        <v>1.13173702031169</v>
      </c>
      <c r="AMV92">
        <v>1.08147421373095</v>
      </c>
      <c r="AMW92">
        <v>1.05525625942307</v>
      </c>
      <c r="AMX92">
        <v>1.03201730972871</v>
      </c>
      <c r="AMY92">
        <v>1.18135713645175</v>
      </c>
      <c r="AMZ92">
        <v>1.13173702031169</v>
      </c>
      <c r="ANA92">
        <v>1.08147421371631</v>
      </c>
      <c r="ANB92">
        <v>1.0552562594358</v>
      </c>
      <c r="ANC92">
        <v>1.03201730972871</v>
      </c>
      <c r="AND92">
        <v>7.22148457025655</v>
      </c>
      <c r="ANE92">
        <v>5.5048844822964</v>
      </c>
      <c r="ANF92">
        <v>3.91892763853556</v>
      </c>
      <c r="ANG92">
        <v>1.94899110013303</v>
      </c>
      <c r="ANH92">
        <v>1.24413562826</v>
      </c>
      <c r="ANI92">
        <v>7.31498709651743</v>
      </c>
      <c r="ANJ92">
        <v>5.54337128167408</v>
      </c>
      <c r="ANK92">
        <v>3.96373801694813</v>
      </c>
      <c r="ANL92">
        <v>1.96353999886747</v>
      </c>
      <c r="ANM92">
        <v>1.25580262075928</v>
      </c>
      <c r="ANN92">
        <v>7.78357417857696</v>
      </c>
      <c r="ANO92">
        <v>5.82557569471944</v>
      </c>
      <c r="ANP92">
        <v>4.07877175203899</v>
      </c>
      <c r="ANQ92">
        <v>1.98773181632778</v>
      </c>
      <c r="ANR92">
        <v>1.25980936542339</v>
      </c>
      <c r="ANS92">
        <v>46.7055897238686</v>
      </c>
      <c r="ANT92">
        <v>44.5176998192705</v>
      </c>
      <c r="ANU92">
        <v>20.3955583125922</v>
      </c>
      <c r="ANV92">
        <v>9.247737098076779</v>
      </c>
      <c r="ANW92">
        <v>15.2600172138245</v>
      </c>
      <c r="ANX92">
        <v>47.0406210627309</v>
      </c>
      <c r="ANY92">
        <v>47.2918056474476</v>
      </c>
      <c r="ANZ92">
        <v>52.0191480614181</v>
      </c>
      <c r="AOA92">
        <v>37.2208520627354</v>
      </c>
      <c r="AOB92">
        <v>40.1023544730673</v>
      </c>
      <c r="AOC92">
        <v>50.7020626972119</v>
      </c>
      <c r="AOD92">
        <v>50.0468255757189</v>
      </c>
      <c r="AOE92">
        <v>54.1408903692053</v>
      </c>
      <c r="AOF92">
        <v>37.9607027814947</v>
      </c>
      <c r="AOG92">
        <v>40.6075676904742</v>
      </c>
      <c r="AOH92" t="s">
        <v>1901</v>
      </c>
      <c r="AOI92">
        <v>91.4407566970483</v>
      </c>
      <c r="AOJ92">
        <v>87.0527717011425</v>
      </c>
      <c r="AOK92">
        <v>58.7181145340134</v>
      </c>
      <c r="AOL92">
        <v>64.1704485457708</v>
      </c>
      <c r="AOM92">
        <v>13.6358936135004</v>
      </c>
      <c r="AON92">
        <v>10.4440771495141</v>
      </c>
      <c r="AOO92">
        <v>8.16769081872909</v>
      </c>
      <c r="AOP92">
        <v>3.1045198352814</v>
      </c>
      <c r="AOQ92">
        <v>2.07710272635104</v>
      </c>
      <c r="AOR92">
        <v>18.135713645175</v>
      </c>
      <c r="AOS92">
        <v>13.1737020311687</v>
      </c>
      <c r="AOT92">
        <v>8.147421373094639</v>
      </c>
      <c r="AOU92">
        <v>5.52562594230711</v>
      </c>
      <c r="AOV92">
        <v>3.20173097287051</v>
      </c>
      <c r="AOW92">
        <v>15.9049479613083</v>
      </c>
      <c r="AOX92">
        <v>10.6439328287692</v>
      </c>
      <c r="AOY92">
        <v>6.55822953279834</v>
      </c>
      <c r="AOZ92">
        <v>3.07464972726832</v>
      </c>
      <c r="APA92">
        <v>1.9908242886546</v>
      </c>
      <c r="APB92">
        <v>5.80814622249112</v>
      </c>
      <c r="APC92">
        <v>4.3501986850508</v>
      </c>
      <c r="APD92">
        <v>3.49789004012696</v>
      </c>
      <c r="APE92">
        <v>1.62756804783186</v>
      </c>
      <c r="APF92">
        <v>-0.314783398520639</v>
      </c>
      <c r="APG92">
        <v>5.8833490896318</v>
      </c>
      <c r="APH92">
        <v>4.38061262463174</v>
      </c>
      <c r="API92">
        <v>3.53788612854727</v>
      </c>
      <c r="APJ92">
        <v>1.63971757622616</v>
      </c>
      <c r="APK92">
        <v>-0.317735307835039</v>
      </c>
      <c r="APL92">
        <v>10.9671720836661</v>
      </c>
      <c r="APM92">
        <v>8.253363141133949</v>
      </c>
      <c r="APN92">
        <v>7.29017910020532</v>
      </c>
      <c r="APO92">
        <v>2.59252968749797</v>
      </c>
      <c r="APP92">
        <v>-0.525535512709089</v>
      </c>
      <c r="APQ92">
        <v>14.5863188760731</v>
      </c>
      <c r="APR92">
        <v>10.4104312156855</v>
      </c>
      <c r="APS92">
        <v>7.27208734181038</v>
      </c>
      <c r="APT92">
        <v>4.61435263986376</v>
      </c>
      <c r="APU92">
        <v>-0.810081902564365</v>
      </c>
      <c r="APV92">
        <v>6.26022759211893</v>
      </c>
      <c r="APW92">
        <v>4.60362280231913</v>
      </c>
      <c r="APX92">
        <v>3.64056099100104</v>
      </c>
      <c r="APY92">
        <v>1.65991973575099</v>
      </c>
      <c r="APZ92">
        <v>-0.318749069256</v>
      </c>
      <c r="AQA92">
        <v>12.7921430173614</v>
      </c>
      <c r="AQB92">
        <v>8.41129777462014</v>
      </c>
      <c r="AQC92">
        <v>5.85363341187237</v>
      </c>
      <c r="AQD92">
        <v>2.56758568781319</v>
      </c>
      <c r="AQE92">
        <v>-0.50370588318942</v>
      </c>
      <c r="AQF92">
        <v>0.18135713645175</v>
      </c>
      <c r="AQG92">
        <v>0.131737020311687</v>
      </c>
      <c r="AQH92">
        <v>0.0814742137163102</v>
      </c>
      <c r="AQI92">
        <v>0.0552562594358003</v>
      </c>
      <c r="AQJ92">
        <v>0.0320173097287051</v>
      </c>
      <c r="AQK92">
        <v>6</v>
      </c>
      <c r="AQO92" t="s">
        <v>1903</v>
      </c>
      <c r="AQP92">
        <v>6</v>
      </c>
      <c r="AQQ92">
        <v>0</v>
      </c>
      <c r="AQS92" t="s">
        <v>1905</v>
      </c>
      <c r="AQU92" t="s">
        <v>1906</v>
      </c>
      <c r="AQV92">
        <v>17977049.0289317</v>
      </c>
      <c r="AQW92">
        <v>16162892.2036308</v>
      </c>
      <c r="AQX92">
        <v>12847188.4587109</v>
      </c>
      <c r="AQY92">
        <v>1298209.82181176</v>
      </c>
      <c r="AQZ92">
        <v>889748.544807966</v>
      </c>
      <c r="ARA92">
        <v>503472.019283172</v>
      </c>
      <c r="ARB92">
        <v>46987129.6912734</v>
      </c>
      <c r="ARC92">
        <v>2691430.385902898</v>
      </c>
      <c r="ARD92">
        <v>0.06076053495280486</v>
      </c>
      <c r="ARE92">
        <v>0.06076053495280486</v>
      </c>
      <c r="ARF92">
        <v>0.06076053495280486</v>
      </c>
      <c r="ARG92">
        <v>0.06076053495280486</v>
      </c>
      <c r="ARH92">
        <v>0.06076053495280486</v>
      </c>
      <c r="ARI92">
        <v>0.06076053495280486</v>
      </c>
      <c r="ARJ92" t="s">
        <v>1253</v>
      </c>
      <c r="ARK92" t="s">
        <v>1591</v>
      </c>
      <c r="ARL92" t="s">
        <v>1908</v>
      </c>
      <c r="ARM92" t="s">
        <v>1908</v>
      </c>
      <c r="ARN92" t="s">
        <v>1909</v>
      </c>
      <c r="ARO92" t="s">
        <v>1908</v>
      </c>
      <c r="ARP92" t="s">
        <v>1907</v>
      </c>
      <c r="ARQ92" t="s">
        <v>1985</v>
      </c>
      <c r="ARR92">
        <f>HYPERLINK("C:\Users\Usuario\Documents\Proyectos\llmthon\evidence\ozonatech_com_235546.png", "Ver Evidencia")</f>
        <v>0</v>
      </c>
      <c r="ARS92">
        <v>90</v>
      </c>
    </row>
    <row r="93" spans="1:1163">
      <c r="A93">
        <v>470</v>
      </c>
      <c r="B93" t="s">
        <v>1254</v>
      </c>
      <c r="C93" t="s">
        <v>1377</v>
      </c>
      <c r="E93" s="2">
        <v>36643</v>
      </c>
      <c r="F93" t="s">
        <v>1431</v>
      </c>
      <c r="G93" t="s">
        <v>1433</v>
      </c>
      <c r="H93" t="s">
        <v>1434</v>
      </c>
      <c r="I93" t="s">
        <v>1437</v>
      </c>
      <c r="J93" t="s">
        <v>1453</v>
      </c>
      <c r="L93" t="s">
        <v>1592</v>
      </c>
      <c r="N93" t="s">
        <v>1627</v>
      </c>
      <c r="O93" t="s">
        <v>1651</v>
      </c>
      <c r="P93">
        <v>6910</v>
      </c>
      <c r="Q93">
        <v>6910</v>
      </c>
      <c r="R93" t="s">
        <v>1675</v>
      </c>
      <c r="Z93" t="s">
        <v>1899</v>
      </c>
      <c r="AA93" s="2">
        <v>45657</v>
      </c>
      <c r="AB93">
        <v>2024</v>
      </c>
      <c r="AC93">
        <v>1474845.75567573</v>
      </c>
      <c r="AD93">
        <v>1766818.61972649</v>
      </c>
      <c r="AE93">
        <v>1221671.32125676</v>
      </c>
      <c r="AF93">
        <v>1505559.57460506</v>
      </c>
      <c r="AG93">
        <v>1166437.6210215</v>
      </c>
      <c r="AH93">
        <v>1441808.75027507</v>
      </c>
      <c r="AI93">
        <v>1731677.94645578</v>
      </c>
      <c r="AJ93">
        <v>1187753.45753014</v>
      </c>
      <c r="AK93">
        <v>1469542.88482769</v>
      </c>
      <c r="AL93">
        <v>1127415.8632996</v>
      </c>
      <c r="AM93">
        <v>-7391.59362058997</v>
      </c>
      <c r="AN93">
        <v>-14590.5812480736</v>
      </c>
      <c r="AO93">
        <v>-1916.1139826715</v>
      </c>
      <c r="AP93">
        <v>890.2464936733249</v>
      </c>
      <c r="AQ93">
        <v>1510.7064895153</v>
      </c>
      <c r="AR93">
        <v>1482237.34929632</v>
      </c>
      <c r="AS93">
        <v>1781409.19986956</v>
      </c>
      <c r="AT93">
        <v>1223587.43523943</v>
      </c>
      <c r="AU93">
        <v>1504669.32811139</v>
      </c>
      <c r="AV93">
        <v>1164926.91453198</v>
      </c>
      <c r="AW93">
        <v>1462737.54775045</v>
      </c>
      <c r="AX93">
        <v>1556797.28612149</v>
      </c>
      <c r="AY93">
        <v>1375228.93389306</v>
      </c>
      <c r="AZ93">
        <v>1360172.55464315</v>
      </c>
      <c r="BA93">
        <v>1330033.10072842</v>
      </c>
      <c r="BB93">
        <v>19499.8015458667</v>
      </c>
      <c r="BC93">
        <v>224611.914853067</v>
      </c>
      <c r="BD93">
        <v>-151641.499720228</v>
      </c>
      <c r="BE93">
        <v>144496.773468232</v>
      </c>
      <c r="BF93">
        <v>-165106.186196434</v>
      </c>
      <c r="BG93">
        <v>12499.3951584077</v>
      </c>
      <c r="BH93">
        <v>13481.6580004025</v>
      </c>
      <c r="BI93">
        <v>-6711.60927785039</v>
      </c>
      <c r="BJ93">
        <v>0</v>
      </c>
      <c r="BK93">
        <v>13237.5545704842</v>
      </c>
      <c r="BL93">
        <v>12499.3951584077</v>
      </c>
      <c r="BM93">
        <v>13481.6580004025</v>
      </c>
      <c r="BN93" t="s">
        <v>1900</v>
      </c>
      <c r="BO93" t="s">
        <v>1900</v>
      </c>
      <c r="BP93">
        <v>13237.5545704842</v>
      </c>
      <c r="BQ93" t="s">
        <v>1900</v>
      </c>
      <c r="BR93" t="s">
        <v>1900</v>
      </c>
      <c r="BS93">
        <v>6711.60927785039</v>
      </c>
      <c r="BT93" t="s">
        <v>1900</v>
      </c>
      <c r="BU93" t="s">
        <v>1900</v>
      </c>
      <c r="BV93">
        <v>31999.1967042744</v>
      </c>
      <c r="BW93">
        <v>238093.57285347</v>
      </c>
      <c r="BX93">
        <v>-158353.108998078</v>
      </c>
      <c r="BY93">
        <v>144496.773468232</v>
      </c>
      <c r="BZ93">
        <v>-151868.63162595</v>
      </c>
      <c r="CA93">
        <v>8452.954169565441</v>
      </c>
      <c r="CB93">
        <v>32330.2592094231</v>
      </c>
      <c r="CC93" t="s">
        <v>1900</v>
      </c>
      <c r="CD93">
        <v>1085.18965859413</v>
      </c>
      <c r="CE93" t="s">
        <v>1900</v>
      </c>
      <c r="CF93">
        <v>23546.242534709</v>
      </c>
      <c r="CG93">
        <v>205763.313644047</v>
      </c>
      <c r="CH93">
        <v>-158353.108998078</v>
      </c>
      <c r="CI93">
        <v>143411.583809638</v>
      </c>
      <c r="CJ93">
        <v>-151868.63162595</v>
      </c>
      <c r="CK93" t="s">
        <v>1900</v>
      </c>
      <c r="CL93" t="s">
        <v>1900</v>
      </c>
      <c r="CM93" t="s">
        <v>1900</v>
      </c>
      <c r="CN93" t="s">
        <v>1900</v>
      </c>
      <c r="CO93" t="s">
        <v>1900</v>
      </c>
      <c r="CP93" t="s">
        <v>1900</v>
      </c>
      <c r="CQ93" t="s">
        <v>1900</v>
      </c>
      <c r="CR93" t="s">
        <v>1900</v>
      </c>
      <c r="CS93" t="s">
        <v>1900</v>
      </c>
      <c r="CT93" t="s">
        <v>1900</v>
      </c>
      <c r="CU93" t="s">
        <v>1900</v>
      </c>
      <c r="CV93" t="s">
        <v>1900</v>
      </c>
      <c r="CW93" t="s">
        <v>1900</v>
      </c>
      <c r="CX93" t="s">
        <v>1900</v>
      </c>
      <c r="CY93" t="s">
        <v>1900</v>
      </c>
      <c r="CZ93">
        <v>23546.242534709</v>
      </c>
      <c r="DA93">
        <v>205763.313644047</v>
      </c>
      <c r="DB93">
        <v>-158353.108998078</v>
      </c>
      <c r="DC93">
        <v>143411.583809638</v>
      </c>
      <c r="DD93">
        <v>-151868.63162595</v>
      </c>
      <c r="DE93" t="s">
        <v>1900</v>
      </c>
      <c r="DF93" t="s">
        <v>1900</v>
      </c>
      <c r="DG93" t="s">
        <v>1900</v>
      </c>
      <c r="DH93" t="s">
        <v>1900</v>
      </c>
      <c r="DI93" t="s">
        <v>1900</v>
      </c>
      <c r="DJ93">
        <v>-7391.59362058997</v>
      </c>
      <c r="DK93">
        <v>-14590.5812480736</v>
      </c>
      <c r="DL93">
        <v>-1916.1139826715</v>
      </c>
      <c r="DM93">
        <v>890.2464936733249</v>
      </c>
      <c r="DN93">
        <v>1510.7064895153</v>
      </c>
      <c r="DO93">
        <v>380406.385593083</v>
      </c>
      <c r="DP93">
        <v>375188.918030176</v>
      </c>
      <c r="DQ93">
        <v>333945.78285082</v>
      </c>
      <c r="DR93">
        <v>350171.677408361</v>
      </c>
      <c r="DS93">
        <v>354477.684302443</v>
      </c>
      <c r="DT93">
        <v>3543.0629942894</v>
      </c>
      <c r="DU93">
        <v>3905.74580285072</v>
      </c>
      <c r="DV93">
        <v>3459.95274595618</v>
      </c>
      <c r="DW93">
        <v>3567.22660238743</v>
      </c>
      <c r="DX93">
        <v>9467.6969157517</v>
      </c>
      <c r="DY93">
        <v>1078788.09916308</v>
      </c>
      <c r="DZ93">
        <v>1177702.62228847</v>
      </c>
      <c r="EA93">
        <v>1037823.19936288</v>
      </c>
      <c r="EB93">
        <v>1006433.6494998</v>
      </c>
      <c r="EC93">
        <v>966087.719510222</v>
      </c>
      <c r="ED93" t="s">
        <v>1900</v>
      </c>
      <c r="EE93" t="s">
        <v>1900</v>
      </c>
      <c r="EF93">
        <v>6711.60927785039</v>
      </c>
      <c r="EG93" t="s">
        <v>1900</v>
      </c>
      <c r="EH93" t="s">
        <v>1900</v>
      </c>
      <c r="EI93" t="s">
        <v>1900</v>
      </c>
      <c r="EJ93" t="s">
        <v>1900</v>
      </c>
      <c r="EK93" t="s">
        <v>1900</v>
      </c>
      <c r="EL93" t="s">
        <v>1900</v>
      </c>
      <c r="EM93" t="s">
        <v>1900</v>
      </c>
      <c r="EN93">
        <v>27089.3055289984</v>
      </c>
      <c r="EO93">
        <v>209669.058341897</v>
      </c>
      <c r="EP93">
        <v>-154893.156252122</v>
      </c>
      <c r="EQ93">
        <v>146978.810412025</v>
      </c>
      <c r="ER93">
        <v>-142400.934710199</v>
      </c>
      <c r="ES93">
        <v>415948.645291647</v>
      </c>
      <c r="ET93">
        <v>617188.236686497</v>
      </c>
      <c r="EU93">
        <v>185764.235876548</v>
      </c>
      <c r="EV93">
        <v>498235.677478981</v>
      </c>
      <c r="EW93">
        <v>212076.749592245</v>
      </c>
      <c r="EX93">
        <v>23042.8645401561</v>
      </c>
      <c r="EY93">
        <v>228517.659550918</v>
      </c>
      <c r="EZ93">
        <v>-148181.545907672</v>
      </c>
      <c r="FA93">
        <v>148064.00007062</v>
      </c>
      <c r="FB93">
        <v>-155638.489280683</v>
      </c>
      <c r="FC93">
        <v>45983.0442496896</v>
      </c>
      <c r="FD93">
        <v>51787.7709417152</v>
      </c>
      <c r="FE93">
        <v>52517.8015665889</v>
      </c>
      <c r="FF93">
        <v>59441.6390064955</v>
      </c>
      <c r="FG93">
        <v>62710.5661096096</v>
      </c>
      <c r="FH93">
        <v>43731.7697225475</v>
      </c>
      <c r="FI93">
        <v>47764.9171863079</v>
      </c>
      <c r="FJ93">
        <v>47312.1987681747</v>
      </c>
      <c r="FK93">
        <v>51521.7727925062</v>
      </c>
      <c r="FL93">
        <v>51538.1705760956</v>
      </c>
      <c r="FM93">
        <v>2251.27452714205</v>
      </c>
      <c r="FN93">
        <v>4022.85375540733</v>
      </c>
      <c r="FO93">
        <v>5205.60279841423</v>
      </c>
      <c r="FP93">
        <v>7919.86621398926</v>
      </c>
      <c r="FQ93">
        <v>11172.395533514</v>
      </c>
      <c r="FR93">
        <v>0</v>
      </c>
      <c r="FS93">
        <v>0</v>
      </c>
      <c r="FT93">
        <v>0</v>
      </c>
      <c r="FU93">
        <v>0</v>
      </c>
      <c r="FV93">
        <v>0</v>
      </c>
      <c r="FW93">
        <v>43731.7697225475</v>
      </c>
      <c r="FX93">
        <v>47764.9171863079</v>
      </c>
      <c r="FY93">
        <v>47312.1987681747</v>
      </c>
      <c r="FZ93">
        <v>51521.7727925062</v>
      </c>
      <c r="GA93">
        <v>51538.1705760956</v>
      </c>
      <c r="GB93">
        <v>2251.27452714205</v>
      </c>
      <c r="GC93">
        <v>4022.85375540733</v>
      </c>
      <c r="GD93">
        <v>5205.60279841423</v>
      </c>
      <c r="GE93">
        <v>7919.86621398926</v>
      </c>
      <c r="GF93">
        <v>11172.395533514</v>
      </c>
      <c r="GG93">
        <v>0</v>
      </c>
      <c r="GH93">
        <v>0</v>
      </c>
      <c r="GI93">
        <v>0</v>
      </c>
      <c r="GJ93">
        <v>0</v>
      </c>
      <c r="GK93">
        <v>0</v>
      </c>
      <c r="GL93">
        <v>2437694.26597953</v>
      </c>
      <c r="GM93">
        <v>2520179.09522541</v>
      </c>
      <c r="GN93">
        <v>2655598.93782149</v>
      </c>
      <c r="GO93">
        <v>3002097.85184913</v>
      </c>
      <c r="GP93">
        <v>2869891.62877739</v>
      </c>
      <c r="GQ93">
        <v>0</v>
      </c>
      <c r="GR93">
        <v>0</v>
      </c>
      <c r="GS93">
        <v>0</v>
      </c>
      <c r="GT93">
        <v>0</v>
      </c>
      <c r="GU93">
        <v>0</v>
      </c>
      <c r="GV93">
        <v>11696.8244850707</v>
      </c>
      <c r="GW93">
        <v>16031.2808946419</v>
      </c>
      <c r="GX93">
        <v>35762.0889037788</v>
      </c>
      <c r="GY93">
        <v>57421.0121019602</v>
      </c>
      <c r="GZ93">
        <v>39817.4948046029</v>
      </c>
      <c r="HA93">
        <v>2425997.44149446</v>
      </c>
      <c r="HB93">
        <v>2504147.81433077</v>
      </c>
      <c r="HC93">
        <v>2619836.84891771</v>
      </c>
      <c r="HD93">
        <v>2944676.83974717</v>
      </c>
      <c r="HE93">
        <v>2830074.13397279</v>
      </c>
      <c r="HF93">
        <v>750254.050759157</v>
      </c>
      <c r="HG93">
        <v>500783.583795519</v>
      </c>
      <c r="HH93">
        <v>742782.49679187</v>
      </c>
      <c r="HI93">
        <v>1074867.79630008</v>
      </c>
      <c r="HJ93">
        <v>948342.7715220751</v>
      </c>
      <c r="HK93">
        <v>2483677.31022922</v>
      </c>
      <c r="HL93">
        <v>2571966.86616713</v>
      </c>
      <c r="HM93">
        <v>2708116.73938808</v>
      </c>
      <c r="HN93">
        <v>3061539.49085562</v>
      </c>
      <c r="HO93">
        <v>2932602.194887</v>
      </c>
      <c r="HP93">
        <v>1868158.84738123</v>
      </c>
      <c r="HQ93">
        <v>1961977.80716153</v>
      </c>
      <c r="HR93">
        <v>1695182.47909378</v>
      </c>
      <c r="HS93">
        <v>2018784.15250905</v>
      </c>
      <c r="HT93">
        <v>2031845.08255557</v>
      </c>
      <c r="HU93">
        <v>77709.6856594086</v>
      </c>
      <c r="HV93">
        <v>82654.0370941162</v>
      </c>
      <c r="HW93">
        <v>79781.64172172549</v>
      </c>
      <c r="HX93">
        <v>84718.50299835209</v>
      </c>
      <c r="HY93">
        <v>91787.0275974274</v>
      </c>
      <c r="HZ93">
        <v>1790449.16172182</v>
      </c>
      <c r="IA93">
        <v>1879323.77006742</v>
      </c>
      <c r="IB93">
        <v>1615400.83737206</v>
      </c>
      <c r="IC93">
        <v>1934065.64951069</v>
      </c>
      <c r="ID93">
        <v>1940058.05495814</v>
      </c>
      <c r="IE93">
        <v>0</v>
      </c>
      <c r="IF93">
        <v>0</v>
      </c>
      <c r="IG93">
        <v>0</v>
      </c>
      <c r="IH93">
        <v>0</v>
      </c>
      <c r="II93">
        <v>0</v>
      </c>
      <c r="IJ93" t="s">
        <v>1900</v>
      </c>
      <c r="IK93" t="s">
        <v>1900</v>
      </c>
      <c r="IL93" t="s">
        <v>1900</v>
      </c>
      <c r="IM93" t="s">
        <v>1900</v>
      </c>
      <c r="IN93" t="s">
        <v>1900</v>
      </c>
      <c r="IO93" t="s">
        <v>1900</v>
      </c>
      <c r="IP93" t="s">
        <v>1900</v>
      </c>
      <c r="IQ93" t="s">
        <v>1900</v>
      </c>
      <c r="IR93" t="s">
        <v>1900</v>
      </c>
      <c r="IS93" t="s">
        <v>1900</v>
      </c>
      <c r="IT93" t="s">
        <v>1900</v>
      </c>
      <c r="IU93" t="s">
        <v>1900</v>
      </c>
      <c r="IV93" t="s">
        <v>1900</v>
      </c>
      <c r="IW93" t="s">
        <v>1900</v>
      </c>
      <c r="IX93" t="s">
        <v>1900</v>
      </c>
      <c r="IY93">
        <v>615518.462847995</v>
      </c>
      <c r="IZ93">
        <v>609989.059005594</v>
      </c>
      <c r="JA93">
        <v>1012934.26029429</v>
      </c>
      <c r="JB93">
        <v>1042755.33834658</v>
      </c>
      <c r="JC93">
        <v>900757.1123314321</v>
      </c>
      <c r="JD93">
        <v>0</v>
      </c>
      <c r="JE93">
        <v>0</v>
      </c>
      <c r="JF93">
        <v>0</v>
      </c>
      <c r="JG93">
        <v>0</v>
      </c>
      <c r="JH93">
        <v>0</v>
      </c>
      <c r="JI93">
        <v>389896.47317433</v>
      </c>
      <c r="JJ93">
        <v>485337.455913487</v>
      </c>
      <c r="JK93">
        <v>875887.542673665</v>
      </c>
      <c r="JL93">
        <v>840879.470313763</v>
      </c>
      <c r="JM93">
        <v>768795.6390141899</v>
      </c>
      <c r="JN93">
        <v>225621.989673665</v>
      </c>
      <c r="JO93">
        <v>124651.603092108</v>
      </c>
      <c r="JP93">
        <v>137046.717620629</v>
      </c>
      <c r="JQ93">
        <v>201875.868032813</v>
      </c>
      <c r="JR93">
        <v>131961.473317242</v>
      </c>
      <c r="JS93">
        <v>2483677.31022922</v>
      </c>
      <c r="JT93">
        <v>2571966.86616713</v>
      </c>
      <c r="JU93">
        <v>2708116.73938808</v>
      </c>
      <c r="JV93">
        <v>3061539.49085562</v>
      </c>
      <c r="JW93">
        <v>2932602.194887</v>
      </c>
      <c r="JX93">
        <v>-378199.648689259</v>
      </c>
      <c r="JY93">
        <v>-469306.173913844</v>
      </c>
      <c r="JZ93">
        <v>-840125.453769887</v>
      </c>
      <c r="KA93">
        <v>-783458.458211803</v>
      </c>
      <c r="KB93">
        <v>-728978.1442095879</v>
      </c>
      <c r="KC93" t="s">
        <v>1900</v>
      </c>
      <c r="KD93" t="s">
        <v>1900</v>
      </c>
      <c r="KE93" t="s">
        <v>1900</v>
      </c>
      <c r="KF93" t="s">
        <v>1900</v>
      </c>
      <c r="KG93" t="s">
        <v>1900</v>
      </c>
      <c r="KH93" t="s">
        <v>1900</v>
      </c>
      <c r="KI93" t="s">
        <v>1900</v>
      </c>
      <c r="KJ93" t="s">
        <v>1900</v>
      </c>
      <c r="KK93" t="s">
        <v>1900</v>
      </c>
      <c r="KL93" t="s">
        <v>1900</v>
      </c>
      <c r="KM93">
        <v>11</v>
      </c>
      <c r="KN93">
        <v>10</v>
      </c>
      <c r="KO93">
        <v>10</v>
      </c>
      <c r="KP93">
        <v>10</v>
      </c>
      <c r="KQ93">
        <v>9</v>
      </c>
      <c r="KR93" t="s">
        <v>1900</v>
      </c>
      <c r="KS93" t="s">
        <v>1900</v>
      </c>
      <c r="KT93" t="s">
        <v>1900</v>
      </c>
      <c r="KU93" t="s">
        <v>1900</v>
      </c>
      <c r="KV93" t="s">
        <v>1900</v>
      </c>
      <c r="KW93" t="s">
        <v>1900</v>
      </c>
      <c r="KX93" t="s">
        <v>1900</v>
      </c>
      <c r="KY93" t="s">
        <v>1900</v>
      </c>
      <c r="KZ93" t="s">
        <v>1900</v>
      </c>
      <c r="LA93" t="s">
        <v>1900</v>
      </c>
      <c r="LB93" t="s">
        <v>1900</v>
      </c>
      <c r="LC93" t="s">
        <v>1900</v>
      </c>
      <c r="LD93" t="s">
        <v>1900</v>
      </c>
      <c r="LE93" t="s">
        <v>1900</v>
      </c>
      <c r="LF93" t="s">
        <v>1900</v>
      </c>
      <c r="LG93" t="s">
        <v>1900</v>
      </c>
      <c r="LH93" t="s">
        <v>1900</v>
      </c>
      <c r="LI93" t="s">
        <v>1900</v>
      </c>
      <c r="LJ93" t="s">
        <v>1900</v>
      </c>
      <c r="LK93" t="s">
        <v>1900</v>
      </c>
      <c r="LL93" t="s">
        <v>1900</v>
      </c>
      <c r="LM93" t="s">
        <v>1900</v>
      </c>
      <c r="LN93" t="s">
        <v>1900</v>
      </c>
      <c r="LO93" t="s">
        <v>1900</v>
      </c>
      <c r="LP93" t="s">
        <v>1900</v>
      </c>
      <c r="LQ93" t="s">
        <v>1900</v>
      </c>
      <c r="LR93" t="s">
        <v>1900</v>
      </c>
      <c r="LS93" t="s">
        <v>1900</v>
      </c>
      <c r="LT93" t="s">
        <v>1900</v>
      </c>
      <c r="LU93" t="s">
        <v>1900</v>
      </c>
      <c r="LV93" t="s">
        <v>1900</v>
      </c>
      <c r="LW93" t="s">
        <v>1900</v>
      </c>
      <c r="LX93" t="s">
        <v>1900</v>
      </c>
      <c r="LY93" t="s">
        <v>1900</v>
      </c>
      <c r="LZ93" t="s">
        <v>1900</v>
      </c>
      <c r="MA93" t="s">
        <v>1900</v>
      </c>
      <c r="MB93" t="s">
        <v>1900</v>
      </c>
      <c r="MC93" t="s">
        <v>1900</v>
      </c>
      <c r="MD93" t="s">
        <v>1900</v>
      </c>
      <c r="ME93" t="s">
        <v>1900</v>
      </c>
      <c r="MF93" t="s">
        <v>1900</v>
      </c>
      <c r="MG93" t="s">
        <v>1900</v>
      </c>
      <c r="MH93" t="s">
        <v>1900</v>
      </c>
      <c r="MI93" t="s">
        <v>1900</v>
      </c>
      <c r="MJ93" t="s">
        <v>1900</v>
      </c>
      <c r="MK93" t="s">
        <v>1900</v>
      </c>
      <c r="ML93" t="s">
        <v>1900</v>
      </c>
      <c r="MM93" t="s">
        <v>1900</v>
      </c>
      <c r="MN93" t="s">
        <v>1900</v>
      </c>
      <c r="MO93" t="s">
        <v>1900</v>
      </c>
      <c r="MP93">
        <v>2425997.44149446</v>
      </c>
      <c r="MQ93">
        <v>2504147.81433077</v>
      </c>
      <c r="MR93">
        <v>2619836.84891771</v>
      </c>
      <c r="MS93">
        <v>2944676.83974717</v>
      </c>
      <c r="MT93">
        <v>2830074.13397279</v>
      </c>
      <c r="MU93" t="s">
        <v>1900</v>
      </c>
      <c r="MV93" t="s">
        <v>1900</v>
      </c>
      <c r="MW93" t="s">
        <v>1900</v>
      </c>
      <c r="MX93" t="s">
        <v>1900</v>
      </c>
      <c r="MY93" t="s">
        <v>1900</v>
      </c>
      <c r="MZ93" t="s">
        <v>1900</v>
      </c>
      <c r="NA93" t="s">
        <v>1900</v>
      </c>
      <c r="NB93" t="s">
        <v>1900</v>
      </c>
      <c r="NC93" t="s">
        <v>1900</v>
      </c>
      <c r="ND93" t="s">
        <v>1900</v>
      </c>
      <c r="NE93" t="s">
        <v>1900</v>
      </c>
      <c r="NF93" t="s">
        <v>1900</v>
      </c>
      <c r="NG93" t="s">
        <v>1900</v>
      </c>
      <c r="NH93" t="s">
        <v>1900</v>
      </c>
      <c r="NI93" t="s">
        <v>1900</v>
      </c>
      <c r="NJ93" t="s">
        <v>1900</v>
      </c>
      <c r="NK93" t="s">
        <v>1900</v>
      </c>
      <c r="NL93" t="s">
        <v>1900</v>
      </c>
      <c r="NM93" t="s">
        <v>1900</v>
      </c>
      <c r="NN93" t="s">
        <v>1900</v>
      </c>
      <c r="NO93" t="s">
        <v>1900</v>
      </c>
      <c r="NP93" t="s">
        <v>1900</v>
      </c>
      <c r="NQ93" t="s">
        <v>1900</v>
      </c>
      <c r="NR93" t="s">
        <v>1900</v>
      </c>
      <c r="NS93" t="s">
        <v>1900</v>
      </c>
      <c r="NT93">
        <v>45983.0442496896</v>
      </c>
      <c r="NU93">
        <v>51787.7709417152</v>
      </c>
      <c r="NV93">
        <v>52517.8015665889</v>
      </c>
      <c r="NW93">
        <v>59441.6390064955</v>
      </c>
      <c r="NX93">
        <v>62710.5661096096</v>
      </c>
      <c r="NY93" t="s">
        <v>1900</v>
      </c>
      <c r="NZ93" t="s">
        <v>1900</v>
      </c>
      <c r="OA93" t="s">
        <v>1900</v>
      </c>
      <c r="OB93" t="s">
        <v>1900</v>
      </c>
      <c r="OC93" t="s">
        <v>1900</v>
      </c>
      <c r="OD93" t="s">
        <v>1900</v>
      </c>
      <c r="OE93" t="s">
        <v>1900</v>
      </c>
      <c r="OF93" t="s">
        <v>1900</v>
      </c>
      <c r="OG93" t="s">
        <v>1900</v>
      </c>
      <c r="OH93" t="s">
        <v>1900</v>
      </c>
      <c r="OI93" t="s">
        <v>1900</v>
      </c>
      <c r="OJ93" t="s">
        <v>1900</v>
      </c>
      <c r="OK93" t="s">
        <v>1900</v>
      </c>
      <c r="OL93" t="s">
        <v>1900</v>
      </c>
      <c r="OM93" t="s">
        <v>1900</v>
      </c>
      <c r="ON93" t="s">
        <v>1900</v>
      </c>
      <c r="OO93" t="s">
        <v>1900</v>
      </c>
      <c r="OP93" t="s">
        <v>1900</v>
      </c>
      <c r="OQ93" t="s">
        <v>1900</v>
      </c>
      <c r="OR93" t="s">
        <v>1900</v>
      </c>
      <c r="OS93" t="s">
        <v>1900</v>
      </c>
      <c r="OT93" t="s">
        <v>1900</v>
      </c>
      <c r="OU93" t="s">
        <v>1900</v>
      </c>
      <c r="OV93" t="s">
        <v>1900</v>
      </c>
      <c r="OW93" t="s">
        <v>1900</v>
      </c>
      <c r="OX93" t="s">
        <v>1900</v>
      </c>
      <c r="OY93" t="s">
        <v>1900</v>
      </c>
      <c r="OZ93" t="s">
        <v>1900</v>
      </c>
      <c r="PA93" t="s">
        <v>1900</v>
      </c>
      <c r="PB93" t="s">
        <v>1900</v>
      </c>
      <c r="PC93" t="s">
        <v>1900</v>
      </c>
      <c r="PD93" t="s">
        <v>1900</v>
      </c>
      <c r="PE93" t="s">
        <v>1900</v>
      </c>
      <c r="PF93" t="s">
        <v>1900</v>
      </c>
      <c r="PG93" t="s">
        <v>1900</v>
      </c>
      <c r="PH93" t="s">
        <v>1900</v>
      </c>
      <c r="PI93" t="s">
        <v>1900</v>
      </c>
      <c r="PJ93" t="s">
        <v>1900</v>
      </c>
      <c r="PK93" t="s">
        <v>1900</v>
      </c>
      <c r="PL93" t="s">
        <v>1900</v>
      </c>
      <c r="PM93" t="s">
        <v>1900</v>
      </c>
      <c r="PN93" t="s">
        <v>1900</v>
      </c>
      <c r="PO93" t="s">
        <v>1900</v>
      </c>
      <c r="PP93" t="s">
        <v>1900</v>
      </c>
      <c r="PQ93" t="s">
        <v>1900</v>
      </c>
      <c r="PR93" t="s">
        <v>1900</v>
      </c>
      <c r="PS93" t="s">
        <v>1900</v>
      </c>
      <c r="PT93" t="s">
        <v>1900</v>
      </c>
      <c r="PU93" t="s">
        <v>1900</v>
      </c>
      <c r="PV93" t="s">
        <v>1900</v>
      </c>
      <c r="PW93" t="s">
        <v>1900</v>
      </c>
      <c r="PX93" t="s">
        <v>1900</v>
      </c>
      <c r="PY93" t="s">
        <v>1900</v>
      </c>
      <c r="PZ93" t="s">
        <v>1900</v>
      </c>
      <c r="QA93" t="s">
        <v>1900</v>
      </c>
      <c r="QB93" t="s">
        <v>1900</v>
      </c>
      <c r="QC93" t="s">
        <v>1900</v>
      </c>
      <c r="QD93" t="s">
        <v>1900</v>
      </c>
      <c r="QE93" t="s">
        <v>1900</v>
      </c>
      <c r="QF93" t="s">
        <v>1900</v>
      </c>
      <c r="QG93" t="s">
        <v>1900</v>
      </c>
      <c r="QH93" t="s">
        <v>1900</v>
      </c>
      <c r="QI93" t="s">
        <v>1900</v>
      </c>
      <c r="QJ93" t="s">
        <v>1900</v>
      </c>
      <c r="QK93" t="s">
        <v>1900</v>
      </c>
      <c r="QL93" t="s">
        <v>1900</v>
      </c>
      <c r="QM93" t="s">
        <v>1900</v>
      </c>
      <c r="QN93" t="s">
        <v>1900</v>
      </c>
      <c r="QO93" t="s">
        <v>1900</v>
      </c>
      <c r="QP93" t="s">
        <v>1900</v>
      </c>
      <c r="QQ93" t="s">
        <v>1900</v>
      </c>
      <c r="QR93" t="s">
        <v>1900</v>
      </c>
      <c r="QS93" t="s">
        <v>1900</v>
      </c>
      <c r="QT93" t="s">
        <v>1900</v>
      </c>
      <c r="QU93" t="s">
        <v>1900</v>
      </c>
      <c r="QV93" t="s">
        <v>1900</v>
      </c>
      <c r="QW93" t="s">
        <v>1900</v>
      </c>
      <c r="QX93" t="s">
        <v>1900</v>
      </c>
      <c r="QY93" t="s">
        <v>1900</v>
      </c>
      <c r="QZ93" t="s">
        <v>1900</v>
      </c>
      <c r="RA93" t="s">
        <v>1900</v>
      </c>
      <c r="RB93" t="s">
        <v>1900</v>
      </c>
      <c r="RC93" t="s">
        <v>1900</v>
      </c>
      <c r="RD93" t="s">
        <v>1900</v>
      </c>
      <c r="RE93" t="s">
        <v>1900</v>
      </c>
      <c r="RF93" t="s">
        <v>1900</v>
      </c>
      <c r="RG93" t="s">
        <v>1900</v>
      </c>
      <c r="RH93" t="s">
        <v>1900</v>
      </c>
      <c r="RI93" t="s">
        <v>1900</v>
      </c>
      <c r="RJ93" t="s">
        <v>1900</v>
      </c>
      <c r="RK93" t="s">
        <v>1900</v>
      </c>
      <c r="RL93" t="s">
        <v>1900</v>
      </c>
      <c r="RM93" t="s">
        <v>1900</v>
      </c>
      <c r="RN93" t="s">
        <v>1900</v>
      </c>
      <c r="RO93" t="s">
        <v>1900</v>
      </c>
      <c r="RP93" t="s">
        <v>1900</v>
      </c>
      <c r="RQ93" t="s">
        <v>1900</v>
      </c>
      <c r="RR93" t="s">
        <v>1900</v>
      </c>
      <c r="RS93" t="s">
        <v>1900</v>
      </c>
      <c r="RT93" t="s">
        <v>1900</v>
      </c>
      <c r="RU93" t="s">
        <v>1900</v>
      </c>
      <c r="RV93" t="s">
        <v>1900</v>
      </c>
      <c r="RW93" t="s">
        <v>1900</v>
      </c>
      <c r="RX93" t="s">
        <v>1900</v>
      </c>
      <c r="RY93" t="s">
        <v>1900</v>
      </c>
      <c r="RZ93" t="s">
        <v>1900</v>
      </c>
      <c r="SA93" t="s">
        <v>1900</v>
      </c>
      <c r="SB93" t="s">
        <v>1900</v>
      </c>
      <c r="SC93" t="s">
        <v>1900</v>
      </c>
      <c r="SD93" t="s">
        <v>1900</v>
      </c>
      <c r="SE93" t="s">
        <v>1900</v>
      </c>
      <c r="SF93" t="s">
        <v>1900</v>
      </c>
      <c r="SG93" t="s">
        <v>1900</v>
      </c>
      <c r="SH93" t="s">
        <v>1900</v>
      </c>
      <c r="SI93" t="s">
        <v>1900</v>
      </c>
      <c r="SJ93">
        <v>0</v>
      </c>
      <c r="SK93">
        <v>0</v>
      </c>
      <c r="SL93">
        <v>0</v>
      </c>
      <c r="SM93">
        <v>0</v>
      </c>
      <c r="SN93">
        <v>0</v>
      </c>
      <c r="SO93" t="s">
        <v>1900</v>
      </c>
      <c r="SP93" t="s">
        <v>1900</v>
      </c>
      <c r="SQ93" t="s">
        <v>1900</v>
      </c>
      <c r="SR93" t="s">
        <v>1900</v>
      </c>
      <c r="SS93" t="s">
        <v>1900</v>
      </c>
      <c r="ST93" t="s">
        <v>1900</v>
      </c>
      <c r="SU93" t="s">
        <v>1900</v>
      </c>
      <c r="SV93" t="s">
        <v>1900</v>
      </c>
      <c r="SW93" t="s">
        <v>1900</v>
      </c>
      <c r="SX93" t="s">
        <v>1900</v>
      </c>
      <c r="SY93" t="s">
        <v>1900</v>
      </c>
      <c r="SZ93" t="s">
        <v>1900</v>
      </c>
      <c r="TA93" t="s">
        <v>1900</v>
      </c>
      <c r="TB93" t="s">
        <v>1900</v>
      </c>
      <c r="TC93" t="s">
        <v>1900</v>
      </c>
      <c r="TD93" t="s">
        <v>1900</v>
      </c>
      <c r="TE93" t="s">
        <v>1900</v>
      </c>
      <c r="TF93" t="s">
        <v>1900</v>
      </c>
      <c r="TG93" t="s">
        <v>1900</v>
      </c>
      <c r="TH93" t="s">
        <v>1900</v>
      </c>
      <c r="TI93" t="s">
        <v>1900</v>
      </c>
      <c r="TJ93" t="s">
        <v>1900</v>
      </c>
      <c r="TK93" t="s">
        <v>1900</v>
      </c>
      <c r="TL93" t="s">
        <v>1900</v>
      </c>
      <c r="TM93" t="s">
        <v>1900</v>
      </c>
      <c r="TN93" t="s">
        <v>1900</v>
      </c>
      <c r="TO93" t="s">
        <v>1900</v>
      </c>
      <c r="TP93" t="s">
        <v>1900</v>
      </c>
      <c r="TQ93" t="s">
        <v>1900</v>
      </c>
      <c r="TR93" t="s">
        <v>1900</v>
      </c>
      <c r="TS93">
        <v>2483677.31022922</v>
      </c>
      <c r="TT93">
        <v>2571966.86616713</v>
      </c>
      <c r="TU93">
        <v>2708116.73938808</v>
      </c>
      <c r="TV93">
        <v>3061539.49085562</v>
      </c>
      <c r="TW93">
        <v>2932602.194887</v>
      </c>
      <c r="TX93" t="s">
        <v>1900</v>
      </c>
      <c r="TY93" t="s">
        <v>1900</v>
      </c>
      <c r="TZ93" t="s">
        <v>1900</v>
      </c>
      <c r="UA93" t="s">
        <v>1900</v>
      </c>
      <c r="UB93" t="s">
        <v>1900</v>
      </c>
      <c r="UC93">
        <v>0</v>
      </c>
      <c r="UD93">
        <v>0</v>
      </c>
      <c r="UE93">
        <v>0</v>
      </c>
      <c r="UF93">
        <v>0</v>
      </c>
      <c r="UG93">
        <v>0</v>
      </c>
      <c r="UH93" t="s">
        <v>1900</v>
      </c>
      <c r="UI93" t="s">
        <v>1900</v>
      </c>
      <c r="UJ93" t="s">
        <v>1900</v>
      </c>
      <c r="UK93" t="s">
        <v>1900</v>
      </c>
      <c r="UL93" t="s">
        <v>1900</v>
      </c>
      <c r="UM93" t="s">
        <v>1900</v>
      </c>
      <c r="UN93" t="s">
        <v>1900</v>
      </c>
      <c r="UO93" t="s">
        <v>1900</v>
      </c>
      <c r="UP93" t="s">
        <v>1900</v>
      </c>
      <c r="UQ93" t="s">
        <v>1900</v>
      </c>
      <c r="UR93" t="s">
        <v>1900</v>
      </c>
      <c r="US93" t="s">
        <v>1900</v>
      </c>
      <c r="UT93" t="s">
        <v>1900</v>
      </c>
      <c r="UU93" t="s">
        <v>1900</v>
      </c>
      <c r="UV93" t="s">
        <v>1900</v>
      </c>
      <c r="UW93" t="s">
        <v>1900</v>
      </c>
      <c r="UX93" t="s">
        <v>1900</v>
      </c>
      <c r="UY93" t="s">
        <v>1900</v>
      </c>
      <c r="UZ93" t="s">
        <v>1900</v>
      </c>
      <c r="VA93" t="s">
        <v>1900</v>
      </c>
      <c r="VB93" t="s">
        <v>1900</v>
      </c>
      <c r="VC93" t="s">
        <v>1900</v>
      </c>
      <c r="VD93" t="s">
        <v>1900</v>
      </c>
      <c r="VE93" t="s">
        <v>1900</v>
      </c>
      <c r="VF93" t="s">
        <v>1900</v>
      </c>
      <c r="VG93" t="s">
        <v>1900</v>
      </c>
      <c r="VH93" t="s">
        <v>1900</v>
      </c>
      <c r="VI93" t="s">
        <v>1900</v>
      </c>
      <c r="VJ93" t="s">
        <v>1900</v>
      </c>
      <c r="VK93" t="s">
        <v>1900</v>
      </c>
      <c r="VL93" t="s">
        <v>1900</v>
      </c>
      <c r="VM93" t="s">
        <v>1900</v>
      </c>
      <c r="VN93" t="s">
        <v>1900</v>
      </c>
      <c r="VO93" t="s">
        <v>1900</v>
      </c>
      <c r="VP93" t="s">
        <v>1900</v>
      </c>
      <c r="VQ93" t="s">
        <v>1900</v>
      </c>
      <c r="VR93" t="s">
        <v>1900</v>
      </c>
      <c r="VS93" t="s">
        <v>1900</v>
      </c>
      <c r="VT93" t="s">
        <v>1900</v>
      </c>
      <c r="VU93" t="s">
        <v>1900</v>
      </c>
      <c r="VV93" t="s">
        <v>1900</v>
      </c>
      <c r="VW93" t="s">
        <v>1900</v>
      </c>
      <c r="VX93" t="s">
        <v>1900</v>
      </c>
      <c r="VY93" t="s">
        <v>1900</v>
      </c>
      <c r="VZ93" t="s">
        <v>1900</v>
      </c>
      <c r="WA93">
        <v>225621.989673665</v>
      </c>
      <c r="WB93">
        <v>124651.603092108</v>
      </c>
      <c r="WC93">
        <v>137046.717620629</v>
      </c>
      <c r="WD93">
        <v>201875.868032813</v>
      </c>
      <c r="WE93">
        <v>131961.473317242</v>
      </c>
      <c r="WF93" t="s">
        <v>1900</v>
      </c>
      <c r="WG93" t="s">
        <v>1900</v>
      </c>
      <c r="WH93" t="s">
        <v>1900</v>
      </c>
      <c r="WI93" t="s">
        <v>1900</v>
      </c>
      <c r="WJ93" t="s">
        <v>1900</v>
      </c>
      <c r="WK93" t="s">
        <v>1900</v>
      </c>
      <c r="WL93" t="s">
        <v>1900</v>
      </c>
      <c r="WM93" t="s">
        <v>1900</v>
      </c>
      <c r="WN93" t="s">
        <v>1900</v>
      </c>
      <c r="WO93" t="s">
        <v>1900</v>
      </c>
      <c r="WP93" t="s">
        <v>1900</v>
      </c>
      <c r="WQ93" t="s">
        <v>1900</v>
      </c>
      <c r="WR93" t="s">
        <v>1900</v>
      </c>
      <c r="WS93" t="s">
        <v>1900</v>
      </c>
      <c r="WT93" t="s">
        <v>1900</v>
      </c>
      <c r="WU93" t="s">
        <v>1900</v>
      </c>
      <c r="WV93" t="s">
        <v>1900</v>
      </c>
      <c r="WW93" t="s">
        <v>1900</v>
      </c>
      <c r="WX93" t="s">
        <v>1900</v>
      </c>
      <c r="WY93" t="s">
        <v>1900</v>
      </c>
      <c r="WZ93" t="s">
        <v>1900</v>
      </c>
      <c r="XA93" t="s">
        <v>1900</v>
      </c>
      <c r="XB93" t="s">
        <v>1900</v>
      </c>
      <c r="XC93" t="s">
        <v>1900</v>
      </c>
      <c r="XD93" t="s">
        <v>1900</v>
      </c>
      <c r="XE93" t="s">
        <v>1900</v>
      </c>
      <c r="XF93" t="s">
        <v>1900</v>
      </c>
      <c r="XG93" t="s">
        <v>1900</v>
      </c>
      <c r="XH93" t="s">
        <v>1900</v>
      </c>
      <c r="XI93" t="s">
        <v>1900</v>
      </c>
      <c r="XJ93" t="s">
        <v>1900</v>
      </c>
      <c r="XK93" t="s">
        <v>1900</v>
      </c>
      <c r="XL93" t="s">
        <v>1900</v>
      </c>
      <c r="XM93" t="s">
        <v>1900</v>
      </c>
      <c r="XN93" t="s">
        <v>1900</v>
      </c>
      <c r="XO93" t="s">
        <v>1900</v>
      </c>
      <c r="XP93" t="s">
        <v>1900</v>
      </c>
      <c r="XQ93" t="s">
        <v>1900</v>
      </c>
      <c r="XR93" t="s">
        <v>1900</v>
      </c>
      <c r="XS93" t="s">
        <v>1900</v>
      </c>
      <c r="XT93" t="s">
        <v>1900</v>
      </c>
      <c r="XU93" t="s">
        <v>1900</v>
      </c>
      <c r="XV93" t="s">
        <v>1900</v>
      </c>
      <c r="XW93" t="s">
        <v>1900</v>
      </c>
      <c r="XX93" t="s">
        <v>1900</v>
      </c>
      <c r="XY93" t="s">
        <v>1900</v>
      </c>
      <c r="XZ93" t="s">
        <v>1900</v>
      </c>
      <c r="YA93" t="s">
        <v>1900</v>
      </c>
      <c r="YB93" t="s">
        <v>1900</v>
      </c>
      <c r="YC93" t="s">
        <v>1900</v>
      </c>
      <c r="YD93" t="s">
        <v>1900</v>
      </c>
      <c r="YE93" t="s">
        <v>1900</v>
      </c>
      <c r="YF93" t="s">
        <v>1900</v>
      </c>
      <c r="YG93" t="s">
        <v>1900</v>
      </c>
      <c r="YH93" t="s">
        <v>1900</v>
      </c>
      <c r="YI93" t="s">
        <v>1900</v>
      </c>
      <c r="YJ93" t="s">
        <v>1900</v>
      </c>
      <c r="YK93" t="s">
        <v>1900</v>
      </c>
      <c r="YL93" t="s">
        <v>1900</v>
      </c>
      <c r="YM93" t="s">
        <v>1900</v>
      </c>
      <c r="YN93" t="s">
        <v>1900</v>
      </c>
      <c r="YO93" t="s">
        <v>1900</v>
      </c>
      <c r="YP93" t="s">
        <v>1900</v>
      </c>
      <c r="YQ93" t="s">
        <v>1900</v>
      </c>
      <c r="YR93" t="s">
        <v>1900</v>
      </c>
      <c r="YS93" t="s">
        <v>1900</v>
      </c>
      <c r="YT93" t="s">
        <v>1900</v>
      </c>
      <c r="YU93" t="s">
        <v>1900</v>
      </c>
      <c r="YV93" t="s">
        <v>1900</v>
      </c>
      <c r="YW93" t="s">
        <v>1900</v>
      </c>
      <c r="YX93" t="s">
        <v>1900</v>
      </c>
      <c r="YY93" t="s">
        <v>1900</v>
      </c>
      <c r="YZ93" t="s">
        <v>1900</v>
      </c>
      <c r="ZA93" t="s">
        <v>1900</v>
      </c>
      <c r="ZB93" t="s">
        <v>1900</v>
      </c>
      <c r="ZC93" t="s">
        <v>1900</v>
      </c>
      <c r="ZD93" t="s">
        <v>1900</v>
      </c>
      <c r="ZE93" t="s">
        <v>1900</v>
      </c>
      <c r="ZF93" t="s">
        <v>1900</v>
      </c>
      <c r="ZG93" t="s">
        <v>1900</v>
      </c>
      <c r="ZH93" t="s">
        <v>1900</v>
      </c>
      <c r="ZI93" t="s">
        <v>1900</v>
      </c>
      <c r="ZJ93" t="s">
        <v>1900</v>
      </c>
      <c r="ZK93" t="s">
        <v>1900</v>
      </c>
      <c r="ZL93" t="s">
        <v>1900</v>
      </c>
      <c r="ZM93" t="s">
        <v>1900</v>
      </c>
      <c r="ZN93" t="s">
        <v>1900</v>
      </c>
      <c r="ZO93" t="s">
        <v>1900</v>
      </c>
      <c r="ZP93" t="s">
        <v>1900</v>
      </c>
      <c r="ZQ93" t="s">
        <v>1900</v>
      </c>
      <c r="ZR93" t="s">
        <v>1900</v>
      </c>
      <c r="ZS93" t="s">
        <v>1900</v>
      </c>
      <c r="ZT93" t="s">
        <v>1900</v>
      </c>
      <c r="ZU93" t="s">
        <v>1900</v>
      </c>
      <c r="ZV93" t="s">
        <v>1900</v>
      </c>
      <c r="ZW93" t="s">
        <v>1900</v>
      </c>
      <c r="ZX93" t="s">
        <v>1900</v>
      </c>
      <c r="ZY93" t="s">
        <v>1900</v>
      </c>
      <c r="ZZ93" t="s">
        <v>1900</v>
      </c>
      <c r="AAA93" t="s">
        <v>1900</v>
      </c>
      <c r="AAB93" t="s">
        <v>1900</v>
      </c>
      <c r="AAC93" t="s">
        <v>1900</v>
      </c>
      <c r="AAD93" t="s">
        <v>1900</v>
      </c>
      <c r="AAE93" t="s">
        <v>1900</v>
      </c>
      <c r="AAF93" t="s">
        <v>1900</v>
      </c>
      <c r="AAG93" t="s">
        <v>1900</v>
      </c>
      <c r="AAH93" t="s">
        <v>1900</v>
      </c>
      <c r="AAI93" t="s">
        <v>1900</v>
      </c>
      <c r="AAJ93" t="s">
        <v>1900</v>
      </c>
      <c r="AAK93" t="s">
        <v>1900</v>
      </c>
      <c r="AAL93" t="s">
        <v>1900</v>
      </c>
      <c r="AAM93" t="s">
        <v>1900</v>
      </c>
      <c r="AAN93" t="s">
        <v>1900</v>
      </c>
      <c r="AAO93" t="s">
        <v>1900</v>
      </c>
      <c r="AAP93" t="s">
        <v>1900</v>
      </c>
      <c r="AAQ93" t="s">
        <v>1900</v>
      </c>
      <c r="AAR93" t="s">
        <v>1900</v>
      </c>
      <c r="AAS93" t="s">
        <v>1900</v>
      </c>
      <c r="AAT93" t="s">
        <v>1900</v>
      </c>
      <c r="AAU93" t="s">
        <v>1900</v>
      </c>
      <c r="AAV93" t="s">
        <v>1900</v>
      </c>
      <c r="AAW93" t="s">
        <v>1900</v>
      </c>
      <c r="AAX93" t="s">
        <v>1900</v>
      </c>
      <c r="AAY93" t="s">
        <v>1900</v>
      </c>
      <c r="AAZ93" t="s">
        <v>1900</v>
      </c>
      <c r="ABA93" t="s">
        <v>1900</v>
      </c>
      <c r="ABB93" t="s">
        <v>1900</v>
      </c>
      <c r="ABC93" t="s">
        <v>1900</v>
      </c>
      <c r="ABD93" t="s">
        <v>1900</v>
      </c>
      <c r="ABE93" t="s">
        <v>1900</v>
      </c>
      <c r="ABF93" t="s">
        <v>1900</v>
      </c>
      <c r="ABG93" t="s">
        <v>1900</v>
      </c>
      <c r="ABH93" t="s">
        <v>1900</v>
      </c>
      <c r="ABI93" t="s">
        <v>1900</v>
      </c>
      <c r="ABJ93" t="s">
        <v>1900</v>
      </c>
      <c r="ABK93" t="s">
        <v>1900</v>
      </c>
      <c r="ABL93" t="s">
        <v>1900</v>
      </c>
      <c r="ABM93" t="s">
        <v>1900</v>
      </c>
      <c r="ABN93" t="s">
        <v>1900</v>
      </c>
      <c r="ABO93" t="s">
        <v>1900</v>
      </c>
      <c r="ABP93" t="s">
        <v>1900</v>
      </c>
      <c r="ABQ93" t="s">
        <v>1900</v>
      </c>
      <c r="ABR93" t="s">
        <v>1900</v>
      </c>
      <c r="ABS93" t="s">
        <v>1900</v>
      </c>
      <c r="ABT93" t="s">
        <v>1900</v>
      </c>
      <c r="ABU93" t="s">
        <v>1900</v>
      </c>
      <c r="ABV93" t="s">
        <v>1900</v>
      </c>
      <c r="ABW93" t="s">
        <v>1900</v>
      </c>
      <c r="ABX93" t="s">
        <v>1900</v>
      </c>
      <c r="ABY93" t="s">
        <v>1900</v>
      </c>
      <c r="ABZ93" t="s">
        <v>1900</v>
      </c>
      <c r="ACA93" t="s">
        <v>1900</v>
      </c>
      <c r="ACB93" t="s">
        <v>1900</v>
      </c>
      <c r="ACC93" t="s">
        <v>1900</v>
      </c>
      <c r="ACD93" t="s">
        <v>1900</v>
      </c>
      <c r="ACE93">
        <v>1.713</v>
      </c>
      <c r="ACF93">
        <v>12.135</v>
      </c>
      <c r="ACG93">
        <v>-9.340999999999999</v>
      </c>
      <c r="ACH93">
        <v>7.158</v>
      </c>
      <c r="ACI93">
        <v>-7.474</v>
      </c>
      <c r="ACJ93" t="s">
        <v>1900</v>
      </c>
      <c r="ACK93" t="s">
        <v>1900</v>
      </c>
      <c r="ACL93">
        <v>-8.945</v>
      </c>
      <c r="ACM93" t="s">
        <v>1900</v>
      </c>
      <c r="ACN93" t="s">
        <v>1900</v>
      </c>
      <c r="ACO93">
        <v>1.288</v>
      </c>
      <c r="ACP93">
        <v>9.257</v>
      </c>
      <c r="ACQ93">
        <v>-5.847</v>
      </c>
      <c r="ACR93">
        <v>4.72</v>
      </c>
      <c r="ACS93">
        <v>-5.179</v>
      </c>
      <c r="ACT93">
        <v>1.26</v>
      </c>
      <c r="ACU93">
        <v>10.488</v>
      </c>
      <c r="ACV93">
        <v>-9.340999999999999</v>
      </c>
      <c r="ACW93">
        <v>7.104</v>
      </c>
      <c r="ACX93">
        <v>-7.474</v>
      </c>
      <c r="ACY93" t="s">
        <v>1900</v>
      </c>
      <c r="ACZ93" t="s">
        <v>1900</v>
      </c>
      <c r="ADA93">
        <v>-8.945</v>
      </c>
      <c r="ADB93" t="s">
        <v>1900</v>
      </c>
      <c r="ADC93" t="s">
        <v>1900</v>
      </c>
      <c r="ADD93">
        <v>0.948</v>
      </c>
      <c r="ADE93">
        <v>8</v>
      </c>
      <c r="ADF93">
        <v>-5.847</v>
      </c>
      <c r="ADG93">
        <v>4.684</v>
      </c>
      <c r="ADH93">
        <v>-5.179</v>
      </c>
      <c r="ADI93">
        <v>2.17</v>
      </c>
      <c r="ADJ93">
        <v>13.476</v>
      </c>
      <c r="ADK93">
        <v>-12.962</v>
      </c>
      <c r="ADL93">
        <v>9.598000000000001</v>
      </c>
      <c r="ADM93">
        <v>-13.02</v>
      </c>
      <c r="ADN93" t="s">
        <v>1901</v>
      </c>
      <c r="ADO93" t="s">
        <v>1901</v>
      </c>
      <c r="ADP93" t="s">
        <v>1901</v>
      </c>
      <c r="ADQ93">
        <v>99.941</v>
      </c>
      <c r="ADR93">
        <v>99.87</v>
      </c>
      <c r="ADS93">
        <v>1.322158705</v>
      </c>
      <c r="ADT93">
        <v>12.712788531</v>
      </c>
      <c r="ADU93">
        <v>-12.412626627</v>
      </c>
      <c r="ADV93">
        <v>9.597546049</v>
      </c>
      <c r="ADW93">
        <v>-14.154737743</v>
      </c>
      <c r="ADX93">
        <v>1.562</v>
      </c>
      <c r="ADY93">
        <v>12.934</v>
      </c>
      <c r="ADZ93">
        <v>-12.129</v>
      </c>
      <c r="AEA93">
        <v>9.834</v>
      </c>
      <c r="AEB93">
        <v>-13.343</v>
      </c>
      <c r="AEC93">
        <v>1.322</v>
      </c>
      <c r="AED93">
        <v>12.713</v>
      </c>
      <c r="AEE93">
        <v>-12.413</v>
      </c>
      <c r="AEF93">
        <v>9.598000000000001</v>
      </c>
      <c r="AEG93">
        <v>-14.155</v>
      </c>
      <c r="AEH93">
        <v>1.837</v>
      </c>
      <c r="AEI93">
        <v>11.867</v>
      </c>
      <c r="AEJ93">
        <v>-12.679</v>
      </c>
      <c r="AEK93">
        <v>9.762</v>
      </c>
      <c r="AEL93">
        <v>-12.208</v>
      </c>
      <c r="AEM93">
        <v>1.339873965</v>
      </c>
      <c r="AEN93">
        <v>14.564319695</v>
      </c>
      <c r="AEO93">
        <v>-11.042021701</v>
      </c>
      <c r="AEP93">
        <v>10.61646629</v>
      </c>
      <c r="AEQ93">
        <v>-12.399606029</v>
      </c>
      <c r="AER93">
        <v>1.013331032</v>
      </c>
      <c r="AES93">
        <v>1.144278203</v>
      </c>
      <c r="AET93">
        <v>0.889733632</v>
      </c>
      <c r="AEU93">
        <v>1.106234149</v>
      </c>
      <c r="AEV93">
        <v>0.8758631</v>
      </c>
      <c r="AEW93" t="s">
        <v>1900</v>
      </c>
      <c r="AEX93" t="s">
        <v>1900</v>
      </c>
      <c r="AEY93" t="s">
        <v>1900</v>
      </c>
      <c r="AEZ93" t="s">
        <v>1900</v>
      </c>
      <c r="AFA93" t="s">
        <v>1900</v>
      </c>
      <c r="AFB93" t="s">
        <v>1900</v>
      </c>
      <c r="AFC93" t="s">
        <v>1900</v>
      </c>
      <c r="AFD93" t="s">
        <v>1900</v>
      </c>
      <c r="AFE93" t="s">
        <v>1900</v>
      </c>
      <c r="AFF93" t="s">
        <v>1900</v>
      </c>
      <c r="AFG93">
        <v>0.789</v>
      </c>
      <c r="AFH93">
        <v>0.901</v>
      </c>
      <c r="AFI93">
        <v>0.721</v>
      </c>
      <c r="AFJ93">
        <v>0.746</v>
      </c>
      <c r="AFK93">
        <v>0.574</v>
      </c>
      <c r="AFL93" t="s">
        <v>1900</v>
      </c>
      <c r="AFM93" t="s">
        <v>1900</v>
      </c>
      <c r="AFN93">
        <v>-22.594</v>
      </c>
      <c r="AFO93" t="s">
        <v>1900</v>
      </c>
      <c r="AFP93" t="s">
        <v>1900</v>
      </c>
      <c r="AFQ93" t="s">
        <v>1901</v>
      </c>
      <c r="AFR93" t="s">
        <v>1901</v>
      </c>
      <c r="AFS93" t="s">
        <v>1901</v>
      </c>
      <c r="AFT93" t="s">
        <v>1901</v>
      </c>
      <c r="AFU93" t="s">
        <v>1901</v>
      </c>
      <c r="AFV93">
        <v>2.855</v>
      </c>
      <c r="AFW93">
        <v>3.266</v>
      </c>
      <c r="AFX93">
        <v>10.538</v>
      </c>
      <c r="AFY93">
        <v>13.73</v>
      </c>
      <c r="AFZ93">
        <v>12.289</v>
      </c>
      <c r="AGA93">
        <v>95.17100000000001</v>
      </c>
      <c r="AGB93">
        <v>98.89</v>
      </c>
      <c r="AGC93">
        <v>258.105</v>
      </c>
      <c r="AGD93">
        <v>201.066</v>
      </c>
      <c r="AGE93">
        <v>237.275</v>
      </c>
      <c r="AGF93" t="s">
        <v>1900</v>
      </c>
      <c r="AGG93" t="s">
        <v>1900</v>
      </c>
      <c r="AGH93" t="s">
        <v>1900</v>
      </c>
      <c r="AGI93" t="s">
        <v>1900</v>
      </c>
      <c r="AGJ93" t="s">
        <v>1900</v>
      </c>
      <c r="AGK93" t="s">
        <v>1900</v>
      </c>
      <c r="AGL93" t="s">
        <v>1900</v>
      </c>
      <c r="AGM93" t="s">
        <v>1900</v>
      </c>
      <c r="AGN93" t="s">
        <v>1900</v>
      </c>
      <c r="AGO93" t="s">
        <v>1900</v>
      </c>
      <c r="AGP93" t="s">
        <v>1900</v>
      </c>
      <c r="AGQ93" t="s">
        <v>1900</v>
      </c>
      <c r="AGR93" t="s">
        <v>1900</v>
      </c>
      <c r="AGS93" t="s">
        <v>1900</v>
      </c>
      <c r="AGT93" t="s">
        <v>1900</v>
      </c>
      <c r="AGU93">
        <v>0</v>
      </c>
      <c r="AGV93">
        <v>0</v>
      </c>
      <c r="AGW93">
        <v>0</v>
      </c>
      <c r="AGX93">
        <v>0</v>
      </c>
      <c r="AGY93">
        <v>0</v>
      </c>
      <c r="AGZ93">
        <v>3.96</v>
      </c>
      <c r="AHA93">
        <v>4.132</v>
      </c>
      <c r="AHB93">
        <v>2.622</v>
      </c>
      <c r="AHC93">
        <v>2.879</v>
      </c>
      <c r="AHD93">
        <v>3.186</v>
      </c>
      <c r="AHE93">
        <v>3.96</v>
      </c>
      <c r="AHF93">
        <v>4.132</v>
      </c>
      <c r="AHG93">
        <v>2.622</v>
      </c>
      <c r="AHH93">
        <v>2.879</v>
      </c>
      <c r="AHI93">
        <v>3.186</v>
      </c>
      <c r="AHJ93" t="s">
        <v>1901</v>
      </c>
      <c r="AHK93" t="s">
        <v>1901</v>
      </c>
      <c r="AHL93" t="s">
        <v>1901</v>
      </c>
      <c r="AHM93" t="s">
        <v>1901</v>
      </c>
      <c r="AHN93" t="s">
        <v>1901</v>
      </c>
      <c r="AHO93">
        <v>75.217</v>
      </c>
      <c r="AHP93">
        <v>76.283</v>
      </c>
      <c r="AHQ93">
        <v>62.596</v>
      </c>
      <c r="AHR93">
        <v>65.94</v>
      </c>
      <c r="AHS93">
        <v>69.285</v>
      </c>
      <c r="AHT93" t="s">
        <v>1901</v>
      </c>
      <c r="AHU93" t="s">
        <v>1901</v>
      </c>
      <c r="AHV93" t="s">
        <v>1901</v>
      </c>
      <c r="AHW93" t="s">
        <v>1901</v>
      </c>
      <c r="AHX93" t="s">
        <v>1901</v>
      </c>
      <c r="AHY93">
        <v>0</v>
      </c>
      <c r="AHZ93">
        <v>0</v>
      </c>
      <c r="AIA93">
        <v>0</v>
      </c>
      <c r="AIB93">
        <v>0</v>
      </c>
      <c r="AIC93">
        <v>0</v>
      </c>
      <c r="AID93">
        <v>0</v>
      </c>
      <c r="AIE93">
        <v>0</v>
      </c>
      <c r="AIF93">
        <v>0</v>
      </c>
      <c r="AIG93">
        <v>0</v>
      </c>
      <c r="AIH93">
        <v>0</v>
      </c>
      <c r="AII93">
        <v>97.677642402</v>
      </c>
      <c r="AIJ93">
        <v>97.36314442</v>
      </c>
      <c r="AIK93">
        <v>96.740174115</v>
      </c>
      <c r="AIL93">
        <v>96.182879513</v>
      </c>
      <c r="AIM93">
        <v>96.503853776</v>
      </c>
      <c r="AIN93">
        <v>9.084190959000001</v>
      </c>
      <c r="AIO93">
        <v>4.846547781</v>
      </c>
      <c r="AIP93">
        <v>5.060591208</v>
      </c>
      <c r="AIQ93">
        <v>6.593933171</v>
      </c>
      <c r="AIR93">
        <v>4.499808175</v>
      </c>
      <c r="AIS93">
        <v>0</v>
      </c>
      <c r="AIT93">
        <v>0</v>
      </c>
      <c r="AIU93">
        <v>0</v>
      </c>
      <c r="AIV93">
        <v>0</v>
      </c>
      <c r="AIW93">
        <v>0</v>
      </c>
      <c r="AIX93">
        <v>2.9090174099797</v>
      </c>
      <c r="AIY93">
        <v>23.809357285347</v>
      </c>
      <c r="AIZ93">
        <v>-15.8353108998078</v>
      </c>
      <c r="AJA93">
        <v>14.4496773468232</v>
      </c>
      <c r="AJB93">
        <v>-16.8742928119165</v>
      </c>
      <c r="AJC93">
        <v>134.076887162948</v>
      </c>
      <c r="AJD93">
        <v>176.681861972649</v>
      </c>
      <c r="AJE93">
        <v>122.167132125676</v>
      </c>
      <c r="AJF93">
        <v>150.555957460506</v>
      </c>
      <c r="AJG93">
        <v>129.604179977155</v>
      </c>
      <c r="AJH93">
        <v>25.793</v>
      </c>
      <c r="AJI93">
        <v>21.235</v>
      </c>
      <c r="AJJ93">
        <v>27.335</v>
      </c>
      <c r="AJK93">
        <v>23.259</v>
      </c>
      <c r="AJL93">
        <v>30.39</v>
      </c>
      <c r="AJM93">
        <v>34.5823985958348</v>
      </c>
      <c r="AJN93">
        <v>37.5188918030176</v>
      </c>
      <c r="AJO93">
        <v>33.394578285082</v>
      </c>
      <c r="AJP93">
        <v>35.0171677408362</v>
      </c>
      <c r="AJQ93">
        <v>39.3864099123156</v>
      </c>
      <c r="AJR93">
        <v>169.832622016975</v>
      </c>
      <c r="AJS93">
        <v>196.197780716153</v>
      </c>
      <c r="AJT93">
        <v>169.518247909378</v>
      </c>
      <c r="AJU93">
        <v>201.878415250905</v>
      </c>
      <c r="AJV93">
        <v>225.760564592052</v>
      </c>
      <c r="AJW93">
        <v>-34.3817860555873</v>
      </c>
      <c r="AJX93">
        <v>-46.9306175018845</v>
      </c>
      <c r="AJY93">
        <v>-84.0125453769886</v>
      </c>
      <c r="AJZ93">
        <v>-78.3458458211803</v>
      </c>
      <c r="AKA93">
        <v>-80.99757171518741</v>
      </c>
      <c r="AKB93">
        <v>225.788846290029</v>
      </c>
      <c r="AKC93">
        <v>257.196686616713</v>
      </c>
      <c r="AKD93">
        <v>270.811673938808</v>
      </c>
      <c r="AKE93">
        <v>306.153949085562</v>
      </c>
      <c r="AKF93">
        <v>325.844687911745</v>
      </c>
      <c r="AKG93">
        <v>0</v>
      </c>
      <c r="AKH93">
        <v>0</v>
      </c>
      <c r="AKI93">
        <v>0</v>
      </c>
      <c r="AKJ93">
        <v>0</v>
      </c>
      <c r="AKK93">
        <v>0</v>
      </c>
      <c r="AKL93">
        <v>0</v>
      </c>
      <c r="AKM93">
        <v>0</v>
      </c>
      <c r="AKN93">
        <v>0</v>
      </c>
      <c r="AKO93">
        <v>0</v>
      </c>
      <c r="AKP93">
        <v>0</v>
      </c>
      <c r="AKQ93">
        <v>0</v>
      </c>
      <c r="AKR93">
        <v>0</v>
      </c>
      <c r="AKS93">
        <v>0</v>
      </c>
      <c r="AKT93">
        <v>0</v>
      </c>
      <c r="AKU93">
        <v>0</v>
      </c>
      <c r="AKV93">
        <v>2.96517582</v>
      </c>
      <c r="AKW93">
        <v>2.703442032</v>
      </c>
      <c r="AKX93">
        <v>3.87274367</v>
      </c>
      <c r="AKY93">
        <v>3.422101235</v>
      </c>
      <c r="AKZ93">
        <v>4.418424925</v>
      </c>
      <c r="ALA93">
        <v>1.76076697</v>
      </c>
      <c r="ALB93">
        <v>1.85713579</v>
      </c>
      <c r="ALC93">
        <v>1.747051672</v>
      </c>
      <c r="ALD93">
        <v>1.68287141</v>
      </c>
      <c r="ALE93">
        <v>1.757421128</v>
      </c>
      <c r="ALF93">
        <v>0.152644744</v>
      </c>
      <c r="ALG93">
        <v>0.227689119</v>
      </c>
      <c r="ALH93">
        <v>0.426105018</v>
      </c>
      <c r="ALI93">
        <v>0.52604137</v>
      </c>
      <c r="ALJ93">
        <v>0.957821947</v>
      </c>
      <c r="ALK93">
        <v>0.090642795</v>
      </c>
      <c r="ALL93">
        <v>0.15641157</v>
      </c>
      <c r="ALM93">
        <v>0.192222245</v>
      </c>
      <c r="ALN93">
        <v>0.25868901</v>
      </c>
      <c r="ALO93">
        <v>0.380972078</v>
      </c>
      <c r="ALP93">
        <v>0.793087985</v>
      </c>
      <c r="ALQ93">
        <v>0.907352952</v>
      </c>
      <c r="ALR93">
        <v>2.927308539</v>
      </c>
      <c r="ALS93">
        <v>3.813931582</v>
      </c>
      <c r="ALT93">
        <v>3.4135983</v>
      </c>
      <c r="ALU93" t="s">
        <v>1901</v>
      </c>
      <c r="ALV93" t="s">
        <v>1901</v>
      </c>
      <c r="ALW93" t="s">
        <v>1901</v>
      </c>
      <c r="ALX93" t="s">
        <v>1901</v>
      </c>
      <c r="ALY93" t="s">
        <v>1901</v>
      </c>
      <c r="ALZ93" t="s">
        <v>1901</v>
      </c>
      <c r="AMA93" t="s">
        <v>1901</v>
      </c>
      <c r="AMB93" t="s">
        <v>1901</v>
      </c>
      <c r="AMC93">
        <v>99.94086939443051</v>
      </c>
      <c r="AMD93">
        <v>99.8704854454032</v>
      </c>
      <c r="AME93" t="s">
        <v>1901</v>
      </c>
      <c r="AMF93" t="s">
        <v>1901</v>
      </c>
      <c r="AMG93" t="s">
        <v>1901</v>
      </c>
      <c r="AMH93" t="s">
        <v>1901</v>
      </c>
      <c r="AMI93" t="s">
        <v>1901</v>
      </c>
      <c r="AMJ93" t="s">
        <v>1901</v>
      </c>
      <c r="AMK93" t="s">
        <v>1901</v>
      </c>
      <c r="AML93" t="s">
        <v>1901</v>
      </c>
      <c r="AMM93">
        <v>169017.158596473</v>
      </c>
      <c r="AMN93">
        <v>77111.3993761778</v>
      </c>
      <c r="AMO93">
        <v>1.01333103233444</v>
      </c>
      <c r="AMP93">
        <v>1.14427820227491</v>
      </c>
      <c r="AMQ93">
        <v>0.889733632767342</v>
      </c>
      <c r="AMR93">
        <v>1.10623414872986</v>
      </c>
      <c r="AMS93">
        <v>0.875863099868709</v>
      </c>
      <c r="AMT93">
        <v>1.01333103233444</v>
      </c>
      <c r="AMU93">
        <v>1.1442782029847</v>
      </c>
      <c r="AMV93">
        <v>0.889733631991763</v>
      </c>
      <c r="AMW93">
        <v>1.10623414872986</v>
      </c>
      <c r="AMX93">
        <v>0.875863099868709</v>
      </c>
      <c r="AMY93">
        <v>1.01333103233444</v>
      </c>
      <c r="AMZ93">
        <v>1.1442782029847</v>
      </c>
      <c r="ANA93">
        <v>0.889733632077283</v>
      </c>
      <c r="ANB93">
        <v>1.10623414872986</v>
      </c>
      <c r="ANC93">
        <v>0.875863099868709</v>
      </c>
      <c r="AND93">
        <v>1.32215870512727</v>
      </c>
      <c r="ANE93">
        <v>12.7127885310513</v>
      </c>
      <c r="ANF93">
        <v>-12.4126266272856</v>
      </c>
      <c r="ANG93">
        <v>9.597546049025439</v>
      </c>
      <c r="ANH93">
        <v>-14.1547377434418</v>
      </c>
      <c r="ANI93">
        <v>1.35245409921021</v>
      </c>
      <c r="ANJ93">
        <v>12.9707671864032</v>
      </c>
      <c r="ANK93">
        <v>-12.7670855225761</v>
      </c>
      <c r="ANL93">
        <v>9.832770105594809</v>
      </c>
      <c r="ANM93">
        <v>-14.6446570046673</v>
      </c>
      <c r="ANN93">
        <v>1.33987396539852</v>
      </c>
      <c r="ANO93">
        <v>14.5643196948429</v>
      </c>
      <c r="ANP93">
        <v>-11.0420217013884</v>
      </c>
      <c r="ANQ93">
        <v>10.6164662899861</v>
      </c>
      <c r="ANR93">
        <v>-12.3996060288396</v>
      </c>
      <c r="ANS93">
        <v>1.04379783192427</v>
      </c>
      <c r="ANT93">
        <v>11.4482393242777</v>
      </c>
      <c r="ANU93">
        <v>-8.94543812187657</v>
      </c>
      <c r="ANV93">
        <v>7.15761381862664</v>
      </c>
      <c r="ANW93">
        <v>-8.125923950302891</v>
      </c>
      <c r="ANX93">
        <v>100.501177400562</v>
      </c>
      <c r="ANY93">
        <v>100.825810928477</v>
      </c>
      <c r="ANZ93">
        <v>100.156843657482</v>
      </c>
      <c r="AOA93">
        <v>99.94086939443051</v>
      </c>
      <c r="AOB93">
        <v>99.8704854454032</v>
      </c>
      <c r="AOC93">
        <v>101.847766511471</v>
      </c>
      <c r="AOD93">
        <v>115.510404295368</v>
      </c>
      <c r="AOE93">
        <v>89.0975032453975</v>
      </c>
      <c r="AOF93">
        <v>110.551058103609</v>
      </c>
      <c r="AOG93">
        <v>87.4869387110837</v>
      </c>
      <c r="AOH93">
        <v>59.6791436307611</v>
      </c>
      <c r="AOI93">
        <v>69.2625252410154</v>
      </c>
      <c r="AOJ93">
        <v>45.1822263583773</v>
      </c>
      <c r="AOK93">
        <v>49.1474740928744</v>
      </c>
      <c r="AOL93">
        <v>39.7233186472763</v>
      </c>
      <c r="AOM93" t="s">
        <v>1901</v>
      </c>
      <c r="AON93" t="s">
        <v>1901</v>
      </c>
      <c r="AOO93" t="s">
        <v>1901</v>
      </c>
      <c r="AOP93">
        <v>16231.0971730999</v>
      </c>
      <c r="AOQ93">
        <v>-10929.0710897394</v>
      </c>
      <c r="AOR93">
        <v>1.33310323344441</v>
      </c>
      <c r="AOS93">
        <v>14.42782029847</v>
      </c>
      <c r="AOT93">
        <v>-11.0266368008237</v>
      </c>
      <c r="AOU93">
        <v>10.6234148729858</v>
      </c>
      <c r="AOV93">
        <v>-12.4136900131291</v>
      </c>
      <c r="AOW93">
        <v>0.785118157884491</v>
      </c>
      <c r="AOX93">
        <v>8.733079644521061</v>
      </c>
      <c r="AOY93">
        <v>-5.59951857003374</v>
      </c>
      <c r="AOZ93">
        <v>4.71974227018215</v>
      </c>
      <c r="APA93">
        <v>-5.63002327708469</v>
      </c>
      <c r="APB93">
        <v>1.59652237829581</v>
      </c>
      <c r="APC93">
        <v>11.6459783334126</v>
      </c>
      <c r="APD93">
        <v>-12.9620059211325</v>
      </c>
      <c r="APE93">
        <v>9.52546722352438</v>
      </c>
      <c r="APF93">
        <v>-13.0198674055928</v>
      </c>
      <c r="APG93">
        <v>1.63310442735326</v>
      </c>
      <c r="APH93">
        <v>11.8823083740935</v>
      </c>
      <c r="API93">
        <v>-13.3321530654487</v>
      </c>
      <c r="APJ93">
        <v>9.758924716678409</v>
      </c>
      <c r="APK93">
        <v>-13.4705068972046</v>
      </c>
      <c r="APL93" t="s">
        <v>1901</v>
      </c>
      <c r="APM93" t="s">
        <v>1901</v>
      </c>
      <c r="APN93" t="s">
        <v>1901</v>
      </c>
      <c r="APO93">
        <v>16109.1995114628</v>
      </c>
      <c r="APP93">
        <v>-10052.8218207811</v>
      </c>
      <c r="APQ93">
        <v>1.60973802654624</v>
      </c>
      <c r="APR93">
        <v>13.2170909776361</v>
      </c>
      <c r="APS93">
        <v>-11.5146725825354</v>
      </c>
      <c r="APT93">
        <v>10.5436316385065</v>
      </c>
      <c r="APU93">
        <v>-11.418409928503</v>
      </c>
      <c r="APV93">
        <v>1.61791376599436</v>
      </c>
      <c r="APW93">
        <v>13.342135849483</v>
      </c>
      <c r="APX93">
        <v>-11.5307384143858</v>
      </c>
      <c r="APY93">
        <v>10.5367352402735</v>
      </c>
      <c r="APZ93">
        <v>-11.405455141822</v>
      </c>
      <c r="AQA93">
        <v>0.948039523400722</v>
      </c>
      <c r="AQB93">
        <v>8.000231898425881</v>
      </c>
      <c r="AQC93">
        <v>-5.84735165566974</v>
      </c>
      <c r="AQD93">
        <v>4.68429638872821</v>
      </c>
      <c r="AQE93">
        <v>-5.17863049719917</v>
      </c>
      <c r="AQF93">
        <v>0.0133310323344441</v>
      </c>
      <c r="AQG93">
        <v>0.1442782029847</v>
      </c>
      <c r="AQH93">
        <v>-0.110266367922717</v>
      </c>
      <c r="AQI93">
        <v>0.106234148729858</v>
      </c>
      <c r="AQJ93">
        <v>-0.124136900131291</v>
      </c>
      <c r="AQK93">
        <v>1</v>
      </c>
      <c r="AQO93" t="s">
        <v>1903</v>
      </c>
      <c r="AQP93">
        <v>4</v>
      </c>
      <c r="AQQ93">
        <v>0</v>
      </c>
      <c r="AQS93" t="s">
        <v>1905</v>
      </c>
      <c r="AQU93" t="s">
        <v>1906</v>
      </c>
      <c r="AQV93">
        <v>1474845.75567573</v>
      </c>
      <c r="AQW93">
        <v>1766818.61972649</v>
      </c>
      <c r="AQX93">
        <v>1221671.32125676</v>
      </c>
      <c r="AQY93">
        <v>19499.8015458667</v>
      </c>
      <c r="AQZ93">
        <v>224611.914853067</v>
      </c>
      <c r="ARA93">
        <v>-151641.499720228</v>
      </c>
      <c r="ARB93">
        <v>4463335.69665898</v>
      </c>
      <c r="ARC93">
        <v>92470.21667870571</v>
      </c>
      <c r="ARD93">
        <v>0.02115604268816871</v>
      </c>
      <c r="ARE93">
        <v>0.02115604268816871</v>
      </c>
      <c r="ARF93">
        <v>0.02115604268816871</v>
      </c>
      <c r="ARG93">
        <v>0.02115604268816871</v>
      </c>
      <c r="ARH93">
        <v>0.02115604268816871</v>
      </c>
      <c r="ARI93">
        <v>0.02115604268816871</v>
      </c>
      <c r="ARJ93" t="s">
        <v>1254</v>
      </c>
      <c r="ARK93" t="s">
        <v>1592</v>
      </c>
      <c r="ARL93" t="s">
        <v>1908</v>
      </c>
      <c r="ARM93" t="s">
        <v>1908</v>
      </c>
      <c r="ARN93" t="s">
        <v>1909</v>
      </c>
      <c r="ARO93" t="s">
        <v>1908</v>
      </c>
      <c r="ARP93" t="s">
        <v>1907</v>
      </c>
      <c r="ARQ93" t="s">
        <v>1986</v>
      </c>
      <c r="ARR93">
        <f>HYPERLINK("C:\Users\Usuario\Documents\Proyectos\llmthon\evidence\penaabogados_com_235613.png", "Ver Evidencia")</f>
        <v>0</v>
      </c>
      <c r="ARS93">
        <v>100</v>
      </c>
    </row>
    <row r="94" spans="1:1163">
      <c r="A94">
        <v>443</v>
      </c>
      <c r="B94" t="s">
        <v>1255</v>
      </c>
      <c r="C94" t="s">
        <v>1378</v>
      </c>
      <c r="D94" t="s">
        <v>1423</v>
      </c>
      <c r="E94" s="2">
        <v>38923</v>
      </c>
      <c r="F94" t="s">
        <v>1431</v>
      </c>
      <c r="G94" t="s">
        <v>1433</v>
      </c>
      <c r="H94" t="s">
        <v>1434</v>
      </c>
      <c r="I94" t="s">
        <v>1437</v>
      </c>
      <c r="J94" t="s">
        <v>1453</v>
      </c>
      <c r="L94" t="s">
        <v>1593</v>
      </c>
      <c r="N94" t="s">
        <v>1628</v>
      </c>
      <c r="O94" t="s">
        <v>1652</v>
      </c>
      <c r="P94">
        <v>7490</v>
      </c>
      <c r="Q94">
        <v>7490</v>
      </c>
      <c r="R94" t="s">
        <v>1762</v>
      </c>
      <c r="Z94" t="s">
        <v>1899</v>
      </c>
      <c r="AA94" s="2">
        <v>45657</v>
      </c>
      <c r="AB94">
        <v>2024</v>
      </c>
      <c r="AC94">
        <v>1585751.83470336</v>
      </c>
      <c r="AD94">
        <v>1691814.78836569</v>
      </c>
      <c r="AE94">
        <v>1433440.86322227</v>
      </c>
      <c r="AF94">
        <v>1270145.98439183</v>
      </c>
      <c r="AG94">
        <v>1668005.07235422</v>
      </c>
      <c r="AH94">
        <v>1585751.83470336</v>
      </c>
      <c r="AI94">
        <v>1691814.78836569</v>
      </c>
      <c r="AJ94">
        <v>1433440.86322227</v>
      </c>
      <c r="AK94">
        <v>1270145.98439183</v>
      </c>
      <c r="AL94">
        <v>1668005.07235422</v>
      </c>
      <c r="AM94" t="s">
        <v>1900</v>
      </c>
      <c r="AN94" t="s">
        <v>1900</v>
      </c>
      <c r="AO94" t="s">
        <v>1900</v>
      </c>
      <c r="AP94" t="s">
        <v>1900</v>
      </c>
      <c r="AQ94" t="s">
        <v>1900</v>
      </c>
      <c r="AR94">
        <v>1585751.83470336</v>
      </c>
      <c r="AS94">
        <v>1691814.78836569</v>
      </c>
      <c r="AT94">
        <v>1433440.86322227</v>
      </c>
      <c r="AU94">
        <v>1270145.98439183</v>
      </c>
      <c r="AV94">
        <v>1668005.07235422</v>
      </c>
      <c r="AW94">
        <v>1683545.66030551</v>
      </c>
      <c r="AX94">
        <v>1647863.06103569</v>
      </c>
      <c r="AY94">
        <v>1336372.85426034</v>
      </c>
      <c r="AZ94">
        <v>1250753.5328388</v>
      </c>
      <c r="BA94">
        <v>1629217.80103744</v>
      </c>
      <c r="BB94">
        <v>-97793.8266410506</v>
      </c>
      <c r="BC94">
        <v>43951.7262249947</v>
      </c>
      <c r="BD94">
        <v>97068.0089619338</v>
      </c>
      <c r="BE94">
        <v>19392.4504204273</v>
      </c>
      <c r="BF94">
        <v>38787.2713167727</v>
      </c>
      <c r="BG94">
        <v>-6856.6019130075</v>
      </c>
      <c r="BH94">
        <v>-2822.07181651115</v>
      </c>
      <c r="BI94">
        <v>-8033.03004984856</v>
      </c>
      <c r="BJ94">
        <v>-4674.94368109703</v>
      </c>
      <c r="BK94">
        <v>-6149.63268108368</v>
      </c>
      <c r="BL94">
        <v>1576.73783322573</v>
      </c>
      <c r="BM94" t="s">
        <v>1900</v>
      </c>
      <c r="BN94" t="s">
        <v>1900</v>
      </c>
      <c r="BO94" t="s">
        <v>1900</v>
      </c>
      <c r="BP94" t="s">
        <v>1900</v>
      </c>
      <c r="BQ94">
        <v>8433.33974623323</v>
      </c>
      <c r="BR94">
        <v>2822.07181651115</v>
      </c>
      <c r="BS94">
        <v>8033.03004984856</v>
      </c>
      <c r="BT94">
        <v>4674.94368109703</v>
      </c>
      <c r="BU94">
        <v>6149.63268108368</v>
      </c>
      <c r="BV94">
        <v>-104650.428554058</v>
      </c>
      <c r="BW94">
        <v>41129.6544084835</v>
      </c>
      <c r="BX94">
        <v>89034.97891208529</v>
      </c>
      <c r="BY94">
        <v>14717.5067393303</v>
      </c>
      <c r="BZ94">
        <v>32637.638635689</v>
      </c>
      <c r="CA94" t="s">
        <v>1900</v>
      </c>
      <c r="CB94">
        <v>10282.4053146172</v>
      </c>
      <c r="CC94">
        <v>22258.74739452</v>
      </c>
      <c r="CD94">
        <v>4096.66061611176</v>
      </c>
      <c r="CE94">
        <v>7106.19339796901</v>
      </c>
      <c r="CF94">
        <v>-104650.428554058</v>
      </c>
      <c r="CG94">
        <v>30847.2490938663</v>
      </c>
      <c r="CH94">
        <v>66776.2315175652</v>
      </c>
      <c r="CI94">
        <v>10620.8461232185</v>
      </c>
      <c r="CJ94">
        <v>25531.44523772</v>
      </c>
      <c r="CK94" t="s">
        <v>1900</v>
      </c>
      <c r="CL94" t="s">
        <v>1900</v>
      </c>
      <c r="CM94" t="s">
        <v>1900</v>
      </c>
      <c r="CN94" t="s">
        <v>1900</v>
      </c>
      <c r="CO94" t="s">
        <v>1900</v>
      </c>
      <c r="CP94" t="s">
        <v>1900</v>
      </c>
      <c r="CQ94" t="s">
        <v>1900</v>
      </c>
      <c r="CR94" t="s">
        <v>1900</v>
      </c>
      <c r="CS94" t="s">
        <v>1900</v>
      </c>
      <c r="CT94" t="s">
        <v>1900</v>
      </c>
      <c r="CU94" t="s">
        <v>1900</v>
      </c>
      <c r="CV94" t="s">
        <v>1900</v>
      </c>
      <c r="CW94" t="s">
        <v>1900</v>
      </c>
      <c r="CX94" t="s">
        <v>1900</v>
      </c>
      <c r="CY94" t="s">
        <v>1900</v>
      </c>
      <c r="CZ94">
        <v>-104650.428554058</v>
      </c>
      <c r="DA94">
        <v>30847.2490938663</v>
      </c>
      <c r="DB94">
        <v>66776.2315175652</v>
      </c>
      <c r="DC94">
        <v>10620.8461232185</v>
      </c>
      <c r="DD94">
        <v>25531.44523772</v>
      </c>
      <c r="DE94" t="s">
        <v>1900</v>
      </c>
      <c r="DF94" t="s">
        <v>1900</v>
      </c>
      <c r="DG94" t="s">
        <v>1900</v>
      </c>
      <c r="DH94" t="s">
        <v>1900</v>
      </c>
      <c r="DI94" t="s">
        <v>1900</v>
      </c>
      <c r="DJ94" t="s">
        <v>1900</v>
      </c>
      <c r="DK94" t="s">
        <v>1900</v>
      </c>
      <c r="DL94" t="s">
        <v>1900</v>
      </c>
      <c r="DM94" t="s">
        <v>1900</v>
      </c>
      <c r="DN94" t="s">
        <v>1900</v>
      </c>
      <c r="DO94">
        <v>976752.653476438</v>
      </c>
      <c r="DP94">
        <v>885442.798075848</v>
      </c>
      <c r="DQ94">
        <v>666758.1970854159</v>
      </c>
      <c r="DR94">
        <v>656093.147822213</v>
      </c>
      <c r="DS94">
        <v>698959.564963639</v>
      </c>
      <c r="DT94">
        <v>3890.8657825923</v>
      </c>
      <c r="DU94">
        <v>8606.771512613301</v>
      </c>
      <c r="DV94">
        <v>4141.96845673323</v>
      </c>
      <c r="DW94">
        <v>3594.18248970509</v>
      </c>
      <c r="DX94">
        <v>3612.38400163651</v>
      </c>
      <c r="DY94">
        <v>702902.142085381</v>
      </c>
      <c r="DZ94">
        <v>753813.492552233</v>
      </c>
      <c r="EA94">
        <v>665472.688718188</v>
      </c>
      <c r="EB94">
        <v>591066.203659487</v>
      </c>
      <c r="EC94">
        <v>926645.852072167</v>
      </c>
      <c r="ED94">
        <v>8433.33974623323</v>
      </c>
      <c r="EE94">
        <v>2822.07181651115</v>
      </c>
      <c r="EF94">
        <v>8033.03004984856</v>
      </c>
      <c r="EG94">
        <v>4674.94368109703</v>
      </c>
      <c r="EH94">
        <v>6149.63268108368</v>
      </c>
      <c r="EI94" t="s">
        <v>1900</v>
      </c>
      <c r="EJ94" t="s">
        <v>1900</v>
      </c>
      <c r="EK94" t="s">
        <v>1900</v>
      </c>
      <c r="EL94" t="s">
        <v>1900</v>
      </c>
      <c r="EM94" t="s">
        <v>1900</v>
      </c>
      <c r="EN94">
        <v>-100759.562771466</v>
      </c>
      <c r="EO94">
        <v>39454.0195014791</v>
      </c>
      <c r="EP94">
        <v>70918.19997429851</v>
      </c>
      <c r="EQ94">
        <v>14215.0286129236</v>
      </c>
      <c r="ER94">
        <v>29143.8292393565</v>
      </c>
      <c r="ES94">
        <v>884426.430451206</v>
      </c>
      <c r="ET94">
        <v>938001.295813455</v>
      </c>
      <c r="EU94">
        <v>767968.174504083</v>
      </c>
      <c r="EV94">
        <v>679079.780732346</v>
      </c>
      <c r="EW94">
        <v>741359.220282048</v>
      </c>
      <c r="EX94">
        <v>-93902.9608584583</v>
      </c>
      <c r="EY94">
        <v>52558.497737608</v>
      </c>
      <c r="EZ94">
        <v>101209.977418667</v>
      </c>
      <c r="FA94">
        <v>22986.6329101324</v>
      </c>
      <c r="FB94">
        <v>42399.6553184092</v>
      </c>
      <c r="FC94">
        <v>24762.0874454165</v>
      </c>
      <c r="FD94">
        <v>22800.6686326599</v>
      </c>
      <c r="FE94">
        <v>12956.6666075468</v>
      </c>
      <c r="FF94">
        <v>69558.2174948215</v>
      </c>
      <c r="FG94">
        <v>76972.28229738471</v>
      </c>
      <c r="FH94">
        <v>0</v>
      </c>
      <c r="FI94">
        <v>0</v>
      </c>
      <c r="FJ94">
        <v>0</v>
      </c>
      <c r="FK94">
        <v>0</v>
      </c>
      <c r="FL94">
        <v>0</v>
      </c>
      <c r="FM94">
        <v>9055.45356931567</v>
      </c>
      <c r="FN94">
        <v>6857.1358273983</v>
      </c>
      <c r="FO94">
        <v>9597.934153026339</v>
      </c>
      <c r="FP94">
        <v>8803.577603888511</v>
      </c>
      <c r="FQ94">
        <v>5880.12486194968</v>
      </c>
      <c r="FR94">
        <v>15706.6338761008</v>
      </c>
      <c r="FS94">
        <v>15943.5328052616</v>
      </c>
      <c r="FT94">
        <v>3358.73245452046</v>
      </c>
      <c r="FU94">
        <v>60754.639890933</v>
      </c>
      <c r="FV94">
        <v>71092.1574354351</v>
      </c>
      <c r="FW94">
        <v>0</v>
      </c>
      <c r="FX94">
        <v>0</v>
      </c>
      <c r="FY94">
        <v>0</v>
      </c>
      <c r="FZ94">
        <v>0</v>
      </c>
      <c r="GA94">
        <v>0</v>
      </c>
      <c r="GB94">
        <v>9055.45356931567</v>
      </c>
      <c r="GC94">
        <v>6857.1358273983</v>
      </c>
      <c r="GD94">
        <v>9597.934153026339</v>
      </c>
      <c r="GE94">
        <v>8803.577603888511</v>
      </c>
      <c r="GF94">
        <v>5880.12486194968</v>
      </c>
      <c r="GG94">
        <v>15706.6338761008</v>
      </c>
      <c r="GH94">
        <v>15943.5328052616</v>
      </c>
      <c r="GI94">
        <v>3358.73245452046</v>
      </c>
      <c r="GJ94">
        <v>60754.639890933</v>
      </c>
      <c r="GK94">
        <v>71092.1574354351</v>
      </c>
      <c r="GL94">
        <v>844197.767646605</v>
      </c>
      <c r="GM94">
        <v>894385.456589203</v>
      </c>
      <c r="GN94">
        <v>918712.066758972</v>
      </c>
      <c r="GO94">
        <v>819994.411252141</v>
      </c>
      <c r="GP94">
        <v>1058954.17727739</v>
      </c>
      <c r="GQ94">
        <v>0</v>
      </c>
      <c r="GR94">
        <v>0</v>
      </c>
      <c r="GS94">
        <v>0</v>
      </c>
      <c r="GT94">
        <v>0</v>
      </c>
      <c r="GU94">
        <v>0</v>
      </c>
      <c r="GV94">
        <v>432774.423309188</v>
      </c>
      <c r="GW94">
        <v>663787.676699753</v>
      </c>
      <c r="GX94">
        <v>525096.452803022</v>
      </c>
      <c r="GY94">
        <v>402211.105171394</v>
      </c>
      <c r="GZ94">
        <v>528240.172544867</v>
      </c>
      <c r="HA94">
        <v>411423.344337417</v>
      </c>
      <c r="HB94">
        <v>230597.77988945</v>
      </c>
      <c r="HC94">
        <v>393615.613955951</v>
      </c>
      <c r="HD94">
        <v>417783.306080747</v>
      </c>
      <c r="HE94">
        <v>530714.004732519</v>
      </c>
      <c r="HF94">
        <v>333613.965878063</v>
      </c>
      <c r="HG94">
        <v>203087.731743279</v>
      </c>
      <c r="HH94">
        <v>387013.97108534</v>
      </c>
      <c r="HI94">
        <v>410773.155759716</v>
      </c>
      <c r="HJ94">
        <v>523118.959515643</v>
      </c>
      <c r="HK94">
        <v>868959.8550920211</v>
      </c>
      <c r="HL94">
        <v>917186.125221863</v>
      </c>
      <c r="HM94">
        <v>931668.733366519</v>
      </c>
      <c r="HN94">
        <v>889552.628746963</v>
      </c>
      <c r="HO94">
        <v>1135926.45957477</v>
      </c>
      <c r="HP94">
        <v>507131.112645315</v>
      </c>
      <c r="HQ94">
        <v>650706.7139791769</v>
      </c>
      <c r="HR94">
        <v>598318.091698158</v>
      </c>
      <c r="HS94">
        <v>564433.492513561</v>
      </c>
      <c r="HT94">
        <v>600020.241847563</v>
      </c>
      <c r="HU94">
        <v>3127.08761811256</v>
      </c>
      <c r="HV94">
        <v>3326.05149269104</v>
      </c>
      <c r="HW94">
        <v>3210.46445965767</v>
      </c>
      <c r="HX94">
        <v>3409.12692546844</v>
      </c>
      <c r="HY94">
        <v>3693.56889128685</v>
      </c>
      <c r="HZ94">
        <v>504004.023988303</v>
      </c>
      <c r="IA94">
        <v>647380.662486486</v>
      </c>
      <c r="IB94">
        <v>595107.6272385</v>
      </c>
      <c r="IC94">
        <v>561024.3655880929</v>
      </c>
      <c r="ID94">
        <v>596326.672956276</v>
      </c>
      <c r="IE94">
        <v>142463.857705972</v>
      </c>
      <c r="IF94">
        <v>56357.9314427471</v>
      </c>
      <c r="IG94">
        <v>94491.2752542198</v>
      </c>
      <c r="IH94">
        <v>192199.678522038</v>
      </c>
      <c r="II94">
        <v>301457.325024551</v>
      </c>
      <c r="IJ94">
        <v>142463.857705972</v>
      </c>
      <c r="IK94">
        <v>56357.9314427471</v>
      </c>
      <c r="IL94">
        <v>94491.2752542198</v>
      </c>
      <c r="IM94">
        <v>192199.678522038</v>
      </c>
      <c r="IN94">
        <v>301457.325024551</v>
      </c>
      <c r="IO94">
        <v>0</v>
      </c>
      <c r="IP94">
        <v>0</v>
      </c>
      <c r="IQ94">
        <v>0</v>
      </c>
      <c r="IR94">
        <v>0</v>
      </c>
      <c r="IS94">
        <v>0</v>
      </c>
      <c r="IT94">
        <v>0</v>
      </c>
      <c r="IU94">
        <v>0</v>
      </c>
      <c r="IV94">
        <v>0</v>
      </c>
      <c r="IW94">
        <v>0</v>
      </c>
      <c r="IX94">
        <v>0</v>
      </c>
      <c r="IY94">
        <v>219364.884740734</v>
      </c>
      <c r="IZ94">
        <v>210121.479799938</v>
      </c>
      <c r="JA94">
        <v>238859.366414142</v>
      </c>
      <c r="JB94">
        <v>132919.457711363</v>
      </c>
      <c r="JC94">
        <v>234448.892702657</v>
      </c>
      <c r="JD94">
        <v>3131.17049330831</v>
      </c>
      <c r="JE94">
        <v>20893.470926733</v>
      </c>
      <c r="JF94">
        <v>2921.03202252388</v>
      </c>
      <c r="JG94">
        <v>451.001442432404</v>
      </c>
      <c r="JH94">
        <v>1696.05983869433</v>
      </c>
      <c r="JI94" t="s">
        <v>1900</v>
      </c>
      <c r="JJ94" t="s">
        <v>1900</v>
      </c>
      <c r="JK94">
        <v>0</v>
      </c>
      <c r="JL94">
        <v>0</v>
      </c>
      <c r="JM94" t="s">
        <v>1900</v>
      </c>
      <c r="JN94">
        <v>216233.714247426</v>
      </c>
      <c r="JO94">
        <v>189228.008873205</v>
      </c>
      <c r="JP94">
        <v>235938.334391618</v>
      </c>
      <c r="JQ94">
        <v>132468.45626893</v>
      </c>
      <c r="JR94">
        <v>232752.832863963</v>
      </c>
      <c r="JS94">
        <v>868959.8550920211</v>
      </c>
      <c r="JT94">
        <v>917186.125221863</v>
      </c>
      <c r="JU94">
        <v>931668.733366519</v>
      </c>
      <c r="JV94">
        <v>889552.628746963</v>
      </c>
      <c r="JW94">
        <v>1135926.45957477</v>
      </c>
      <c r="JX94">
        <v>432774.423309188</v>
      </c>
      <c r="JY94">
        <v>663787.676699753</v>
      </c>
      <c r="JZ94">
        <v>525096.452803022</v>
      </c>
      <c r="KA94">
        <v>402211.105171394</v>
      </c>
      <c r="KB94">
        <v>528240.172544867</v>
      </c>
      <c r="KC94" t="s">
        <v>1900</v>
      </c>
      <c r="KD94" t="s">
        <v>1900</v>
      </c>
      <c r="KE94" t="s">
        <v>1900</v>
      </c>
      <c r="KF94" t="s">
        <v>1900</v>
      </c>
      <c r="KG94" t="s">
        <v>1900</v>
      </c>
      <c r="KH94" t="s">
        <v>1900</v>
      </c>
      <c r="KI94" t="s">
        <v>1900</v>
      </c>
      <c r="KJ94" t="s">
        <v>1900</v>
      </c>
      <c r="KK94" t="s">
        <v>1900</v>
      </c>
      <c r="KL94" t="s">
        <v>1900</v>
      </c>
      <c r="KM94">
        <v>20</v>
      </c>
      <c r="KN94">
        <v>17</v>
      </c>
      <c r="KO94">
        <v>14</v>
      </c>
      <c r="KP94">
        <v>13</v>
      </c>
      <c r="KQ94">
        <v>13</v>
      </c>
      <c r="KR94" t="s">
        <v>1900</v>
      </c>
      <c r="KS94" t="s">
        <v>1900</v>
      </c>
      <c r="KT94" t="s">
        <v>1900</v>
      </c>
      <c r="KU94" t="s">
        <v>1900</v>
      </c>
      <c r="KV94" t="s">
        <v>1900</v>
      </c>
      <c r="KW94" t="s">
        <v>1900</v>
      </c>
      <c r="KX94" t="s">
        <v>1900</v>
      </c>
      <c r="KY94" t="s">
        <v>1900</v>
      </c>
      <c r="KZ94" t="s">
        <v>1900</v>
      </c>
      <c r="LA94" t="s">
        <v>1900</v>
      </c>
      <c r="LB94" t="s">
        <v>1900</v>
      </c>
      <c r="LC94" t="s">
        <v>1900</v>
      </c>
      <c r="LD94" t="s">
        <v>1900</v>
      </c>
      <c r="LE94" t="s">
        <v>1900</v>
      </c>
      <c r="LF94" t="s">
        <v>1900</v>
      </c>
      <c r="LG94" t="s">
        <v>1900</v>
      </c>
      <c r="LH94" t="s">
        <v>1900</v>
      </c>
      <c r="LI94" t="s">
        <v>1900</v>
      </c>
      <c r="LJ94" t="s">
        <v>1900</v>
      </c>
      <c r="LK94" t="s">
        <v>1900</v>
      </c>
      <c r="LL94" t="s">
        <v>1900</v>
      </c>
      <c r="LM94" t="s">
        <v>1900</v>
      </c>
      <c r="LN94" t="s">
        <v>1900</v>
      </c>
      <c r="LO94" t="s">
        <v>1900</v>
      </c>
      <c r="LP94" t="s">
        <v>1900</v>
      </c>
      <c r="LQ94" t="s">
        <v>1900</v>
      </c>
      <c r="LR94" t="s">
        <v>1900</v>
      </c>
      <c r="LS94" t="s">
        <v>1900</v>
      </c>
      <c r="LT94" t="s">
        <v>1900</v>
      </c>
      <c r="LU94" t="s">
        <v>1900</v>
      </c>
      <c r="LV94" t="s">
        <v>1900</v>
      </c>
      <c r="LW94" t="s">
        <v>1900</v>
      </c>
      <c r="LX94" t="s">
        <v>1900</v>
      </c>
      <c r="LY94" t="s">
        <v>1900</v>
      </c>
      <c r="LZ94" t="s">
        <v>1900</v>
      </c>
      <c r="MA94" t="s">
        <v>1900</v>
      </c>
      <c r="MB94" t="s">
        <v>1900</v>
      </c>
      <c r="MC94" t="s">
        <v>1900</v>
      </c>
      <c r="MD94" t="s">
        <v>1900</v>
      </c>
      <c r="ME94" t="s">
        <v>1900</v>
      </c>
      <c r="MF94" t="s">
        <v>1900</v>
      </c>
      <c r="MG94" t="s">
        <v>1900</v>
      </c>
      <c r="MH94" t="s">
        <v>1900</v>
      </c>
      <c r="MI94" t="s">
        <v>1900</v>
      </c>
      <c r="MJ94" t="s">
        <v>1900</v>
      </c>
      <c r="MK94" t="s">
        <v>1900</v>
      </c>
      <c r="ML94" t="s">
        <v>1900</v>
      </c>
      <c r="MM94" t="s">
        <v>1900</v>
      </c>
      <c r="MN94" t="s">
        <v>1900</v>
      </c>
      <c r="MO94" t="s">
        <v>1900</v>
      </c>
      <c r="MP94">
        <v>411423.344337417</v>
      </c>
      <c r="MQ94">
        <v>230597.77988945</v>
      </c>
      <c r="MR94">
        <v>393615.613955951</v>
      </c>
      <c r="MS94">
        <v>417783.306080747</v>
      </c>
      <c r="MT94">
        <v>530714.004732519</v>
      </c>
      <c r="MU94" t="s">
        <v>1900</v>
      </c>
      <c r="MV94" t="s">
        <v>1900</v>
      </c>
      <c r="MW94" t="s">
        <v>1900</v>
      </c>
      <c r="MX94" t="s">
        <v>1900</v>
      </c>
      <c r="MY94" t="s">
        <v>1900</v>
      </c>
      <c r="MZ94" t="s">
        <v>1900</v>
      </c>
      <c r="NA94" t="s">
        <v>1900</v>
      </c>
      <c r="NB94" t="s">
        <v>1900</v>
      </c>
      <c r="NC94" t="s">
        <v>1900</v>
      </c>
      <c r="ND94" t="s">
        <v>1900</v>
      </c>
      <c r="NE94" t="s">
        <v>1900</v>
      </c>
      <c r="NF94" t="s">
        <v>1900</v>
      </c>
      <c r="NG94" t="s">
        <v>1900</v>
      </c>
      <c r="NH94" t="s">
        <v>1900</v>
      </c>
      <c r="NI94" t="s">
        <v>1900</v>
      </c>
      <c r="NJ94" t="s">
        <v>1900</v>
      </c>
      <c r="NK94" t="s">
        <v>1900</v>
      </c>
      <c r="NL94" t="s">
        <v>1900</v>
      </c>
      <c r="NM94" t="s">
        <v>1900</v>
      </c>
      <c r="NN94" t="s">
        <v>1900</v>
      </c>
      <c r="NO94" t="s">
        <v>1900</v>
      </c>
      <c r="NP94" t="s">
        <v>1900</v>
      </c>
      <c r="NQ94" t="s">
        <v>1900</v>
      </c>
      <c r="NR94" t="s">
        <v>1900</v>
      </c>
      <c r="NS94" t="s">
        <v>1900</v>
      </c>
      <c r="NT94">
        <v>24762.0874454165</v>
      </c>
      <c r="NU94">
        <v>22800.6686326599</v>
      </c>
      <c r="NV94">
        <v>12956.6666075468</v>
      </c>
      <c r="NW94">
        <v>69558.2174948215</v>
      </c>
      <c r="NX94">
        <v>76972.28229738471</v>
      </c>
      <c r="NY94" t="s">
        <v>1900</v>
      </c>
      <c r="NZ94" t="s">
        <v>1900</v>
      </c>
      <c r="OA94" t="s">
        <v>1900</v>
      </c>
      <c r="OB94" t="s">
        <v>1900</v>
      </c>
      <c r="OC94" t="s">
        <v>1900</v>
      </c>
      <c r="OD94" t="s">
        <v>1900</v>
      </c>
      <c r="OE94" t="s">
        <v>1900</v>
      </c>
      <c r="OF94" t="s">
        <v>1900</v>
      </c>
      <c r="OG94" t="s">
        <v>1900</v>
      </c>
      <c r="OH94" t="s">
        <v>1900</v>
      </c>
      <c r="OI94" t="s">
        <v>1900</v>
      </c>
      <c r="OJ94" t="s">
        <v>1900</v>
      </c>
      <c r="OK94" t="s">
        <v>1900</v>
      </c>
      <c r="OL94" t="s">
        <v>1900</v>
      </c>
      <c r="OM94" t="s">
        <v>1900</v>
      </c>
      <c r="ON94" t="s">
        <v>1900</v>
      </c>
      <c r="OO94" t="s">
        <v>1900</v>
      </c>
      <c r="OP94" t="s">
        <v>1900</v>
      </c>
      <c r="OQ94" t="s">
        <v>1900</v>
      </c>
      <c r="OR94" t="s">
        <v>1900</v>
      </c>
      <c r="OS94" t="s">
        <v>1900</v>
      </c>
      <c r="OT94" t="s">
        <v>1900</v>
      </c>
      <c r="OU94" t="s">
        <v>1900</v>
      </c>
      <c r="OV94" t="s">
        <v>1900</v>
      </c>
      <c r="OW94" t="s">
        <v>1900</v>
      </c>
      <c r="OX94" t="s">
        <v>1900</v>
      </c>
      <c r="OY94" t="s">
        <v>1900</v>
      </c>
      <c r="OZ94" t="s">
        <v>1900</v>
      </c>
      <c r="PA94" t="s">
        <v>1900</v>
      </c>
      <c r="PB94" t="s">
        <v>1900</v>
      </c>
      <c r="PC94" t="s">
        <v>1900</v>
      </c>
      <c r="PD94" t="s">
        <v>1900</v>
      </c>
      <c r="PE94" t="s">
        <v>1900</v>
      </c>
      <c r="PF94" t="s">
        <v>1900</v>
      </c>
      <c r="PG94" t="s">
        <v>1900</v>
      </c>
      <c r="PH94" t="s">
        <v>1900</v>
      </c>
      <c r="PI94" t="s">
        <v>1900</v>
      </c>
      <c r="PJ94" t="s">
        <v>1900</v>
      </c>
      <c r="PK94" t="s">
        <v>1900</v>
      </c>
      <c r="PL94" t="s">
        <v>1900</v>
      </c>
      <c r="PM94" t="s">
        <v>1900</v>
      </c>
      <c r="PN94" t="s">
        <v>1900</v>
      </c>
      <c r="PO94" t="s">
        <v>1900</v>
      </c>
      <c r="PP94" t="s">
        <v>1900</v>
      </c>
      <c r="PQ94" t="s">
        <v>1900</v>
      </c>
      <c r="PR94" t="s">
        <v>1900</v>
      </c>
      <c r="PS94" t="s">
        <v>1900</v>
      </c>
      <c r="PT94" t="s">
        <v>1900</v>
      </c>
      <c r="PU94" t="s">
        <v>1900</v>
      </c>
      <c r="PV94" t="s">
        <v>1900</v>
      </c>
      <c r="PW94" t="s">
        <v>1900</v>
      </c>
      <c r="PX94" t="s">
        <v>1900</v>
      </c>
      <c r="PY94" t="s">
        <v>1900</v>
      </c>
      <c r="PZ94" t="s">
        <v>1900</v>
      </c>
      <c r="QA94" t="s">
        <v>1900</v>
      </c>
      <c r="QB94" t="s">
        <v>1900</v>
      </c>
      <c r="QC94" t="s">
        <v>1900</v>
      </c>
      <c r="QD94" t="s">
        <v>1900</v>
      </c>
      <c r="QE94" t="s">
        <v>1900</v>
      </c>
      <c r="QF94" t="s">
        <v>1900</v>
      </c>
      <c r="QG94" t="s">
        <v>1900</v>
      </c>
      <c r="QH94" t="s">
        <v>1900</v>
      </c>
      <c r="QI94" t="s">
        <v>1900</v>
      </c>
      <c r="QJ94" t="s">
        <v>1900</v>
      </c>
      <c r="QK94" t="s">
        <v>1900</v>
      </c>
      <c r="QL94" t="s">
        <v>1900</v>
      </c>
      <c r="QM94" t="s">
        <v>1900</v>
      </c>
      <c r="QN94" t="s">
        <v>1900</v>
      </c>
      <c r="QO94" t="s">
        <v>1900</v>
      </c>
      <c r="QP94" t="s">
        <v>1900</v>
      </c>
      <c r="QQ94" t="s">
        <v>1900</v>
      </c>
      <c r="QR94" t="s">
        <v>1900</v>
      </c>
      <c r="QS94" t="s">
        <v>1900</v>
      </c>
      <c r="QT94" t="s">
        <v>1900</v>
      </c>
      <c r="QU94" t="s">
        <v>1900</v>
      </c>
      <c r="QV94" t="s">
        <v>1900</v>
      </c>
      <c r="QW94" t="s">
        <v>1900</v>
      </c>
      <c r="QX94" t="s">
        <v>1900</v>
      </c>
      <c r="QY94" t="s">
        <v>1900</v>
      </c>
      <c r="QZ94" t="s">
        <v>1900</v>
      </c>
      <c r="RA94" t="s">
        <v>1900</v>
      </c>
      <c r="RB94" t="s">
        <v>1900</v>
      </c>
      <c r="RC94" t="s">
        <v>1900</v>
      </c>
      <c r="RD94" t="s">
        <v>1900</v>
      </c>
      <c r="RE94" t="s">
        <v>1900</v>
      </c>
      <c r="RF94" t="s">
        <v>1900</v>
      </c>
      <c r="RG94" t="s">
        <v>1900</v>
      </c>
      <c r="RH94" t="s">
        <v>1900</v>
      </c>
      <c r="RI94" t="s">
        <v>1900</v>
      </c>
      <c r="RJ94" t="s">
        <v>1900</v>
      </c>
      <c r="RK94" t="s">
        <v>1900</v>
      </c>
      <c r="RL94" t="s">
        <v>1900</v>
      </c>
      <c r="RM94" t="s">
        <v>1900</v>
      </c>
      <c r="RN94" t="s">
        <v>1900</v>
      </c>
      <c r="RO94" t="s">
        <v>1900</v>
      </c>
      <c r="RP94" t="s">
        <v>1900</v>
      </c>
      <c r="RQ94" t="s">
        <v>1900</v>
      </c>
      <c r="RR94" t="s">
        <v>1900</v>
      </c>
      <c r="RS94" t="s">
        <v>1900</v>
      </c>
      <c r="RT94" t="s">
        <v>1900</v>
      </c>
      <c r="RU94" t="s">
        <v>1900</v>
      </c>
      <c r="RV94" t="s">
        <v>1900</v>
      </c>
      <c r="RW94" t="s">
        <v>1900</v>
      </c>
      <c r="RX94" t="s">
        <v>1900</v>
      </c>
      <c r="RY94" t="s">
        <v>1900</v>
      </c>
      <c r="RZ94" t="s">
        <v>1900</v>
      </c>
      <c r="SA94" t="s">
        <v>1900</v>
      </c>
      <c r="SB94" t="s">
        <v>1900</v>
      </c>
      <c r="SC94" t="s">
        <v>1900</v>
      </c>
      <c r="SD94" t="s">
        <v>1900</v>
      </c>
      <c r="SE94" t="s">
        <v>1900</v>
      </c>
      <c r="SF94" t="s">
        <v>1900</v>
      </c>
      <c r="SG94" t="s">
        <v>1900</v>
      </c>
      <c r="SH94" t="s">
        <v>1900</v>
      </c>
      <c r="SI94" t="s">
        <v>1900</v>
      </c>
      <c r="SJ94">
        <v>15706.6338761008</v>
      </c>
      <c r="SK94">
        <v>15943.5328052616</v>
      </c>
      <c r="SL94">
        <v>3358.73245452046</v>
      </c>
      <c r="SM94">
        <v>60754.639890933</v>
      </c>
      <c r="SN94">
        <v>71092.1574354351</v>
      </c>
      <c r="SO94" t="s">
        <v>1900</v>
      </c>
      <c r="SP94" t="s">
        <v>1900</v>
      </c>
      <c r="SQ94" t="s">
        <v>1900</v>
      </c>
      <c r="SR94" t="s">
        <v>1900</v>
      </c>
      <c r="SS94" t="s">
        <v>1900</v>
      </c>
      <c r="ST94" t="s">
        <v>1900</v>
      </c>
      <c r="SU94" t="s">
        <v>1900</v>
      </c>
      <c r="SV94" t="s">
        <v>1900</v>
      </c>
      <c r="SW94" t="s">
        <v>1900</v>
      </c>
      <c r="SX94" t="s">
        <v>1900</v>
      </c>
      <c r="SY94" t="s">
        <v>1900</v>
      </c>
      <c r="SZ94" t="s">
        <v>1900</v>
      </c>
      <c r="TA94" t="s">
        <v>1900</v>
      </c>
      <c r="TB94" t="s">
        <v>1900</v>
      </c>
      <c r="TC94" t="s">
        <v>1900</v>
      </c>
      <c r="TD94" t="s">
        <v>1900</v>
      </c>
      <c r="TE94" t="s">
        <v>1900</v>
      </c>
      <c r="TF94" t="s">
        <v>1900</v>
      </c>
      <c r="TG94" t="s">
        <v>1900</v>
      </c>
      <c r="TH94" t="s">
        <v>1900</v>
      </c>
      <c r="TI94" t="s">
        <v>1900</v>
      </c>
      <c r="TJ94" t="s">
        <v>1900</v>
      </c>
      <c r="TK94" t="s">
        <v>1900</v>
      </c>
      <c r="TL94" t="s">
        <v>1900</v>
      </c>
      <c r="TM94" t="s">
        <v>1900</v>
      </c>
      <c r="TN94" t="s">
        <v>1900</v>
      </c>
      <c r="TO94" t="s">
        <v>1900</v>
      </c>
      <c r="TP94" t="s">
        <v>1900</v>
      </c>
      <c r="TQ94" t="s">
        <v>1900</v>
      </c>
      <c r="TR94" t="s">
        <v>1900</v>
      </c>
      <c r="TS94">
        <v>868959.8550920211</v>
      </c>
      <c r="TT94">
        <v>917186.125221863</v>
      </c>
      <c r="TU94">
        <v>931668.733366519</v>
      </c>
      <c r="TV94">
        <v>889552.628746963</v>
      </c>
      <c r="TW94">
        <v>1135926.45957477</v>
      </c>
      <c r="TX94" t="s">
        <v>1900</v>
      </c>
      <c r="TY94" t="s">
        <v>1900</v>
      </c>
      <c r="TZ94" t="s">
        <v>1900</v>
      </c>
      <c r="UA94" t="s">
        <v>1900</v>
      </c>
      <c r="UB94" t="s">
        <v>1900</v>
      </c>
      <c r="UC94">
        <v>3131.17049330831</v>
      </c>
      <c r="UD94">
        <v>20893.470926733</v>
      </c>
      <c r="UE94">
        <v>2921.03202252388</v>
      </c>
      <c r="UF94">
        <v>451.001442432404</v>
      </c>
      <c r="UG94">
        <v>1696.05983869433</v>
      </c>
      <c r="UH94" t="s">
        <v>1900</v>
      </c>
      <c r="UI94" t="s">
        <v>1900</v>
      </c>
      <c r="UJ94" t="s">
        <v>1900</v>
      </c>
      <c r="UK94" t="s">
        <v>1900</v>
      </c>
      <c r="UL94" t="s">
        <v>1900</v>
      </c>
      <c r="UM94" t="s">
        <v>1900</v>
      </c>
      <c r="UN94" t="s">
        <v>1900</v>
      </c>
      <c r="UO94" t="s">
        <v>1900</v>
      </c>
      <c r="UP94" t="s">
        <v>1900</v>
      </c>
      <c r="UQ94" t="s">
        <v>1900</v>
      </c>
      <c r="UR94" t="s">
        <v>1900</v>
      </c>
      <c r="US94" t="s">
        <v>1900</v>
      </c>
      <c r="UT94" t="s">
        <v>1900</v>
      </c>
      <c r="UU94" t="s">
        <v>1900</v>
      </c>
      <c r="UV94" t="s">
        <v>1900</v>
      </c>
      <c r="UW94" t="s">
        <v>1900</v>
      </c>
      <c r="UX94" t="s">
        <v>1900</v>
      </c>
      <c r="UY94" t="s">
        <v>1900</v>
      </c>
      <c r="UZ94" t="s">
        <v>1900</v>
      </c>
      <c r="VA94" t="s">
        <v>1900</v>
      </c>
      <c r="VB94" t="s">
        <v>1900</v>
      </c>
      <c r="VC94" t="s">
        <v>1900</v>
      </c>
      <c r="VD94" t="s">
        <v>1900</v>
      </c>
      <c r="VE94" t="s">
        <v>1900</v>
      </c>
      <c r="VF94" t="s">
        <v>1900</v>
      </c>
      <c r="VG94" t="s">
        <v>1900</v>
      </c>
      <c r="VH94" t="s">
        <v>1900</v>
      </c>
      <c r="VI94" t="s">
        <v>1900</v>
      </c>
      <c r="VJ94" t="s">
        <v>1900</v>
      </c>
      <c r="VK94" t="s">
        <v>1900</v>
      </c>
      <c r="VL94" t="s">
        <v>1900</v>
      </c>
      <c r="VM94" t="s">
        <v>1900</v>
      </c>
      <c r="VN94" t="s">
        <v>1900</v>
      </c>
      <c r="VO94" t="s">
        <v>1900</v>
      </c>
      <c r="VP94" t="s">
        <v>1900</v>
      </c>
      <c r="VQ94" t="s">
        <v>1900</v>
      </c>
      <c r="VR94" t="s">
        <v>1900</v>
      </c>
      <c r="VS94" t="s">
        <v>1900</v>
      </c>
      <c r="VT94" t="s">
        <v>1900</v>
      </c>
      <c r="VU94" t="s">
        <v>1900</v>
      </c>
      <c r="VV94" t="s">
        <v>1900</v>
      </c>
      <c r="VW94" t="s">
        <v>1900</v>
      </c>
      <c r="VX94" t="s">
        <v>1900</v>
      </c>
      <c r="VY94" t="s">
        <v>1900</v>
      </c>
      <c r="VZ94" t="s">
        <v>1900</v>
      </c>
      <c r="WA94">
        <v>216233.714247426</v>
      </c>
      <c r="WB94">
        <v>189228.008873205</v>
      </c>
      <c r="WC94">
        <v>235938.334391618</v>
      </c>
      <c r="WD94">
        <v>132468.45626893</v>
      </c>
      <c r="WE94">
        <v>232752.832863963</v>
      </c>
      <c r="WF94" t="s">
        <v>1900</v>
      </c>
      <c r="WG94" t="s">
        <v>1900</v>
      </c>
      <c r="WH94" t="s">
        <v>1900</v>
      </c>
      <c r="WI94" t="s">
        <v>1900</v>
      </c>
      <c r="WJ94" t="s">
        <v>1900</v>
      </c>
      <c r="WK94" t="s">
        <v>1900</v>
      </c>
      <c r="WL94" t="s">
        <v>1900</v>
      </c>
      <c r="WM94" t="s">
        <v>1900</v>
      </c>
      <c r="WN94" t="s">
        <v>1900</v>
      </c>
      <c r="WO94" t="s">
        <v>1900</v>
      </c>
      <c r="WP94" t="s">
        <v>1900</v>
      </c>
      <c r="WQ94" t="s">
        <v>1900</v>
      </c>
      <c r="WR94" t="s">
        <v>1900</v>
      </c>
      <c r="WS94" t="s">
        <v>1900</v>
      </c>
      <c r="WT94" t="s">
        <v>1900</v>
      </c>
      <c r="WU94" t="s">
        <v>1900</v>
      </c>
      <c r="WV94" t="s">
        <v>1900</v>
      </c>
      <c r="WW94" t="s">
        <v>1900</v>
      </c>
      <c r="WX94" t="s">
        <v>1900</v>
      </c>
      <c r="WY94" t="s">
        <v>1900</v>
      </c>
      <c r="WZ94" t="s">
        <v>1900</v>
      </c>
      <c r="XA94" t="s">
        <v>1900</v>
      </c>
      <c r="XB94" t="s">
        <v>1900</v>
      </c>
      <c r="XC94" t="s">
        <v>1900</v>
      </c>
      <c r="XD94" t="s">
        <v>1900</v>
      </c>
      <c r="XE94" t="s">
        <v>1900</v>
      </c>
      <c r="XF94" t="s">
        <v>1900</v>
      </c>
      <c r="XG94" t="s">
        <v>1900</v>
      </c>
      <c r="XH94" t="s">
        <v>1900</v>
      </c>
      <c r="XI94" t="s">
        <v>1900</v>
      </c>
      <c r="XJ94">
        <v>0</v>
      </c>
      <c r="XK94">
        <v>0</v>
      </c>
      <c r="XL94">
        <v>0</v>
      </c>
      <c r="XM94">
        <v>0</v>
      </c>
      <c r="XN94">
        <v>0</v>
      </c>
      <c r="XO94" t="s">
        <v>1900</v>
      </c>
      <c r="XP94" t="s">
        <v>1900</v>
      </c>
      <c r="XQ94" t="s">
        <v>1900</v>
      </c>
      <c r="XR94" t="s">
        <v>1900</v>
      </c>
      <c r="XS94" t="s">
        <v>1900</v>
      </c>
      <c r="XT94" t="s">
        <v>1900</v>
      </c>
      <c r="XU94" t="s">
        <v>1900</v>
      </c>
      <c r="XV94" t="s">
        <v>1900</v>
      </c>
      <c r="XW94" t="s">
        <v>1900</v>
      </c>
      <c r="XX94" t="s">
        <v>1900</v>
      </c>
      <c r="XY94">
        <v>0</v>
      </c>
      <c r="XZ94">
        <v>0</v>
      </c>
      <c r="YA94">
        <v>0</v>
      </c>
      <c r="YB94">
        <v>0</v>
      </c>
      <c r="YC94">
        <v>0</v>
      </c>
      <c r="YD94" t="s">
        <v>1900</v>
      </c>
      <c r="YE94" t="s">
        <v>1900</v>
      </c>
      <c r="YF94" t="s">
        <v>1900</v>
      </c>
      <c r="YG94" t="s">
        <v>1900</v>
      </c>
      <c r="YH94" t="s">
        <v>1900</v>
      </c>
      <c r="YI94" t="s">
        <v>1900</v>
      </c>
      <c r="YJ94" t="s">
        <v>1900</v>
      </c>
      <c r="YK94" t="s">
        <v>1900</v>
      </c>
      <c r="YL94" t="s">
        <v>1900</v>
      </c>
      <c r="YM94" t="s">
        <v>1900</v>
      </c>
      <c r="YN94" t="s">
        <v>1900</v>
      </c>
      <c r="YO94" t="s">
        <v>1900</v>
      </c>
      <c r="YP94" t="s">
        <v>1900</v>
      </c>
      <c r="YQ94" t="s">
        <v>1900</v>
      </c>
      <c r="YR94" t="s">
        <v>1900</v>
      </c>
      <c r="YS94" t="s">
        <v>1900</v>
      </c>
      <c r="YT94" t="s">
        <v>1900</v>
      </c>
      <c r="YU94" t="s">
        <v>1900</v>
      </c>
      <c r="YV94" t="s">
        <v>1900</v>
      </c>
      <c r="YW94" t="s">
        <v>1900</v>
      </c>
      <c r="YX94" t="s">
        <v>1900</v>
      </c>
      <c r="YY94" t="s">
        <v>1900</v>
      </c>
      <c r="YZ94" t="s">
        <v>1900</v>
      </c>
      <c r="ZA94" t="s">
        <v>1900</v>
      </c>
      <c r="ZB94" t="s">
        <v>1900</v>
      </c>
      <c r="ZC94" t="s">
        <v>1900</v>
      </c>
      <c r="ZD94" t="s">
        <v>1900</v>
      </c>
      <c r="ZE94" t="s">
        <v>1900</v>
      </c>
      <c r="ZF94" t="s">
        <v>1900</v>
      </c>
      <c r="ZG94" t="s">
        <v>1900</v>
      </c>
      <c r="ZH94" t="s">
        <v>1900</v>
      </c>
      <c r="ZI94" t="s">
        <v>1900</v>
      </c>
      <c r="ZJ94" t="s">
        <v>1900</v>
      </c>
      <c r="ZK94" t="s">
        <v>1900</v>
      </c>
      <c r="ZL94" t="s">
        <v>1900</v>
      </c>
      <c r="ZM94" t="s">
        <v>1900</v>
      </c>
      <c r="ZN94" t="s">
        <v>1900</v>
      </c>
      <c r="ZO94" t="s">
        <v>1900</v>
      </c>
      <c r="ZP94" t="s">
        <v>1900</v>
      </c>
      <c r="ZQ94" t="s">
        <v>1900</v>
      </c>
      <c r="ZR94" t="s">
        <v>1900</v>
      </c>
      <c r="ZS94" t="s">
        <v>1900</v>
      </c>
      <c r="ZT94" t="s">
        <v>1900</v>
      </c>
      <c r="ZU94" t="s">
        <v>1900</v>
      </c>
      <c r="ZV94" t="s">
        <v>1900</v>
      </c>
      <c r="ZW94" t="s">
        <v>1900</v>
      </c>
      <c r="ZX94" t="s">
        <v>1900</v>
      </c>
      <c r="ZY94" t="s">
        <v>1900</v>
      </c>
      <c r="ZZ94" t="s">
        <v>1900</v>
      </c>
      <c r="AAA94" t="s">
        <v>1900</v>
      </c>
      <c r="AAB94" t="s">
        <v>1900</v>
      </c>
      <c r="AAC94" t="s">
        <v>1900</v>
      </c>
      <c r="AAD94" t="s">
        <v>1900</v>
      </c>
      <c r="AAE94" t="s">
        <v>1900</v>
      </c>
      <c r="AAF94" t="s">
        <v>1900</v>
      </c>
      <c r="AAG94" t="s">
        <v>1900</v>
      </c>
      <c r="AAH94" t="s">
        <v>1900</v>
      </c>
      <c r="AAI94" t="s">
        <v>1900</v>
      </c>
      <c r="AAJ94" t="s">
        <v>1900</v>
      </c>
      <c r="AAK94" t="s">
        <v>1900</v>
      </c>
      <c r="AAL94" t="s">
        <v>1900</v>
      </c>
      <c r="AAM94" t="s">
        <v>1900</v>
      </c>
      <c r="AAN94" t="s">
        <v>1900</v>
      </c>
      <c r="AAO94" t="s">
        <v>1900</v>
      </c>
      <c r="AAP94" t="s">
        <v>1900</v>
      </c>
      <c r="AAQ94" t="s">
        <v>1900</v>
      </c>
      <c r="AAR94" t="s">
        <v>1900</v>
      </c>
      <c r="AAS94" t="s">
        <v>1900</v>
      </c>
      <c r="AAT94" t="s">
        <v>1900</v>
      </c>
      <c r="AAU94" t="s">
        <v>1900</v>
      </c>
      <c r="AAV94" t="s">
        <v>1900</v>
      </c>
      <c r="AAW94" t="s">
        <v>1900</v>
      </c>
      <c r="AAX94" t="s">
        <v>1900</v>
      </c>
      <c r="AAY94" t="s">
        <v>1900</v>
      </c>
      <c r="AAZ94" t="s">
        <v>1900</v>
      </c>
      <c r="ABA94" t="s">
        <v>1900</v>
      </c>
      <c r="ABB94" t="s">
        <v>1900</v>
      </c>
      <c r="ABC94" t="s">
        <v>1900</v>
      </c>
      <c r="ABD94" t="s">
        <v>1900</v>
      </c>
      <c r="ABE94" t="s">
        <v>1900</v>
      </c>
      <c r="ABF94" t="s">
        <v>1900</v>
      </c>
      <c r="ABG94" t="s">
        <v>1900</v>
      </c>
      <c r="ABH94" t="s">
        <v>1900</v>
      </c>
      <c r="ABI94" t="s">
        <v>1900</v>
      </c>
      <c r="ABJ94" t="s">
        <v>1900</v>
      </c>
      <c r="ABK94" t="s">
        <v>1900</v>
      </c>
      <c r="ABL94" t="s">
        <v>1900</v>
      </c>
      <c r="ABM94" t="s">
        <v>1900</v>
      </c>
      <c r="ABN94" t="s">
        <v>1900</v>
      </c>
      <c r="ABO94" t="s">
        <v>1900</v>
      </c>
      <c r="ABP94" t="s">
        <v>1900</v>
      </c>
      <c r="ABQ94" t="s">
        <v>1900</v>
      </c>
      <c r="ABR94" t="s">
        <v>1900</v>
      </c>
      <c r="ABS94" t="s">
        <v>1900</v>
      </c>
      <c r="ABT94" t="s">
        <v>1900</v>
      </c>
      <c r="ABU94" t="s">
        <v>1900</v>
      </c>
      <c r="ABV94" t="s">
        <v>1900</v>
      </c>
      <c r="ABW94" t="s">
        <v>1900</v>
      </c>
      <c r="ABX94" t="s">
        <v>1900</v>
      </c>
      <c r="ABY94" t="s">
        <v>1900</v>
      </c>
      <c r="ABZ94" t="s">
        <v>1900</v>
      </c>
      <c r="ACA94" t="s">
        <v>1900</v>
      </c>
      <c r="ACB94" t="s">
        <v>1900</v>
      </c>
      <c r="ACC94" t="s">
        <v>1900</v>
      </c>
      <c r="ACD94" t="s">
        <v>1900</v>
      </c>
      <c r="ACE94">
        <v>-20.636</v>
      </c>
      <c r="ACF94">
        <v>6.321</v>
      </c>
      <c r="ACG94">
        <v>14.881</v>
      </c>
      <c r="ACH94">
        <v>2.607</v>
      </c>
      <c r="ACI94">
        <v>5.439</v>
      </c>
      <c r="ACJ94">
        <v>-14.812</v>
      </c>
      <c r="ACK94">
        <v>6.216</v>
      </c>
      <c r="ACL94">
        <v>14.011</v>
      </c>
      <c r="ACM94">
        <v>2.563</v>
      </c>
      <c r="ACN94">
        <v>4.303</v>
      </c>
      <c r="ACO94">
        <v>-12.043</v>
      </c>
      <c r="ACP94">
        <v>4.484</v>
      </c>
      <c r="ACQ94">
        <v>9.557</v>
      </c>
      <c r="ACR94">
        <v>1.654</v>
      </c>
      <c r="ACS94">
        <v>2.873</v>
      </c>
      <c r="ACT94">
        <v>-20.636</v>
      </c>
      <c r="ACU94">
        <v>4.741</v>
      </c>
      <c r="ACV94">
        <v>11.161</v>
      </c>
      <c r="ACW94">
        <v>1.882</v>
      </c>
      <c r="ACX94">
        <v>4.255</v>
      </c>
      <c r="ACY94">
        <v>-14.812</v>
      </c>
      <c r="ACZ94">
        <v>4.762</v>
      </c>
      <c r="ADA94">
        <v>10.798</v>
      </c>
      <c r="ADB94">
        <v>2.022</v>
      </c>
      <c r="ADC94">
        <v>3.514</v>
      </c>
      <c r="ADD94">
        <v>-12.043</v>
      </c>
      <c r="ADE94">
        <v>3.363</v>
      </c>
      <c r="ADF94">
        <v>7.167</v>
      </c>
      <c r="ADG94">
        <v>1.194</v>
      </c>
      <c r="ADH94">
        <v>2.248</v>
      </c>
      <c r="ADI94">
        <v>-6.599</v>
      </c>
      <c r="ADJ94">
        <v>2.431</v>
      </c>
      <c r="ADK94">
        <v>6.211</v>
      </c>
      <c r="ADL94">
        <v>1.159</v>
      </c>
      <c r="ADM94">
        <v>1.957</v>
      </c>
      <c r="ADN94">
        <v>100</v>
      </c>
      <c r="ADO94">
        <v>100</v>
      </c>
      <c r="ADP94">
        <v>100</v>
      </c>
      <c r="ADQ94">
        <v>100</v>
      </c>
      <c r="ADR94">
        <v>100</v>
      </c>
      <c r="ADS94">
        <v>-6.167032224</v>
      </c>
      <c r="ADT94">
        <v>2.597904128</v>
      </c>
      <c r="ADU94">
        <v>6.771678655</v>
      </c>
      <c r="ADV94">
        <v>1.526789098</v>
      </c>
      <c r="ADW94">
        <v>2.325368907</v>
      </c>
      <c r="ADX94">
        <v>-5.922</v>
      </c>
      <c r="ADY94">
        <v>3.107</v>
      </c>
      <c r="ADZ94">
        <v>7.061</v>
      </c>
      <c r="AEA94">
        <v>1.81</v>
      </c>
      <c r="AEB94">
        <v>2.542</v>
      </c>
      <c r="AEC94">
        <v>-6.167</v>
      </c>
      <c r="AED94">
        <v>2.598</v>
      </c>
      <c r="AEE94">
        <v>6.772</v>
      </c>
      <c r="AEF94">
        <v>1.527</v>
      </c>
      <c r="AEG94">
        <v>2.325</v>
      </c>
      <c r="AEH94">
        <v>-6.354</v>
      </c>
      <c r="AEI94">
        <v>2.332</v>
      </c>
      <c r="AEJ94">
        <v>4.947</v>
      </c>
      <c r="AEK94">
        <v>1.119</v>
      </c>
      <c r="AEL94">
        <v>1.747</v>
      </c>
      <c r="AEM94">
        <v>-5.80880156</v>
      </c>
      <c r="AEN94">
        <v>2.667195305</v>
      </c>
      <c r="AEO94">
        <v>7.263542405</v>
      </c>
      <c r="AEP94">
        <v>1.550461373</v>
      </c>
      <c r="AEQ94">
        <v>2.380729654</v>
      </c>
      <c r="AER94" t="s">
        <v>1900</v>
      </c>
      <c r="AES94" t="s">
        <v>1900</v>
      </c>
      <c r="AET94" t="s">
        <v>1900</v>
      </c>
      <c r="AEU94" t="s">
        <v>1900</v>
      </c>
      <c r="AEV94" t="s">
        <v>1900</v>
      </c>
      <c r="AEW94" t="s">
        <v>1900</v>
      </c>
      <c r="AEX94" t="s">
        <v>1900</v>
      </c>
      <c r="AEY94" t="s">
        <v>1900</v>
      </c>
      <c r="AEZ94" t="s">
        <v>1900</v>
      </c>
      <c r="AFA94" t="s">
        <v>1900</v>
      </c>
      <c r="AFB94" t="s">
        <v>1900</v>
      </c>
      <c r="AFC94" t="s">
        <v>1900</v>
      </c>
      <c r="AFD94" t="s">
        <v>1900</v>
      </c>
      <c r="AFE94" t="s">
        <v>1900</v>
      </c>
      <c r="AFF94" t="s">
        <v>1900</v>
      </c>
      <c r="AFG94">
        <v>2.441</v>
      </c>
      <c r="AFH94">
        <v>2.393</v>
      </c>
      <c r="AFI94">
        <v>2.069</v>
      </c>
      <c r="AFJ94">
        <v>1.679</v>
      </c>
      <c r="AFK94">
        <v>1.85</v>
      </c>
      <c r="AFL94">
        <v>-11.596</v>
      </c>
      <c r="AFM94">
        <v>15.574</v>
      </c>
      <c r="AFN94">
        <v>12.084</v>
      </c>
      <c r="AFO94">
        <v>4.148</v>
      </c>
      <c r="AFP94">
        <v>6.307</v>
      </c>
      <c r="AFQ94" t="s">
        <v>1901</v>
      </c>
      <c r="AFR94" t="s">
        <v>1901</v>
      </c>
      <c r="AFS94" t="s">
        <v>1901</v>
      </c>
      <c r="AFT94" t="s">
        <v>1901</v>
      </c>
      <c r="AFU94" t="s">
        <v>1901</v>
      </c>
      <c r="AFV94">
        <v>98.249</v>
      </c>
      <c r="AFW94">
        <v>141.247</v>
      </c>
      <c r="AFX94">
        <v>131.875</v>
      </c>
      <c r="AFY94">
        <v>113.999</v>
      </c>
      <c r="AFZ94">
        <v>114.008</v>
      </c>
      <c r="AGA94" t="s">
        <v>1900</v>
      </c>
      <c r="AGB94" t="s">
        <v>1900</v>
      </c>
      <c r="AGC94">
        <v>0</v>
      </c>
      <c r="AGD94">
        <v>0</v>
      </c>
      <c r="AGE94" t="s">
        <v>1900</v>
      </c>
      <c r="AGF94" t="s">
        <v>1900</v>
      </c>
      <c r="AGG94" t="s">
        <v>1900</v>
      </c>
      <c r="AGH94" t="s">
        <v>1900</v>
      </c>
      <c r="AGI94" t="s">
        <v>1900</v>
      </c>
      <c r="AGJ94" t="s">
        <v>1900</v>
      </c>
      <c r="AGK94" t="s">
        <v>1900</v>
      </c>
      <c r="AGL94" t="s">
        <v>1900</v>
      </c>
      <c r="AGM94" t="s">
        <v>1900</v>
      </c>
      <c r="AGN94" t="s">
        <v>1900</v>
      </c>
      <c r="AGO94" t="s">
        <v>1900</v>
      </c>
      <c r="AGP94" t="s">
        <v>1900</v>
      </c>
      <c r="AGQ94" t="s">
        <v>1900</v>
      </c>
      <c r="AGR94" t="s">
        <v>1900</v>
      </c>
      <c r="AGS94" t="s">
        <v>1900</v>
      </c>
      <c r="AGT94" t="s">
        <v>1900</v>
      </c>
      <c r="AGU94">
        <v>0</v>
      </c>
      <c r="AGV94">
        <v>0</v>
      </c>
      <c r="AGW94">
        <v>0</v>
      </c>
      <c r="AGX94">
        <v>0</v>
      </c>
      <c r="AGY94">
        <v>0</v>
      </c>
      <c r="AGZ94">
        <v>3.848</v>
      </c>
      <c r="AHA94">
        <v>4.257</v>
      </c>
      <c r="AHB94">
        <v>3.846</v>
      </c>
      <c r="AHC94">
        <v>6.169</v>
      </c>
      <c r="AHD94">
        <v>4.517</v>
      </c>
      <c r="AHE94">
        <v>3.848</v>
      </c>
      <c r="AHF94">
        <v>4.257</v>
      </c>
      <c r="AHG94">
        <v>3.846</v>
      </c>
      <c r="AHH94">
        <v>6.169</v>
      </c>
      <c r="AHI94">
        <v>4.517</v>
      </c>
      <c r="AHJ94">
        <v>3.56</v>
      </c>
      <c r="AHK94">
        <v>11.546</v>
      </c>
      <c r="AHL94">
        <v>6.332</v>
      </c>
      <c r="AHM94">
        <v>2.937</v>
      </c>
      <c r="AHN94">
        <v>1.99</v>
      </c>
      <c r="AHO94">
        <v>58.361</v>
      </c>
      <c r="AHP94">
        <v>70.946</v>
      </c>
      <c r="AHQ94">
        <v>64.22</v>
      </c>
      <c r="AHR94">
        <v>63.451</v>
      </c>
      <c r="AHS94">
        <v>52.822</v>
      </c>
      <c r="AHT94" t="s">
        <v>1901</v>
      </c>
      <c r="AHU94" t="s">
        <v>1901</v>
      </c>
      <c r="AHV94" t="s">
        <v>1901</v>
      </c>
      <c r="AHW94" t="s">
        <v>1901</v>
      </c>
      <c r="AHX94" t="s">
        <v>1901</v>
      </c>
      <c r="AHY94">
        <v>28.71</v>
      </c>
      <c r="AHZ94">
        <v>11.872</v>
      </c>
      <c r="AIA94">
        <v>16.281</v>
      </c>
      <c r="AIB94">
        <v>34.132</v>
      </c>
      <c r="AIC94">
        <v>50.524</v>
      </c>
      <c r="AID94">
        <v>1.807521232</v>
      </c>
      <c r="AIE94">
        <v>1.738309419</v>
      </c>
      <c r="AIF94">
        <v>0.360507156</v>
      </c>
      <c r="AIG94">
        <v>6.829797128</v>
      </c>
      <c r="AIH94">
        <v>6.258517604</v>
      </c>
      <c r="AII94">
        <v>47.346645754</v>
      </c>
      <c r="AIJ94">
        <v>25.141873994</v>
      </c>
      <c r="AIK94">
        <v>42.248451607</v>
      </c>
      <c r="AIL94">
        <v>46.965552411</v>
      </c>
      <c r="AIM94">
        <v>46.720806638</v>
      </c>
      <c r="AIN94">
        <v>24.884200689</v>
      </c>
      <c r="AIO94">
        <v>20.63136409</v>
      </c>
      <c r="AIP94">
        <v>25.324273096</v>
      </c>
      <c r="AIQ94">
        <v>14.891581677</v>
      </c>
      <c r="AIR94">
        <v>20.490132165</v>
      </c>
      <c r="AIS94" t="s">
        <v>1900</v>
      </c>
      <c r="AIT94" t="s">
        <v>1900</v>
      </c>
      <c r="AIU94" t="s">
        <v>1900</v>
      </c>
      <c r="AIV94" t="s">
        <v>1900</v>
      </c>
      <c r="AIW94" t="s">
        <v>1900</v>
      </c>
      <c r="AIX94">
        <v>-5.2325214277029</v>
      </c>
      <c r="AIY94">
        <v>2.41939195579338</v>
      </c>
      <c r="AIZ94">
        <v>6.35964104612052</v>
      </c>
      <c r="AJA94">
        <v>1.132115554533</v>
      </c>
      <c r="AJB94">
        <v>2.51058749296844</v>
      </c>
      <c r="AJC94">
        <v>79.28759225461781</v>
      </c>
      <c r="AJD94">
        <v>99.5185170926876</v>
      </c>
      <c r="AJE94">
        <v>102.388632782562</v>
      </c>
      <c r="AJF94">
        <v>97.70353673817159</v>
      </c>
      <c r="AJG94">
        <v>128.308082111217</v>
      </c>
      <c r="AJH94">
        <v>61.596</v>
      </c>
      <c r="AJI94">
        <v>52.337</v>
      </c>
      <c r="AJJ94">
        <v>46.515</v>
      </c>
      <c r="AJK94">
        <v>51.655</v>
      </c>
      <c r="AJL94">
        <v>41.904</v>
      </c>
      <c r="AJM94">
        <v>48.8376326738219</v>
      </c>
      <c r="AJN94">
        <v>52.0848702150497</v>
      </c>
      <c r="AJO94">
        <v>47.6255859632152</v>
      </c>
      <c r="AJP94">
        <v>50.4687036786318</v>
      </c>
      <c r="AJQ94">
        <v>53.7661202874261</v>
      </c>
      <c r="AJR94">
        <v>25.3565561517155</v>
      </c>
      <c r="AJS94">
        <v>38.276865788187</v>
      </c>
      <c r="AJT94">
        <v>42.7370063974971</v>
      </c>
      <c r="AJU94">
        <v>43.4179609625816</v>
      </c>
      <c r="AJV94">
        <v>46.1554037853968</v>
      </c>
      <c r="AJW94">
        <v>21.6387211654594</v>
      </c>
      <c r="AJX94">
        <v>39.0463339885149</v>
      </c>
      <c r="AJY94">
        <v>37.5068899430442</v>
      </c>
      <c r="AJZ94">
        <v>30.9393162180305</v>
      </c>
      <c r="AKA94">
        <v>40.6338594265282</v>
      </c>
      <c r="AKB94">
        <v>43.4479932740508</v>
      </c>
      <c r="AKC94">
        <v>53.952125468051</v>
      </c>
      <c r="AKD94">
        <v>66.5477669737798</v>
      </c>
      <c r="AKE94">
        <v>68.4271258109665</v>
      </c>
      <c r="AKF94">
        <v>87.3789580512595</v>
      </c>
      <c r="AKG94" t="s">
        <v>1900</v>
      </c>
      <c r="AKH94" t="s">
        <v>1900</v>
      </c>
      <c r="AKI94" t="s">
        <v>1900</v>
      </c>
      <c r="AKJ94" t="s">
        <v>1900</v>
      </c>
      <c r="AKK94" t="s">
        <v>1900</v>
      </c>
      <c r="AKL94">
        <v>0</v>
      </c>
      <c r="AKM94">
        <v>0</v>
      </c>
      <c r="AKN94">
        <v>0</v>
      </c>
      <c r="AKO94">
        <v>0</v>
      </c>
      <c r="AKP94">
        <v>0</v>
      </c>
      <c r="AKQ94">
        <v>0</v>
      </c>
      <c r="AKR94">
        <v>0</v>
      </c>
      <c r="AKS94">
        <v>0</v>
      </c>
      <c r="AKT94">
        <v>0</v>
      </c>
      <c r="AKU94">
        <v>0</v>
      </c>
      <c r="AKV94">
        <v>0</v>
      </c>
      <c r="AKW94">
        <v>0</v>
      </c>
      <c r="AKX94">
        <v>0</v>
      </c>
      <c r="AKY94">
        <v>0</v>
      </c>
      <c r="AKZ94">
        <v>0</v>
      </c>
      <c r="ALA94">
        <v>0</v>
      </c>
      <c r="ALB94">
        <v>0</v>
      </c>
      <c r="ALC94">
        <v>0</v>
      </c>
      <c r="ALD94">
        <v>0</v>
      </c>
      <c r="ALE94">
        <v>0</v>
      </c>
      <c r="ALF94">
        <v>0.571051117</v>
      </c>
      <c r="ALG94">
        <v>0.405312442</v>
      </c>
      <c r="ALH94">
        <v>0.669573081</v>
      </c>
      <c r="ALI94">
        <v>0.693115414</v>
      </c>
      <c r="ALJ94">
        <v>0.352524399</v>
      </c>
      <c r="ALK94">
        <v>1.042102638</v>
      </c>
      <c r="ALL94">
        <v>0.747627514</v>
      </c>
      <c r="ALM94">
        <v>1.030187427</v>
      </c>
      <c r="ALN94">
        <v>0.989663491</v>
      </c>
      <c r="ALO94">
        <v>0.517650136</v>
      </c>
      <c r="ALP94">
        <v>27.291434501</v>
      </c>
      <c r="ALQ94">
        <v>39.235244973</v>
      </c>
      <c r="ALR94">
        <v>36.631888087</v>
      </c>
      <c r="ALS94">
        <v>31.666525747</v>
      </c>
      <c r="ALT94">
        <v>31.668978788</v>
      </c>
      <c r="ALU94" t="s">
        <v>1900</v>
      </c>
      <c r="ALV94" t="s">
        <v>1900</v>
      </c>
      <c r="ALW94">
        <v>0</v>
      </c>
      <c r="ALX94">
        <v>0</v>
      </c>
      <c r="ALY94" t="s">
        <v>1900</v>
      </c>
      <c r="ALZ94">
        <v>100</v>
      </c>
      <c r="AMA94">
        <v>100</v>
      </c>
      <c r="AMB94">
        <v>100</v>
      </c>
      <c r="AMC94">
        <v>100</v>
      </c>
      <c r="AMD94">
        <v>100</v>
      </c>
      <c r="AME94">
        <v>100</v>
      </c>
      <c r="AMF94">
        <v>100</v>
      </c>
      <c r="AMG94">
        <v>100</v>
      </c>
      <c r="AMH94">
        <v>100</v>
      </c>
      <c r="AMI94">
        <v>100</v>
      </c>
      <c r="AMJ94" t="s">
        <v>1900</v>
      </c>
      <c r="AMK94" t="s">
        <v>1900</v>
      </c>
      <c r="AML94" t="s">
        <v>1900</v>
      </c>
      <c r="AMM94" t="s">
        <v>1900</v>
      </c>
      <c r="AMN94" t="s">
        <v>1900</v>
      </c>
      <c r="AMO94">
        <v>0.941911984980315</v>
      </c>
      <c r="AMP94">
        <v>1.02667195373769</v>
      </c>
      <c r="AMQ94">
        <v>1.07263542405286</v>
      </c>
      <c r="AMR94">
        <v>1.01550461465339</v>
      </c>
      <c r="AMS94">
        <v>1.02380729653953</v>
      </c>
      <c r="AMT94">
        <v>0.941911984363225</v>
      </c>
      <c r="AMU94">
        <v>1.02667195306713</v>
      </c>
      <c r="AMV94">
        <v>1.07263542405286</v>
      </c>
      <c r="AMW94">
        <v>1.01550461374785</v>
      </c>
      <c r="AMX94">
        <v>1.02380729653953</v>
      </c>
      <c r="AMY94" t="s">
        <v>1900</v>
      </c>
      <c r="AMZ94" t="s">
        <v>1900</v>
      </c>
      <c r="ANA94" t="s">
        <v>1900</v>
      </c>
      <c r="ANB94" t="s">
        <v>1900</v>
      </c>
      <c r="ANC94" t="s">
        <v>1900</v>
      </c>
      <c r="AND94">
        <v>-6.16703222414019</v>
      </c>
      <c r="ANE94">
        <v>2.59790412799574</v>
      </c>
      <c r="ANF94">
        <v>6.77167865465562</v>
      </c>
      <c r="ANG94">
        <v>1.52678909816124</v>
      </c>
      <c r="ANH94">
        <v>2.32536890682404</v>
      </c>
      <c r="ANI94">
        <v>-6.16703222414019</v>
      </c>
      <c r="ANJ94">
        <v>2.59790412799574</v>
      </c>
      <c r="ANK94">
        <v>6.77167865465562</v>
      </c>
      <c r="ANL94">
        <v>1.52678909816124</v>
      </c>
      <c r="ANM94">
        <v>2.32536890682404</v>
      </c>
      <c r="ANN94">
        <v>-5.8088015600929</v>
      </c>
      <c r="ANO94">
        <v>2.66719530492407</v>
      </c>
      <c r="ANP94">
        <v>7.26354240528625</v>
      </c>
      <c r="ANQ94">
        <v>1.55046137338123</v>
      </c>
      <c r="ANR94">
        <v>2.38072965395259</v>
      </c>
      <c r="ANS94">
        <v>-15.0545849497828</v>
      </c>
      <c r="ANT94">
        <v>6.21608314170022</v>
      </c>
      <c r="ANU94">
        <v>14.0107818387228</v>
      </c>
      <c r="ANV94">
        <v>2.56299236707862</v>
      </c>
      <c r="ANW94">
        <v>4.30263300409728</v>
      </c>
      <c r="ANX94" t="s">
        <v>1900</v>
      </c>
      <c r="ANY94" t="s">
        <v>1900</v>
      </c>
      <c r="ANZ94" t="s">
        <v>1900</v>
      </c>
      <c r="AOA94" t="s">
        <v>1900</v>
      </c>
      <c r="AOB94" t="s">
        <v>1900</v>
      </c>
      <c r="AOC94">
        <v>94.1911984399071</v>
      </c>
      <c r="AOD94">
        <v>102.667195304924</v>
      </c>
      <c r="AOE94">
        <v>107.263542405286</v>
      </c>
      <c r="AOF94">
        <v>101.550461373381</v>
      </c>
      <c r="AOG94">
        <v>102.380729653953</v>
      </c>
      <c r="AOH94" t="s">
        <v>1901</v>
      </c>
      <c r="AOI94" t="s">
        <v>1901</v>
      </c>
      <c r="AOJ94" t="s">
        <v>1901</v>
      </c>
      <c r="AOK94" t="s">
        <v>1901</v>
      </c>
      <c r="AOL94" t="s">
        <v>1901</v>
      </c>
      <c r="AOM94" t="s">
        <v>1900</v>
      </c>
      <c r="AON94" t="s">
        <v>1900</v>
      </c>
      <c r="AOO94" t="s">
        <v>1900</v>
      </c>
      <c r="AOP94" t="s">
        <v>1900</v>
      </c>
      <c r="AOQ94" t="s">
        <v>1900</v>
      </c>
      <c r="AOR94">
        <v>-5.80880156367746</v>
      </c>
      <c r="AOS94">
        <v>2.6671953067126</v>
      </c>
      <c r="AOT94">
        <v>7.26354240528625</v>
      </c>
      <c r="AOU94">
        <v>1.55046137478523</v>
      </c>
      <c r="AOV94">
        <v>2.38072965395259</v>
      </c>
      <c r="AOW94">
        <v>-11.2541248100229</v>
      </c>
      <c r="AOX94">
        <v>4.79201821924235</v>
      </c>
      <c r="AOY94">
        <v>10.4187256141124</v>
      </c>
      <c r="AOZ94">
        <v>2.1800228332464</v>
      </c>
      <c r="APA94">
        <v>3.41459352318393</v>
      </c>
      <c r="APB94">
        <v>-6.59942030422652</v>
      </c>
      <c r="APC94">
        <v>1.82332305557307</v>
      </c>
      <c r="APD94">
        <v>4.65845736861841</v>
      </c>
      <c r="APE94">
        <v>0.836190977551606</v>
      </c>
      <c r="APF94">
        <v>1.53065752981704</v>
      </c>
      <c r="APG94">
        <v>-6.59942030422652</v>
      </c>
      <c r="APH94">
        <v>1.82332305557307</v>
      </c>
      <c r="API94">
        <v>4.65845736861841</v>
      </c>
      <c r="APJ94">
        <v>0.836190977551606</v>
      </c>
      <c r="APK94">
        <v>1.53065752981704</v>
      </c>
      <c r="APL94" t="s">
        <v>1900</v>
      </c>
      <c r="APM94" t="s">
        <v>1900</v>
      </c>
      <c r="APN94" t="s">
        <v>1900</v>
      </c>
      <c r="APO94" t="s">
        <v>1900</v>
      </c>
      <c r="APP94" t="s">
        <v>1900</v>
      </c>
      <c r="APQ94">
        <v>-6.21607307847339</v>
      </c>
      <c r="APR94">
        <v>1.87195464376018</v>
      </c>
      <c r="APS94">
        <v>4.99682639502019</v>
      </c>
      <c r="APT94">
        <v>0.849155796435183</v>
      </c>
      <c r="APU94">
        <v>1.56709834752986</v>
      </c>
      <c r="APV94">
        <v>-6.21607307463752</v>
      </c>
      <c r="APW94">
        <v>1.87195464250491</v>
      </c>
      <c r="APX94">
        <v>4.99682639502019</v>
      </c>
      <c r="APY94">
        <v>0.849155795666243</v>
      </c>
      <c r="APZ94">
        <v>1.56709834752986</v>
      </c>
      <c r="AQA94">
        <v>-12.043183346252</v>
      </c>
      <c r="AQB94">
        <v>3.36324855398402</v>
      </c>
      <c r="AQC94">
        <v>7.16737925467071</v>
      </c>
      <c r="AQD94">
        <v>1.19395365490395</v>
      </c>
      <c r="AQE94">
        <v>2.24763187990863</v>
      </c>
      <c r="AQF94" t="s">
        <v>1900</v>
      </c>
      <c r="AQG94" t="s">
        <v>1900</v>
      </c>
      <c r="AQH94" t="s">
        <v>1900</v>
      </c>
      <c r="AQI94" t="s">
        <v>1900</v>
      </c>
      <c r="AQJ94" t="s">
        <v>1900</v>
      </c>
      <c r="AQK94">
        <v>3</v>
      </c>
      <c r="AQO94" t="s">
        <v>1903</v>
      </c>
      <c r="AQP94">
        <v>5</v>
      </c>
      <c r="AQQ94">
        <v>0</v>
      </c>
      <c r="AQS94" t="s">
        <v>1905</v>
      </c>
      <c r="AQU94" t="s">
        <v>1906</v>
      </c>
      <c r="AQV94">
        <v>1585751.83470336</v>
      </c>
      <c r="AQW94">
        <v>1691814.78836569</v>
      </c>
      <c r="AQX94">
        <v>1433440.86322227</v>
      </c>
      <c r="AQY94">
        <v>-97793.8266410506</v>
      </c>
      <c r="AQZ94">
        <v>43951.7262249947</v>
      </c>
      <c r="ARA94">
        <v>97068.0089619338</v>
      </c>
      <c r="ARB94">
        <v>4711007.48629132</v>
      </c>
      <c r="ARC94">
        <v>43225.90854587789</v>
      </c>
      <c r="ARD94">
        <v>0.009260482271056946</v>
      </c>
      <c r="ARE94">
        <v>0.009260482271056946</v>
      </c>
      <c r="ARF94">
        <v>0.009260482271056946</v>
      </c>
      <c r="ARG94">
        <v>0.009260482271056946</v>
      </c>
      <c r="ARH94">
        <v>0.009260482271056946</v>
      </c>
      <c r="ARI94">
        <v>0.009260482271056946</v>
      </c>
      <c r="ARJ94" t="s">
        <v>1255</v>
      </c>
      <c r="ARK94" t="s">
        <v>1593</v>
      </c>
      <c r="ARL94" t="s">
        <v>1908</v>
      </c>
      <c r="ARM94" t="s">
        <v>1908</v>
      </c>
      <c r="ARN94" t="s">
        <v>1909</v>
      </c>
      <c r="ARO94" t="s">
        <v>1908</v>
      </c>
      <c r="ARP94" t="s">
        <v>1907</v>
      </c>
      <c r="ARQ94" t="s">
        <v>1987</v>
      </c>
      <c r="ARR94">
        <f>HYPERLINK("C:\Users\Usuario\Documents\Proyectos\llmthon\evidence\providehcm_es_235639.png", "Ver Evidencia")</f>
        <v>0</v>
      </c>
      <c r="ARS94">
        <v>90</v>
      </c>
    </row>
    <row r="95" spans="1:1163">
      <c r="A95">
        <v>390</v>
      </c>
      <c r="B95" t="s">
        <v>1256</v>
      </c>
      <c r="C95" t="s">
        <v>1379</v>
      </c>
      <c r="E95" s="2">
        <v>41467</v>
      </c>
      <c r="F95" t="s">
        <v>1431</v>
      </c>
      <c r="G95" t="s">
        <v>1433</v>
      </c>
      <c r="H95" t="s">
        <v>1434</v>
      </c>
      <c r="I95" t="s">
        <v>1441</v>
      </c>
      <c r="J95" t="s">
        <v>1460</v>
      </c>
      <c r="L95" t="s">
        <v>1594</v>
      </c>
      <c r="N95" t="s">
        <v>1631</v>
      </c>
      <c r="O95" t="s">
        <v>1655</v>
      </c>
      <c r="P95">
        <v>6202</v>
      </c>
      <c r="Q95">
        <v>6202</v>
      </c>
      <c r="R95" t="s">
        <v>1763</v>
      </c>
      <c r="Z95" t="s">
        <v>1899</v>
      </c>
      <c r="AA95" s="2">
        <v>45657</v>
      </c>
      <c r="AB95">
        <v>2024</v>
      </c>
      <c r="AC95">
        <v>1811255.36905137</v>
      </c>
      <c r="AD95">
        <v>1677885.68251448</v>
      </c>
      <c r="AE95">
        <v>1425852.51983107</v>
      </c>
      <c r="AF95">
        <v>1460042.14643054</v>
      </c>
      <c r="AG95">
        <v>1632755.47923373</v>
      </c>
      <c r="AH95">
        <v>1811085.07263863</v>
      </c>
      <c r="AI95">
        <v>1677502.64514257</v>
      </c>
      <c r="AJ95">
        <v>1422029.38995936</v>
      </c>
      <c r="AK95">
        <v>1460042.14643054</v>
      </c>
      <c r="AL95">
        <v>1632755.47923373</v>
      </c>
      <c r="AM95">
        <v>971289.859965495</v>
      </c>
      <c r="AN95">
        <v>912092.5038859081</v>
      </c>
      <c r="AO95">
        <v>776115.832000935</v>
      </c>
      <c r="AP95">
        <v>796999.487707758</v>
      </c>
      <c r="AQ95">
        <v>903850.1265545849</v>
      </c>
      <c r="AR95">
        <v>839965.509085877</v>
      </c>
      <c r="AS95">
        <v>765793.178628569</v>
      </c>
      <c r="AT95">
        <v>649736.686763533</v>
      </c>
      <c r="AU95">
        <v>663042.658722782</v>
      </c>
      <c r="AV95">
        <v>728905.351452046</v>
      </c>
      <c r="AW95">
        <v>670238.3613447919</v>
      </c>
      <c r="AX95">
        <v>683890.087716468</v>
      </c>
      <c r="AY95">
        <v>759015.020007099</v>
      </c>
      <c r="AZ95">
        <v>569728.931273103</v>
      </c>
      <c r="BA95">
        <v>528857.659956234</v>
      </c>
      <c r="BB95">
        <v>169727.147741085</v>
      </c>
      <c r="BC95">
        <v>81903.0898071003</v>
      </c>
      <c r="BD95">
        <v>-109278.333243567</v>
      </c>
      <c r="BE95">
        <v>93313.7274496794</v>
      </c>
      <c r="BF95">
        <v>200047.691495812</v>
      </c>
      <c r="BG95">
        <v>6297.97524086952</v>
      </c>
      <c r="BH95">
        <v>-44.2000198364258</v>
      </c>
      <c r="BI95">
        <v>-42.6639795303345</v>
      </c>
      <c r="BJ95">
        <v>-22.652006149292</v>
      </c>
      <c r="BK95">
        <v>-3.3254391014576</v>
      </c>
      <c r="BL95">
        <v>6297.97524086952</v>
      </c>
      <c r="BM95" t="s">
        <v>1900</v>
      </c>
      <c r="BN95" t="s">
        <v>1900</v>
      </c>
      <c r="BO95" t="s">
        <v>1900</v>
      </c>
      <c r="BP95" t="s">
        <v>1900</v>
      </c>
      <c r="BQ95" t="s">
        <v>1900</v>
      </c>
      <c r="BR95">
        <v>44.2000198364258</v>
      </c>
      <c r="BS95">
        <v>42.6639795303345</v>
      </c>
      <c r="BT95">
        <v>22.652006149292</v>
      </c>
      <c r="BU95">
        <v>3.3254391014576</v>
      </c>
      <c r="BV95">
        <v>176025.122981955</v>
      </c>
      <c r="BW95">
        <v>81858.88978726391</v>
      </c>
      <c r="BX95">
        <v>-109320.997223097</v>
      </c>
      <c r="BY95">
        <v>93291.07544353011</v>
      </c>
      <c r="BZ95">
        <v>200044.36605671</v>
      </c>
      <c r="CA95">
        <v>24905.9023088634</v>
      </c>
      <c r="CB95" t="s">
        <v>1900</v>
      </c>
      <c r="CC95" t="s">
        <v>1900</v>
      </c>
      <c r="CD95">
        <v>15859.4849773407</v>
      </c>
      <c r="CE95">
        <v>28726.689103508</v>
      </c>
      <c r="CF95">
        <v>151119.220673091</v>
      </c>
      <c r="CG95">
        <v>81858.88978726391</v>
      </c>
      <c r="CH95">
        <v>-109320.997223097</v>
      </c>
      <c r="CI95">
        <v>77431.5893335891</v>
      </c>
      <c r="CJ95">
        <v>171317.676953202</v>
      </c>
      <c r="CK95" t="s">
        <v>1900</v>
      </c>
      <c r="CL95" t="s">
        <v>1900</v>
      </c>
      <c r="CM95" t="s">
        <v>1900</v>
      </c>
      <c r="CN95" t="s">
        <v>1900</v>
      </c>
      <c r="CO95" t="s">
        <v>1900</v>
      </c>
      <c r="CP95" t="s">
        <v>1900</v>
      </c>
      <c r="CQ95" t="s">
        <v>1900</v>
      </c>
      <c r="CR95" t="s">
        <v>1900</v>
      </c>
      <c r="CS95" t="s">
        <v>1900</v>
      </c>
      <c r="CT95" t="s">
        <v>1900</v>
      </c>
      <c r="CU95" t="s">
        <v>1900</v>
      </c>
      <c r="CV95" t="s">
        <v>1900</v>
      </c>
      <c r="CW95" t="s">
        <v>1900</v>
      </c>
      <c r="CX95" t="s">
        <v>1900</v>
      </c>
      <c r="CY95" t="s">
        <v>1900</v>
      </c>
      <c r="CZ95">
        <v>151119.220673091</v>
      </c>
      <c r="DA95">
        <v>81858.88978726391</v>
      </c>
      <c r="DB95">
        <v>-109320.997223097</v>
      </c>
      <c r="DC95">
        <v>77431.5893335891</v>
      </c>
      <c r="DD95">
        <v>171317.676953202</v>
      </c>
      <c r="DE95" t="s">
        <v>1900</v>
      </c>
      <c r="DF95" t="s">
        <v>1900</v>
      </c>
      <c r="DG95" t="s">
        <v>1900</v>
      </c>
      <c r="DH95" t="s">
        <v>1900</v>
      </c>
      <c r="DI95" t="s">
        <v>1900</v>
      </c>
      <c r="DJ95">
        <v>971289.859965495</v>
      </c>
      <c r="DK95">
        <v>912092.5038859081</v>
      </c>
      <c r="DL95">
        <v>776115.832000935</v>
      </c>
      <c r="DM95">
        <v>796999.487707758</v>
      </c>
      <c r="DN95">
        <v>903850.1265545849</v>
      </c>
      <c r="DO95">
        <v>550198.8593372999</v>
      </c>
      <c r="DP95">
        <v>522887.041315279</v>
      </c>
      <c r="DQ95">
        <v>635079.168348634</v>
      </c>
      <c r="DR95">
        <v>499840.311616588</v>
      </c>
      <c r="DS95">
        <v>410221.111906695</v>
      </c>
      <c r="DT95">
        <v>26158.4515403509</v>
      </c>
      <c r="DU95">
        <v>59406.8709110737</v>
      </c>
      <c r="DV95">
        <v>34423.4212180555</v>
      </c>
      <c r="DW95">
        <v>27481.6177283764</v>
      </c>
      <c r="DX95">
        <v>27606.8750958264</v>
      </c>
      <c r="DY95">
        <v>93881.04942824109</v>
      </c>
      <c r="DZ95">
        <v>101596.176595116</v>
      </c>
      <c r="EA95">
        <v>89512.43044040979</v>
      </c>
      <c r="EB95">
        <v>42407.0019281387</v>
      </c>
      <c r="EC95">
        <v>91029.67418081161</v>
      </c>
      <c r="ED95" t="s">
        <v>1900</v>
      </c>
      <c r="EE95">
        <v>44.2000198364258</v>
      </c>
      <c r="EF95">
        <v>42.6639795303345</v>
      </c>
      <c r="EG95">
        <v>22.652006149292</v>
      </c>
      <c r="EH95">
        <v>3.3254391014576</v>
      </c>
      <c r="EI95" t="s">
        <v>1900</v>
      </c>
      <c r="EJ95" t="s">
        <v>1900</v>
      </c>
      <c r="EK95" t="s">
        <v>1900</v>
      </c>
      <c r="EL95" t="s">
        <v>1900</v>
      </c>
      <c r="EM95" t="s">
        <v>1900</v>
      </c>
      <c r="EN95">
        <v>177277.672213442</v>
      </c>
      <c r="EO95">
        <v>141265.760698338</v>
      </c>
      <c r="EP95">
        <v>-74897.5760050416</v>
      </c>
      <c r="EQ95">
        <v>104913.207061965</v>
      </c>
      <c r="ER95">
        <v>198924.552049029</v>
      </c>
      <c r="ES95">
        <v>752382.433859606</v>
      </c>
      <c r="ET95">
        <v>664197.002033453</v>
      </c>
      <c r="EU95">
        <v>560224.255256523</v>
      </c>
      <c r="EV95">
        <v>620635.656794643</v>
      </c>
      <c r="EW95">
        <v>637875.678498334</v>
      </c>
      <c r="EX95">
        <v>195885.599281436</v>
      </c>
      <c r="EY95">
        <v>141309.960718174</v>
      </c>
      <c r="EZ95">
        <v>-74854.91202551129</v>
      </c>
      <c r="FA95">
        <v>120795.344045455</v>
      </c>
      <c r="FB95">
        <v>227654.565364539</v>
      </c>
      <c r="FC95">
        <v>234956.470881675</v>
      </c>
      <c r="FD95">
        <v>356302.570004215</v>
      </c>
      <c r="FE95">
        <v>316063.794458383</v>
      </c>
      <c r="FF95">
        <v>302566.617695117</v>
      </c>
      <c r="FG95">
        <v>342424.685498679</v>
      </c>
      <c r="FH95">
        <v>0</v>
      </c>
      <c r="FI95">
        <v>0</v>
      </c>
      <c r="FJ95">
        <v>0</v>
      </c>
      <c r="FK95">
        <v>0</v>
      </c>
      <c r="FL95">
        <v>0</v>
      </c>
      <c r="FM95">
        <v>30794.3849066913</v>
      </c>
      <c r="FN95">
        <v>56275.4431557274</v>
      </c>
      <c r="FO95">
        <v>101125.182759351</v>
      </c>
      <c r="FP95">
        <v>74327.6766715765</v>
      </c>
      <c r="FQ95">
        <v>95142.53063172101</v>
      </c>
      <c r="FR95">
        <v>204162.085974984</v>
      </c>
      <c r="FS95">
        <v>300027.126848488</v>
      </c>
      <c r="FT95">
        <v>214938.611699033</v>
      </c>
      <c r="FU95">
        <v>228238.941023541</v>
      </c>
      <c r="FV95">
        <v>247282.154866958</v>
      </c>
      <c r="FW95">
        <v>0</v>
      </c>
      <c r="FX95">
        <v>0</v>
      </c>
      <c r="FY95">
        <v>0</v>
      </c>
      <c r="FZ95">
        <v>0</v>
      </c>
      <c r="GA95">
        <v>0</v>
      </c>
      <c r="GB95">
        <v>30794.3849066913</v>
      </c>
      <c r="GC95">
        <v>56275.4431557274</v>
      </c>
      <c r="GD95">
        <v>101125.182759351</v>
      </c>
      <c r="GE95">
        <v>74327.6766715765</v>
      </c>
      <c r="GF95">
        <v>95142.53063172101</v>
      </c>
      <c r="GG95">
        <v>204162.085974984</v>
      </c>
      <c r="GH95">
        <v>300027.126848488</v>
      </c>
      <c r="GI95">
        <v>214938.611699033</v>
      </c>
      <c r="GJ95">
        <v>228238.941023541</v>
      </c>
      <c r="GK95">
        <v>247282.154866958</v>
      </c>
      <c r="GL95">
        <v>786081.301379781</v>
      </c>
      <c r="GM95">
        <v>597108.841725111</v>
      </c>
      <c r="GN95">
        <v>589369.108671773</v>
      </c>
      <c r="GO95">
        <v>740139.9395562171</v>
      </c>
      <c r="GP95">
        <v>754611.401876181</v>
      </c>
      <c r="GQ95">
        <v>58027.1624622881</v>
      </c>
      <c r="GR95">
        <v>97685.77874017719</v>
      </c>
      <c r="GS95">
        <v>93184.5202251851</v>
      </c>
      <c r="GT95">
        <v>78256.2027720451</v>
      </c>
      <c r="GU95">
        <v>84458.70468427541</v>
      </c>
      <c r="GV95">
        <v>253515.548893256</v>
      </c>
      <c r="GW95">
        <v>330427.580041838</v>
      </c>
      <c r="GX95">
        <v>245834.18044771</v>
      </c>
      <c r="GY95">
        <v>333433.181332397</v>
      </c>
      <c r="GZ95">
        <v>319713.715729708</v>
      </c>
      <c r="HA95">
        <v>474538.590024236</v>
      </c>
      <c r="HB95">
        <v>168995.482943096</v>
      </c>
      <c r="HC95">
        <v>250350.407998878</v>
      </c>
      <c r="HD95">
        <v>328450.555451775</v>
      </c>
      <c r="HE95">
        <v>350438.981462199</v>
      </c>
      <c r="HF95">
        <v>466261.220266079</v>
      </c>
      <c r="HG95">
        <v>168995.482943096</v>
      </c>
      <c r="HH95">
        <v>250350.407998878</v>
      </c>
      <c r="HI95">
        <v>328450.555451775</v>
      </c>
      <c r="HJ95">
        <v>350438.981462199</v>
      </c>
      <c r="HK95">
        <v>1021037.77226146</v>
      </c>
      <c r="HL95">
        <v>953411.411729326</v>
      </c>
      <c r="HM95">
        <v>905432.903130156</v>
      </c>
      <c r="HN95">
        <v>1042706.55725133</v>
      </c>
      <c r="HO95">
        <v>1097036.08737486</v>
      </c>
      <c r="HP95">
        <v>746231.546015737</v>
      </c>
      <c r="HQ95">
        <v>672756.9215250399</v>
      </c>
      <c r="HR95">
        <v>608760.7086499149</v>
      </c>
      <c r="HS95">
        <v>828458.843019962</v>
      </c>
      <c r="HT95">
        <v>813689.533181602</v>
      </c>
      <c r="HU95">
        <v>155834.931135178</v>
      </c>
      <c r="HV95">
        <v>165750.074386597</v>
      </c>
      <c r="HW95">
        <v>159989.923238754</v>
      </c>
      <c r="HX95">
        <v>169890.04611969</v>
      </c>
      <c r="HY95">
        <v>184064.894914627</v>
      </c>
      <c r="HZ95">
        <v>590396.61488056</v>
      </c>
      <c r="IA95">
        <v>507006.847138443</v>
      </c>
      <c r="IB95">
        <v>448770.785411161</v>
      </c>
      <c r="IC95">
        <v>658568.796900272</v>
      </c>
      <c r="ID95">
        <v>629624.6382669749</v>
      </c>
      <c r="IE95">
        <v>0</v>
      </c>
      <c r="IF95">
        <v>0</v>
      </c>
      <c r="IG95">
        <v>0</v>
      </c>
      <c r="IH95">
        <v>0</v>
      </c>
      <c r="II95">
        <v>0</v>
      </c>
      <c r="IJ95" t="s">
        <v>1900</v>
      </c>
      <c r="IK95" t="s">
        <v>1900</v>
      </c>
      <c r="IL95" t="s">
        <v>1900</v>
      </c>
      <c r="IM95" t="s">
        <v>1900</v>
      </c>
      <c r="IN95" t="s">
        <v>1900</v>
      </c>
      <c r="IO95" t="s">
        <v>1900</v>
      </c>
      <c r="IP95" t="s">
        <v>1900</v>
      </c>
      <c r="IQ95" t="s">
        <v>1900</v>
      </c>
      <c r="IR95" t="s">
        <v>1900</v>
      </c>
      <c r="IS95" t="s">
        <v>1900</v>
      </c>
      <c r="IT95" t="s">
        <v>1900</v>
      </c>
      <c r="IU95" t="s">
        <v>1900</v>
      </c>
      <c r="IV95" t="s">
        <v>1900</v>
      </c>
      <c r="IW95" t="s">
        <v>1900</v>
      </c>
      <c r="IX95" t="s">
        <v>1900</v>
      </c>
      <c r="IY95">
        <v>274806.226245719</v>
      </c>
      <c r="IZ95">
        <v>280654.490204287</v>
      </c>
      <c r="JA95">
        <v>296672.19448024</v>
      </c>
      <c r="JB95">
        <v>214247.714231372</v>
      </c>
      <c r="JC95">
        <v>283346.554193258</v>
      </c>
      <c r="JD95">
        <v>0</v>
      </c>
      <c r="JE95">
        <v>0</v>
      </c>
      <c r="JF95">
        <v>0</v>
      </c>
      <c r="JG95">
        <v>0</v>
      </c>
      <c r="JH95">
        <v>0</v>
      </c>
      <c r="JI95">
        <v>113928.030012205</v>
      </c>
      <c r="JJ95">
        <v>159558.856058054</v>
      </c>
      <c r="JK95">
        <v>113708.667537946</v>
      </c>
      <c r="JL95">
        <v>109609.252219391</v>
      </c>
      <c r="JM95">
        <v>122761.149067843</v>
      </c>
      <c r="JN95">
        <v>160878.196233515</v>
      </c>
      <c r="JO95">
        <v>121095.634146233</v>
      </c>
      <c r="JP95">
        <v>182963.526942295</v>
      </c>
      <c r="JQ95">
        <v>104638.462011981</v>
      </c>
      <c r="JR95">
        <v>160585.405125415</v>
      </c>
      <c r="JS95">
        <v>1021037.77226146</v>
      </c>
      <c r="JT95">
        <v>953411.411729326</v>
      </c>
      <c r="JU95">
        <v>905432.903130156</v>
      </c>
      <c r="JV95">
        <v>1042706.55725133</v>
      </c>
      <c r="JW95">
        <v>1097036.08737486</v>
      </c>
      <c r="JX95">
        <v>197614.68030444</v>
      </c>
      <c r="JY95">
        <v>268554.50161896</v>
      </c>
      <c r="JZ95">
        <v>225310.033134949</v>
      </c>
      <c r="KA95">
        <v>302080.130752451</v>
      </c>
      <c r="KB95">
        <v>281411.270119041</v>
      </c>
      <c r="KC95" t="s">
        <v>1900</v>
      </c>
      <c r="KD95" t="s">
        <v>1900</v>
      </c>
      <c r="KE95" t="s">
        <v>1900</v>
      </c>
      <c r="KF95" t="s">
        <v>1900</v>
      </c>
      <c r="KG95" t="s">
        <v>1900</v>
      </c>
      <c r="KH95" t="s">
        <v>1900</v>
      </c>
      <c r="KI95" t="s">
        <v>1900</v>
      </c>
      <c r="KJ95" t="s">
        <v>1900</v>
      </c>
      <c r="KK95" t="s">
        <v>1900</v>
      </c>
      <c r="KL95" t="s">
        <v>1900</v>
      </c>
      <c r="KM95">
        <v>10</v>
      </c>
      <c r="KN95">
        <v>10</v>
      </c>
      <c r="KO95" t="s">
        <v>1900</v>
      </c>
      <c r="KP95">
        <v>9</v>
      </c>
      <c r="KQ95">
        <v>9</v>
      </c>
      <c r="KR95" t="s">
        <v>1900</v>
      </c>
      <c r="KS95" t="s">
        <v>1900</v>
      </c>
      <c r="KT95" t="s">
        <v>1900</v>
      </c>
      <c r="KU95" t="s">
        <v>1900</v>
      </c>
      <c r="KV95" t="s">
        <v>1900</v>
      </c>
      <c r="KW95" t="s">
        <v>1900</v>
      </c>
      <c r="KX95" t="s">
        <v>1900</v>
      </c>
      <c r="KY95" t="s">
        <v>1900</v>
      </c>
      <c r="KZ95" t="s">
        <v>1900</v>
      </c>
      <c r="LA95" t="s">
        <v>1900</v>
      </c>
      <c r="LB95" t="s">
        <v>1900</v>
      </c>
      <c r="LC95" t="s">
        <v>1900</v>
      </c>
      <c r="LD95" t="s">
        <v>1900</v>
      </c>
      <c r="LE95" t="s">
        <v>1900</v>
      </c>
      <c r="LF95" t="s">
        <v>1900</v>
      </c>
      <c r="LG95" t="s">
        <v>1900</v>
      </c>
      <c r="LH95" t="s">
        <v>1900</v>
      </c>
      <c r="LI95" t="s">
        <v>1900</v>
      </c>
      <c r="LJ95" t="s">
        <v>1900</v>
      </c>
      <c r="LK95" t="s">
        <v>1900</v>
      </c>
      <c r="LL95" t="s">
        <v>1900</v>
      </c>
      <c r="LM95" t="s">
        <v>1900</v>
      </c>
      <c r="LN95" t="s">
        <v>1900</v>
      </c>
      <c r="LO95" t="s">
        <v>1900</v>
      </c>
      <c r="LP95" t="s">
        <v>1900</v>
      </c>
      <c r="LQ95" t="s">
        <v>1900</v>
      </c>
      <c r="LR95" t="s">
        <v>1900</v>
      </c>
      <c r="LS95" t="s">
        <v>1900</v>
      </c>
      <c r="LT95" t="s">
        <v>1900</v>
      </c>
      <c r="LU95" t="s">
        <v>1900</v>
      </c>
      <c r="LV95" t="s">
        <v>1900</v>
      </c>
      <c r="LW95" t="s">
        <v>1900</v>
      </c>
      <c r="LX95" t="s">
        <v>1900</v>
      </c>
      <c r="LY95" t="s">
        <v>1900</v>
      </c>
      <c r="LZ95" t="s">
        <v>1900</v>
      </c>
      <c r="MA95" t="s">
        <v>1900</v>
      </c>
      <c r="MB95" t="s">
        <v>1900</v>
      </c>
      <c r="MC95" t="s">
        <v>1900</v>
      </c>
      <c r="MD95" t="s">
        <v>1900</v>
      </c>
      <c r="ME95" t="s">
        <v>1900</v>
      </c>
      <c r="MF95" t="s">
        <v>1900</v>
      </c>
      <c r="MG95" t="s">
        <v>1900</v>
      </c>
      <c r="MH95" t="s">
        <v>1900</v>
      </c>
      <c r="MI95" t="s">
        <v>1900</v>
      </c>
      <c r="MJ95" t="s">
        <v>1900</v>
      </c>
      <c r="MK95" t="s">
        <v>1900</v>
      </c>
      <c r="ML95" t="s">
        <v>1900</v>
      </c>
      <c r="MM95" t="s">
        <v>1900</v>
      </c>
      <c r="MN95" t="s">
        <v>1900</v>
      </c>
      <c r="MO95" t="s">
        <v>1900</v>
      </c>
      <c r="MP95">
        <v>474538.590024236</v>
      </c>
      <c r="MQ95">
        <v>168995.482943096</v>
      </c>
      <c r="MR95">
        <v>250350.407998878</v>
      </c>
      <c r="MS95">
        <v>328450.555451775</v>
      </c>
      <c r="MT95">
        <v>350438.981462199</v>
      </c>
      <c r="MU95" t="s">
        <v>1900</v>
      </c>
      <c r="MV95" t="s">
        <v>1900</v>
      </c>
      <c r="MW95" t="s">
        <v>1900</v>
      </c>
      <c r="MX95" t="s">
        <v>1900</v>
      </c>
      <c r="MY95" t="s">
        <v>1900</v>
      </c>
      <c r="MZ95" t="s">
        <v>1900</v>
      </c>
      <c r="NA95" t="s">
        <v>1900</v>
      </c>
      <c r="NB95" t="s">
        <v>1900</v>
      </c>
      <c r="NC95" t="s">
        <v>1900</v>
      </c>
      <c r="ND95" t="s">
        <v>1900</v>
      </c>
      <c r="NE95" t="s">
        <v>1900</v>
      </c>
      <c r="NF95" t="s">
        <v>1900</v>
      </c>
      <c r="NG95" t="s">
        <v>1900</v>
      </c>
      <c r="NH95" t="s">
        <v>1900</v>
      </c>
      <c r="NI95" t="s">
        <v>1900</v>
      </c>
      <c r="NJ95" t="s">
        <v>1900</v>
      </c>
      <c r="NK95" t="s">
        <v>1900</v>
      </c>
      <c r="NL95" t="s">
        <v>1900</v>
      </c>
      <c r="NM95" t="s">
        <v>1900</v>
      </c>
      <c r="NN95" t="s">
        <v>1900</v>
      </c>
      <c r="NO95" t="s">
        <v>1900</v>
      </c>
      <c r="NP95" t="s">
        <v>1900</v>
      </c>
      <c r="NQ95" t="s">
        <v>1900</v>
      </c>
      <c r="NR95" t="s">
        <v>1900</v>
      </c>
      <c r="NS95" t="s">
        <v>1900</v>
      </c>
      <c r="NT95">
        <v>234956.470881675</v>
      </c>
      <c r="NU95">
        <v>356302.570004215</v>
      </c>
      <c r="NV95">
        <v>316063.794458383</v>
      </c>
      <c r="NW95">
        <v>302566.617695117</v>
      </c>
      <c r="NX95">
        <v>342424.685498679</v>
      </c>
      <c r="NY95" t="s">
        <v>1900</v>
      </c>
      <c r="NZ95" t="s">
        <v>1900</v>
      </c>
      <c r="OA95" t="s">
        <v>1900</v>
      </c>
      <c r="OB95" t="s">
        <v>1900</v>
      </c>
      <c r="OC95" t="s">
        <v>1900</v>
      </c>
      <c r="OD95" t="s">
        <v>1900</v>
      </c>
      <c r="OE95" t="s">
        <v>1900</v>
      </c>
      <c r="OF95" t="s">
        <v>1900</v>
      </c>
      <c r="OG95" t="s">
        <v>1900</v>
      </c>
      <c r="OH95" t="s">
        <v>1900</v>
      </c>
      <c r="OI95" t="s">
        <v>1900</v>
      </c>
      <c r="OJ95" t="s">
        <v>1900</v>
      </c>
      <c r="OK95" t="s">
        <v>1900</v>
      </c>
      <c r="OL95" t="s">
        <v>1900</v>
      </c>
      <c r="OM95" t="s">
        <v>1900</v>
      </c>
      <c r="ON95" t="s">
        <v>1900</v>
      </c>
      <c r="OO95" t="s">
        <v>1900</v>
      </c>
      <c r="OP95" t="s">
        <v>1900</v>
      </c>
      <c r="OQ95" t="s">
        <v>1900</v>
      </c>
      <c r="OR95" t="s">
        <v>1900</v>
      </c>
      <c r="OS95" t="s">
        <v>1900</v>
      </c>
      <c r="OT95" t="s">
        <v>1900</v>
      </c>
      <c r="OU95" t="s">
        <v>1900</v>
      </c>
      <c r="OV95" t="s">
        <v>1900</v>
      </c>
      <c r="OW95" t="s">
        <v>1900</v>
      </c>
      <c r="OX95" t="s">
        <v>1900</v>
      </c>
      <c r="OY95" t="s">
        <v>1900</v>
      </c>
      <c r="OZ95" t="s">
        <v>1900</v>
      </c>
      <c r="PA95" t="s">
        <v>1900</v>
      </c>
      <c r="PB95" t="s">
        <v>1900</v>
      </c>
      <c r="PC95" t="s">
        <v>1900</v>
      </c>
      <c r="PD95" t="s">
        <v>1900</v>
      </c>
      <c r="PE95" t="s">
        <v>1900</v>
      </c>
      <c r="PF95" t="s">
        <v>1900</v>
      </c>
      <c r="PG95" t="s">
        <v>1900</v>
      </c>
      <c r="PH95" t="s">
        <v>1900</v>
      </c>
      <c r="PI95" t="s">
        <v>1900</v>
      </c>
      <c r="PJ95" t="s">
        <v>1900</v>
      </c>
      <c r="PK95" t="s">
        <v>1900</v>
      </c>
      <c r="PL95" t="s">
        <v>1900</v>
      </c>
      <c r="PM95" t="s">
        <v>1900</v>
      </c>
      <c r="PN95" t="s">
        <v>1900</v>
      </c>
      <c r="PO95" t="s">
        <v>1900</v>
      </c>
      <c r="PP95" t="s">
        <v>1900</v>
      </c>
      <c r="PQ95" t="s">
        <v>1900</v>
      </c>
      <c r="PR95" t="s">
        <v>1900</v>
      </c>
      <c r="PS95" t="s">
        <v>1900</v>
      </c>
      <c r="PT95" t="s">
        <v>1900</v>
      </c>
      <c r="PU95" t="s">
        <v>1900</v>
      </c>
      <c r="PV95" t="s">
        <v>1900</v>
      </c>
      <c r="PW95" t="s">
        <v>1900</v>
      </c>
      <c r="PX95" t="s">
        <v>1900</v>
      </c>
      <c r="PY95" t="s">
        <v>1900</v>
      </c>
      <c r="PZ95" t="s">
        <v>1900</v>
      </c>
      <c r="QA95" t="s">
        <v>1900</v>
      </c>
      <c r="QB95" t="s">
        <v>1900</v>
      </c>
      <c r="QC95" t="s">
        <v>1900</v>
      </c>
      <c r="QD95" t="s">
        <v>1900</v>
      </c>
      <c r="QE95" t="s">
        <v>1900</v>
      </c>
      <c r="QF95" t="s">
        <v>1900</v>
      </c>
      <c r="QG95" t="s">
        <v>1900</v>
      </c>
      <c r="QH95" t="s">
        <v>1900</v>
      </c>
      <c r="QI95" t="s">
        <v>1900</v>
      </c>
      <c r="QJ95" t="s">
        <v>1900</v>
      </c>
      <c r="QK95" t="s">
        <v>1900</v>
      </c>
      <c r="QL95" t="s">
        <v>1900</v>
      </c>
      <c r="QM95" t="s">
        <v>1900</v>
      </c>
      <c r="QN95" t="s">
        <v>1900</v>
      </c>
      <c r="QO95" t="s">
        <v>1900</v>
      </c>
      <c r="QP95" t="s">
        <v>1900</v>
      </c>
      <c r="QQ95" t="s">
        <v>1900</v>
      </c>
      <c r="QR95" t="s">
        <v>1900</v>
      </c>
      <c r="QS95" t="s">
        <v>1900</v>
      </c>
      <c r="QT95" t="s">
        <v>1900</v>
      </c>
      <c r="QU95" t="s">
        <v>1900</v>
      </c>
      <c r="QV95" t="s">
        <v>1900</v>
      </c>
      <c r="QW95" t="s">
        <v>1900</v>
      </c>
      <c r="QX95" t="s">
        <v>1900</v>
      </c>
      <c r="QY95" t="s">
        <v>1900</v>
      </c>
      <c r="QZ95" t="s">
        <v>1900</v>
      </c>
      <c r="RA95" t="s">
        <v>1900</v>
      </c>
      <c r="RB95" t="s">
        <v>1900</v>
      </c>
      <c r="RC95" t="s">
        <v>1900</v>
      </c>
      <c r="RD95" t="s">
        <v>1900</v>
      </c>
      <c r="RE95" t="s">
        <v>1900</v>
      </c>
      <c r="RF95" t="s">
        <v>1900</v>
      </c>
      <c r="RG95" t="s">
        <v>1900</v>
      </c>
      <c r="RH95" t="s">
        <v>1900</v>
      </c>
      <c r="RI95" t="s">
        <v>1900</v>
      </c>
      <c r="RJ95" t="s">
        <v>1900</v>
      </c>
      <c r="RK95" t="s">
        <v>1900</v>
      </c>
      <c r="RL95" t="s">
        <v>1900</v>
      </c>
      <c r="RM95" t="s">
        <v>1900</v>
      </c>
      <c r="RN95" t="s">
        <v>1900</v>
      </c>
      <c r="RO95" t="s">
        <v>1900</v>
      </c>
      <c r="RP95" t="s">
        <v>1900</v>
      </c>
      <c r="RQ95" t="s">
        <v>1900</v>
      </c>
      <c r="RR95" t="s">
        <v>1900</v>
      </c>
      <c r="RS95" t="s">
        <v>1900</v>
      </c>
      <c r="RT95" t="s">
        <v>1900</v>
      </c>
      <c r="RU95" t="s">
        <v>1900</v>
      </c>
      <c r="RV95" t="s">
        <v>1900</v>
      </c>
      <c r="RW95" t="s">
        <v>1900</v>
      </c>
      <c r="RX95" t="s">
        <v>1900</v>
      </c>
      <c r="RY95" t="s">
        <v>1900</v>
      </c>
      <c r="RZ95" t="s">
        <v>1900</v>
      </c>
      <c r="SA95" t="s">
        <v>1900</v>
      </c>
      <c r="SB95" t="s">
        <v>1900</v>
      </c>
      <c r="SC95" t="s">
        <v>1900</v>
      </c>
      <c r="SD95" t="s">
        <v>1900</v>
      </c>
      <c r="SE95" t="s">
        <v>1900</v>
      </c>
      <c r="SF95" t="s">
        <v>1900</v>
      </c>
      <c r="SG95" t="s">
        <v>1900</v>
      </c>
      <c r="SH95" t="s">
        <v>1900</v>
      </c>
      <c r="SI95" t="s">
        <v>1900</v>
      </c>
      <c r="SJ95">
        <v>204162.085974984</v>
      </c>
      <c r="SK95">
        <v>300027.126848488</v>
      </c>
      <c r="SL95">
        <v>214938.611699033</v>
      </c>
      <c r="SM95">
        <v>228238.941023541</v>
      </c>
      <c r="SN95">
        <v>247282.154866958</v>
      </c>
      <c r="SO95" t="s">
        <v>1900</v>
      </c>
      <c r="SP95" t="s">
        <v>1900</v>
      </c>
      <c r="SQ95" t="s">
        <v>1900</v>
      </c>
      <c r="SR95" t="s">
        <v>1900</v>
      </c>
      <c r="SS95" t="s">
        <v>1900</v>
      </c>
      <c r="ST95" t="s">
        <v>1900</v>
      </c>
      <c r="SU95" t="s">
        <v>1900</v>
      </c>
      <c r="SV95" t="s">
        <v>1900</v>
      </c>
      <c r="SW95" t="s">
        <v>1900</v>
      </c>
      <c r="SX95" t="s">
        <v>1900</v>
      </c>
      <c r="SY95" t="s">
        <v>1900</v>
      </c>
      <c r="SZ95" t="s">
        <v>1900</v>
      </c>
      <c r="TA95" t="s">
        <v>1900</v>
      </c>
      <c r="TB95" t="s">
        <v>1900</v>
      </c>
      <c r="TC95" t="s">
        <v>1900</v>
      </c>
      <c r="TD95" t="s">
        <v>1900</v>
      </c>
      <c r="TE95" t="s">
        <v>1900</v>
      </c>
      <c r="TF95" t="s">
        <v>1900</v>
      </c>
      <c r="TG95" t="s">
        <v>1900</v>
      </c>
      <c r="TH95" t="s">
        <v>1900</v>
      </c>
      <c r="TI95" t="s">
        <v>1900</v>
      </c>
      <c r="TJ95" t="s">
        <v>1900</v>
      </c>
      <c r="TK95" t="s">
        <v>1900</v>
      </c>
      <c r="TL95" t="s">
        <v>1900</v>
      </c>
      <c r="TM95" t="s">
        <v>1900</v>
      </c>
      <c r="TN95" t="s">
        <v>1900</v>
      </c>
      <c r="TO95" t="s">
        <v>1900</v>
      </c>
      <c r="TP95" t="s">
        <v>1900</v>
      </c>
      <c r="TQ95" t="s">
        <v>1900</v>
      </c>
      <c r="TR95" t="s">
        <v>1900</v>
      </c>
      <c r="TS95">
        <v>1021037.77226146</v>
      </c>
      <c r="TT95">
        <v>953411.411729326</v>
      </c>
      <c r="TU95">
        <v>905432.903130156</v>
      </c>
      <c r="TV95">
        <v>1042706.55725133</v>
      </c>
      <c r="TW95">
        <v>1097036.08737486</v>
      </c>
      <c r="TX95" t="s">
        <v>1900</v>
      </c>
      <c r="TY95" t="s">
        <v>1900</v>
      </c>
      <c r="TZ95" t="s">
        <v>1900</v>
      </c>
      <c r="UA95" t="s">
        <v>1900</v>
      </c>
      <c r="UB95" t="s">
        <v>1900</v>
      </c>
      <c r="UC95">
        <v>0</v>
      </c>
      <c r="UD95">
        <v>0</v>
      </c>
      <c r="UE95">
        <v>0</v>
      </c>
      <c r="UF95">
        <v>0</v>
      </c>
      <c r="UG95">
        <v>0</v>
      </c>
      <c r="UH95" t="s">
        <v>1900</v>
      </c>
      <c r="UI95" t="s">
        <v>1900</v>
      </c>
      <c r="UJ95" t="s">
        <v>1900</v>
      </c>
      <c r="UK95" t="s">
        <v>1900</v>
      </c>
      <c r="UL95" t="s">
        <v>1900</v>
      </c>
      <c r="UM95" t="s">
        <v>1900</v>
      </c>
      <c r="UN95" t="s">
        <v>1900</v>
      </c>
      <c r="UO95" t="s">
        <v>1900</v>
      </c>
      <c r="UP95" t="s">
        <v>1900</v>
      </c>
      <c r="UQ95" t="s">
        <v>1900</v>
      </c>
      <c r="UR95" t="s">
        <v>1900</v>
      </c>
      <c r="US95" t="s">
        <v>1900</v>
      </c>
      <c r="UT95" t="s">
        <v>1900</v>
      </c>
      <c r="UU95" t="s">
        <v>1900</v>
      </c>
      <c r="UV95" t="s">
        <v>1900</v>
      </c>
      <c r="UW95" t="s">
        <v>1900</v>
      </c>
      <c r="UX95" t="s">
        <v>1900</v>
      </c>
      <c r="UY95" t="s">
        <v>1900</v>
      </c>
      <c r="UZ95" t="s">
        <v>1900</v>
      </c>
      <c r="VA95" t="s">
        <v>1900</v>
      </c>
      <c r="VB95" t="s">
        <v>1900</v>
      </c>
      <c r="VC95" t="s">
        <v>1900</v>
      </c>
      <c r="VD95" t="s">
        <v>1900</v>
      </c>
      <c r="VE95" t="s">
        <v>1900</v>
      </c>
      <c r="VF95" t="s">
        <v>1900</v>
      </c>
      <c r="VG95" t="s">
        <v>1900</v>
      </c>
      <c r="VH95" t="s">
        <v>1900</v>
      </c>
      <c r="VI95" t="s">
        <v>1900</v>
      </c>
      <c r="VJ95" t="s">
        <v>1900</v>
      </c>
      <c r="VK95" t="s">
        <v>1900</v>
      </c>
      <c r="VL95" t="s">
        <v>1900</v>
      </c>
      <c r="VM95" t="s">
        <v>1900</v>
      </c>
      <c r="VN95" t="s">
        <v>1900</v>
      </c>
      <c r="VO95" t="s">
        <v>1900</v>
      </c>
      <c r="VP95" t="s">
        <v>1900</v>
      </c>
      <c r="VQ95" t="s">
        <v>1900</v>
      </c>
      <c r="VR95" t="s">
        <v>1900</v>
      </c>
      <c r="VS95" t="s">
        <v>1900</v>
      </c>
      <c r="VT95" t="s">
        <v>1900</v>
      </c>
      <c r="VU95" t="s">
        <v>1900</v>
      </c>
      <c r="VV95" t="s">
        <v>1900</v>
      </c>
      <c r="VW95" t="s">
        <v>1900</v>
      </c>
      <c r="VX95" t="s">
        <v>1900</v>
      </c>
      <c r="VY95" t="s">
        <v>1900</v>
      </c>
      <c r="VZ95" t="s">
        <v>1900</v>
      </c>
      <c r="WA95">
        <v>160878.196233515</v>
      </c>
      <c r="WB95">
        <v>121095.634146233</v>
      </c>
      <c r="WC95">
        <v>182963.526942295</v>
      </c>
      <c r="WD95">
        <v>104638.462011981</v>
      </c>
      <c r="WE95">
        <v>160585.405125415</v>
      </c>
      <c r="WF95" t="s">
        <v>1900</v>
      </c>
      <c r="WG95" t="s">
        <v>1900</v>
      </c>
      <c r="WH95" t="s">
        <v>1900</v>
      </c>
      <c r="WI95" t="s">
        <v>1900</v>
      </c>
      <c r="WJ95" t="s">
        <v>1900</v>
      </c>
      <c r="WK95" t="s">
        <v>1900</v>
      </c>
      <c r="WL95" t="s">
        <v>1900</v>
      </c>
      <c r="WM95" t="s">
        <v>1900</v>
      </c>
      <c r="WN95" t="s">
        <v>1900</v>
      </c>
      <c r="WO95" t="s">
        <v>1900</v>
      </c>
      <c r="WP95" t="s">
        <v>1900</v>
      </c>
      <c r="WQ95" t="s">
        <v>1900</v>
      </c>
      <c r="WR95" t="s">
        <v>1900</v>
      </c>
      <c r="WS95" t="s">
        <v>1900</v>
      </c>
      <c r="WT95" t="s">
        <v>1900</v>
      </c>
      <c r="WU95" t="s">
        <v>1900</v>
      </c>
      <c r="WV95" t="s">
        <v>1900</v>
      </c>
      <c r="WW95" t="s">
        <v>1900</v>
      </c>
      <c r="WX95" t="s">
        <v>1900</v>
      </c>
      <c r="WY95" t="s">
        <v>1900</v>
      </c>
      <c r="WZ95" t="s">
        <v>1900</v>
      </c>
      <c r="XA95" t="s">
        <v>1900</v>
      </c>
      <c r="XB95" t="s">
        <v>1900</v>
      </c>
      <c r="XC95" t="s">
        <v>1900</v>
      </c>
      <c r="XD95" t="s">
        <v>1900</v>
      </c>
      <c r="XE95" t="s">
        <v>1900</v>
      </c>
      <c r="XF95" t="s">
        <v>1900</v>
      </c>
      <c r="XG95" t="s">
        <v>1900</v>
      </c>
      <c r="XH95" t="s">
        <v>1900</v>
      </c>
      <c r="XI95" t="s">
        <v>1900</v>
      </c>
      <c r="XJ95" t="s">
        <v>1900</v>
      </c>
      <c r="XK95" t="s">
        <v>1900</v>
      </c>
      <c r="XL95" t="s">
        <v>1900</v>
      </c>
      <c r="XM95" t="s">
        <v>1900</v>
      </c>
      <c r="XN95" t="s">
        <v>1900</v>
      </c>
      <c r="XO95" t="s">
        <v>1900</v>
      </c>
      <c r="XP95" t="s">
        <v>1900</v>
      </c>
      <c r="XQ95" t="s">
        <v>1900</v>
      </c>
      <c r="XR95" t="s">
        <v>1900</v>
      </c>
      <c r="XS95" t="s">
        <v>1900</v>
      </c>
      <c r="XT95" t="s">
        <v>1900</v>
      </c>
      <c r="XU95" t="s">
        <v>1900</v>
      </c>
      <c r="XV95" t="s">
        <v>1900</v>
      </c>
      <c r="XW95" t="s">
        <v>1900</v>
      </c>
      <c r="XX95" t="s">
        <v>1900</v>
      </c>
      <c r="XY95" t="s">
        <v>1900</v>
      </c>
      <c r="XZ95" t="s">
        <v>1900</v>
      </c>
      <c r="YA95" t="s">
        <v>1900</v>
      </c>
      <c r="YB95" t="s">
        <v>1900</v>
      </c>
      <c r="YC95" t="s">
        <v>1900</v>
      </c>
      <c r="YD95" t="s">
        <v>1900</v>
      </c>
      <c r="YE95" t="s">
        <v>1900</v>
      </c>
      <c r="YF95" t="s">
        <v>1900</v>
      </c>
      <c r="YG95" t="s">
        <v>1900</v>
      </c>
      <c r="YH95" t="s">
        <v>1900</v>
      </c>
      <c r="YI95" t="s">
        <v>1900</v>
      </c>
      <c r="YJ95" t="s">
        <v>1900</v>
      </c>
      <c r="YK95" t="s">
        <v>1900</v>
      </c>
      <c r="YL95" t="s">
        <v>1900</v>
      </c>
      <c r="YM95" t="s">
        <v>1900</v>
      </c>
      <c r="YN95" t="s">
        <v>1900</v>
      </c>
      <c r="YO95" t="s">
        <v>1900</v>
      </c>
      <c r="YP95" t="s">
        <v>1900</v>
      </c>
      <c r="YQ95" t="s">
        <v>1900</v>
      </c>
      <c r="YR95" t="s">
        <v>1900</v>
      </c>
      <c r="YS95" t="s">
        <v>1900</v>
      </c>
      <c r="YT95" t="s">
        <v>1900</v>
      </c>
      <c r="YU95" t="s">
        <v>1900</v>
      </c>
      <c r="YV95" t="s">
        <v>1900</v>
      </c>
      <c r="YW95" t="s">
        <v>1900</v>
      </c>
      <c r="YX95" t="s">
        <v>1900</v>
      </c>
      <c r="YY95" t="s">
        <v>1900</v>
      </c>
      <c r="YZ95" t="s">
        <v>1900</v>
      </c>
      <c r="ZA95" t="s">
        <v>1900</v>
      </c>
      <c r="ZB95" t="s">
        <v>1900</v>
      </c>
      <c r="ZC95" t="s">
        <v>1900</v>
      </c>
      <c r="ZD95" t="s">
        <v>1900</v>
      </c>
      <c r="ZE95" t="s">
        <v>1900</v>
      </c>
      <c r="ZF95" t="s">
        <v>1900</v>
      </c>
      <c r="ZG95" t="s">
        <v>1900</v>
      </c>
      <c r="ZH95" t="s">
        <v>1900</v>
      </c>
      <c r="ZI95" t="s">
        <v>1900</v>
      </c>
      <c r="ZJ95" t="s">
        <v>1900</v>
      </c>
      <c r="ZK95" t="s">
        <v>1900</v>
      </c>
      <c r="ZL95" t="s">
        <v>1900</v>
      </c>
      <c r="ZM95" t="s">
        <v>1900</v>
      </c>
      <c r="ZN95" t="s">
        <v>1900</v>
      </c>
      <c r="ZO95" t="s">
        <v>1900</v>
      </c>
      <c r="ZP95" t="s">
        <v>1900</v>
      </c>
      <c r="ZQ95" t="s">
        <v>1900</v>
      </c>
      <c r="ZR95" t="s">
        <v>1900</v>
      </c>
      <c r="ZS95" t="s">
        <v>1900</v>
      </c>
      <c r="ZT95" t="s">
        <v>1900</v>
      </c>
      <c r="ZU95" t="s">
        <v>1900</v>
      </c>
      <c r="ZV95" t="s">
        <v>1900</v>
      </c>
      <c r="ZW95" t="s">
        <v>1900</v>
      </c>
      <c r="ZX95" t="s">
        <v>1900</v>
      </c>
      <c r="ZY95" t="s">
        <v>1900</v>
      </c>
      <c r="ZZ95" t="s">
        <v>1900</v>
      </c>
      <c r="AAA95" t="s">
        <v>1900</v>
      </c>
      <c r="AAB95" t="s">
        <v>1900</v>
      </c>
      <c r="AAC95" t="s">
        <v>1900</v>
      </c>
      <c r="AAD95" t="s">
        <v>1900</v>
      </c>
      <c r="AAE95" t="s">
        <v>1900</v>
      </c>
      <c r="AAF95" t="s">
        <v>1900</v>
      </c>
      <c r="AAG95" t="s">
        <v>1900</v>
      </c>
      <c r="AAH95" t="s">
        <v>1900</v>
      </c>
      <c r="AAI95" t="s">
        <v>1900</v>
      </c>
      <c r="AAJ95" t="s">
        <v>1900</v>
      </c>
      <c r="AAK95" t="s">
        <v>1900</v>
      </c>
      <c r="AAL95" t="s">
        <v>1900</v>
      </c>
      <c r="AAM95" t="s">
        <v>1900</v>
      </c>
      <c r="AAN95" t="s">
        <v>1900</v>
      </c>
      <c r="AAO95" t="s">
        <v>1900</v>
      </c>
      <c r="AAP95" t="s">
        <v>1900</v>
      </c>
      <c r="AAQ95" t="s">
        <v>1900</v>
      </c>
      <c r="AAR95" t="s">
        <v>1900</v>
      </c>
      <c r="AAS95" t="s">
        <v>1900</v>
      </c>
      <c r="AAT95" t="s">
        <v>1900</v>
      </c>
      <c r="AAU95" t="s">
        <v>1900</v>
      </c>
      <c r="AAV95" t="s">
        <v>1900</v>
      </c>
      <c r="AAW95" t="s">
        <v>1900</v>
      </c>
      <c r="AAX95" t="s">
        <v>1900</v>
      </c>
      <c r="AAY95" t="s">
        <v>1900</v>
      </c>
      <c r="AAZ95" t="s">
        <v>1900</v>
      </c>
      <c r="ABA95" t="s">
        <v>1900</v>
      </c>
      <c r="ABB95" t="s">
        <v>1900</v>
      </c>
      <c r="ABC95" t="s">
        <v>1900</v>
      </c>
      <c r="ABD95" t="s">
        <v>1900</v>
      </c>
      <c r="ABE95" t="s">
        <v>1900</v>
      </c>
      <c r="ABF95" t="s">
        <v>1900</v>
      </c>
      <c r="ABG95" t="s">
        <v>1900</v>
      </c>
      <c r="ABH95" t="s">
        <v>1900</v>
      </c>
      <c r="ABI95" t="s">
        <v>1900</v>
      </c>
      <c r="ABJ95" t="s">
        <v>1900</v>
      </c>
      <c r="ABK95" t="s">
        <v>1900</v>
      </c>
      <c r="ABL95" t="s">
        <v>1900</v>
      </c>
      <c r="ABM95" t="s">
        <v>1900</v>
      </c>
      <c r="ABN95" t="s">
        <v>1900</v>
      </c>
      <c r="ABO95" t="s">
        <v>1900</v>
      </c>
      <c r="ABP95" t="s">
        <v>1900</v>
      </c>
      <c r="ABQ95" t="s">
        <v>1900</v>
      </c>
      <c r="ABR95" t="s">
        <v>1900</v>
      </c>
      <c r="ABS95" t="s">
        <v>1900</v>
      </c>
      <c r="ABT95" t="s">
        <v>1900</v>
      </c>
      <c r="ABU95" t="s">
        <v>1900</v>
      </c>
      <c r="ABV95" t="s">
        <v>1900</v>
      </c>
      <c r="ABW95" t="s">
        <v>1900</v>
      </c>
      <c r="ABX95" t="s">
        <v>1900</v>
      </c>
      <c r="ABY95" t="s">
        <v>1900</v>
      </c>
      <c r="ABZ95" t="s">
        <v>1900</v>
      </c>
      <c r="ACA95" t="s">
        <v>1900</v>
      </c>
      <c r="ACB95" t="s">
        <v>1900</v>
      </c>
      <c r="ACC95" t="s">
        <v>1900</v>
      </c>
      <c r="ACD95" t="s">
        <v>1900</v>
      </c>
      <c r="ACE95">
        <v>23.589</v>
      </c>
      <c r="ACF95">
        <v>12.168</v>
      </c>
      <c r="ACG95">
        <v>-17.958</v>
      </c>
      <c r="ACH95">
        <v>11.261</v>
      </c>
      <c r="ACI95">
        <v>24.585</v>
      </c>
      <c r="ACJ95" t="s">
        <v>1900</v>
      </c>
      <c r="ACK95">
        <v>12.174</v>
      </c>
      <c r="ACL95">
        <v>-17.951</v>
      </c>
      <c r="ACM95">
        <v>11.264</v>
      </c>
      <c r="ACN95">
        <v>24.585</v>
      </c>
      <c r="ACO95">
        <v>17.24</v>
      </c>
      <c r="ACP95">
        <v>8.586</v>
      </c>
      <c r="ACQ95">
        <v>-12.074</v>
      </c>
      <c r="ACR95">
        <v>8.946999999999999</v>
      </c>
      <c r="ACS95">
        <v>18.235</v>
      </c>
      <c r="ACT95">
        <v>20.251</v>
      </c>
      <c r="ACU95">
        <v>12.168</v>
      </c>
      <c r="ACV95">
        <v>-17.958</v>
      </c>
      <c r="ACW95">
        <v>9.346</v>
      </c>
      <c r="ACX95">
        <v>21.054</v>
      </c>
      <c r="ACY95" t="s">
        <v>1900</v>
      </c>
      <c r="ACZ95">
        <v>12.174</v>
      </c>
      <c r="ADA95">
        <v>-17.951</v>
      </c>
      <c r="ADB95">
        <v>9.349</v>
      </c>
      <c r="ADC95">
        <v>21.055</v>
      </c>
      <c r="ADD95">
        <v>14.801</v>
      </c>
      <c r="ADE95">
        <v>8.586</v>
      </c>
      <c r="ADF95">
        <v>-12.074</v>
      </c>
      <c r="ADG95">
        <v>7.426</v>
      </c>
      <c r="ADH95">
        <v>15.616</v>
      </c>
      <c r="ADI95">
        <v>9.718</v>
      </c>
      <c r="ADJ95">
        <v>4.879</v>
      </c>
      <c r="ADK95">
        <v>-7.667</v>
      </c>
      <c r="ADL95">
        <v>6.39</v>
      </c>
      <c r="ADM95">
        <v>12.252</v>
      </c>
      <c r="ADN95">
        <v>46.375</v>
      </c>
      <c r="ADO95">
        <v>45.64</v>
      </c>
      <c r="ADP95">
        <v>45.568</v>
      </c>
      <c r="ADQ95">
        <v>45.413</v>
      </c>
      <c r="ADR95">
        <v>44.643</v>
      </c>
      <c r="ADS95">
        <v>9.370691215000001</v>
      </c>
      <c r="ADT95">
        <v>4.881327176</v>
      </c>
      <c r="ADU95">
        <v>-7.664069862</v>
      </c>
      <c r="ADV95">
        <v>6.391166699</v>
      </c>
      <c r="ADW95">
        <v>12.252152514</v>
      </c>
      <c r="ADX95">
        <v>10.815</v>
      </c>
      <c r="ADY95">
        <v>8.422000000000001</v>
      </c>
      <c r="ADZ95">
        <v>-5.25</v>
      </c>
      <c r="AEA95">
        <v>8.273</v>
      </c>
      <c r="AEB95">
        <v>13.943</v>
      </c>
      <c r="AEC95">
        <v>9.371</v>
      </c>
      <c r="AED95">
        <v>4.881</v>
      </c>
      <c r="AEE95">
        <v>-7.664</v>
      </c>
      <c r="AEF95">
        <v>6.391</v>
      </c>
      <c r="AEG95">
        <v>12.252</v>
      </c>
      <c r="AEH95">
        <v>9.788</v>
      </c>
      <c r="AEI95">
        <v>8.419</v>
      </c>
      <c r="AEJ95">
        <v>-5.253</v>
      </c>
      <c r="AEK95">
        <v>7.186</v>
      </c>
      <c r="AEL95">
        <v>12.183</v>
      </c>
      <c r="AEM95">
        <v>10.339581467</v>
      </c>
      <c r="AEN95">
        <v>5.131828516</v>
      </c>
      <c r="AEO95">
        <v>-7.118502832</v>
      </c>
      <c r="AEP95">
        <v>6.827525217</v>
      </c>
      <c r="AEQ95">
        <v>13.962909479</v>
      </c>
      <c r="AER95">
        <v>1.25323401</v>
      </c>
      <c r="AES95">
        <v>1.119760604</v>
      </c>
      <c r="AET95">
        <v>0.8560261260000001</v>
      </c>
      <c r="AEU95">
        <v>1.163786184</v>
      </c>
      <c r="AEV95">
        <v>1.378263768</v>
      </c>
      <c r="AEW95" t="s">
        <v>1900</v>
      </c>
      <c r="AEX95" t="s">
        <v>1900</v>
      </c>
      <c r="AEY95" t="s">
        <v>1900</v>
      </c>
      <c r="AEZ95" t="s">
        <v>1900</v>
      </c>
      <c r="AFA95" t="s">
        <v>1900</v>
      </c>
      <c r="AFB95" t="s">
        <v>1900</v>
      </c>
      <c r="AFC95" t="s">
        <v>1900</v>
      </c>
      <c r="AFD95" t="s">
        <v>1900</v>
      </c>
      <c r="AFE95" t="s">
        <v>1900</v>
      </c>
      <c r="AFF95" t="s">
        <v>1900</v>
      </c>
      <c r="AFG95">
        <v>2.427</v>
      </c>
      <c r="AFH95">
        <v>2.494</v>
      </c>
      <c r="AFI95">
        <v>2.342</v>
      </c>
      <c r="AFJ95">
        <v>1.762</v>
      </c>
      <c r="AFK95">
        <v>2.007</v>
      </c>
      <c r="AFL95" t="s">
        <v>1900</v>
      </c>
      <c r="AFM95" t="s">
        <v>1901</v>
      </c>
      <c r="AFN95" t="s">
        <v>1901</v>
      </c>
      <c r="AFO95" t="s">
        <v>1901</v>
      </c>
      <c r="AFP95" t="s">
        <v>1901</v>
      </c>
      <c r="AFQ95">
        <v>31.214</v>
      </c>
      <c r="AFR95">
        <v>17.176</v>
      </c>
      <c r="AFS95">
        <v>15.301</v>
      </c>
      <c r="AFT95">
        <v>18.657</v>
      </c>
      <c r="AFU95">
        <v>19.332</v>
      </c>
      <c r="AFV95">
        <v>50.388</v>
      </c>
      <c r="AFW95">
        <v>70.895</v>
      </c>
      <c r="AFX95">
        <v>62.068</v>
      </c>
      <c r="AFY95">
        <v>82.214</v>
      </c>
      <c r="AFZ95">
        <v>70.492</v>
      </c>
      <c r="AGA95">
        <v>22.644</v>
      </c>
      <c r="AGB95">
        <v>34.234</v>
      </c>
      <c r="AGC95">
        <v>28.709</v>
      </c>
      <c r="AGD95">
        <v>27.026</v>
      </c>
      <c r="AGE95">
        <v>27.067</v>
      </c>
      <c r="AGF95" t="s">
        <v>1900</v>
      </c>
      <c r="AGG95" t="s">
        <v>1900</v>
      </c>
      <c r="AGH95" t="s">
        <v>1900</v>
      </c>
      <c r="AGI95" t="s">
        <v>1900</v>
      </c>
      <c r="AGJ95" t="s">
        <v>1900</v>
      </c>
      <c r="AGK95" t="s">
        <v>1900</v>
      </c>
      <c r="AGL95" t="s">
        <v>1900</v>
      </c>
      <c r="AGM95" t="s">
        <v>1900</v>
      </c>
      <c r="AGN95" t="s">
        <v>1900</v>
      </c>
      <c r="AGO95" t="s">
        <v>1900</v>
      </c>
      <c r="AGP95" t="s">
        <v>1900</v>
      </c>
      <c r="AGQ95" t="s">
        <v>1900</v>
      </c>
      <c r="AGR95" t="s">
        <v>1900</v>
      </c>
      <c r="AGS95" t="s">
        <v>1900</v>
      </c>
      <c r="AGT95" t="s">
        <v>1900</v>
      </c>
      <c r="AGU95">
        <v>0</v>
      </c>
      <c r="AGV95">
        <v>0</v>
      </c>
      <c r="AGW95">
        <v>0</v>
      </c>
      <c r="AGX95">
        <v>0</v>
      </c>
      <c r="AGY95">
        <v>0</v>
      </c>
      <c r="AGZ95">
        <v>2.86</v>
      </c>
      <c r="AHA95">
        <v>2.128</v>
      </c>
      <c r="AHB95">
        <v>1.987</v>
      </c>
      <c r="AHC95">
        <v>3.455</v>
      </c>
      <c r="AHD95">
        <v>2.663</v>
      </c>
      <c r="AHE95">
        <v>2.649</v>
      </c>
      <c r="AHF95">
        <v>1.779</v>
      </c>
      <c r="AHG95">
        <v>1.673</v>
      </c>
      <c r="AHH95">
        <v>3.089</v>
      </c>
      <c r="AHI95">
        <v>2.365</v>
      </c>
      <c r="AHJ95" t="s">
        <v>1901</v>
      </c>
      <c r="AHK95" t="s">
        <v>1901</v>
      </c>
      <c r="AHL95" t="s">
        <v>1901</v>
      </c>
      <c r="AHM95" t="s">
        <v>1901</v>
      </c>
      <c r="AHN95" t="s">
        <v>1901</v>
      </c>
      <c r="AHO95">
        <v>73.086</v>
      </c>
      <c r="AHP95">
        <v>70.563</v>
      </c>
      <c r="AHQ95">
        <v>67.23399999999999</v>
      </c>
      <c r="AHR95">
        <v>79.453</v>
      </c>
      <c r="AHS95">
        <v>74.172</v>
      </c>
      <c r="AHT95" t="s">
        <v>1901</v>
      </c>
      <c r="AHU95" t="s">
        <v>1901</v>
      </c>
      <c r="AHV95" t="s">
        <v>1901</v>
      </c>
      <c r="AHW95" t="s">
        <v>1901</v>
      </c>
      <c r="AHX95" t="s">
        <v>1901</v>
      </c>
      <c r="AHY95">
        <v>0</v>
      </c>
      <c r="AHZ95">
        <v>0</v>
      </c>
      <c r="AIA95">
        <v>0</v>
      </c>
      <c r="AIB95">
        <v>0</v>
      </c>
      <c r="AIC95">
        <v>0</v>
      </c>
      <c r="AID95">
        <v>19.995546837</v>
      </c>
      <c r="AIE95">
        <v>31.468799634</v>
      </c>
      <c r="AIF95">
        <v>23.738767495</v>
      </c>
      <c r="AIG95">
        <v>21.889086573</v>
      </c>
      <c r="AIH95">
        <v>22.540931672</v>
      </c>
      <c r="AII95">
        <v>46.476105284</v>
      </c>
      <c r="AIJ95">
        <v>17.725347197</v>
      </c>
      <c r="AIK95">
        <v>27.649802336</v>
      </c>
      <c r="AIL95">
        <v>31.499807225</v>
      </c>
      <c r="AIM95">
        <v>31.944161682</v>
      </c>
      <c r="AIN95">
        <v>15.756341303</v>
      </c>
      <c r="AIO95">
        <v>12.701299004</v>
      </c>
      <c r="AIP95">
        <v>20.207298223</v>
      </c>
      <c r="AIQ95">
        <v>10.035274189</v>
      </c>
      <c r="AIR95">
        <v>14.638115097</v>
      </c>
      <c r="AIS95">
        <v>5.97423744</v>
      </c>
      <c r="AIT95">
        <v>10.71007363</v>
      </c>
      <c r="AIU95">
        <v>12.006522272</v>
      </c>
      <c r="AIV95">
        <v>9.81885233</v>
      </c>
      <c r="AIW95">
        <v>9.344326255</v>
      </c>
      <c r="AIX95">
        <v>17.6025122981955</v>
      </c>
      <c r="AIY95">
        <v>8.185888978726391</v>
      </c>
      <c r="AIZ95" t="s">
        <v>1900</v>
      </c>
      <c r="AJA95">
        <v>10.3656746717477</v>
      </c>
      <c r="AJB95">
        <v>22.2271515113902</v>
      </c>
      <c r="AJC95">
        <v>181.125536905137</v>
      </c>
      <c r="AJD95">
        <v>167.788568251448</v>
      </c>
      <c r="AJE95" t="s">
        <v>1900</v>
      </c>
      <c r="AJF95">
        <v>162.226905284793</v>
      </c>
      <c r="AJG95">
        <v>181.417276015792</v>
      </c>
      <c r="AJH95">
        <v>30.377</v>
      </c>
      <c r="AJI95">
        <v>31.163</v>
      </c>
      <c r="AJJ95">
        <v>44.54</v>
      </c>
      <c r="AJK95">
        <v>34.235</v>
      </c>
      <c r="AJL95">
        <v>25.124</v>
      </c>
      <c r="AJM95">
        <v>55.01988593373</v>
      </c>
      <c r="AJN95">
        <v>52.2887041315279</v>
      </c>
      <c r="AJO95" t="s">
        <v>1900</v>
      </c>
      <c r="AJP95">
        <v>55.537812653532</v>
      </c>
      <c r="AJQ95">
        <v>45.5801236815327</v>
      </c>
      <c r="AJR95">
        <v>74.6231546015737</v>
      </c>
      <c r="AJS95">
        <v>67.27569215250401</v>
      </c>
      <c r="AJT95" t="s">
        <v>1900</v>
      </c>
      <c r="AJU95">
        <v>92.05098230608461</v>
      </c>
      <c r="AJV95">
        <v>90.4099485403222</v>
      </c>
      <c r="AJW95">
        <v>19.761468134334</v>
      </c>
      <c r="AJX95">
        <v>26.8554502723961</v>
      </c>
      <c r="AJY95" t="s">
        <v>1900</v>
      </c>
      <c r="AJZ95">
        <v>33.5644594758725</v>
      </c>
      <c r="AKA95">
        <v>31.2679184930825</v>
      </c>
      <c r="AKB95">
        <v>102.103777226146</v>
      </c>
      <c r="AKC95">
        <v>95.34114117293259</v>
      </c>
      <c r="AKD95" t="s">
        <v>1900</v>
      </c>
      <c r="AKE95">
        <v>115.856283635659</v>
      </c>
      <c r="AKF95">
        <v>121.89289900624</v>
      </c>
      <c r="AKG95">
        <v>5.97423744</v>
      </c>
      <c r="AKH95">
        <v>10.71007363</v>
      </c>
      <c r="AKI95">
        <v>12.006522272</v>
      </c>
      <c r="AKJ95">
        <v>9.81885233</v>
      </c>
      <c r="AKK95">
        <v>9.344326255</v>
      </c>
      <c r="AKL95">
        <v>3.203698576</v>
      </c>
      <c r="AKM95">
        <v>5.821956749</v>
      </c>
      <c r="AKN95">
        <v>6.535354739</v>
      </c>
      <c r="AKO95">
        <v>5.359859163</v>
      </c>
      <c r="AKP95">
        <v>5.172771169</v>
      </c>
      <c r="AKQ95">
        <v>5.683155319</v>
      </c>
      <c r="AKR95">
        <v>10.245920863</v>
      </c>
      <c r="AKS95">
        <v>10.291709071</v>
      </c>
      <c r="AKT95">
        <v>7.505103159</v>
      </c>
      <c r="AKU95">
        <v>7.698808239</v>
      </c>
      <c r="AKV95">
        <v>0</v>
      </c>
      <c r="AKW95">
        <v>0</v>
      </c>
      <c r="AKX95">
        <v>0</v>
      </c>
      <c r="AKY95">
        <v>0</v>
      </c>
      <c r="AKZ95">
        <v>0</v>
      </c>
      <c r="ALA95">
        <v>0</v>
      </c>
      <c r="ALB95">
        <v>0</v>
      </c>
      <c r="ALC95">
        <v>0</v>
      </c>
      <c r="ALD95">
        <v>0</v>
      </c>
      <c r="ALE95">
        <v>0</v>
      </c>
      <c r="ALF95">
        <v>1.70016804</v>
      </c>
      <c r="ALG95">
        <v>3.35394978</v>
      </c>
      <c r="ALH95">
        <v>7.092261041</v>
      </c>
      <c r="ALI95">
        <v>5.0907898</v>
      </c>
      <c r="ALJ95">
        <v>5.82711446</v>
      </c>
      <c r="ALK95">
        <v>3.015988805</v>
      </c>
      <c r="ALL95">
        <v>5.902535093</v>
      </c>
      <c r="ALM95">
        <v>11.168710835</v>
      </c>
      <c r="ALN95">
        <v>7.128340774</v>
      </c>
      <c r="ALO95">
        <v>8.672689233</v>
      </c>
      <c r="ALP95">
        <v>13.996676185</v>
      </c>
      <c r="ALQ95">
        <v>19.693092532</v>
      </c>
      <c r="ALR95">
        <v>17.241206719</v>
      </c>
      <c r="ALS95">
        <v>22.83722988</v>
      </c>
      <c r="ALT95">
        <v>19.581236737</v>
      </c>
      <c r="ALU95">
        <v>44.93926724</v>
      </c>
      <c r="ALV95">
        <v>48.288601102</v>
      </c>
      <c r="ALW95">
        <v>46.254213849</v>
      </c>
      <c r="ALX95">
        <v>32.872928777</v>
      </c>
      <c r="ALY95">
        <v>38.397210701</v>
      </c>
      <c r="ALZ95">
        <v>46.374769866151</v>
      </c>
      <c r="AMA95">
        <v>45.6403667192006</v>
      </c>
      <c r="AMB95">
        <v>45.5682952989074</v>
      </c>
      <c r="AMC95">
        <v>45.4125697907944</v>
      </c>
      <c r="AMD95">
        <v>44.6426522968479</v>
      </c>
      <c r="AME95">
        <v>46.3791304878961</v>
      </c>
      <c r="AMF95">
        <v>45.6507881430781</v>
      </c>
      <c r="AMG95">
        <v>45.690805784408</v>
      </c>
      <c r="AMH95">
        <v>45.4125697907944</v>
      </c>
      <c r="AMI95">
        <v>44.6426522968479</v>
      </c>
      <c r="AMJ95">
        <v>86.4793861963839</v>
      </c>
      <c r="AMK95">
        <v>83.96003424717981</v>
      </c>
      <c r="AML95">
        <v>83.71645828798781</v>
      </c>
      <c r="AMM95">
        <v>83.19235695241819</v>
      </c>
      <c r="AMN95">
        <v>80.64449293497189</v>
      </c>
      <c r="AMO95">
        <v>1.25323400976414</v>
      </c>
      <c r="AMP95">
        <v>1.11976060537093</v>
      </c>
      <c r="AMQ95">
        <v>0.85602612548755</v>
      </c>
      <c r="AMR95">
        <v>1.16378618379299</v>
      </c>
      <c r="AMS95">
        <v>1.37826376857691</v>
      </c>
      <c r="AMT95">
        <v>1.25323400976414</v>
      </c>
      <c r="AMU95">
        <v>1.11976060375517</v>
      </c>
      <c r="AMV95">
        <v>0.85602612548755</v>
      </c>
      <c r="AMW95">
        <v>1.16378618379299</v>
      </c>
      <c r="AMX95">
        <v>1.37826376857691</v>
      </c>
      <c r="AMY95">
        <v>1.25323400976414</v>
      </c>
      <c r="AMZ95">
        <v>1.11976060356167</v>
      </c>
      <c r="ANA95">
        <v>0.856026125689868</v>
      </c>
      <c r="ANB95">
        <v>1.16378618379299</v>
      </c>
      <c r="ANC95">
        <v>1.37826376769923</v>
      </c>
      <c r="AND95">
        <v>9.37069121456785</v>
      </c>
      <c r="ANE95">
        <v>4.88132717625675</v>
      </c>
      <c r="ANF95">
        <v>-7.66406986162313</v>
      </c>
      <c r="ANG95">
        <v>6.39116669870178</v>
      </c>
      <c r="ANH95">
        <v>12.2521525139635</v>
      </c>
      <c r="ANI95">
        <v>9.37157234109408</v>
      </c>
      <c r="ANJ95">
        <v>4.88244176808074</v>
      </c>
      <c r="ANK95">
        <v>-7.68467473423245</v>
      </c>
      <c r="ANL95">
        <v>6.39116669870178</v>
      </c>
      <c r="ANM95">
        <v>12.2521525139635</v>
      </c>
      <c r="ANN95">
        <v>10.3395814666901</v>
      </c>
      <c r="ANO95">
        <v>5.13182851625984</v>
      </c>
      <c r="ANP95">
        <v>-7.11850283151426</v>
      </c>
      <c r="ANQ95">
        <v>6.82752521669677</v>
      </c>
      <c r="ANR95">
        <v>13.9629094786777</v>
      </c>
      <c r="ANS95">
        <v>22.7445688469335</v>
      </c>
      <c r="ANT95">
        <v>12.1742470700172</v>
      </c>
      <c r="ANU95">
        <v>-17.9509504622793</v>
      </c>
      <c r="ANV95">
        <v>11.2635320675104</v>
      </c>
      <c r="ANW95">
        <v>24.5852605125209</v>
      </c>
      <c r="ANX95">
        <v>46.374769866151</v>
      </c>
      <c r="ANY95">
        <v>45.6403667192006</v>
      </c>
      <c r="ANZ95">
        <v>45.5682953737117</v>
      </c>
      <c r="AOA95">
        <v>45.4125697907944</v>
      </c>
      <c r="AOB95">
        <v>44.642652372003</v>
      </c>
      <c r="AOC95">
        <v>51.1697269764517</v>
      </c>
      <c r="AOD95">
        <v>47.9825520734221</v>
      </c>
      <c r="AOE95">
        <v>42.3245149077819</v>
      </c>
      <c r="AOF95">
        <v>48.5131244448109</v>
      </c>
      <c r="AOG95">
        <v>50.8760654259376</v>
      </c>
      <c r="AOH95">
        <v>82.26586047110391</v>
      </c>
      <c r="AOI95">
        <v>80.32137744602301</v>
      </c>
      <c r="AOJ95">
        <v>71.7597830294591</v>
      </c>
      <c r="AOK95">
        <v>63.5886150433944</v>
      </c>
      <c r="AOL95">
        <v>66.4431516739136</v>
      </c>
      <c r="AOM95">
        <v>17.4744074592846</v>
      </c>
      <c r="AON95">
        <v>8.979691145158821</v>
      </c>
      <c r="AOO95">
        <v>-14.0801577210237</v>
      </c>
      <c r="AOP95">
        <v>11.7081289121098</v>
      </c>
      <c r="AOQ95">
        <v>22.1328387991027</v>
      </c>
      <c r="AOR95">
        <v>25.3234009764136</v>
      </c>
      <c r="AOS95">
        <v>11.976060375517</v>
      </c>
      <c r="AOT95">
        <v>-14.397387451245</v>
      </c>
      <c r="AOU95">
        <v>16.3786183792989</v>
      </c>
      <c r="AOV95">
        <v>37.8263768576912</v>
      </c>
      <c r="AOW95">
        <v>16.623003805742</v>
      </c>
      <c r="AOX95">
        <v>8.59052962860409</v>
      </c>
      <c r="AOY95">
        <v>-12.0691807052497</v>
      </c>
      <c r="AOZ95">
        <v>8.949183909964329</v>
      </c>
      <c r="APA95">
        <v>18.2352881366477</v>
      </c>
      <c r="APB95">
        <v>8.34334148873986</v>
      </c>
      <c r="APC95">
        <v>4.87869290740894</v>
      </c>
      <c r="APD95">
        <v>-7.6670620350027</v>
      </c>
      <c r="APE95">
        <v>5.30338042109888</v>
      </c>
      <c r="APF95">
        <v>10.492549504939</v>
      </c>
      <c r="APG95">
        <v>8.34412601352409</v>
      </c>
      <c r="APH95">
        <v>4.8798068977296</v>
      </c>
      <c r="API95">
        <v>-7.68767495207827</v>
      </c>
      <c r="APJ95">
        <v>5.30338042109888</v>
      </c>
      <c r="APK95">
        <v>10.492549504939</v>
      </c>
      <c r="APL95">
        <v>15.5586119964703</v>
      </c>
      <c r="APM95">
        <v>8.97484514328422</v>
      </c>
      <c r="APN95">
        <v>-14.0856548359866</v>
      </c>
      <c r="APO95">
        <v>9.715387591564109</v>
      </c>
      <c r="APP95">
        <v>18.9542128633929</v>
      </c>
      <c r="APQ95">
        <v>22.5470861396056</v>
      </c>
      <c r="APR95">
        <v>11.9695973457655</v>
      </c>
      <c r="APS95">
        <v>-14.4030084176825</v>
      </c>
      <c r="APT95">
        <v>13.5909526589359</v>
      </c>
      <c r="APU95">
        <v>32.3939104838493</v>
      </c>
      <c r="APV95">
        <v>9.206008079012269</v>
      </c>
      <c r="APW95">
        <v>5.1290590612521</v>
      </c>
      <c r="APX95">
        <v>-7.12128200694708</v>
      </c>
      <c r="APY95">
        <v>5.66547005668676</v>
      </c>
      <c r="APZ95">
        <v>11.957614694319</v>
      </c>
      <c r="AQA95">
        <v>14.800551436837</v>
      </c>
      <c r="AQB95">
        <v>8.58589364257616</v>
      </c>
      <c r="AQC95">
        <v>-12.0738927031661</v>
      </c>
      <c r="AQD95">
        <v>7.42601921845639</v>
      </c>
      <c r="AQE95">
        <v>15.6164121604381</v>
      </c>
      <c r="AQF95">
        <v>0.253234009764136</v>
      </c>
      <c r="AQG95">
        <v>0.119760603561666</v>
      </c>
      <c r="AQH95">
        <v>-0.143973874310132</v>
      </c>
      <c r="AQI95">
        <v>0.163786183792989</v>
      </c>
      <c r="AQJ95">
        <v>0.378263767699233</v>
      </c>
      <c r="AQK95">
        <v>4</v>
      </c>
      <c r="AQO95" t="s">
        <v>1903</v>
      </c>
      <c r="AQP95">
        <v>6</v>
      </c>
      <c r="AQQ95">
        <v>0</v>
      </c>
      <c r="AQS95" t="s">
        <v>1905</v>
      </c>
      <c r="AQU95" t="s">
        <v>1906</v>
      </c>
      <c r="AQV95">
        <v>1811255.36905137</v>
      </c>
      <c r="AQW95">
        <v>1677885.68251448</v>
      </c>
      <c r="AQX95">
        <v>1425852.51983107</v>
      </c>
      <c r="AQY95">
        <v>169727.147741085</v>
      </c>
      <c r="AQZ95">
        <v>81903.0898071003</v>
      </c>
      <c r="ARA95">
        <v>-109278.333243567</v>
      </c>
      <c r="ARB95">
        <v>4914993.57139692</v>
      </c>
      <c r="ARC95">
        <v>142351.9043046183</v>
      </c>
      <c r="ARD95">
        <v>0.02982664826612579</v>
      </c>
      <c r="ARE95">
        <v>0.02982664826612579</v>
      </c>
      <c r="ARF95">
        <v>0.02982664826612579</v>
      </c>
      <c r="ARG95">
        <v>0.02982664826612579</v>
      </c>
      <c r="ARH95">
        <v>0.02982664826612579</v>
      </c>
      <c r="ARI95">
        <v>0.02982664826612579</v>
      </c>
      <c r="ARJ95" t="s">
        <v>1256</v>
      </c>
      <c r="ARK95" t="s">
        <v>1594</v>
      </c>
      <c r="ARL95" t="s">
        <v>1908</v>
      </c>
      <c r="ARM95" t="s">
        <v>1908</v>
      </c>
      <c r="ARN95" t="s">
        <v>1909</v>
      </c>
      <c r="ARO95" t="s">
        <v>1908</v>
      </c>
      <c r="ARP95" t="s">
        <v>1907</v>
      </c>
      <c r="ARQ95" t="s">
        <v>1988</v>
      </c>
      <c r="ARR95">
        <f>HYPERLINK("C:\Users\Usuario\Documents\Proyectos\llmthon\evidence\proyectait_es_235656.png", "Ver Evidencia")</f>
        <v>0</v>
      </c>
      <c r="ARS95">
        <v>95</v>
      </c>
    </row>
    <row r="96" spans="1:1163">
      <c r="A96">
        <v>331</v>
      </c>
      <c r="B96" t="s">
        <v>1257</v>
      </c>
      <c r="C96" t="s">
        <v>1380</v>
      </c>
      <c r="E96" s="2">
        <v>41971</v>
      </c>
      <c r="F96" t="s">
        <v>1431</v>
      </c>
      <c r="G96" t="s">
        <v>1433</v>
      </c>
      <c r="H96" t="s">
        <v>1434</v>
      </c>
      <c r="I96" t="s">
        <v>1437</v>
      </c>
      <c r="J96" t="s">
        <v>1453</v>
      </c>
      <c r="L96" t="s">
        <v>1595</v>
      </c>
      <c r="N96" t="s">
        <v>1627</v>
      </c>
      <c r="O96" t="s">
        <v>1651</v>
      </c>
      <c r="P96">
        <v>6910</v>
      </c>
      <c r="Q96">
        <v>6910</v>
      </c>
      <c r="R96" t="s">
        <v>1675</v>
      </c>
      <c r="S96" t="s">
        <v>1809</v>
      </c>
      <c r="Z96" t="s">
        <v>1899</v>
      </c>
      <c r="AA96" s="2">
        <v>45657</v>
      </c>
      <c r="AB96">
        <v>2024</v>
      </c>
      <c r="AC96">
        <v>2190539.94053119</v>
      </c>
      <c r="AD96">
        <v>2357692.29725333</v>
      </c>
      <c r="AE96">
        <v>2386412.26553403</v>
      </c>
      <c r="AF96">
        <v>2118821.92411609</v>
      </c>
      <c r="AG96">
        <v>2126516.71383113</v>
      </c>
      <c r="AH96">
        <v>2190539.94053119</v>
      </c>
      <c r="AI96">
        <v>2357692.29725333</v>
      </c>
      <c r="AJ96">
        <v>2386412.26553403</v>
      </c>
      <c r="AK96">
        <v>2118821.92411609</v>
      </c>
      <c r="AL96">
        <v>2126516.71383113</v>
      </c>
      <c r="AM96" t="s">
        <v>1900</v>
      </c>
      <c r="AN96" t="s">
        <v>1900</v>
      </c>
      <c r="AO96" t="s">
        <v>1900</v>
      </c>
      <c r="AP96" t="s">
        <v>1900</v>
      </c>
      <c r="AQ96" t="s">
        <v>1900</v>
      </c>
      <c r="AR96">
        <v>2190539.94053119</v>
      </c>
      <c r="AS96">
        <v>2357692.29725333</v>
      </c>
      <c r="AT96">
        <v>2386412.26553403</v>
      </c>
      <c r="AU96">
        <v>2118821.92411609</v>
      </c>
      <c r="AV96">
        <v>2126516.71383113</v>
      </c>
      <c r="AW96">
        <v>1934982.18525441</v>
      </c>
      <c r="AX96">
        <v>2096342.36461269</v>
      </c>
      <c r="AY96">
        <v>2022931.20159188</v>
      </c>
      <c r="AZ96">
        <v>2121121.54445436</v>
      </c>
      <c r="BA96">
        <v>2164032.89433859</v>
      </c>
      <c r="BB96">
        <v>255557.755276787</v>
      </c>
      <c r="BC96">
        <v>261349.932640638</v>
      </c>
      <c r="BD96">
        <v>363481.063942146</v>
      </c>
      <c r="BE96">
        <v>-2299.62033827305</v>
      </c>
      <c r="BF96">
        <v>-37516.1805074573</v>
      </c>
      <c r="BG96">
        <v>19422.7567559135</v>
      </c>
      <c r="BH96">
        <v>9993.64658502579</v>
      </c>
      <c r="BI96">
        <v>10723.2392771184</v>
      </c>
      <c r="BJ96">
        <v>2252.27764542103</v>
      </c>
      <c r="BK96">
        <v>3625.83178285897</v>
      </c>
      <c r="BL96">
        <v>19918.9663436341</v>
      </c>
      <c r="BM96">
        <v>11206.0862791538</v>
      </c>
      <c r="BN96">
        <v>11231.2926113605</v>
      </c>
      <c r="BO96">
        <v>4077.36110687256</v>
      </c>
      <c r="BP96">
        <v>5134.42888867855</v>
      </c>
      <c r="BQ96">
        <v>496.209587720633</v>
      </c>
      <c r="BR96">
        <v>1212.43969412804</v>
      </c>
      <c r="BS96">
        <v>508.053334242105</v>
      </c>
      <c r="BT96">
        <v>1825.08346145153</v>
      </c>
      <c r="BU96">
        <v>1508.59587872028</v>
      </c>
      <c r="BV96">
        <v>274980.510993801</v>
      </c>
      <c r="BW96">
        <v>271343.579225664</v>
      </c>
      <c r="BX96">
        <v>374204.303219265</v>
      </c>
      <c r="BY96">
        <v>-47.3426928520203</v>
      </c>
      <c r="BZ96">
        <v>-33890.347497499</v>
      </c>
      <c r="CA96">
        <v>62417.1467513156</v>
      </c>
      <c r="CB96">
        <v>59938.0888494778</v>
      </c>
      <c r="CC96">
        <v>93551.0784713149</v>
      </c>
      <c r="CD96">
        <v>-417.895535445213</v>
      </c>
      <c r="CE96">
        <v>-8472.58073887825</v>
      </c>
      <c r="CF96">
        <v>212563.364242486</v>
      </c>
      <c r="CG96">
        <v>211405.490376186</v>
      </c>
      <c r="CH96">
        <v>280653.22368135</v>
      </c>
      <c r="CI96">
        <v>370.552842593193</v>
      </c>
      <c r="CJ96">
        <v>-25417.7655315214</v>
      </c>
      <c r="CK96" t="s">
        <v>1900</v>
      </c>
      <c r="CL96" t="s">
        <v>1900</v>
      </c>
      <c r="CM96" t="s">
        <v>1900</v>
      </c>
      <c r="CN96" t="s">
        <v>1900</v>
      </c>
      <c r="CO96" t="s">
        <v>1900</v>
      </c>
      <c r="CP96" t="s">
        <v>1900</v>
      </c>
      <c r="CQ96" t="s">
        <v>1900</v>
      </c>
      <c r="CR96" t="s">
        <v>1900</v>
      </c>
      <c r="CS96" t="s">
        <v>1900</v>
      </c>
      <c r="CT96" t="s">
        <v>1900</v>
      </c>
      <c r="CU96" t="s">
        <v>1900</v>
      </c>
      <c r="CV96" t="s">
        <v>1900</v>
      </c>
      <c r="CW96" t="s">
        <v>1900</v>
      </c>
      <c r="CX96" t="s">
        <v>1900</v>
      </c>
      <c r="CY96" t="s">
        <v>1900</v>
      </c>
      <c r="CZ96">
        <v>212563.364242486</v>
      </c>
      <c r="DA96">
        <v>211405.490376186</v>
      </c>
      <c r="DB96">
        <v>280653.22368135</v>
      </c>
      <c r="DC96">
        <v>370.552842593193</v>
      </c>
      <c r="DD96">
        <v>-25417.7655315214</v>
      </c>
      <c r="DE96" t="s">
        <v>1900</v>
      </c>
      <c r="DF96" t="s">
        <v>1900</v>
      </c>
      <c r="DG96" t="s">
        <v>1900</v>
      </c>
      <c r="DH96" t="s">
        <v>1900</v>
      </c>
      <c r="DI96" t="s">
        <v>1900</v>
      </c>
      <c r="DJ96" t="s">
        <v>1900</v>
      </c>
      <c r="DK96" t="s">
        <v>1900</v>
      </c>
      <c r="DL96" t="s">
        <v>1900</v>
      </c>
      <c r="DM96" t="s">
        <v>1900</v>
      </c>
      <c r="DN96" t="s">
        <v>1900</v>
      </c>
      <c r="DO96">
        <v>517627.852325714</v>
      </c>
      <c r="DP96">
        <v>491480.540420427</v>
      </c>
      <c r="DQ96">
        <v>429490.538419592</v>
      </c>
      <c r="DR96">
        <v>415950.554915214</v>
      </c>
      <c r="DS96">
        <v>333654.815412527</v>
      </c>
      <c r="DT96">
        <v>23914.7298128712</v>
      </c>
      <c r="DU96">
        <v>28053.4100400257</v>
      </c>
      <c r="DV96">
        <v>24156.739851886</v>
      </c>
      <c r="DW96">
        <v>24167.8444227934</v>
      </c>
      <c r="DX96">
        <v>25643.1112739682</v>
      </c>
      <c r="DY96">
        <v>1393439.60311582</v>
      </c>
      <c r="DZ96">
        <v>1576808.41415224</v>
      </c>
      <c r="EA96">
        <v>1569283.9233204</v>
      </c>
      <c r="EB96">
        <v>1681003.14511635</v>
      </c>
      <c r="EC96">
        <v>1804734.96765209</v>
      </c>
      <c r="ED96">
        <v>496.209587720633</v>
      </c>
      <c r="EE96">
        <v>1212.43969412804</v>
      </c>
      <c r="EF96">
        <v>508.053334242105</v>
      </c>
      <c r="EG96">
        <v>1825.08346145153</v>
      </c>
      <c r="EH96">
        <v>1508.59587872028</v>
      </c>
      <c r="EI96" t="s">
        <v>1900</v>
      </c>
      <c r="EJ96" t="s">
        <v>1900</v>
      </c>
      <c r="EK96" t="s">
        <v>1900</v>
      </c>
      <c r="EL96" t="s">
        <v>1900</v>
      </c>
      <c r="EM96" t="s">
        <v>1900</v>
      </c>
      <c r="EN96">
        <v>236478.094055357</v>
      </c>
      <c r="EO96">
        <v>239458.900416212</v>
      </c>
      <c r="EP96">
        <v>304809.963533236</v>
      </c>
      <c r="EQ96">
        <v>24538.3961327863</v>
      </c>
      <c r="ER96">
        <v>225.344515347481</v>
      </c>
      <c r="ES96">
        <v>817019.302720107</v>
      </c>
      <c r="ET96">
        <v>792089.968275245</v>
      </c>
      <c r="EU96">
        <v>828359.6348249851</v>
      </c>
      <c r="EV96">
        <v>441896.138974006</v>
      </c>
      <c r="EW96">
        <v>326916.175067717</v>
      </c>
      <c r="EX96">
        <v>279472.485089659</v>
      </c>
      <c r="EY96">
        <v>289403.342680664</v>
      </c>
      <c r="EZ96">
        <v>387637.803794032</v>
      </c>
      <c r="FA96">
        <v>21868.2240845203</v>
      </c>
      <c r="FB96">
        <v>-11873.069233489</v>
      </c>
      <c r="FC96">
        <v>898246.994155778</v>
      </c>
      <c r="FD96">
        <v>1123646.82677889</v>
      </c>
      <c r="FE96">
        <v>496932.242689872</v>
      </c>
      <c r="FF96">
        <v>538783.436720395</v>
      </c>
      <c r="FG96">
        <v>308460.098493564</v>
      </c>
      <c r="FH96">
        <v>0</v>
      </c>
      <c r="FI96">
        <v>675.652553224564</v>
      </c>
      <c r="FJ96">
        <v>3111.80400699377</v>
      </c>
      <c r="FK96">
        <v>0</v>
      </c>
      <c r="FL96">
        <v>0</v>
      </c>
      <c r="FM96">
        <v>270076.386749877</v>
      </c>
      <c r="FN96">
        <v>282949.797234392</v>
      </c>
      <c r="FO96">
        <v>110697.902500474</v>
      </c>
      <c r="FP96">
        <v>131953.406279111</v>
      </c>
      <c r="FQ96">
        <v>151145.96830653</v>
      </c>
      <c r="FR96">
        <v>628170.607405901</v>
      </c>
      <c r="FS96">
        <v>840021.376991272</v>
      </c>
      <c r="FT96">
        <v>383122.536182404</v>
      </c>
      <c r="FU96">
        <v>406830.030441284</v>
      </c>
      <c r="FV96">
        <v>157314.130187035</v>
      </c>
      <c r="FW96">
        <v>0</v>
      </c>
      <c r="FX96">
        <v>675.652553224564</v>
      </c>
      <c r="FY96">
        <v>3111.80400699377</v>
      </c>
      <c r="FZ96">
        <v>0</v>
      </c>
      <c r="GA96">
        <v>0</v>
      </c>
      <c r="GB96">
        <v>270076.386749877</v>
      </c>
      <c r="GC96">
        <v>282949.797234392</v>
      </c>
      <c r="GD96">
        <v>110697.902500474</v>
      </c>
      <c r="GE96">
        <v>131953.406279111</v>
      </c>
      <c r="GF96">
        <v>151145.96830653</v>
      </c>
      <c r="GG96">
        <v>628170.607405901</v>
      </c>
      <c r="GH96">
        <v>840021.376991272</v>
      </c>
      <c r="GI96">
        <v>383122.536182404</v>
      </c>
      <c r="GJ96">
        <v>406830.030441284</v>
      </c>
      <c r="GK96">
        <v>157314.130187035</v>
      </c>
      <c r="GL96">
        <v>978056.5555122331</v>
      </c>
      <c r="GM96">
        <v>531235.496861963</v>
      </c>
      <c r="GN96">
        <v>969627.611908305</v>
      </c>
      <c r="GO96">
        <v>375164.57585113</v>
      </c>
      <c r="GP96">
        <v>594062.785187763</v>
      </c>
      <c r="GQ96">
        <v>0</v>
      </c>
      <c r="GR96">
        <v>0</v>
      </c>
      <c r="GS96">
        <v>0</v>
      </c>
      <c r="GT96">
        <v>0</v>
      </c>
      <c r="GU96">
        <v>0</v>
      </c>
      <c r="GV96">
        <v>399006.811806392</v>
      </c>
      <c r="GW96">
        <v>271005.692174025</v>
      </c>
      <c r="GX96">
        <v>99254.62324082261</v>
      </c>
      <c r="GY96">
        <v>97780.3179782152</v>
      </c>
      <c r="GZ96">
        <v>219578.473907399</v>
      </c>
      <c r="HA96">
        <v>579049.743705841</v>
      </c>
      <c r="HB96">
        <v>260229.804687939</v>
      </c>
      <c r="HC96">
        <v>870372.988667482</v>
      </c>
      <c r="HD96">
        <v>277384.257872915</v>
      </c>
      <c r="HE96">
        <v>374484.311280364</v>
      </c>
      <c r="HF96">
        <v>337991.493761596</v>
      </c>
      <c r="HG96">
        <v>245874.46699544</v>
      </c>
      <c r="HH96">
        <v>643421.9495558681</v>
      </c>
      <c r="HI96">
        <v>274156.346996641</v>
      </c>
      <c r="HJ96">
        <v>283863.028017396</v>
      </c>
      <c r="HK96">
        <v>1876303.54966801</v>
      </c>
      <c r="HL96">
        <v>1654882.32364085</v>
      </c>
      <c r="HM96">
        <v>1466559.85459818</v>
      </c>
      <c r="HN96">
        <v>913948.012571526</v>
      </c>
      <c r="HO96">
        <v>902522.883681327</v>
      </c>
      <c r="HP96">
        <v>1319048.82748576</v>
      </c>
      <c r="HQ96">
        <v>1176886.63467226</v>
      </c>
      <c r="HR96">
        <v>931928.716991782</v>
      </c>
      <c r="HS96">
        <v>691576.201638722</v>
      </c>
      <c r="HT96">
        <v>748876.688281214</v>
      </c>
      <c r="HU96">
        <v>10388.9954090118</v>
      </c>
      <c r="HV96">
        <v>11050.0049591064</v>
      </c>
      <c r="HW96">
        <v>10665.9948825836</v>
      </c>
      <c r="HX96">
        <v>11326.003074646</v>
      </c>
      <c r="HY96">
        <v>12270.9929943085</v>
      </c>
      <c r="HZ96">
        <v>1308659.83207675</v>
      </c>
      <c r="IA96">
        <v>1165836.62971315</v>
      </c>
      <c r="IB96">
        <v>921262.719976</v>
      </c>
      <c r="IC96">
        <v>680250.198564076</v>
      </c>
      <c r="ID96">
        <v>736605.695286906</v>
      </c>
      <c r="IE96">
        <v>22900.5560810435</v>
      </c>
      <c r="IF96">
        <v>28330.7983145142</v>
      </c>
      <c r="IG96">
        <v>31181.3427495658</v>
      </c>
      <c r="IH96">
        <v>36952.0930453062</v>
      </c>
      <c r="II96">
        <v>46829.9255451024</v>
      </c>
      <c r="IJ96">
        <v>0</v>
      </c>
      <c r="IK96">
        <v>0</v>
      </c>
      <c r="IL96">
        <v>0</v>
      </c>
      <c r="IM96">
        <v>0</v>
      </c>
      <c r="IN96">
        <v>0</v>
      </c>
      <c r="IO96">
        <v>22900.5560810435</v>
      </c>
      <c r="IP96">
        <v>28330.7983145142</v>
      </c>
      <c r="IQ96">
        <v>31181.3427495658</v>
      </c>
      <c r="IR96">
        <v>36952.0930453062</v>
      </c>
      <c r="IS96">
        <v>46829.9255451024</v>
      </c>
      <c r="IT96" t="s">
        <v>1900</v>
      </c>
      <c r="IU96" t="s">
        <v>1900</v>
      </c>
      <c r="IV96" t="s">
        <v>1900</v>
      </c>
      <c r="IW96" t="s">
        <v>1900</v>
      </c>
      <c r="IX96" t="s">
        <v>1900</v>
      </c>
      <c r="IY96">
        <v>534354.166101209</v>
      </c>
      <c r="IZ96">
        <v>449664.890654078</v>
      </c>
      <c r="JA96">
        <v>503449.794856828</v>
      </c>
      <c r="JB96">
        <v>185419.717887497</v>
      </c>
      <c r="JC96">
        <v>106816.269855011</v>
      </c>
      <c r="JD96">
        <v>0</v>
      </c>
      <c r="JE96">
        <v>0</v>
      </c>
      <c r="JF96">
        <v>0</v>
      </c>
      <c r="JG96">
        <v>0</v>
      </c>
      <c r="JH96">
        <v>0</v>
      </c>
      <c r="JI96">
        <v>4247.12521315813</v>
      </c>
      <c r="JJ96">
        <v>0</v>
      </c>
      <c r="JK96">
        <v>952.313353091478</v>
      </c>
      <c r="JL96">
        <v>0</v>
      </c>
      <c r="JM96">
        <v>731.498434376717</v>
      </c>
      <c r="JN96">
        <v>530107.040888051</v>
      </c>
      <c r="JO96">
        <v>449664.890654078</v>
      </c>
      <c r="JP96">
        <v>502497.481503737</v>
      </c>
      <c r="JQ96">
        <v>185419.717887497</v>
      </c>
      <c r="JR96">
        <v>106084.771420634</v>
      </c>
      <c r="JS96">
        <v>1876303.54966801</v>
      </c>
      <c r="JT96">
        <v>1654882.32364085</v>
      </c>
      <c r="JU96">
        <v>1466559.85459818</v>
      </c>
      <c r="JV96">
        <v>913948.012571526</v>
      </c>
      <c r="JW96">
        <v>902522.883681327</v>
      </c>
      <c r="JX96">
        <v>394759.686593233</v>
      </c>
      <c r="JY96">
        <v>271005.692174025</v>
      </c>
      <c r="JZ96">
        <v>98302.3098877311</v>
      </c>
      <c r="KA96">
        <v>97780.3179782152</v>
      </c>
      <c r="KB96">
        <v>218846.975473022</v>
      </c>
      <c r="KC96" t="s">
        <v>1900</v>
      </c>
      <c r="KD96" t="s">
        <v>1900</v>
      </c>
      <c r="KE96" t="s">
        <v>1900</v>
      </c>
      <c r="KF96" t="s">
        <v>1900</v>
      </c>
      <c r="KG96" t="s">
        <v>1900</v>
      </c>
      <c r="KH96" t="s">
        <v>1900</v>
      </c>
      <c r="KI96" t="s">
        <v>1900</v>
      </c>
      <c r="KJ96" t="s">
        <v>1900</v>
      </c>
      <c r="KK96" t="s">
        <v>1900</v>
      </c>
      <c r="KL96" t="s">
        <v>1900</v>
      </c>
      <c r="KM96">
        <v>8</v>
      </c>
      <c r="KN96">
        <v>9</v>
      </c>
      <c r="KO96">
        <v>8</v>
      </c>
      <c r="KP96">
        <v>7</v>
      </c>
      <c r="KQ96">
        <v>5</v>
      </c>
      <c r="KR96" t="s">
        <v>1900</v>
      </c>
      <c r="KS96" t="s">
        <v>1900</v>
      </c>
      <c r="KT96" t="s">
        <v>1900</v>
      </c>
      <c r="KU96" t="s">
        <v>1900</v>
      </c>
      <c r="KV96" t="s">
        <v>1900</v>
      </c>
      <c r="KW96" t="s">
        <v>1900</v>
      </c>
      <c r="KX96" t="s">
        <v>1900</v>
      </c>
      <c r="KY96" t="s">
        <v>1900</v>
      </c>
      <c r="KZ96" t="s">
        <v>1900</v>
      </c>
      <c r="LA96" t="s">
        <v>1900</v>
      </c>
      <c r="LB96" t="s">
        <v>1900</v>
      </c>
      <c r="LC96" t="s">
        <v>1900</v>
      </c>
      <c r="LD96" t="s">
        <v>1900</v>
      </c>
      <c r="LE96" t="s">
        <v>1900</v>
      </c>
      <c r="LF96" t="s">
        <v>1900</v>
      </c>
      <c r="LG96" t="s">
        <v>1900</v>
      </c>
      <c r="LH96" t="s">
        <v>1900</v>
      </c>
      <c r="LI96" t="s">
        <v>1900</v>
      </c>
      <c r="LJ96" t="s">
        <v>1900</v>
      </c>
      <c r="LK96" t="s">
        <v>1900</v>
      </c>
      <c r="LL96" t="s">
        <v>1900</v>
      </c>
      <c r="LM96" t="s">
        <v>1900</v>
      </c>
      <c r="LN96" t="s">
        <v>1900</v>
      </c>
      <c r="LO96" t="s">
        <v>1900</v>
      </c>
      <c r="LP96" t="s">
        <v>1900</v>
      </c>
      <c r="LQ96" t="s">
        <v>1900</v>
      </c>
      <c r="LR96" t="s">
        <v>1900</v>
      </c>
      <c r="LS96" t="s">
        <v>1900</v>
      </c>
      <c r="LT96" t="s">
        <v>1900</v>
      </c>
      <c r="LU96" t="s">
        <v>1900</v>
      </c>
      <c r="LV96" t="s">
        <v>1900</v>
      </c>
      <c r="LW96" t="s">
        <v>1900</v>
      </c>
      <c r="LX96" t="s">
        <v>1900</v>
      </c>
      <c r="LY96" t="s">
        <v>1900</v>
      </c>
      <c r="LZ96" t="s">
        <v>1900</v>
      </c>
      <c r="MA96" t="s">
        <v>1900</v>
      </c>
      <c r="MB96" t="s">
        <v>1900</v>
      </c>
      <c r="MC96" t="s">
        <v>1900</v>
      </c>
      <c r="MD96" t="s">
        <v>1900</v>
      </c>
      <c r="ME96" t="s">
        <v>1900</v>
      </c>
      <c r="MF96" t="s">
        <v>1900</v>
      </c>
      <c r="MG96" t="s">
        <v>1900</v>
      </c>
      <c r="MH96" t="s">
        <v>1900</v>
      </c>
      <c r="MI96" t="s">
        <v>1900</v>
      </c>
      <c r="MJ96" t="s">
        <v>1900</v>
      </c>
      <c r="MK96" t="s">
        <v>1900</v>
      </c>
      <c r="ML96" t="s">
        <v>1900</v>
      </c>
      <c r="MM96" t="s">
        <v>1900</v>
      </c>
      <c r="MN96" t="s">
        <v>1900</v>
      </c>
      <c r="MO96" t="s">
        <v>1900</v>
      </c>
      <c r="MP96">
        <v>579049.743705841</v>
      </c>
      <c r="MQ96">
        <v>260229.804687939</v>
      </c>
      <c r="MR96">
        <v>870372.988667482</v>
      </c>
      <c r="MS96">
        <v>277384.257872915</v>
      </c>
      <c r="MT96">
        <v>374484.311280364</v>
      </c>
      <c r="MU96" t="s">
        <v>1900</v>
      </c>
      <c r="MV96" t="s">
        <v>1900</v>
      </c>
      <c r="MW96" t="s">
        <v>1900</v>
      </c>
      <c r="MX96" t="s">
        <v>1900</v>
      </c>
      <c r="MY96" t="s">
        <v>1900</v>
      </c>
      <c r="MZ96" t="s">
        <v>1900</v>
      </c>
      <c r="NA96" t="s">
        <v>1900</v>
      </c>
      <c r="NB96" t="s">
        <v>1900</v>
      </c>
      <c r="NC96" t="s">
        <v>1900</v>
      </c>
      <c r="ND96" t="s">
        <v>1900</v>
      </c>
      <c r="NE96" t="s">
        <v>1900</v>
      </c>
      <c r="NF96" t="s">
        <v>1900</v>
      </c>
      <c r="NG96" t="s">
        <v>1900</v>
      </c>
      <c r="NH96" t="s">
        <v>1900</v>
      </c>
      <c r="NI96" t="s">
        <v>1900</v>
      </c>
      <c r="NJ96" t="s">
        <v>1900</v>
      </c>
      <c r="NK96" t="s">
        <v>1900</v>
      </c>
      <c r="NL96" t="s">
        <v>1900</v>
      </c>
      <c r="NM96" t="s">
        <v>1900</v>
      </c>
      <c r="NN96" t="s">
        <v>1900</v>
      </c>
      <c r="NO96" t="s">
        <v>1900</v>
      </c>
      <c r="NP96" t="s">
        <v>1900</v>
      </c>
      <c r="NQ96" t="s">
        <v>1900</v>
      </c>
      <c r="NR96" t="s">
        <v>1900</v>
      </c>
      <c r="NS96" t="s">
        <v>1900</v>
      </c>
      <c r="NT96">
        <v>898246.994155778</v>
      </c>
      <c r="NU96">
        <v>1123646.82677889</v>
      </c>
      <c r="NV96">
        <v>496932.242689872</v>
      </c>
      <c r="NW96">
        <v>538783.436720395</v>
      </c>
      <c r="NX96">
        <v>308460.098493564</v>
      </c>
      <c r="NY96" t="s">
        <v>1900</v>
      </c>
      <c r="NZ96" t="s">
        <v>1900</v>
      </c>
      <c r="OA96" t="s">
        <v>1900</v>
      </c>
      <c r="OB96" t="s">
        <v>1900</v>
      </c>
      <c r="OC96" t="s">
        <v>1900</v>
      </c>
      <c r="OD96" t="s">
        <v>1900</v>
      </c>
      <c r="OE96" t="s">
        <v>1900</v>
      </c>
      <c r="OF96" t="s">
        <v>1900</v>
      </c>
      <c r="OG96" t="s">
        <v>1900</v>
      </c>
      <c r="OH96" t="s">
        <v>1900</v>
      </c>
      <c r="OI96" t="s">
        <v>1900</v>
      </c>
      <c r="OJ96" t="s">
        <v>1900</v>
      </c>
      <c r="OK96" t="s">
        <v>1900</v>
      </c>
      <c r="OL96" t="s">
        <v>1900</v>
      </c>
      <c r="OM96" t="s">
        <v>1900</v>
      </c>
      <c r="ON96" t="s">
        <v>1900</v>
      </c>
      <c r="OO96" t="s">
        <v>1900</v>
      </c>
      <c r="OP96" t="s">
        <v>1900</v>
      </c>
      <c r="OQ96" t="s">
        <v>1900</v>
      </c>
      <c r="OR96" t="s">
        <v>1900</v>
      </c>
      <c r="OS96" t="s">
        <v>1900</v>
      </c>
      <c r="OT96" t="s">
        <v>1900</v>
      </c>
      <c r="OU96" t="s">
        <v>1900</v>
      </c>
      <c r="OV96" t="s">
        <v>1900</v>
      </c>
      <c r="OW96" t="s">
        <v>1900</v>
      </c>
      <c r="OX96" t="s">
        <v>1900</v>
      </c>
      <c r="OY96" t="s">
        <v>1900</v>
      </c>
      <c r="OZ96" t="s">
        <v>1900</v>
      </c>
      <c r="PA96" t="s">
        <v>1900</v>
      </c>
      <c r="PB96" t="s">
        <v>1900</v>
      </c>
      <c r="PC96" t="s">
        <v>1900</v>
      </c>
      <c r="PD96" t="s">
        <v>1900</v>
      </c>
      <c r="PE96" t="s">
        <v>1900</v>
      </c>
      <c r="PF96" t="s">
        <v>1900</v>
      </c>
      <c r="PG96" t="s">
        <v>1900</v>
      </c>
      <c r="PH96" t="s">
        <v>1900</v>
      </c>
      <c r="PI96" t="s">
        <v>1900</v>
      </c>
      <c r="PJ96" t="s">
        <v>1900</v>
      </c>
      <c r="PK96" t="s">
        <v>1900</v>
      </c>
      <c r="PL96" t="s">
        <v>1900</v>
      </c>
      <c r="PM96" t="s">
        <v>1900</v>
      </c>
      <c r="PN96" t="s">
        <v>1900</v>
      </c>
      <c r="PO96" t="s">
        <v>1900</v>
      </c>
      <c r="PP96" t="s">
        <v>1900</v>
      </c>
      <c r="PQ96" t="s">
        <v>1900</v>
      </c>
      <c r="PR96" t="s">
        <v>1900</v>
      </c>
      <c r="PS96" t="s">
        <v>1900</v>
      </c>
      <c r="PT96" t="s">
        <v>1900</v>
      </c>
      <c r="PU96" t="s">
        <v>1900</v>
      </c>
      <c r="PV96" t="s">
        <v>1900</v>
      </c>
      <c r="PW96" t="s">
        <v>1900</v>
      </c>
      <c r="PX96" t="s">
        <v>1900</v>
      </c>
      <c r="PY96" t="s">
        <v>1900</v>
      </c>
      <c r="PZ96" t="s">
        <v>1900</v>
      </c>
      <c r="QA96" t="s">
        <v>1900</v>
      </c>
      <c r="QB96" t="s">
        <v>1900</v>
      </c>
      <c r="QC96" t="s">
        <v>1900</v>
      </c>
      <c r="QD96" t="s">
        <v>1900</v>
      </c>
      <c r="QE96" t="s">
        <v>1900</v>
      </c>
      <c r="QF96" t="s">
        <v>1900</v>
      </c>
      <c r="QG96" t="s">
        <v>1900</v>
      </c>
      <c r="QH96" t="s">
        <v>1900</v>
      </c>
      <c r="QI96" t="s">
        <v>1900</v>
      </c>
      <c r="QJ96" t="s">
        <v>1900</v>
      </c>
      <c r="QK96" t="s">
        <v>1900</v>
      </c>
      <c r="QL96" t="s">
        <v>1900</v>
      </c>
      <c r="QM96" t="s">
        <v>1900</v>
      </c>
      <c r="QN96" t="s">
        <v>1900</v>
      </c>
      <c r="QO96" t="s">
        <v>1900</v>
      </c>
      <c r="QP96" t="s">
        <v>1900</v>
      </c>
      <c r="QQ96" t="s">
        <v>1900</v>
      </c>
      <c r="QR96" t="s">
        <v>1900</v>
      </c>
      <c r="QS96" t="s">
        <v>1900</v>
      </c>
      <c r="QT96" t="s">
        <v>1900</v>
      </c>
      <c r="QU96" t="s">
        <v>1900</v>
      </c>
      <c r="QV96" t="s">
        <v>1900</v>
      </c>
      <c r="QW96" t="s">
        <v>1900</v>
      </c>
      <c r="QX96" t="s">
        <v>1900</v>
      </c>
      <c r="QY96" t="s">
        <v>1900</v>
      </c>
      <c r="QZ96" t="s">
        <v>1900</v>
      </c>
      <c r="RA96" t="s">
        <v>1900</v>
      </c>
      <c r="RB96" t="s">
        <v>1900</v>
      </c>
      <c r="RC96" t="s">
        <v>1900</v>
      </c>
      <c r="RD96" t="s">
        <v>1900</v>
      </c>
      <c r="RE96" t="s">
        <v>1900</v>
      </c>
      <c r="RF96" t="s">
        <v>1900</v>
      </c>
      <c r="RG96" t="s">
        <v>1900</v>
      </c>
      <c r="RH96" t="s">
        <v>1900</v>
      </c>
      <c r="RI96" t="s">
        <v>1900</v>
      </c>
      <c r="RJ96" t="s">
        <v>1900</v>
      </c>
      <c r="RK96" t="s">
        <v>1900</v>
      </c>
      <c r="RL96" t="s">
        <v>1900</v>
      </c>
      <c r="RM96" t="s">
        <v>1900</v>
      </c>
      <c r="RN96" t="s">
        <v>1900</v>
      </c>
      <c r="RO96" t="s">
        <v>1900</v>
      </c>
      <c r="RP96" t="s">
        <v>1900</v>
      </c>
      <c r="RQ96" t="s">
        <v>1900</v>
      </c>
      <c r="RR96" t="s">
        <v>1900</v>
      </c>
      <c r="RS96" t="s">
        <v>1900</v>
      </c>
      <c r="RT96" t="s">
        <v>1900</v>
      </c>
      <c r="RU96" t="s">
        <v>1900</v>
      </c>
      <c r="RV96" t="s">
        <v>1900</v>
      </c>
      <c r="RW96" t="s">
        <v>1900</v>
      </c>
      <c r="RX96" t="s">
        <v>1900</v>
      </c>
      <c r="RY96" t="s">
        <v>1900</v>
      </c>
      <c r="RZ96" t="s">
        <v>1900</v>
      </c>
      <c r="SA96" t="s">
        <v>1900</v>
      </c>
      <c r="SB96" t="s">
        <v>1900</v>
      </c>
      <c r="SC96" t="s">
        <v>1900</v>
      </c>
      <c r="SD96" t="s">
        <v>1900</v>
      </c>
      <c r="SE96" t="s">
        <v>1900</v>
      </c>
      <c r="SF96" t="s">
        <v>1900</v>
      </c>
      <c r="SG96" t="s">
        <v>1900</v>
      </c>
      <c r="SH96" t="s">
        <v>1900</v>
      </c>
      <c r="SI96" t="s">
        <v>1900</v>
      </c>
      <c r="SJ96">
        <v>628170.607405901</v>
      </c>
      <c r="SK96">
        <v>840021.376991272</v>
      </c>
      <c r="SL96">
        <v>383122.536182404</v>
      </c>
      <c r="SM96">
        <v>406830.030441284</v>
      </c>
      <c r="SN96">
        <v>157314.130187035</v>
      </c>
      <c r="SO96" t="s">
        <v>1900</v>
      </c>
      <c r="SP96" t="s">
        <v>1900</v>
      </c>
      <c r="SQ96" t="s">
        <v>1900</v>
      </c>
      <c r="SR96" t="s">
        <v>1900</v>
      </c>
      <c r="SS96" t="s">
        <v>1900</v>
      </c>
      <c r="ST96" t="s">
        <v>1900</v>
      </c>
      <c r="SU96" t="s">
        <v>1900</v>
      </c>
      <c r="SV96" t="s">
        <v>1900</v>
      </c>
      <c r="SW96" t="s">
        <v>1900</v>
      </c>
      <c r="SX96" t="s">
        <v>1900</v>
      </c>
      <c r="SY96" t="s">
        <v>1900</v>
      </c>
      <c r="SZ96" t="s">
        <v>1900</v>
      </c>
      <c r="TA96" t="s">
        <v>1900</v>
      </c>
      <c r="TB96" t="s">
        <v>1900</v>
      </c>
      <c r="TC96" t="s">
        <v>1900</v>
      </c>
      <c r="TD96" t="s">
        <v>1900</v>
      </c>
      <c r="TE96" t="s">
        <v>1900</v>
      </c>
      <c r="TF96" t="s">
        <v>1900</v>
      </c>
      <c r="TG96" t="s">
        <v>1900</v>
      </c>
      <c r="TH96" t="s">
        <v>1900</v>
      </c>
      <c r="TI96" t="s">
        <v>1900</v>
      </c>
      <c r="TJ96" t="s">
        <v>1900</v>
      </c>
      <c r="TK96" t="s">
        <v>1900</v>
      </c>
      <c r="TL96" t="s">
        <v>1900</v>
      </c>
      <c r="TM96" t="s">
        <v>1900</v>
      </c>
      <c r="TN96" t="s">
        <v>1900</v>
      </c>
      <c r="TO96" t="s">
        <v>1900</v>
      </c>
      <c r="TP96" t="s">
        <v>1900</v>
      </c>
      <c r="TQ96" t="s">
        <v>1900</v>
      </c>
      <c r="TR96" t="s">
        <v>1900</v>
      </c>
      <c r="TS96">
        <v>1876303.54966801</v>
      </c>
      <c r="TT96">
        <v>1654882.32364085</v>
      </c>
      <c r="TU96">
        <v>1466559.85459818</v>
      </c>
      <c r="TV96">
        <v>913948.012571526</v>
      </c>
      <c r="TW96">
        <v>902522.883681327</v>
      </c>
      <c r="TX96" t="s">
        <v>1900</v>
      </c>
      <c r="TY96" t="s">
        <v>1900</v>
      </c>
      <c r="TZ96" t="s">
        <v>1900</v>
      </c>
      <c r="UA96" t="s">
        <v>1900</v>
      </c>
      <c r="UB96" t="s">
        <v>1900</v>
      </c>
      <c r="UC96">
        <v>0</v>
      </c>
      <c r="UD96">
        <v>0</v>
      </c>
      <c r="UE96">
        <v>0</v>
      </c>
      <c r="UF96">
        <v>0</v>
      </c>
      <c r="UG96">
        <v>0</v>
      </c>
      <c r="UH96" t="s">
        <v>1900</v>
      </c>
      <c r="UI96" t="s">
        <v>1900</v>
      </c>
      <c r="UJ96" t="s">
        <v>1900</v>
      </c>
      <c r="UK96" t="s">
        <v>1900</v>
      </c>
      <c r="UL96" t="s">
        <v>1900</v>
      </c>
      <c r="UM96" t="s">
        <v>1900</v>
      </c>
      <c r="UN96" t="s">
        <v>1900</v>
      </c>
      <c r="UO96" t="s">
        <v>1900</v>
      </c>
      <c r="UP96" t="s">
        <v>1900</v>
      </c>
      <c r="UQ96" t="s">
        <v>1900</v>
      </c>
      <c r="UR96" t="s">
        <v>1900</v>
      </c>
      <c r="US96" t="s">
        <v>1900</v>
      </c>
      <c r="UT96" t="s">
        <v>1900</v>
      </c>
      <c r="UU96" t="s">
        <v>1900</v>
      </c>
      <c r="UV96" t="s">
        <v>1900</v>
      </c>
      <c r="UW96" t="s">
        <v>1900</v>
      </c>
      <c r="UX96" t="s">
        <v>1900</v>
      </c>
      <c r="UY96" t="s">
        <v>1900</v>
      </c>
      <c r="UZ96" t="s">
        <v>1900</v>
      </c>
      <c r="VA96" t="s">
        <v>1900</v>
      </c>
      <c r="VB96" t="s">
        <v>1900</v>
      </c>
      <c r="VC96" t="s">
        <v>1900</v>
      </c>
      <c r="VD96" t="s">
        <v>1900</v>
      </c>
      <c r="VE96" t="s">
        <v>1900</v>
      </c>
      <c r="VF96" t="s">
        <v>1900</v>
      </c>
      <c r="VG96" t="s">
        <v>1900</v>
      </c>
      <c r="VH96" t="s">
        <v>1900</v>
      </c>
      <c r="VI96" t="s">
        <v>1900</v>
      </c>
      <c r="VJ96" t="s">
        <v>1900</v>
      </c>
      <c r="VK96" t="s">
        <v>1900</v>
      </c>
      <c r="VL96" t="s">
        <v>1900</v>
      </c>
      <c r="VM96" t="s">
        <v>1900</v>
      </c>
      <c r="VN96" t="s">
        <v>1900</v>
      </c>
      <c r="VO96" t="s">
        <v>1900</v>
      </c>
      <c r="VP96" t="s">
        <v>1900</v>
      </c>
      <c r="VQ96" t="s">
        <v>1900</v>
      </c>
      <c r="VR96" t="s">
        <v>1900</v>
      </c>
      <c r="VS96" t="s">
        <v>1900</v>
      </c>
      <c r="VT96" t="s">
        <v>1900</v>
      </c>
      <c r="VU96" t="s">
        <v>1900</v>
      </c>
      <c r="VV96" t="s">
        <v>1900</v>
      </c>
      <c r="VW96" t="s">
        <v>1900</v>
      </c>
      <c r="VX96" t="s">
        <v>1900</v>
      </c>
      <c r="VY96" t="s">
        <v>1900</v>
      </c>
      <c r="VZ96" t="s">
        <v>1900</v>
      </c>
      <c r="WA96">
        <v>530107.040888051</v>
      </c>
      <c r="WB96">
        <v>449664.890654078</v>
      </c>
      <c r="WC96">
        <v>502497.481503737</v>
      </c>
      <c r="WD96">
        <v>185419.717887497</v>
      </c>
      <c r="WE96">
        <v>106084.771420634</v>
      </c>
      <c r="WF96" t="s">
        <v>1900</v>
      </c>
      <c r="WG96" t="s">
        <v>1900</v>
      </c>
      <c r="WH96" t="s">
        <v>1900</v>
      </c>
      <c r="WI96" t="s">
        <v>1900</v>
      </c>
      <c r="WJ96" t="s">
        <v>1900</v>
      </c>
      <c r="WK96" t="s">
        <v>1900</v>
      </c>
      <c r="WL96" t="s">
        <v>1900</v>
      </c>
      <c r="WM96" t="s">
        <v>1900</v>
      </c>
      <c r="WN96" t="s">
        <v>1900</v>
      </c>
      <c r="WO96" t="s">
        <v>1900</v>
      </c>
      <c r="WP96" t="s">
        <v>1900</v>
      </c>
      <c r="WQ96" t="s">
        <v>1900</v>
      </c>
      <c r="WR96" t="s">
        <v>1900</v>
      </c>
      <c r="WS96" t="s">
        <v>1900</v>
      </c>
      <c r="WT96" t="s">
        <v>1900</v>
      </c>
      <c r="WU96" t="s">
        <v>1900</v>
      </c>
      <c r="WV96" t="s">
        <v>1900</v>
      </c>
      <c r="WW96" t="s">
        <v>1900</v>
      </c>
      <c r="WX96" t="s">
        <v>1900</v>
      </c>
      <c r="WY96" t="s">
        <v>1900</v>
      </c>
      <c r="WZ96" t="s">
        <v>1900</v>
      </c>
      <c r="XA96" t="s">
        <v>1900</v>
      </c>
      <c r="XB96" t="s">
        <v>1900</v>
      </c>
      <c r="XC96" t="s">
        <v>1900</v>
      </c>
      <c r="XD96" t="s">
        <v>1900</v>
      </c>
      <c r="XE96" t="s">
        <v>1900</v>
      </c>
      <c r="XF96" t="s">
        <v>1900</v>
      </c>
      <c r="XG96" t="s">
        <v>1900</v>
      </c>
      <c r="XH96" t="s">
        <v>1900</v>
      </c>
      <c r="XI96" t="s">
        <v>1900</v>
      </c>
      <c r="XJ96">
        <v>22900.5560810435</v>
      </c>
      <c r="XK96">
        <v>28330.7983145142</v>
      </c>
      <c r="XL96">
        <v>31181.3427495658</v>
      </c>
      <c r="XM96">
        <v>36952.0930453062</v>
      </c>
      <c r="XN96">
        <v>46829.9255451024</v>
      </c>
      <c r="XO96" t="s">
        <v>1900</v>
      </c>
      <c r="XP96" t="s">
        <v>1900</v>
      </c>
      <c r="XQ96" t="s">
        <v>1900</v>
      </c>
      <c r="XR96" t="s">
        <v>1900</v>
      </c>
      <c r="XS96" t="s">
        <v>1900</v>
      </c>
      <c r="XT96" t="s">
        <v>1900</v>
      </c>
      <c r="XU96" t="s">
        <v>1900</v>
      </c>
      <c r="XV96" t="s">
        <v>1900</v>
      </c>
      <c r="XW96" t="s">
        <v>1900</v>
      </c>
      <c r="XX96" t="s">
        <v>1900</v>
      </c>
      <c r="XY96" t="s">
        <v>1900</v>
      </c>
      <c r="XZ96" t="s">
        <v>1900</v>
      </c>
      <c r="YA96" t="s">
        <v>1900</v>
      </c>
      <c r="YB96" t="s">
        <v>1900</v>
      </c>
      <c r="YC96" t="s">
        <v>1900</v>
      </c>
      <c r="YD96" t="s">
        <v>1900</v>
      </c>
      <c r="YE96" t="s">
        <v>1900</v>
      </c>
      <c r="YF96" t="s">
        <v>1900</v>
      </c>
      <c r="YG96" t="s">
        <v>1900</v>
      </c>
      <c r="YH96" t="s">
        <v>1900</v>
      </c>
      <c r="YI96" t="s">
        <v>1900</v>
      </c>
      <c r="YJ96" t="s">
        <v>1900</v>
      </c>
      <c r="YK96" t="s">
        <v>1900</v>
      </c>
      <c r="YL96" t="s">
        <v>1900</v>
      </c>
      <c r="YM96" t="s">
        <v>1900</v>
      </c>
      <c r="YN96" t="s">
        <v>1900</v>
      </c>
      <c r="YO96" t="s">
        <v>1900</v>
      </c>
      <c r="YP96" t="s">
        <v>1900</v>
      </c>
      <c r="YQ96" t="s">
        <v>1900</v>
      </c>
      <c r="YR96" t="s">
        <v>1900</v>
      </c>
      <c r="YS96" t="s">
        <v>1900</v>
      </c>
      <c r="YT96" t="s">
        <v>1900</v>
      </c>
      <c r="YU96" t="s">
        <v>1900</v>
      </c>
      <c r="YV96" t="s">
        <v>1900</v>
      </c>
      <c r="YW96" t="s">
        <v>1900</v>
      </c>
      <c r="YX96" t="s">
        <v>1900</v>
      </c>
      <c r="YY96" t="s">
        <v>1900</v>
      </c>
      <c r="YZ96" t="s">
        <v>1900</v>
      </c>
      <c r="ZA96" t="s">
        <v>1900</v>
      </c>
      <c r="ZB96" t="s">
        <v>1900</v>
      </c>
      <c r="ZC96" t="s">
        <v>1900</v>
      </c>
      <c r="ZD96" t="s">
        <v>1900</v>
      </c>
      <c r="ZE96" t="s">
        <v>1900</v>
      </c>
      <c r="ZF96" t="s">
        <v>1900</v>
      </c>
      <c r="ZG96" t="s">
        <v>1900</v>
      </c>
      <c r="ZH96" t="s">
        <v>1900</v>
      </c>
      <c r="ZI96" t="s">
        <v>1900</v>
      </c>
      <c r="ZJ96" t="s">
        <v>1900</v>
      </c>
      <c r="ZK96" t="s">
        <v>1900</v>
      </c>
      <c r="ZL96" t="s">
        <v>1900</v>
      </c>
      <c r="ZM96" t="s">
        <v>1900</v>
      </c>
      <c r="ZN96" t="s">
        <v>1900</v>
      </c>
      <c r="ZO96" t="s">
        <v>1900</v>
      </c>
      <c r="ZP96" t="s">
        <v>1900</v>
      </c>
      <c r="ZQ96" t="s">
        <v>1900</v>
      </c>
      <c r="ZR96" t="s">
        <v>1900</v>
      </c>
      <c r="ZS96" t="s">
        <v>1900</v>
      </c>
      <c r="ZT96" t="s">
        <v>1900</v>
      </c>
      <c r="ZU96" t="s">
        <v>1900</v>
      </c>
      <c r="ZV96" t="s">
        <v>1900</v>
      </c>
      <c r="ZW96" t="s">
        <v>1900</v>
      </c>
      <c r="ZX96" t="s">
        <v>1900</v>
      </c>
      <c r="ZY96" t="s">
        <v>1900</v>
      </c>
      <c r="ZZ96" t="s">
        <v>1900</v>
      </c>
      <c r="AAA96" t="s">
        <v>1900</v>
      </c>
      <c r="AAB96" t="s">
        <v>1900</v>
      </c>
      <c r="AAC96" t="s">
        <v>1900</v>
      </c>
      <c r="AAD96" t="s">
        <v>1900</v>
      </c>
      <c r="AAE96" t="s">
        <v>1900</v>
      </c>
      <c r="AAF96" t="s">
        <v>1900</v>
      </c>
      <c r="AAG96" t="s">
        <v>1900</v>
      </c>
      <c r="AAH96" t="s">
        <v>1900</v>
      </c>
      <c r="AAI96" t="s">
        <v>1900</v>
      </c>
      <c r="AAJ96" t="s">
        <v>1900</v>
      </c>
      <c r="AAK96" t="s">
        <v>1900</v>
      </c>
      <c r="AAL96" t="s">
        <v>1900</v>
      </c>
      <c r="AAM96" t="s">
        <v>1900</v>
      </c>
      <c r="AAN96" t="s">
        <v>1900</v>
      </c>
      <c r="AAO96" t="s">
        <v>1900</v>
      </c>
      <c r="AAP96" t="s">
        <v>1900</v>
      </c>
      <c r="AAQ96" t="s">
        <v>1900</v>
      </c>
      <c r="AAR96" t="s">
        <v>1900</v>
      </c>
      <c r="AAS96" t="s">
        <v>1900</v>
      </c>
      <c r="AAT96" t="s">
        <v>1900</v>
      </c>
      <c r="AAU96" t="s">
        <v>1900</v>
      </c>
      <c r="AAV96" t="s">
        <v>1900</v>
      </c>
      <c r="AAW96" t="s">
        <v>1900</v>
      </c>
      <c r="AAX96" t="s">
        <v>1900</v>
      </c>
      <c r="AAY96" t="s">
        <v>1900</v>
      </c>
      <c r="AAZ96" t="s">
        <v>1900</v>
      </c>
      <c r="ABA96" t="s">
        <v>1900</v>
      </c>
      <c r="ABB96" t="s">
        <v>1900</v>
      </c>
      <c r="ABC96" t="s">
        <v>1900</v>
      </c>
      <c r="ABD96" t="s">
        <v>1900</v>
      </c>
      <c r="ABE96" t="s">
        <v>1900</v>
      </c>
      <c r="ABF96" t="s">
        <v>1900</v>
      </c>
      <c r="ABG96" t="s">
        <v>1900</v>
      </c>
      <c r="ABH96" t="s">
        <v>1900</v>
      </c>
      <c r="ABI96" t="s">
        <v>1900</v>
      </c>
      <c r="ABJ96" t="s">
        <v>1900</v>
      </c>
      <c r="ABK96" t="s">
        <v>1900</v>
      </c>
      <c r="ABL96" t="s">
        <v>1900</v>
      </c>
      <c r="ABM96" t="s">
        <v>1900</v>
      </c>
      <c r="ABN96" t="s">
        <v>1900</v>
      </c>
      <c r="ABO96" t="s">
        <v>1900</v>
      </c>
      <c r="ABP96" t="s">
        <v>1900</v>
      </c>
      <c r="ABQ96" t="s">
        <v>1900</v>
      </c>
      <c r="ABR96" t="s">
        <v>1900</v>
      </c>
      <c r="ABS96" t="s">
        <v>1900</v>
      </c>
      <c r="ABT96" t="s">
        <v>1900</v>
      </c>
      <c r="ABU96" t="s">
        <v>1900</v>
      </c>
      <c r="ABV96" t="s">
        <v>1900</v>
      </c>
      <c r="ABW96" t="s">
        <v>1900</v>
      </c>
      <c r="ABX96" t="s">
        <v>1900</v>
      </c>
      <c r="ABY96" t="s">
        <v>1900</v>
      </c>
      <c r="ABZ96" t="s">
        <v>1900</v>
      </c>
      <c r="ACA96" t="s">
        <v>1900</v>
      </c>
      <c r="ACB96" t="s">
        <v>1900</v>
      </c>
      <c r="ACC96" t="s">
        <v>1900</v>
      </c>
      <c r="ACD96" t="s">
        <v>1900</v>
      </c>
      <c r="ACE96">
        <v>20.847</v>
      </c>
      <c r="ACF96">
        <v>23.056</v>
      </c>
      <c r="ACG96">
        <v>40.154</v>
      </c>
      <c r="ACH96">
        <v>-0.007</v>
      </c>
      <c r="ACI96">
        <v>-4.525</v>
      </c>
      <c r="ACJ96">
        <v>20.528</v>
      </c>
      <c r="ACK96">
        <v>22.615</v>
      </c>
      <c r="ACL96">
        <v>38.906</v>
      </c>
      <c r="ACM96">
        <v>0.244</v>
      </c>
      <c r="ACN96">
        <v>-4.07</v>
      </c>
      <c r="ACO96">
        <v>14.655</v>
      </c>
      <c r="ACP96">
        <v>16.397</v>
      </c>
      <c r="ACQ96">
        <v>25.516</v>
      </c>
      <c r="ACR96">
        <v>-0.005</v>
      </c>
      <c r="ACS96">
        <v>-3.755</v>
      </c>
      <c r="ACT96">
        <v>16.115</v>
      </c>
      <c r="ACU96">
        <v>17.963</v>
      </c>
      <c r="ACV96">
        <v>30.115</v>
      </c>
      <c r="ACW96">
        <v>0.054</v>
      </c>
      <c r="ACX96">
        <v>-3.394</v>
      </c>
      <c r="ACY96">
        <v>15.877</v>
      </c>
      <c r="ACZ96">
        <v>17.641</v>
      </c>
      <c r="ADA96">
        <v>29.193</v>
      </c>
      <c r="ADB96">
        <v>0.301</v>
      </c>
      <c r="ADC96">
        <v>-3.005</v>
      </c>
      <c r="ADD96">
        <v>11.329</v>
      </c>
      <c r="ADE96">
        <v>12.775</v>
      </c>
      <c r="ADF96">
        <v>19.137</v>
      </c>
      <c r="ADG96">
        <v>0.041</v>
      </c>
      <c r="ADH96">
        <v>-2.816</v>
      </c>
      <c r="ADI96">
        <v>12.553</v>
      </c>
      <c r="ADJ96">
        <v>11.509</v>
      </c>
      <c r="ADK96">
        <v>15.681</v>
      </c>
      <c r="ADL96">
        <v>-0.002</v>
      </c>
      <c r="ADM96">
        <v>-1.594</v>
      </c>
      <c r="ADN96">
        <v>100</v>
      </c>
      <c r="ADO96">
        <v>100</v>
      </c>
      <c r="ADP96">
        <v>100</v>
      </c>
      <c r="ADQ96">
        <v>100</v>
      </c>
      <c r="ADR96">
        <v>100</v>
      </c>
      <c r="ADS96">
        <v>11.666427557</v>
      </c>
      <c r="ADT96">
        <v>11.084989035</v>
      </c>
      <c r="ADU96">
        <v>15.231277059</v>
      </c>
      <c r="ADV96">
        <v>-0.108532969</v>
      </c>
      <c r="ADW96">
        <v>-1.764208119</v>
      </c>
      <c r="ADX96">
        <v>12.758</v>
      </c>
      <c r="ADY96">
        <v>12.275</v>
      </c>
      <c r="ADZ96">
        <v>16.244</v>
      </c>
      <c r="AEA96">
        <v>1.032</v>
      </c>
      <c r="AEB96">
        <v>-0.5580000000000001</v>
      </c>
      <c r="AEC96">
        <v>11.666</v>
      </c>
      <c r="AED96">
        <v>11.085</v>
      </c>
      <c r="AEE96">
        <v>15.231</v>
      </c>
      <c r="AEF96">
        <v>-0.109</v>
      </c>
      <c r="AEG96">
        <v>-1.764</v>
      </c>
      <c r="AEH96">
        <v>10.795</v>
      </c>
      <c r="AEI96">
        <v>10.156</v>
      </c>
      <c r="AEJ96">
        <v>12.773</v>
      </c>
      <c r="AEK96">
        <v>1.158</v>
      </c>
      <c r="AEL96">
        <v>0.011</v>
      </c>
      <c r="AEM96">
        <v>13.207240729</v>
      </c>
      <c r="AEN96">
        <v>12.466948961</v>
      </c>
      <c r="AEO96">
        <v>17.968038837</v>
      </c>
      <c r="AEP96">
        <v>-0.108415302</v>
      </c>
      <c r="AEQ96">
        <v>-1.733623394</v>
      </c>
      <c r="AER96" t="s">
        <v>1900</v>
      </c>
      <c r="AES96" t="s">
        <v>1900</v>
      </c>
      <c r="AET96" t="s">
        <v>1900</v>
      </c>
      <c r="AEU96" t="s">
        <v>1900</v>
      </c>
      <c r="AEV96" t="s">
        <v>1900</v>
      </c>
      <c r="AEW96" t="s">
        <v>1900</v>
      </c>
      <c r="AEX96" t="s">
        <v>1900</v>
      </c>
      <c r="AEY96" t="s">
        <v>1900</v>
      </c>
      <c r="AEZ96" t="s">
        <v>1900</v>
      </c>
      <c r="AFA96" t="s">
        <v>1900</v>
      </c>
      <c r="AFB96" t="s">
        <v>1900</v>
      </c>
      <c r="AFC96" t="s">
        <v>1900</v>
      </c>
      <c r="AFD96" t="s">
        <v>1900</v>
      </c>
      <c r="AFE96" t="s">
        <v>1900</v>
      </c>
      <c r="AFF96" t="s">
        <v>1900</v>
      </c>
      <c r="AFG96">
        <v>1.632</v>
      </c>
      <c r="AFH96">
        <v>1.956</v>
      </c>
      <c r="AFI96">
        <v>2.478</v>
      </c>
      <c r="AFJ96">
        <v>2.908</v>
      </c>
      <c r="AFK96">
        <v>2.672</v>
      </c>
      <c r="AFL96">
        <v>515.02</v>
      </c>
      <c r="AFM96">
        <v>215.557</v>
      </c>
      <c r="AFN96">
        <v>715.439</v>
      </c>
      <c r="AFO96">
        <v>-1.26</v>
      </c>
      <c r="AFP96">
        <v>-24.868</v>
      </c>
      <c r="AFQ96" t="s">
        <v>1901</v>
      </c>
      <c r="AFR96" t="s">
        <v>1901</v>
      </c>
      <c r="AFS96" t="s">
        <v>1901</v>
      </c>
      <c r="AFT96" t="s">
        <v>1901</v>
      </c>
      <c r="AFU96" t="s">
        <v>1901</v>
      </c>
      <c r="AFV96">
        <v>65.574</v>
      </c>
      <c r="AFW96">
        <v>41.38</v>
      </c>
      <c r="AFX96">
        <v>14.973</v>
      </c>
      <c r="AFY96">
        <v>16.613</v>
      </c>
      <c r="AFZ96">
        <v>37.173</v>
      </c>
      <c r="AGA96">
        <v>0.698</v>
      </c>
      <c r="AGB96">
        <v>0</v>
      </c>
      <c r="AGC96">
        <v>0.144</v>
      </c>
      <c r="AGD96">
        <v>0</v>
      </c>
      <c r="AGE96">
        <v>0.124</v>
      </c>
      <c r="AGF96" t="s">
        <v>1900</v>
      </c>
      <c r="AGG96" t="s">
        <v>1900</v>
      </c>
      <c r="AGH96" t="s">
        <v>1900</v>
      </c>
      <c r="AGI96" t="s">
        <v>1900</v>
      </c>
      <c r="AGJ96" t="s">
        <v>1900</v>
      </c>
      <c r="AGK96" t="s">
        <v>1900</v>
      </c>
      <c r="AGL96" t="s">
        <v>1900</v>
      </c>
      <c r="AGM96" t="s">
        <v>1900</v>
      </c>
      <c r="AGN96" t="s">
        <v>1900</v>
      </c>
      <c r="AGO96" t="s">
        <v>1900</v>
      </c>
      <c r="AGP96" t="s">
        <v>1900</v>
      </c>
      <c r="AGQ96" t="s">
        <v>1900</v>
      </c>
      <c r="AGR96" t="s">
        <v>1900</v>
      </c>
      <c r="AGS96" t="s">
        <v>1900</v>
      </c>
      <c r="AGT96" t="s">
        <v>1900</v>
      </c>
      <c r="AGU96">
        <v>0</v>
      </c>
      <c r="AGV96">
        <v>0</v>
      </c>
      <c r="AGW96">
        <v>0</v>
      </c>
      <c r="AGX96">
        <v>0</v>
      </c>
      <c r="AGY96">
        <v>0</v>
      </c>
      <c r="AGZ96">
        <v>1.83</v>
      </c>
      <c r="AHA96">
        <v>1.181</v>
      </c>
      <c r="AHB96">
        <v>1.926</v>
      </c>
      <c r="AHC96">
        <v>2.023</v>
      </c>
      <c r="AHD96">
        <v>5.562</v>
      </c>
      <c r="AHE96">
        <v>1.83</v>
      </c>
      <c r="AHF96">
        <v>1.181</v>
      </c>
      <c r="AHG96">
        <v>1.926</v>
      </c>
      <c r="AHH96">
        <v>2.023</v>
      </c>
      <c r="AHI96">
        <v>5.562</v>
      </c>
      <c r="AHJ96">
        <v>57.599</v>
      </c>
      <c r="AHK96">
        <v>41.541</v>
      </c>
      <c r="AHL96">
        <v>29.887</v>
      </c>
      <c r="AHM96">
        <v>18.715</v>
      </c>
      <c r="AHN96">
        <v>15.991</v>
      </c>
      <c r="AHO96">
        <v>70.3</v>
      </c>
      <c r="AHP96">
        <v>71.116</v>
      </c>
      <c r="AHQ96">
        <v>63.545</v>
      </c>
      <c r="AHR96">
        <v>75.669</v>
      </c>
      <c r="AHS96">
        <v>82.976</v>
      </c>
      <c r="AHT96" t="s">
        <v>1901</v>
      </c>
      <c r="AHU96" t="s">
        <v>1901</v>
      </c>
      <c r="AHV96" t="s">
        <v>1901</v>
      </c>
      <c r="AHW96" t="s">
        <v>1901</v>
      </c>
      <c r="AHX96" t="s">
        <v>1901</v>
      </c>
      <c r="AHY96">
        <v>1.736</v>
      </c>
      <c r="AHZ96">
        <v>2.407</v>
      </c>
      <c r="AIA96">
        <v>3.346</v>
      </c>
      <c r="AIB96">
        <v>5.343</v>
      </c>
      <c r="AIC96">
        <v>6.253</v>
      </c>
      <c r="AID96">
        <v>33.479156798</v>
      </c>
      <c r="AIE96">
        <v>50.760187899</v>
      </c>
      <c r="AIF96">
        <v>26.123893613</v>
      </c>
      <c r="AIG96">
        <v>44.513476133</v>
      </c>
      <c r="AIH96">
        <v>17.430486587</v>
      </c>
      <c r="AII96">
        <v>30.861197476</v>
      </c>
      <c r="AIJ96">
        <v>15.724973369</v>
      </c>
      <c r="AIK96">
        <v>59.347934961</v>
      </c>
      <c r="AIL96">
        <v>30.350113361</v>
      </c>
      <c r="AIM96">
        <v>41.49305442</v>
      </c>
      <c r="AIN96">
        <v>28.252733465</v>
      </c>
      <c r="AIO96">
        <v>27.172016054</v>
      </c>
      <c r="AIP96">
        <v>34.263687222</v>
      </c>
      <c r="AIQ96">
        <v>20.287775162</v>
      </c>
      <c r="AIR96">
        <v>11.75424727</v>
      </c>
      <c r="AIS96" t="s">
        <v>1900</v>
      </c>
      <c r="AIT96" t="s">
        <v>1900</v>
      </c>
      <c r="AIU96" t="s">
        <v>1900</v>
      </c>
      <c r="AIV96" t="s">
        <v>1900</v>
      </c>
      <c r="AIW96" t="s">
        <v>1900</v>
      </c>
      <c r="AIX96">
        <v>34.3725637443627</v>
      </c>
      <c r="AIY96">
        <v>30.1492865806293</v>
      </c>
      <c r="AIZ96">
        <v>46.775538169058</v>
      </c>
      <c r="AJA96">
        <v>-0.00676275643587113</v>
      </c>
      <c r="AJB96">
        <v>-6.7780694994998</v>
      </c>
      <c r="AJC96">
        <v>273.817493085849</v>
      </c>
      <c r="AJD96">
        <v>261.965811297037</v>
      </c>
      <c r="AJE96">
        <v>298.301532925103</v>
      </c>
      <c r="AJF96">
        <v>302.688846787698</v>
      </c>
      <c r="AJG96">
        <v>425.303342766226</v>
      </c>
      <c r="AJH96">
        <v>23.63</v>
      </c>
      <c r="AJI96">
        <v>20.846</v>
      </c>
      <c r="AJJ96">
        <v>17.997</v>
      </c>
      <c r="AJK96">
        <v>19.631</v>
      </c>
      <c r="AJL96">
        <v>15.69</v>
      </c>
      <c r="AJM96">
        <v>64.70348206016401</v>
      </c>
      <c r="AJN96">
        <v>54.6089488128252</v>
      </c>
      <c r="AJO96">
        <v>53.6863178357488</v>
      </c>
      <c r="AJP96">
        <v>59.4215081686306</v>
      </c>
      <c r="AJQ96">
        <v>66.7309630825055</v>
      </c>
      <c r="AJR96">
        <v>164.881103175995</v>
      </c>
      <c r="AJS96">
        <v>130.765181875807</v>
      </c>
      <c r="AJT96">
        <v>116.491089623973</v>
      </c>
      <c r="AJU96">
        <v>98.7966002341032</v>
      </c>
      <c r="AJV96">
        <v>149.775337656243</v>
      </c>
      <c r="AJW96">
        <v>49.3449605644293</v>
      </c>
      <c r="AJX96">
        <v>30.1117430837803</v>
      </c>
      <c r="AJY96">
        <v>12.2877892692661</v>
      </c>
      <c r="AJZ96">
        <v>13.9686166922307</v>
      </c>
      <c r="AKA96">
        <v>43.7693950946045</v>
      </c>
      <c r="AKB96">
        <v>234.537943968226</v>
      </c>
      <c r="AKC96">
        <v>183.875814106206</v>
      </c>
      <c r="AKD96">
        <v>183.319982358072</v>
      </c>
      <c r="AKE96">
        <v>130.564001310532</v>
      </c>
      <c r="AKF96">
        <v>180.504576736265</v>
      </c>
      <c r="AKG96" t="s">
        <v>1900</v>
      </c>
      <c r="AKH96" t="s">
        <v>1900</v>
      </c>
      <c r="AKI96" t="s">
        <v>1900</v>
      </c>
      <c r="AKJ96" t="s">
        <v>1900</v>
      </c>
      <c r="AKK96" t="s">
        <v>1900</v>
      </c>
      <c r="AKL96">
        <v>0</v>
      </c>
      <c r="AKM96">
        <v>0</v>
      </c>
      <c r="AKN96">
        <v>0</v>
      </c>
      <c r="AKO96">
        <v>0</v>
      </c>
      <c r="AKP96">
        <v>0</v>
      </c>
      <c r="AKQ96">
        <v>0</v>
      </c>
      <c r="AKR96">
        <v>0</v>
      </c>
      <c r="AKS96">
        <v>0</v>
      </c>
      <c r="AKT96">
        <v>0</v>
      </c>
      <c r="AKU96">
        <v>0</v>
      </c>
      <c r="AKV96">
        <v>0</v>
      </c>
      <c r="AKW96">
        <v>0.028657368</v>
      </c>
      <c r="AKX96">
        <v>0.130396749</v>
      </c>
      <c r="AKY96">
        <v>0</v>
      </c>
      <c r="AKZ96">
        <v>0</v>
      </c>
      <c r="ALA96">
        <v>0</v>
      </c>
      <c r="ALB96">
        <v>0.040827831</v>
      </c>
      <c r="ALC96">
        <v>0.212183908</v>
      </c>
      <c r="ALD96">
        <v>0</v>
      </c>
      <c r="ALE96">
        <v>0</v>
      </c>
      <c r="ALF96">
        <v>12.329215357</v>
      </c>
      <c r="ALG96">
        <v>12.001133378</v>
      </c>
      <c r="ALH96">
        <v>4.638674721</v>
      </c>
      <c r="ALI96">
        <v>6.227677974</v>
      </c>
      <c r="ALJ96">
        <v>7.107678361</v>
      </c>
      <c r="ALK96">
        <v>14.394066823</v>
      </c>
      <c r="ALL96">
        <v>17.097880205</v>
      </c>
      <c r="ALM96">
        <v>7.548133965</v>
      </c>
      <c r="ALN96">
        <v>14.437736552</v>
      </c>
      <c r="ALO96">
        <v>16.747051076</v>
      </c>
      <c r="ALP96">
        <v>18.214998249</v>
      </c>
      <c r="ALQ96">
        <v>11.494531856</v>
      </c>
      <c r="ALR96">
        <v>4.1591566</v>
      </c>
      <c r="ALS96">
        <v>4.614843601</v>
      </c>
      <c r="ALT96">
        <v>10.325734685</v>
      </c>
      <c r="ALU96">
        <v>1.064424237</v>
      </c>
      <c r="ALV96">
        <v>0</v>
      </c>
      <c r="ALW96">
        <v>0.959464982</v>
      </c>
      <c r="ALX96">
        <v>0</v>
      </c>
      <c r="ALY96">
        <v>0.333137589</v>
      </c>
      <c r="ALZ96">
        <v>100</v>
      </c>
      <c r="AMA96">
        <v>100</v>
      </c>
      <c r="AMB96">
        <v>100</v>
      </c>
      <c r="AMC96">
        <v>100</v>
      </c>
      <c r="AMD96">
        <v>100</v>
      </c>
      <c r="AME96">
        <v>100</v>
      </c>
      <c r="AMF96">
        <v>100</v>
      </c>
      <c r="AMG96">
        <v>100</v>
      </c>
      <c r="AMH96">
        <v>100</v>
      </c>
      <c r="AMI96">
        <v>100</v>
      </c>
      <c r="AMJ96" t="s">
        <v>1900</v>
      </c>
      <c r="AMK96" t="s">
        <v>1900</v>
      </c>
      <c r="AML96" t="s">
        <v>1900</v>
      </c>
      <c r="AMM96" t="s">
        <v>1900</v>
      </c>
      <c r="AMN96" t="s">
        <v>1900</v>
      </c>
      <c r="AMO96">
        <v>1.1320724072936</v>
      </c>
      <c r="AMP96">
        <v>1.12466948960836</v>
      </c>
      <c r="AMQ96">
        <v>1.1796803883672</v>
      </c>
      <c r="AMR96">
        <v>0.998915846975254</v>
      </c>
      <c r="AMS96">
        <v>0.982663766061225</v>
      </c>
      <c r="AMT96">
        <v>1.1320724072936</v>
      </c>
      <c r="AMU96">
        <v>1.12466948960836</v>
      </c>
      <c r="AMV96">
        <v>1.1796803883672</v>
      </c>
      <c r="AMW96">
        <v>0.998915846975254</v>
      </c>
      <c r="AMX96">
        <v>0.982663766061225</v>
      </c>
      <c r="AMY96" t="s">
        <v>1900</v>
      </c>
      <c r="AMZ96" t="s">
        <v>1900</v>
      </c>
      <c r="ANA96" t="s">
        <v>1900</v>
      </c>
      <c r="ANB96" t="s">
        <v>1900</v>
      </c>
      <c r="ANC96" t="s">
        <v>1900</v>
      </c>
      <c r="AND96">
        <v>11.6664275573453</v>
      </c>
      <c r="ANE96">
        <v>11.0849890354694</v>
      </c>
      <c r="ANF96">
        <v>15.2312770593646</v>
      </c>
      <c r="ANG96">
        <v>-0.108532968820982</v>
      </c>
      <c r="ANH96">
        <v>-1.7642081185371</v>
      </c>
      <c r="ANI96">
        <v>11.6664275573453</v>
      </c>
      <c r="ANJ96">
        <v>11.0849890354694</v>
      </c>
      <c r="ANK96">
        <v>15.2312770593646</v>
      </c>
      <c r="ANL96">
        <v>-0.108532968820982</v>
      </c>
      <c r="ANM96">
        <v>-1.7642081185371</v>
      </c>
      <c r="ANN96">
        <v>13.2072407293604</v>
      </c>
      <c r="ANO96">
        <v>12.4669489608356</v>
      </c>
      <c r="ANP96">
        <v>17.9680388367196</v>
      </c>
      <c r="ANQ96">
        <v>-0.10841530247455</v>
      </c>
      <c r="ANR96">
        <v>-1.73362339387746</v>
      </c>
      <c r="ANS96">
        <v>19.0437700859874</v>
      </c>
      <c r="ANT96">
        <v>21.6848782209331</v>
      </c>
      <c r="ANU96">
        <v>37.7403454844779</v>
      </c>
      <c r="ANV96">
        <v>-0.315652851790804</v>
      </c>
      <c r="ANW96">
        <v>-4.71482577316445</v>
      </c>
      <c r="ANX96" t="s">
        <v>1900</v>
      </c>
      <c r="ANY96" t="s">
        <v>1900</v>
      </c>
      <c r="ANZ96" t="s">
        <v>1900</v>
      </c>
      <c r="AOA96" t="s">
        <v>1900</v>
      </c>
      <c r="AOB96" t="s">
        <v>1900</v>
      </c>
      <c r="AOC96">
        <v>113.20724072936</v>
      </c>
      <c r="AOD96">
        <v>112.466948960836</v>
      </c>
      <c r="AOE96">
        <v>117.96803883672</v>
      </c>
      <c r="AOF96">
        <v>99.8915846975255</v>
      </c>
      <c r="AOG96">
        <v>98.26637660612251</v>
      </c>
      <c r="AOH96" t="s">
        <v>1901</v>
      </c>
      <c r="AOI96" t="s">
        <v>1901</v>
      </c>
      <c r="AOJ96" t="s">
        <v>1901</v>
      </c>
      <c r="AOK96" t="s">
        <v>1901</v>
      </c>
      <c r="AOL96" t="s">
        <v>1901</v>
      </c>
      <c r="AOM96" t="s">
        <v>1900</v>
      </c>
      <c r="AON96" t="s">
        <v>1900</v>
      </c>
      <c r="AOO96" t="s">
        <v>1900</v>
      </c>
      <c r="AOP96" t="s">
        <v>1900</v>
      </c>
      <c r="AOQ96" t="s">
        <v>1900</v>
      </c>
      <c r="AOR96">
        <v>13.2072407293604</v>
      </c>
      <c r="AOS96">
        <v>12.4669489608356</v>
      </c>
      <c r="AOT96">
        <v>17.9680388367196</v>
      </c>
      <c r="AOU96">
        <v>-0.10841530247455</v>
      </c>
      <c r="AOV96">
        <v>-1.73362339387746</v>
      </c>
      <c r="AOW96">
        <v>13.6202777701937</v>
      </c>
      <c r="AOX96">
        <v>15.7926596294564</v>
      </c>
      <c r="AOY96">
        <v>24.7846047880355</v>
      </c>
      <c r="AOZ96">
        <v>-0.251613910927245</v>
      </c>
      <c r="APA96">
        <v>-4.15681210812422</v>
      </c>
      <c r="APB96">
        <v>9.70369726246307</v>
      </c>
      <c r="APC96">
        <v>8.966627690240569</v>
      </c>
      <c r="APD96">
        <v>11.7604668621055</v>
      </c>
      <c r="APE96">
        <v>0.0174886260320238</v>
      </c>
      <c r="APF96">
        <v>-1.19527701645612</v>
      </c>
      <c r="APG96">
        <v>9.70369726246307</v>
      </c>
      <c r="APH96">
        <v>8.966627690240569</v>
      </c>
      <c r="API96">
        <v>11.7604668621055</v>
      </c>
      <c r="APJ96">
        <v>0.0174886260320238</v>
      </c>
      <c r="APK96">
        <v>-1.19527701645612</v>
      </c>
      <c r="APL96" t="s">
        <v>1900</v>
      </c>
      <c r="APM96" t="s">
        <v>1900</v>
      </c>
      <c r="APN96" t="s">
        <v>1900</v>
      </c>
      <c r="APO96" t="s">
        <v>1900</v>
      </c>
      <c r="APP96" t="s">
        <v>1900</v>
      </c>
      <c r="APQ96">
        <v>10.9852879195649</v>
      </c>
      <c r="APR96">
        <v>10.084492587891</v>
      </c>
      <c r="APS96">
        <v>13.8735921152682</v>
      </c>
      <c r="APT96">
        <v>0.0174696656852125</v>
      </c>
      <c r="APU96">
        <v>-1.17455541447719</v>
      </c>
      <c r="APV96">
        <v>10.9852879195649</v>
      </c>
      <c r="APW96">
        <v>10.084492587891</v>
      </c>
      <c r="APX96">
        <v>13.8735921152682</v>
      </c>
      <c r="APY96">
        <v>0.0174696656852125</v>
      </c>
      <c r="APZ96">
        <v>-1.17455541447719</v>
      </c>
      <c r="AQA96">
        <v>11.3288366522622</v>
      </c>
      <c r="AQB96">
        <v>12.7746539651883</v>
      </c>
      <c r="AQC96">
        <v>19.136840736599</v>
      </c>
      <c r="AQD96">
        <v>0.0405441926122897</v>
      </c>
      <c r="AQE96">
        <v>-2.81630150227817</v>
      </c>
      <c r="AQF96" t="s">
        <v>1900</v>
      </c>
      <c r="AQG96" t="s">
        <v>1900</v>
      </c>
      <c r="AQH96" t="s">
        <v>1900</v>
      </c>
      <c r="AQI96" t="s">
        <v>1900</v>
      </c>
      <c r="AQJ96" t="s">
        <v>1900</v>
      </c>
      <c r="AQK96">
        <v>2</v>
      </c>
      <c r="AQO96" t="s">
        <v>1902</v>
      </c>
      <c r="AQP96">
        <v>3</v>
      </c>
      <c r="AQQ96">
        <v>0</v>
      </c>
      <c r="AQS96" t="s">
        <v>1905</v>
      </c>
      <c r="AQU96" t="s">
        <v>1906</v>
      </c>
      <c r="AQV96">
        <v>2190539.94053119</v>
      </c>
      <c r="AQW96">
        <v>2357692.29725333</v>
      </c>
      <c r="AQX96">
        <v>2386412.26553403</v>
      </c>
      <c r="AQY96">
        <v>255557.755276787</v>
      </c>
      <c r="AQZ96">
        <v>261349.932640638</v>
      </c>
      <c r="ARA96">
        <v>363481.063942146</v>
      </c>
      <c r="ARB96">
        <v>6934644.50331855</v>
      </c>
      <c r="ARC96">
        <v>880388.7518595711</v>
      </c>
      <c r="ARD96">
        <v>0.1454165116244736</v>
      </c>
      <c r="ARE96">
        <v>0.1454165116244736</v>
      </c>
      <c r="ARF96">
        <v>0.1454165116244736</v>
      </c>
      <c r="ARG96">
        <v>0.1454165116244736</v>
      </c>
      <c r="ARH96">
        <v>0.1454165116244736</v>
      </c>
      <c r="ARI96">
        <v>0.1454165116244736</v>
      </c>
      <c r="ARJ96" t="s">
        <v>1257</v>
      </c>
      <c r="ARK96" t="s">
        <v>1595</v>
      </c>
      <c r="ARL96" t="s">
        <v>1908</v>
      </c>
      <c r="ARM96" t="s">
        <v>1908</v>
      </c>
      <c r="ARN96" t="s">
        <v>1909</v>
      </c>
      <c r="ARO96" t="s">
        <v>1908</v>
      </c>
      <c r="ARP96" t="s">
        <v>1907</v>
      </c>
      <c r="ARQ96" t="s">
        <v>1989</v>
      </c>
      <c r="ARR96">
        <f>HYPERLINK("C:\Users\Usuario\Documents\Proyectos\llmthon\evidence\ramonhermosilla_com_235711.png", "Ver Evidencia")</f>
        <v>0</v>
      </c>
      <c r="ARS96">
        <v>100</v>
      </c>
    </row>
    <row r="97" spans="1:1163">
      <c r="A97">
        <v>277</v>
      </c>
      <c r="B97" t="s">
        <v>1258</v>
      </c>
      <c r="C97" t="s">
        <v>1381</v>
      </c>
      <c r="E97" s="2">
        <v>36608</v>
      </c>
      <c r="F97" t="s">
        <v>1431</v>
      </c>
      <c r="G97" t="s">
        <v>1433</v>
      </c>
      <c r="H97" t="s">
        <v>1434</v>
      </c>
      <c r="I97" t="s">
        <v>1435</v>
      </c>
      <c r="J97" t="s">
        <v>1451</v>
      </c>
      <c r="L97" t="s">
        <v>1596</v>
      </c>
      <c r="N97" t="s">
        <v>1628</v>
      </c>
      <c r="O97" t="s">
        <v>1652</v>
      </c>
      <c r="P97">
        <v>7490</v>
      </c>
      <c r="Q97">
        <v>7490</v>
      </c>
      <c r="R97" t="s">
        <v>1764</v>
      </c>
      <c r="Z97" t="s">
        <v>1899</v>
      </c>
      <c r="AA97" s="2">
        <v>45657</v>
      </c>
      <c r="AB97">
        <v>2024</v>
      </c>
      <c r="AC97">
        <v>2812808.80794223</v>
      </c>
      <c r="AD97">
        <v>2543572.61761914</v>
      </c>
      <c r="AE97">
        <v>3615539.79983738</v>
      </c>
      <c r="AF97">
        <v>6422181.05321525</v>
      </c>
      <c r="AG97">
        <v>3549933.75237228</v>
      </c>
      <c r="AH97">
        <v>2778490.76772357</v>
      </c>
      <c r="AI97">
        <v>2508056.39998489</v>
      </c>
      <c r="AJ97">
        <v>3592948.06008263</v>
      </c>
      <c r="AK97">
        <v>6395003.01880588</v>
      </c>
      <c r="AL97">
        <v>3528295.13241009</v>
      </c>
      <c r="AM97">
        <v>181552.567211329</v>
      </c>
      <c r="AN97">
        <v>79419.645392561</v>
      </c>
      <c r="AO97">
        <v>44775.0252354801</v>
      </c>
      <c r="AP97">
        <v>57163.6173560858</v>
      </c>
      <c r="AQ97">
        <v>49475.8338675141</v>
      </c>
      <c r="AR97">
        <v>2631256.2417698</v>
      </c>
      <c r="AS97">
        <v>2464152.97222658</v>
      </c>
      <c r="AT97">
        <v>3570764.7746019</v>
      </c>
      <c r="AU97">
        <v>6365017.43585916</v>
      </c>
      <c r="AV97">
        <v>3500457.91850476</v>
      </c>
      <c r="AW97">
        <v>2196955.98670489</v>
      </c>
      <c r="AX97">
        <v>2124607.90159792</v>
      </c>
      <c r="AY97">
        <v>2758665.50230539</v>
      </c>
      <c r="AZ97">
        <v>4612794.59503355</v>
      </c>
      <c r="BA97">
        <v>2968419.93498312</v>
      </c>
      <c r="BB97">
        <v>434300.255064909</v>
      </c>
      <c r="BC97">
        <v>339545.071733656</v>
      </c>
      <c r="BD97">
        <v>812099.272296512</v>
      </c>
      <c r="BE97">
        <v>1752222.84195821</v>
      </c>
      <c r="BF97">
        <v>532037.98352164</v>
      </c>
      <c r="BG97">
        <v>0</v>
      </c>
      <c r="BH97">
        <v>-99.6820947360992</v>
      </c>
      <c r="BI97">
        <v>-2859.97986781597</v>
      </c>
      <c r="BJ97">
        <v>-2913.33114087582</v>
      </c>
      <c r="BK97">
        <v>-2653.70040296316</v>
      </c>
      <c r="BL97" t="s">
        <v>1900</v>
      </c>
      <c r="BM97" t="s">
        <v>1900</v>
      </c>
      <c r="BN97" t="s">
        <v>1900</v>
      </c>
      <c r="BO97" t="s">
        <v>1900</v>
      </c>
      <c r="BP97" t="s">
        <v>1900</v>
      </c>
      <c r="BQ97" t="s">
        <v>1900</v>
      </c>
      <c r="BR97">
        <v>99.6820947360992</v>
      </c>
      <c r="BS97">
        <v>2859.97986781597</v>
      </c>
      <c r="BT97">
        <v>2913.33114087582</v>
      </c>
      <c r="BU97">
        <v>2653.70040296316</v>
      </c>
      <c r="BV97">
        <v>434300.255064909</v>
      </c>
      <c r="BW97">
        <v>339445.38963892</v>
      </c>
      <c r="BX97">
        <v>809239.2924286959</v>
      </c>
      <c r="BY97">
        <v>1749309.51081734</v>
      </c>
      <c r="BZ97">
        <v>529384.283118677</v>
      </c>
      <c r="CA97">
        <v>107639.010085378</v>
      </c>
      <c r="CB97">
        <v>84484.6472156715</v>
      </c>
      <c r="CC97">
        <v>199076.560083455</v>
      </c>
      <c r="CD97">
        <v>443835.151832986</v>
      </c>
      <c r="CE97">
        <v>132346.070779669</v>
      </c>
      <c r="CF97">
        <v>326661.244979532</v>
      </c>
      <c r="CG97">
        <v>254960.742423248</v>
      </c>
      <c r="CH97">
        <v>610162.732345241</v>
      </c>
      <c r="CI97">
        <v>1305474.35898435</v>
      </c>
      <c r="CJ97">
        <v>397038.211111909</v>
      </c>
      <c r="CK97" t="s">
        <v>1900</v>
      </c>
      <c r="CL97" t="s">
        <v>1900</v>
      </c>
      <c r="CM97" t="s">
        <v>1900</v>
      </c>
      <c r="CN97" t="s">
        <v>1900</v>
      </c>
      <c r="CO97" t="s">
        <v>1900</v>
      </c>
      <c r="CP97" t="s">
        <v>1900</v>
      </c>
      <c r="CQ97" t="s">
        <v>1900</v>
      </c>
      <c r="CR97" t="s">
        <v>1900</v>
      </c>
      <c r="CS97" t="s">
        <v>1900</v>
      </c>
      <c r="CT97" t="s">
        <v>1900</v>
      </c>
      <c r="CU97" t="s">
        <v>1900</v>
      </c>
      <c r="CV97" t="s">
        <v>1900</v>
      </c>
      <c r="CW97" t="s">
        <v>1900</v>
      </c>
      <c r="CX97" t="s">
        <v>1900</v>
      </c>
      <c r="CY97" t="s">
        <v>1900</v>
      </c>
      <c r="CZ97">
        <v>326661.244979532</v>
      </c>
      <c r="DA97">
        <v>254960.742423248</v>
      </c>
      <c r="DB97">
        <v>610162.732345241</v>
      </c>
      <c r="DC97">
        <v>1305474.35898435</v>
      </c>
      <c r="DD97">
        <v>397038.211111909</v>
      </c>
      <c r="DE97" t="s">
        <v>1900</v>
      </c>
      <c r="DF97" t="s">
        <v>1900</v>
      </c>
      <c r="DG97" t="s">
        <v>1900</v>
      </c>
      <c r="DH97" t="s">
        <v>1900</v>
      </c>
      <c r="DI97" t="s">
        <v>1900</v>
      </c>
      <c r="DJ97">
        <v>181552.567211329</v>
      </c>
      <c r="DK97">
        <v>79419.645392561</v>
      </c>
      <c r="DL97">
        <v>44775.0252354801</v>
      </c>
      <c r="DM97">
        <v>57163.6173560858</v>
      </c>
      <c r="DN97">
        <v>49475.8338675141</v>
      </c>
      <c r="DO97">
        <v>1141466.23825706</v>
      </c>
      <c r="DP97">
        <v>1225763.0608074</v>
      </c>
      <c r="DQ97">
        <v>1170774.7935763</v>
      </c>
      <c r="DR97">
        <v>1287927.97910907</v>
      </c>
      <c r="DS97">
        <v>976231.020487261</v>
      </c>
      <c r="DT97">
        <v>18294.5637994719</v>
      </c>
      <c r="DU97">
        <v>25995.92121665</v>
      </c>
      <c r="DV97">
        <v>27268.3838689566</v>
      </c>
      <c r="DW97">
        <v>17817.6829529285</v>
      </c>
      <c r="DX97">
        <v>22185.6853718638</v>
      </c>
      <c r="DY97">
        <v>1037195.18464835</v>
      </c>
      <c r="DZ97">
        <v>872848.91957387</v>
      </c>
      <c r="EA97">
        <v>1560622.32486013</v>
      </c>
      <c r="EB97">
        <v>3307048.93183895</v>
      </c>
      <c r="EC97">
        <v>1970003.229124</v>
      </c>
      <c r="ED97" t="s">
        <v>1900</v>
      </c>
      <c r="EE97">
        <v>99.6820947360992</v>
      </c>
      <c r="EF97">
        <v>2859.97986781597</v>
      </c>
      <c r="EG97">
        <v>2913.33114087582</v>
      </c>
      <c r="EH97">
        <v>2653.70040296316</v>
      </c>
      <c r="EI97" t="s">
        <v>1900</v>
      </c>
      <c r="EJ97" t="s">
        <v>1900</v>
      </c>
      <c r="EK97" t="s">
        <v>1900</v>
      </c>
      <c r="EL97" t="s">
        <v>1900</v>
      </c>
      <c r="EM97" t="s">
        <v>1900</v>
      </c>
      <c r="EN97">
        <v>344955.808779004</v>
      </c>
      <c r="EO97">
        <v>280956.663639898</v>
      </c>
      <c r="EP97">
        <v>637431.115147598</v>
      </c>
      <c r="EQ97">
        <v>1323292.04193728</v>
      </c>
      <c r="ER97">
        <v>419223.897710872</v>
      </c>
      <c r="ES97">
        <v>1594061.05712144</v>
      </c>
      <c r="ET97">
        <v>1591304.05375771</v>
      </c>
      <c r="EU97">
        <v>2010142.44974177</v>
      </c>
      <c r="EV97">
        <v>3057968.50402021</v>
      </c>
      <c r="EW97">
        <v>1530454.68938076</v>
      </c>
      <c r="EX97">
        <v>452594.818864381</v>
      </c>
      <c r="EY97">
        <v>365540.992950306</v>
      </c>
      <c r="EZ97">
        <v>839367.656165469</v>
      </c>
      <c r="FA97">
        <v>1770040.52491114</v>
      </c>
      <c r="FB97">
        <v>554223.668893504</v>
      </c>
      <c r="FC97">
        <v>27677.1148892403</v>
      </c>
      <c r="FD97">
        <v>39619.1076805687</v>
      </c>
      <c r="FE97">
        <v>63334.7736067355</v>
      </c>
      <c r="FF97">
        <v>85404.8134806633</v>
      </c>
      <c r="FG97">
        <v>70641.37023679609</v>
      </c>
      <c r="FH97">
        <v>10160.8115138483</v>
      </c>
      <c r="FI97">
        <v>21614.5832003593</v>
      </c>
      <c r="FJ97">
        <v>31638.9459280133</v>
      </c>
      <c r="FK97">
        <v>46430.0548502684</v>
      </c>
      <c r="FL97">
        <v>64208.0199266911</v>
      </c>
      <c r="FM97">
        <v>17112.7740157151</v>
      </c>
      <c r="FN97">
        <v>17575.3201875877</v>
      </c>
      <c r="FO97">
        <v>31281.5391054928</v>
      </c>
      <c r="FP97">
        <v>38534.8453449726</v>
      </c>
      <c r="FQ97">
        <v>5711.31281132698</v>
      </c>
      <c r="FR97">
        <v>403.529359676838</v>
      </c>
      <c r="FS97">
        <v>429.204292621613</v>
      </c>
      <c r="FT97">
        <v>414.288573229313</v>
      </c>
      <c r="FU97">
        <v>439.913285422325</v>
      </c>
      <c r="FV97">
        <v>722.037498778105</v>
      </c>
      <c r="FW97">
        <v>10160.8115138483</v>
      </c>
      <c r="FX97">
        <v>21614.5832003593</v>
      </c>
      <c r="FY97">
        <v>31638.9459280133</v>
      </c>
      <c r="FZ97">
        <v>46430.0548502684</v>
      </c>
      <c r="GA97">
        <v>64208.0199266911</v>
      </c>
      <c r="GB97">
        <v>17112.7740157151</v>
      </c>
      <c r="GC97">
        <v>17575.3201875877</v>
      </c>
      <c r="GD97">
        <v>31281.5391054928</v>
      </c>
      <c r="GE97">
        <v>38534.8453449726</v>
      </c>
      <c r="GF97">
        <v>5711.31281132698</v>
      </c>
      <c r="GG97">
        <v>403.529359676838</v>
      </c>
      <c r="GH97">
        <v>429.204292621613</v>
      </c>
      <c r="GI97">
        <v>414.288573229313</v>
      </c>
      <c r="GJ97">
        <v>439.913285422325</v>
      </c>
      <c r="GK97">
        <v>722.037498778105</v>
      </c>
      <c r="GL97">
        <v>1458138.95243361</v>
      </c>
      <c r="GM97">
        <v>1286231.68249497</v>
      </c>
      <c r="GN97">
        <v>1588155.86536187</v>
      </c>
      <c r="GO97">
        <v>2995312.94175124</v>
      </c>
      <c r="GP97">
        <v>2049626.79443873</v>
      </c>
      <c r="GQ97">
        <v>0</v>
      </c>
      <c r="GR97">
        <v>0</v>
      </c>
      <c r="GS97">
        <v>0</v>
      </c>
      <c r="GT97">
        <v>0</v>
      </c>
      <c r="GU97">
        <v>0</v>
      </c>
      <c r="GV97">
        <v>259964.029510616</v>
      </c>
      <c r="GW97">
        <v>271168.105146913</v>
      </c>
      <c r="GX97">
        <v>211414.449663883</v>
      </c>
      <c r="GY97">
        <v>467002.84222827</v>
      </c>
      <c r="GZ97">
        <v>1227988.14880839</v>
      </c>
      <c r="HA97">
        <v>1198174.922923</v>
      </c>
      <c r="HB97">
        <v>1015063.57734806</v>
      </c>
      <c r="HC97">
        <v>1376741.41569799</v>
      </c>
      <c r="HD97">
        <v>2528310.09839037</v>
      </c>
      <c r="HE97">
        <v>821638.645630336</v>
      </c>
      <c r="HF97">
        <v>953542.484554216</v>
      </c>
      <c r="HG97">
        <v>192206.128859749</v>
      </c>
      <c r="HH97">
        <v>1106491.30105675</v>
      </c>
      <c r="HI97">
        <v>1165874.34896743</v>
      </c>
      <c r="HJ97">
        <v>128162.803370959</v>
      </c>
      <c r="HK97">
        <v>1485816.06732285</v>
      </c>
      <c r="HL97">
        <v>1325850.79017554</v>
      </c>
      <c r="HM97">
        <v>1651490.6389686</v>
      </c>
      <c r="HN97">
        <v>3080717.75523191</v>
      </c>
      <c r="HO97">
        <v>2120268.16467552</v>
      </c>
      <c r="HP97">
        <v>955815.0980779279</v>
      </c>
      <c r="HQ97">
        <v>898292.528392649</v>
      </c>
      <c r="HR97">
        <v>1174692.9894604</v>
      </c>
      <c r="HS97">
        <v>1553491.68398309</v>
      </c>
      <c r="HT97">
        <v>543039.0391799751</v>
      </c>
      <c r="HU97">
        <v>12155.1246285439</v>
      </c>
      <c r="HV97">
        <v>12928.5058021545</v>
      </c>
      <c r="HW97">
        <v>12479.2140126228</v>
      </c>
      <c r="HX97">
        <v>13251.4235973358</v>
      </c>
      <c r="HY97">
        <v>14357.0618033409</v>
      </c>
      <c r="HZ97">
        <v>943659.973449384</v>
      </c>
      <c r="IA97">
        <v>885364.021485494</v>
      </c>
      <c r="IB97">
        <v>1162213.77544777</v>
      </c>
      <c r="IC97">
        <v>1540240.25925315</v>
      </c>
      <c r="ID97">
        <v>528681.977376634</v>
      </c>
      <c r="IE97">
        <v>0</v>
      </c>
      <c r="IF97">
        <v>0</v>
      </c>
      <c r="IG97">
        <v>0</v>
      </c>
      <c r="IH97">
        <v>170733.255722594</v>
      </c>
      <c r="II97">
        <v>184978.45807206</v>
      </c>
      <c r="IJ97" t="s">
        <v>1900</v>
      </c>
      <c r="IK97" t="s">
        <v>1900</v>
      </c>
      <c r="IL97" t="s">
        <v>1900</v>
      </c>
      <c r="IM97">
        <v>170733.255722594</v>
      </c>
      <c r="IN97">
        <v>184978.45807206</v>
      </c>
      <c r="IO97" t="s">
        <v>1900</v>
      </c>
      <c r="IP97" t="s">
        <v>1900</v>
      </c>
      <c r="IQ97" t="s">
        <v>1900</v>
      </c>
      <c r="IR97">
        <v>0</v>
      </c>
      <c r="IS97">
        <v>0</v>
      </c>
      <c r="IT97" t="s">
        <v>1900</v>
      </c>
      <c r="IU97" t="s">
        <v>1900</v>
      </c>
      <c r="IV97" t="s">
        <v>1900</v>
      </c>
      <c r="IW97">
        <v>0</v>
      </c>
      <c r="IX97">
        <v>0</v>
      </c>
      <c r="IY97">
        <v>530000.969244925</v>
      </c>
      <c r="IZ97">
        <v>427558.261782894</v>
      </c>
      <c r="JA97">
        <v>476797.649508208</v>
      </c>
      <c r="JB97">
        <v>1356492.81552622</v>
      </c>
      <c r="JC97">
        <v>1392250.66742349</v>
      </c>
      <c r="JD97">
        <v>0</v>
      </c>
      <c r="JE97">
        <v>0</v>
      </c>
      <c r="JF97">
        <v>0</v>
      </c>
      <c r="JG97">
        <v>0</v>
      </c>
      <c r="JH97">
        <v>0</v>
      </c>
      <c r="JI97">
        <v>19447.6487889135</v>
      </c>
      <c r="JJ97">
        <v>17581.6407904243</v>
      </c>
      <c r="JK97">
        <v>21034.6538258255</v>
      </c>
      <c r="JL97">
        <v>27443.0866659164</v>
      </c>
      <c r="JM97">
        <v>36088.8922283173</v>
      </c>
      <c r="JN97">
        <v>510553.320456011</v>
      </c>
      <c r="JO97">
        <v>409976.62099247</v>
      </c>
      <c r="JP97">
        <v>455762.995682383</v>
      </c>
      <c r="JQ97">
        <v>1329049.72886031</v>
      </c>
      <c r="JR97">
        <v>1356161.77519517</v>
      </c>
      <c r="JS97">
        <v>1485816.06732285</v>
      </c>
      <c r="JT97">
        <v>1325850.79017554</v>
      </c>
      <c r="JU97">
        <v>1651490.6389686</v>
      </c>
      <c r="JV97">
        <v>3080717.75523191</v>
      </c>
      <c r="JW97">
        <v>2120268.16467552</v>
      </c>
      <c r="JX97">
        <v>240516.380721703</v>
      </c>
      <c r="JY97">
        <v>253586.464356489</v>
      </c>
      <c r="JZ97">
        <v>190379.795838058</v>
      </c>
      <c r="KA97">
        <v>439559.755562353</v>
      </c>
      <c r="KB97">
        <v>1191899.25535297</v>
      </c>
      <c r="KC97" t="s">
        <v>1900</v>
      </c>
      <c r="KD97" t="s">
        <v>1900</v>
      </c>
      <c r="KE97" t="s">
        <v>1900</v>
      </c>
      <c r="KF97" t="s">
        <v>1900</v>
      </c>
      <c r="KG97" t="s">
        <v>1900</v>
      </c>
      <c r="KH97" t="s">
        <v>1900</v>
      </c>
      <c r="KI97" t="s">
        <v>1900</v>
      </c>
      <c r="KJ97" t="s">
        <v>1900</v>
      </c>
      <c r="KK97" t="s">
        <v>1900</v>
      </c>
      <c r="KL97" t="s">
        <v>1900</v>
      </c>
      <c r="KM97">
        <v>21</v>
      </c>
      <c r="KN97">
        <v>21</v>
      </c>
      <c r="KO97">
        <v>24</v>
      </c>
      <c r="KP97">
        <v>25</v>
      </c>
      <c r="KQ97">
        <v>17</v>
      </c>
      <c r="KR97" t="s">
        <v>1900</v>
      </c>
      <c r="KS97" t="s">
        <v>1900</v>
      </c>
      <c r="KT97" t="s">
        <v>1900</v>
      </c>
      <c r="KU97" t="s">
        <v>1900</v>
      </c>
      <c r="KV97" t="s">
        <v>1900</v>
      </c>
      <c r="KW97" t="s">
        <v>1900</v>
      </c>
      <c r="KX97" t="s">
        <v>1900</v>
      </c>
      <c r="KY97" t="s">
        <v>1900</v>
      </c>
      <c r="KZ97" t="s">
        <v>1900</v>
      </c>
      <c r="LA97" t="s">
        <v>1900</v>
      </c>
      <c r="LB97" t="s">
        <v>1900</v>
      </c>
      <c r="LC97" t="s">
        <v>1900</v>
      </c>
      <c r="LD97" t="s">
        <v>1900</v>
      </c>
      <c r="LE97" t="s">
        <v>1900</v>
      </c>
      <c r="LF97" t="s">
        <v>1900</v>
      </c>
      <c r="LG97" t="s">
        <v>1900</v>
      </c>
      <c r="LH97" t="s">
        <v>1900</v>
      </c>
      <c r="LI97" t="s">
        <v>1900</v>
      </c>
      <c r="LJ97" t="s">
        <v>1900</v>
      </c>
      <c r="LK97" t="s">
        <v>1900</v>
      </c>
      <c r="LL97" t="s">
        <v>1900</v>
      </c>
      <c r="LM97" t="s">
        <v>1900</v>
      </c>
      <c r="LN97" t="s">
        <v>1900</v>
      </c>
      <c r="LO97" t="s">
        <v>1900</v>
      </c>
      <c r="LP97" t="s">
        <v>1900</v>
      </c>
      <c r="LQ97" t="s">
        <v>1900</v>
      </c>
      <c r="LR97" t="s">
        <v>1900</v>
      </c>
      <c r="LS97" t="s">
        <v>1900</v>
      </c>
      <c r="LT97" t="s">
        <v>1900</v>
      </c>
      <c r="LU97" t="s">
        <v>1900</v>
      </c>
      <c r="LV97" t="s">
        <v>1900</v>
      </c>
      <c r="LW97" t="s">
        <v>1900</v>
      </c>
      <c r="LX97" t="s">
        <v>1900</v>
      </c>
      <c r="LY97" t="s">
        <v>1900</v>
      </c>
      <c r="LZ97" t="s">
        <v>1900</v>
      </c>
      <c r="MA97" t="s">
        <v>1900</v>
      </c>
      <c r="MB97" t="s">
        <v>1900</v>
      </c>
      <c r="MC97" t="s">
        <v>1900</v>
      </c>
      <c r="MD97" t="s">
        <v>1900</v>
      </c>
      <c r="ME97" t="s">
        <v>1900</v>
      </c>
      <c r="MF97" t="s">
        <v>1900</v>
      </c>
      <c r="MG97" t="s">
        <v>1900</v>
      </c>
      <c r="MH97" t="s">
        <v>1900</v>
      </c>
      <c r="MI97" t="s">
        <v>1900</v>
      </c>
      <c r="MJ97" t="s">
        <v>1900</v>
      </c>
      <c r="MK97" t="s">
        <v>1900</v>
      </c>
      <c r="ML97" t="s">
        <v>1900</v>
      </c>
      <c r="MM97" t="s">
        <v>1900</v>
      </c>
      <c r="MN97" t="s">
        <v>1900</v>
      </c>
      <c r="MO97" t="s">
        <v>1900</v>
      </c>
      <c r="MP97">
        <v>1198174.922923</v>
      </c>
      <c r="MQ97">
        <v>1015063.57734806</v>
      </c>
      <c r="MR97">
        <v>1376741.41569799</v>
      </c>
      <c r="MS97">
        <v>2528310.09839037</v>
      </c>
      <c r="MT97">
        <v>821638.645630336</v>
      </c>
      <c r="MU97" t="s">
        <v>1900</v>
      </c>
      <c r="MV97" t="s">
        <v>1900</v>
      </c>
      <c r="MW97" t="s">
        <v>1900</v>
      </c>
      <c r="MX97" t="s">
        <v>1900</v>
      </c>
      <c r="MY97" t="s">
        <v>1900</v>
      </c>
      <c r="MZ97" t="s">
        <v>1900</v>
      </c>
      <c r="NA97" t="s">
        <v>1900</v>
      </c>
      <c r="NB97" t="s">
        <v>1900</v>
      </c>
      <c r="NC97" t="s">
        <v>1900</v>
      </c>
      <c r="ND97" t="s">
        <v>1900</v>
      </c>
      <c r="NE97" t="s">
        <v>1900</v>
      </c>
      <c r="NF97" t="s">
        <v>1900</v>
      </c>
      <c r="NG97" t="s">
        <v>1900</v>
      </c>
      <c r="NH97" t="s">
        <v>1900</v>
      </c>
      <c r="NI97" t="s">
        <v>1900</v>
      </c>
      <c r="NJ97" t="s">
        <v>1900</v>
      </c>
      <c r="NK97" t="s">
        <v>1900</v>
      </c>
      <c r="NL97" t="s">
        <v>1900</v>
      </c>
      <c r="NM97" t="s">
        <v>1900</v>
      </c>
      <c r="NN97" t="s">
        <v>1900</v>
      </c>
      <c r="NO97" t="s">
        <v>1900</v>
      </c>
      <c r="NP97" t="s">
        <v>1900</v>
      </c>
      <c r="NQ97" t="s">
        <v>1900</v>
      </c>
      <c r="NR97" t="s">
        <v>1900</v>
      </c>
      <c r="NS97" t="s">
        <v>1900</v>
      </c>
      <c r="NT97">
        <v>27677.1148892403</v>
      </c>
      <c r="NU97">
        <v>39619.1076805687</v>
      </c>
      <c r="NV97">
        <v>63334.7736067355</v>
      </c>
      <c r="NW97">
        <v>85404.8134806633</v>
      </c>
      <c r="NX97">
        <v>70641.37023679609</v>
      </c>
      <c r="NY97" t="s">
        <v>1900</v>
      </c>
      <c r="NZ97" t="s">
        <v>1900</v>
      </c>
      <c r="OA97" t="s">
        <v>1900</v>
      </c>
      <c r="OB97" t="s">
        <v>1900</v>
      </c>
      <c r="OC97" t="s">
        <v>1900</v>
      </c>
      <c r="OD97" t="s">
        <v>1900</v>
      </c>
      <c r="OE97" t="s">
        <v>1900</v>
      </c>
      <c r="OF97" t="s">
        <v>1900</v>
      </c>
      <c r="OG97" t="s">
        <v>1900</v>
      </c>
      <c r="OH97" t="s">
        <v>1900</v>
      </c>
      <c r="OI97" t="s">
        <v>1900</v>
      </c>
      <c r="OJ97" t="s">
        <v>1900</v>
      </c>
      <c r="OK97" t="s">
        <v>1900</v>
      </c>
      <c r="OL97" t="s">
        <v>1900</v>
      </c>
      <c r="OM97" t="s">
        <v>1900</v>
      </c>
      <c r="ON97" t="s">
        <v>1900</v>
      </c>
      <c r="OO97" t="s">
        <v>1900</v>
      </c>
      <c r="OP97" t="s">
        <v>1900</v>
      </c>
      <c r="OQ97" t="s">
        <v>1900</v>
      </c>
      <c r="OR97" t="s">
        <v>1900</v>
      </c>
      <c r="OS97" t="s">
        <v>1900</v>
      </c>
      <c r="OT97" t="s">
        <v>1900</v>
      </c>
      <c r="OU97" t="s">
        <v>1900</v>
      </c>
      <c r="OV97" t="s">
        <v>1900</v>
      </c>
      <c r="OW97" t="s">
        <v>1900</v>
      </c>
      <c r="OX97" t="s">
        <v>1900</v>
      </c>
      <c r="OY97" t="s">
        <v>1900</v>
      </c>
      <c r="OZ97" t="s">
        <v>1900</v>
      </c>
      <c r="PA97" t="s">
        <v>1900</v>
      </c>
      <c r="PB97" t="s">
        <v>1900</v>
      </c>
      <c r="PC97" t="s">
        <v>1900</v>
      </c>
      <c r="PD97" t="s">
        <v>1900</v>
      </c>
      <c r="PE97" t="s">
        <v>1900</v>
      </c>
      <c r="PF97" t="s">
        <v>1900</v>
      </c>
      <c r="PG97" t="s">
        <v>1900</v>
      </c>
      <c r="PH97" t="s">
        <v>1900</v>
      </c>
      <c r="PI97" t="s">
        <v>1900</v>
      </c>
      <c r="PJ97" t="s">
        <v>1900</v>
      </c>
      <c r="PK97" t="s">
        <v>1900</v>
      </c>
      <c r="PL97" t="s">
        <v>1900</v>
      </c>
      <c r="PM97" t="s">
        <v>1900</v>
      </c>
      <c r="PN97" t="s">
        <v>1900</v>
      </c>
      <c r="PO97" t="s">
        <v>1900</v>
      </c>
      <c r="PP97" t="s">
        <v>1900</v>
      </c>
      <c r="PQ97" t="s">
        <v>1900</v>
      </c>
      <c r="PR97" t="s">
        <v>1900</v>
      </c>
      <c r="PS97" t="s">
        <v>1900</v>
      </c>
      <c r="PT97" t="s">
        <v>1900</v>
      </c>
      <c r="PU97" t="s">
        <v>1900</v>
      </c>
      <c r="PV97" t="s">
        <v>1900</v>
      </c>
      <c r="PW97" t="s">
        <v>1900</v>
      </c>
      <c r="PX97" t="s">
        <v>1900</v>
      </c>
      <c r="PY97" t="s">
        <v>1900</v>
      </c>
      <c r="PZ97" t="s">
        <v>1900</v>
      </c>
      <c r="QA97" t="s">
        <v>1900</v>
      </c>
      <c r="QB97" t="s">
        <v>1900</v>
      </c>
      <c r="QC97" t="s">
        <v>1900</v>
      </c>
      <c r="QD97" t="s">
        <v>1900</v>
      </c>
      <c r="QE97" t="s">
        <v>1900</v>
      </c>
      <c r="QF97" t="s">
        <v>1900</v>
      </c>
      <c r="QG97" t="s">
        <v>1900</v>
      </c>
      <c r="QH97" t="s">
        <v>1900</v>
      </c>
      <c r="QI97" t="s">
        <v>1900</v>
      </c>
      <c r="QJ97" t="s">
        <v>1900</v>
      </c>
      <c r="QK97" t="s">
        <v>1900</v>
      </c>
      <c r="QL97" t="s">
        <v>1900</v>
      </c>
      <c r="QM97" t="s">
        <v>1900</v>
      </c>
      <c r="QN97" t="s">
        <v>1900</v>
      </c>
      <c r="QO97" t="s">
        <v>1900</v>
      </c>
      <c r="QP97" t="s">
        <v>1900</v>
      </c>
      <c r="QQ97" t="s">
        <v>1900</v>
      </c>
      <c r="QR97" t="s">
        <v>1900</v>
      </c>
      <c r="QS97" t="s">
        <v>1900</v>
      </c>
      <c r="QT97" t="s">
        <v>1900</v>
      </c>
      <c r="QU97" t="s">
        <v>1900</v>
      </c>
      <c r="QV97" t="s">
        <v>1900</v>
      </c>
      <c r="QW97" t="s">
        <v>1900</v>
      </c>
      <c r="QX97" t="s">
        <v>1900</v>
      </c>
      <c r="QY97" t="s">
        <v>1900</v>
      </c>
      <c r="QZ97" t="s">
        <v>1900</v>
      </c>
      <c r="RA97" t="s">
        <v>1900</v>
      </c>
      <c r="RB97" t="s">
        <v>1900</v>
      </c>
      <c r="RC97" t="s">
        <v>1900</v>
      </c>
      <c r="RD97" t="s">
        <v>1900</v>
      </c>
      <c r="RE97" t="s">
        <v>1900</v>
      </c>
      <c r="RF97" t="s">
        <v>1900</v>
      </c>
      <c r="RG97" t="s">
        <v>1900</v>
      </c>
      <c r="RH97" t="s">
        <v>1900</v>
      </c>
      <c r="RI97" t="s">
        <v>1900</v>
      </c>
      <c r="RJ97" t="s">
        <v>1900</v>
      </c>
      <c r="RK97" t="s">
        <v>1900</v>
      </c>
      <c r="RL97" t="s">
        <v>1900</v>
      </c>
      <c r="RM97" t="s">
        <v>1900</v>
      </c>
      <c r="RN97" t="s">
        <v>1900</v>
      </c>
      <c r="RO97" t="s">
        <v>1900</v>
      </c>
      <c r="RP97" t="s">
        <v>1900</v>
      </c>
      <c r="RQ97" t="s">
        <v>1900</v>
      </c>
      <c r="RR97" t="s">
        <v>1900</v>
      </c>
      <c r="RS97" t="s">
        <v>1900</v>
      </c>
      <c r="RT97" t="s">
        <v>1900</v>
      </c>
      <c r="RU97" t="s">
        <v>1900</v>
      </c>
      <c r="RV97" t="s">
        <v>1900</v>
      </c>
      <c r="RW97" t="s">
        <v>1900</v>
      </c>
      <c r="RX97" t="s">
        <v>1900</v>
      </c>
      <c r="RY97" t="s">
        <v>1900</v>
      </c>
      <c r="RZ97" t="s">
        <v>1900</v>
      </c>
      <c r="SA97" t="s">
        <v>1900</v>
      </c>
      <c r="SB97" t="s">
        <v>1900</v>
      </c>
      <c r="SC97" t="s">
        <v>1900</v>
      </c>
      <c r="SD97" t="s">
        <v>1900</v>
      </c>
      <c r="SE97" t="s">
        <v>1900</v>
      </c>
      <c r="SF97" t="s">
        <v>1900</v>
      </c>
      <c r="SG97" t="s">
        <v>1900</v>
      </c>
      <c r="SH97" t="s">
        <v>1900</v>
      </c>
      <c r="SI97" t="s">
        <v>1900</v>
      </c>
      <c r="SJ97">
        <v>403.529359676838</v>
      </c>
      <c r="SK97">
        <v>429.204292621613</v>
      </c>
      <c r="SL97">
        <v>414.288573229313</v>
      </c>
      <c r="SM97">
        <v>439.913285422325</v>
      </c>
      <c r="SN97">
        <v>722.037498778105</v>
      </c>
      <c r="SO97" t="s">
        <v>1900</v>
      </c>
      <c r="SP97" t="s">
        <v>1900</v>
      </c>
      <c r="SQ97" t="s">
        <v>1900</v>
      </c>
      <c r="SR97" t="s">
        <v>1900</v>
      </c>
      <c r="SS97" t="s">
        <v>1900</v>
      </c>
      <c r="ST97" t="s">
        <v>1900</v>
      </c>
      <c r="SU97" t="s">
        <v>1900</v>
      </c>
      <c r="SV97" t="s">
        <v>1900</v>
      </c>
      <c r="SW97" t="s">
        <v>1900</v>
      </c>
      <c r="SX97" t="s">
        <v>1900</v>
      </c>
      <c r="SY97" t="s">
        <v>1900</v>
      </c>
      <c r="SZ97" t="s">
        <v>1900</v>
      </c>
      <c r="TA97" t="s">
        <v>1900</v>
      </c>
      <c r="TB97" t="s">
        <v>1900</v>
      </c>
      <c r="TC97" t="s">
        <v>1900</v>
      </c>
      <c r="TD97" t="s">
        <v>1900</v>
      </c>
      <c r="TE97" t="s">
        <v>1900</v>
      </c>
      <c r="TF97" t="s">
        <v>1900</v>
      </c>
      <c r="TG97" t="s">
        <v>1900</v>
      </c>
      <c r="TH97" t="s">
        <v>1900</v>
      </c>
      <c r="TI97" t="s">
        <v>1900</v>
      </c>
      <c r="TJ97" t="s">
        <v>1900</v>
      </c>
      <c r="TK97" t="s">
        <v>1900</v>
      </c>
      <c r="TL97" t="s">
        <v>1900</v>
      </c>
      <c r="TM97" t="s">
        <v>1900</v>
      </c>
      <c r="TN97" t="s">
        <v>1900</v>
      </c>
      <c r="TO97" t="s">
        <v>1900</v>
      </c>
      <c r="TP97" t="s">
        <v>1900</v>
      </c>
      <c r="TQ97" t="s">
        <v>1900</v>
      </c>
      <c r="TR97" t="s">
        <v>1900</v>
      </c>
      <c r="TS97">
        <v>1485816.06732285</v>
      </c>
      <c r="TT97">
        <v>1325850.79017554</v>
      </c>
      <c r="TU97">
        <v>1651490.6389686</v>
      </c>
      <c r="TV97">
        <v>3080717.75523191</v>
      </c>
      <c r="TW97">
        <v>2120268.16467552</v>
      </c>
      <c r="TX97" t="s">
        <v>1900</v>
      </c>
      <c r="TY97" t="s">
        <v>1900</v>
      </c>
      <c r="TZ97" t="s">
        <v>1900</v>
      </c>
      <c r="UA97" t="s">
        <v>1900</v>
      </c>
      <c r="UB97" t="s">
        <v>1900</v>
      </c>
      <c r="UC97">
        <v>0</v>
      </c>
      <c r="UD97">
        <v>0</v>
      </c>
      <c r="UE97">
        <v>0</v>
      </c>
      <c r="UF97">
        <v>0</v>
      </c>
      <c r="UG97">
        <v>0</v>
      </c>
      <c r="UH97" t="s">
        <v>1900</v>
      </c>
      <c r="UI97" t="s">
        <v>1900</v>
      </c>
      <c r="UJ97" t="s">
        <v>1900</v>
      </c>
      <c r="UK97" t="s">
        <v>1900</v>
      </c>
      <c r="UL97" t="s">
        <v>1900</v>
      </c>
      <c r="UM97" t="s">
        <v>1900</v>
      </c>
      <c r="UN97" t="s">
        <v>1900</v>
      </c>
      <c r="UO97" t="s">
        <v>1900</v>
      </c>
      <c r="UP97" t="s">
        <v>1900</v>
      </c>
      <c r="UQ97" t="s">
        <v>1900</v>
      </c>
      <c r="UR97" t="s">
        <v>1900</v>
      </c>
      <c r="US97" t="s">
        <v>1900</v>
      </c>
      <c r="UT97" t="s">
        <v>1900</v>
      </c>
      <c r="UU97" t="s">
        <v>1900</v>
      </c>
      <c r="UV97" t="s">
        <v>1900</v>
      </c>
      <c r="UW97" t="s">
        <v>1900</v>
      </c>
      <c r="UX97" t="s">
        <v>1900</v>
      </c>
      <c r="UY97" t="s">
        <v>1900</v>
      </c>
      <c r="UZ97" t="s">
        <v>1900</v>
      </c>
      <c r="VA97" t="s">
        <v>1900</v>
      </c>
      <c r="VB97" t="s">
        <v>1900</v>
      </c>
      <c r="VC97" t="s">
        <v>1900</v>
      </c>
      <c r="VD97" t="s">
        <v>1900</v>
      </c>
      <c r="VE97" t="s">
        <v>1900</v>
      </c>
      <c r="VF97" t="s">
        <v>1900</v>
      </c>
      <c r="VG97" t="s">
        <v>1900</v>
      </c>
      <c r="VH97" t="s">
        <v>1900</v>
      </c>
      <c r="VI97" t="s">
        <v>1900</v>
      </c>
      <c r="VJ97" t="s">
        <v>1900</v>
      </c>
      <c r="VK97" t="s">
        <v>1900</v>
      </c>
      <c r="VL97" t="s">
        <v>1900</v>
      </c>
      <c r="VM97" t="s">
        <v>1900</v>
      </c>
      <c r="VN97" t="s">
        <v>1900</v>
      </c>
      <c r="VO97" t="s">
        <v>1900</v>
      </c>
      <c r="VP97" t="s">
        <v>1900</v>
      </c>
      <c r="VQ97" t="s">
        <v>1900</v>
      </c>
      <c r="VR97" t="s">
        <v>1900</v>
      </c>
      <c r="VS97" t="s">
        <v>1900</v>
      </c>
      <c r="VT97" t="s">
        <v>1900</v>
      </c>
      <c r="VU97" t="s">
        <v>1900</v>
      </c>
      <c r="VV97" t="s">
        <v>1900</v>
      </c>
      <c r="VW97" t="s">
        <v>1900</v>
      </c>
      <c r="VX97" t="s">
        <v>1900</v>
      </c>
      <c r="VY97" t="s">
        <v>1900</v>
      </c>
      <c r="VZ97" t="s">
        <v>1900</v>
      </c>
      <c r="WA97">
        <v>510553.320456011</v>
      </c>
      <c r="WB97">
        <v>409976.62099247</v>
      </c>
      <c r="WC97">
        <v>455762.995682383</v>
      </c>
      <c r="WD97">
        <v>1329049.72886031</v>
      </c>
      <c r="WE97">
        <v>1356161.77519517</v>
      </c>
      <c r="WF97" t="s">
        <v>1900</v>
      </c>
      <c r="WG97" t="s">
        <v>1900</v>
      </c>
      <c r="WH97" t="s">
        <v>1900</v>
      </c>
      <c r="WI97" t="s">
        <v>1900</v>
      </c>
      <c r="WJ97" t="s">
        <v>1900</v>
      </c>
      <c r="WK97" t="s">
        <v>1900</v>
      </c>
      <c r="WL97" t="s">
        <v>1900</v>
      </c>
      <c r="WM97" t="s">
        <v>1900</v>
      </c>
      <c r="WN97" t="s">
        <v>1900</v>
      </c>
      <c r="WO97" t="s">
        <v>1900</v>
      </c>
      <c r="WP97" t="s">
        <v>1900</v>
      </c>
      <c r="WQ97" t="s">
        <v>1900</v>
      </c>
      <c r="WR97" t="s">
        <v>1900</v>
      </c>
      <c r="WS97" t="s">
        <v>1900</v>
      </c>
      <c r="WT97" t="s">
        <v>1900</v>
      </c>
      <c r="WU97" t="s">
        <v>1900</v>
      </c>
      <c r="WV97" t="s">
        <v>1900</v>
      </c>
      <c r="WW97" t="s">
        <v>1900</v>
      </c>
      <c r="WX97" t="s">
        <v>1900</v>
      </c>
      <c r="WY97" t="s">
        <v>1900</v>
      </c>
      <c r="WZ97" t="s">
        <v>1900</v>
      </c>
      <c r="XA97" t="s">
        <v>1900</v>
      </c>
      <c r="XB97" t="s">
        <v>1900</v>
      </c>
      <c r="XC97" t="s">
        <v>1900</v>
      </c>
      <c r="XD97" t="s">
        <v>1900</v>
      </c>
      <c r="XE97" t="s">
        <v>1900</v>
      </c>
      <c r="XF97" t="s">
        <v>1900</v>
      </c>
      <c r="XG97" t="s">
        <v>1900</v>
      </c>
      <c r="XH97" t="s">
        <v>1900</v>
      </c>
      <c r="XI97" t="s">
        <v>1900</v>
      </c>
      <c r="XJ97" t="s">
        <v>1900</v>
      </c>
      <c r="XK97" t="s">
        <v>1900</v>
      </c>
      <c r="XL97" t="s">
        <v>1900</v>
      </c>
      <c r="XM97">
        <v>0</v>
      </c>
      <c r="XN97">
        <v>0</v>
      </c>
      <c r="XO97" t="s">
        <v>1900</v>
      </c>
      <c r="XP97" t="s">
        <v>1900</v>
      </c>
      <c r="XQ97" t="s">
        <v>1900</v>
      </c>
      <c r="XR97" t="s">
        <v>1900</v>
      </c>
      <c r="XS97" t="s">
        <v>1900</v>
      </c>
      <c r="XT97" t="s">
        <v>1900</v>
      </c>
      <c r="XU97" t="s">
        <v>1900</v>
      </c>
      <c r="XV97" t="s">
        <v>1900</v>
      </c>
      <c r="XW97" t="s">
        <v>1900</v>
      </c>
      <c r="XX97" t="s">
        <v>1900</v>
      </c>
      <c r="XY97" t="s">
        <v>1900</v>
      </c>
      <c r="XZ97" t="s">
        <v>1900</v>
      </c>
      <c r="YA97" t="s">
        <v>1900</v>
      </c>
      <c r="YB97">
        <v>0</v>
      </c>
      <c r="YC97">
        <v>0</v>
      </c>
      <c r="YD97" t="s">
        <v>1900</v>
      </c>
      <c r="YE97" t="s">
        <v>1900</v>
      </c>
      <c r="YF97" t="s">
        <v>1900</v>
      </c>
      <c r="YG97" t="s">
        <v>1900</v>
      </c>
      <c r="YH97" t="s">
        <v>1900</v>
      </c>
      <c r="YI97" t="s">
        <v>1900</v>
      </c>
      <c r="YJ97" t="s">
        <v>1900</v>
      </c>
      <c r="YK97" t="s">
        <v>1900</v>
      </c>
      <c r="YL97" t="s">
        <v>1900</v>
      </c>
      <c r="YM97" t="s">
        <v>1900</v>
      </c>
      <c r="YN97" t="s">
        <v>1900</v>
      </c>
      <c r="YO97" t="s">
        <v>1900</v>
      </c>
      <c r="YP97" t="s">
        <v>1900</v>
      </c>
      <c r="YQ97" t="s">
        <v>1900</v>
      </c>
      <c r="YR97" t="s">
        <v>1900</v>
      </c>
      <c r="YS97" t="s">
        <v>1900</v>
      </c>
      <c r="YT97" t="s">
        <v>1900</v>
      </c>
      <c r="YU97" t="s">
        <v>1900</v>
      </c>
      <c r="YV97" t="s">
        <v>1900</v>
      </c>
      <c r="YW97" t="s">
        <v>1900</v>
      </c>
      <c r="YX97" t="s">
        <v>1900</v>
      </c>
      <c r="YY97" t="s">
        <v>1900</v>
      </c>
      <c r="YZ97" t="s">
        <v>1900</v>
      </c>
      <c r="ZA97" t="s">
        <v>1900</v>
      </c>
      <c r="ZB97" t="s">
        <v>1900</v>
      </c>
      <c r="ZC97" t="s">
        <v>1900</v>
      </c>
      <c r="ZD97" t="s">
        <v>1900</v>
      </c>
      <c r="ZE97" t="s">
        <v>1900</v>
      </c>
      <c r="ZF97" t="s">
        <v>1900</v>
      </c>
      <c r="ZG97" t="s">
        <v>1900</v>
      </c>
      <c r="ZH97" t="s">
        <v>1900</v>
      </c>
      <c r="ZI97" t="s">
        <v>1900</v>
      </c>
      <c r="ZJ97" t="s">
        <v>1900</v>
      </c>
      <c r="ZK97" t="s">
        <v>1900</v>
      </c>
      <c r="ZL97" t="s">
        <v>1900</v>
      </c>
      <c r="ZM97" t="s">
        <v>1900</v>
      </c>
      <c r="ZN97" t="s">
        <v>1900</v>
      </c>
      <c r="ZO97" t="s">
        <v>1900</v>
      </c>
      <c r="ZP97" t="s">
        <v>1900</v>
      </c>
      <c r="ZQ97" t="s">
        <v>1900</v>
      </c>
      <c r="ZR97" t="s">
        <v>1900</v>
      </c>
      <c r="ZS97" t="s">
        <v>1900</v>
      </c>
      <c r="ZT97" t="s">
        <v>1900</v>
      </c>
      <c r="ZU97" t="s">
        <v>1900</v>
      </c>
      <c r="ZV97" t="s">
        <v>1900</v>
      </c>
      <c r="ZW97" t="s">
        <v>1900</v>
      </c>
      <c r="ZX97" t="s">
        <v>1900</v>
      </c>
      <c r="ZY97" t="s">
        <v>1900</v>
      </c>
      <c r="ZZ97" t="s">
        <v>1900</v>
      </c>
      <c r="AAA97" t="s">
        <v>1900</v>
      </c>
      <c r="AAB97" t="s">
        <v>1900</v>
      </c>
      <c r="AAC97" t="s">
        <v>1900</v>
      </c>
      <c r="AAD97" t="s">
        <v>1900</v>
      </c>
      <c r="AAE97" t="s">
        <v>1900</v>
      </c>
      <c r="AAF97" t="s">
        <v>1900</v>
      </c>
      <c r="AAG97" t="s">
        <v>1900</v>
      </c>
      <c r="AAH97" t="s">
        <v>1900</v>
      </c>
      <c r="AAI97" t="s">
        <v>1900</v>
      </c>
      <c r="AAJ97" t="s">
        <v>1900</v>
      </c>
      <c r="AAK97" t="s">
        <v>1900</v>
      </c>
      <c r="AAL97" t="s">
        <v>1900</v>
      </c>
      <c r="AAM97" t="s">
        <v>1900</v>
      </c>
      <c r="AAN97" t="s">
        <v>1900</v>
      </c>
      <c r="AAO97" t="s">
        <v>1900</v>
      </c>
      <c r="AAP97" t="s">
        <v>1900</v>
      </c>
      <c r="AAQ97" t="s">
        <v>1900</v>
      </c>
      <c r="AAR97" t="s">
        <v>1900</v>
      </c>
      <c r="AAS97" t="s">
        <v>1900</v>
      </c>
      <c r="AAT97" t="s">
        <v>1900</v>
      </c>
      <c r="AAU97" t="s">
        <v>1900</v>
      </c>
      <c r="AAV97" t="s">
        <v>1900</v>
      </c>
      <c r="AAW97" t="s">
        <v>1900</v>
      </c>
      <c r="AAX97" t="s">
        <v>1900</v>
      </c>
      <c r="AAY97" t="s">
        <v>1900</v>
      </c>
      <c r="AAZ97" t="s">
        <v>1900</v>
      </c>
      <c r="ABA97" t="s">
        <v>1900</v>
      </c>
      <c r="ABB97" t="s">
        <v>1900</v>
      </c>
      <c r="ABC97" t="s">
        <v>1900</v>
      </c>
      <c r="ABD97" t="s">
        <v>1900</v>
      </c>
      <c r="ABE97" t="s">
        <v>1900</v>
      </c>
      <c r="ABF97" t="s">
        <v>1900</v>
      </c>
      <c r="ABG97" t="s">
        <v>1900</v>
      </c>
      <c r="ABH97" t="s">
        <v>1900</v>
      </c>
      <c r="ABI97" t="s">
        <v>1900</v>
      </c>
      <c r="ABJ97" t="s">
        <v>1900</v>
      </c>
      <c r="ABK97" t="s">
        <v>1900</v>
      </c>
      <c r="ABL97" t="s">
        <v>1900</v>
      </c>
      <c r="ABM97" t="s">
        <v>1900</v>
      </c>
      <c r="ABN97" t="s">
        <v>1900</v>
      </c>
      <c r="ABO97" t="s">
        <v>1900</v>
      </c>
      <c r="ABP97" t="s">
        <v>1900</v>
      </c>
      <c r="ABQ97" t="s">
        <v>1900</v>
      </c>
      <c r="ABR97" t="s">
        <v>1900</v>
      </c>
      <c r="ABS97" t="s">
        <v>1900</v>
      </c>
      <c r="ABT97" t="s">
        <v>1900</v>
      </c>
      <c r="ABU97" t="s">
        <v>1900</v>
      </c>
      <c r="ABV97" t="s">
        <v>1900</v>
      </c>
      <c r="ABW97" t="s">
        <v>1900</v>
      </c>
      <c r="ABX97" t="s">
        <v>1900</v>
      </c>
      <c r="ABY97" t="s">
        <v>1900</v>
      </c>
      <c r="ABZ97" t="s">
        <v>1900</v>
      </c>
      <c r="ACA97" t="s">
        <v>1900</v>
      </c>
      <c r="ACB97" t="s">
        <v>1900</v>
      </c>
      <c r="ACC97" t="s">
        <v>1900</v>
      </c>
      <c r="ACD97" t="s">
        <v>1900</v>
      </c>
      <c r="ACE97">
        <v>45.438</v>
      </c>
      <c r="ACF97">
        <v>37.788</v>
      </c>
      <c r="ACG97">
        <v>68.889</v>
      </c>
      <c r="ACH97">
        <v>112.605</v>
      </c>
      <c r="ACI97">
        <v>97.485</v>
      </c>
      <c r="ACJ97" t="s">
        <v>1900</v>
      </c>
      <c r="ACK97">
        <v>37.799</v>
      </c>
      <c r="ACL97">
        <v>69.133</v>
      </c>
      <c r="ACM97">
        <v>101.624</v>
      </c>
      <c r="ACN97">
        <v>73.08</v>
      </c>
      <c r="ACO97">
        <v>29.23</v>
      </c>
      <c r="ACP97">
        <v>25.602</v>
      </c>
      <c r="ACQ97">
        <v>49.001</v>
      </c>
      <c r="ACR97">
        <v>56.783</v>
      </c>
      <c r="ACS97">
        <v>24.968</v>
      </c>
      <c r="ACT97">
        <v>34.176</v>
      </c>
      <c r="ACU97">
        <v>28.383</v>
      </c>
      <c r="ACV97">
        <v>51.942</v>
      </c>
      <c r="ACW97">
        <v>84.035</v>
      </c>
      <c r="ACX97">
        <v>73.114</v>
      </c>
      <c r="ACY97" t="s">
        <v>1900</v>
      </c>
      <c r="ACZ97">
        <v>28.394</v>
      </c>
      <c r="ADA97">
        <v>52.186</v>
      </c>
      <c r="ADB97">
        <v>75.883</v>
      </c>
      <c r="ADC97">
        <v>54.901</v>
      </c>
      <c r="ADD97">
        <v>21.985</v>
      </c>
      <c r="ADE97">
        <v>19.23</v>
      </c>
      <c r="ADF97">
        <v>36.946</v>
      </c>
      <c r="ADG97">
        <v>42.376</v>
      </c>
      <c r="ADH97">
        <v>18.726</v>
      </c>
      <c r="ADI97">
        <v>15.44</v>
      </c>
      <c r="ADJ97">
        <v>13.345</v>
      </c>
      <c r="ADK97">
        <v>22.382</v>
      </c>
      <c r="ADL97">
        <v>27.239</v>
      </c>
      <c r="ADM97">
        <v>14.913</v>
      </c>
      <c r="ADN97">
        <v>93.54600000000001</v>
      </c>
      <c r="ADO97">
        <v>96.878</v>
      </c>
      <c r="ADP97">
        <v>98.762</v>
      </c>
      <c r="ADQ97">
        <v>99.11</v>
      </c>
      <c r="ADR97">
        <v>98.60599999999999</v>
      </c>
      <c r="ADS97">
        <v>15.44009155</v>
      </c>
      <c r="ADT97">
        <v>13.349140079</v>
      </c>
      <c r="ADU97">
        <v>22.461356181</v>
      </c>
      <c r="ADV97">
        <v>27.283921575</v>
      </c>
      <c r="ADW97">
        <v>14.987265133</v>
      </c>
      <c r="ADX97">
        <v>16.09</v>
      </c>
      <c r="ADY97">
        <v>14.371</v>
      </c>
      <c r="ADZ97">
        <v>23.216</v>
      </c>
      <c r="AEA97">
        <v>27.561</v>
      </c>
      <c r="AEB97">
        <v>15.612</v>
      </c>
      <c r="AEC97">
        <v>15.44</v>
      </c>
      <c r="AED97">
        <v>13.349</v>
      </c>
      <c r="AEE97">
        <v>22.461</v>
      </c>
      <c r="AEF97">
        <v>27.284</v>
      </c>
      <c r="AEG97">
        <v>14.987</v>
      </c>
      <c r="AEH97">
        <v>12.264</v>
      </c>
      <c r="AEI97">
        <v>11.046</v>
      </c>
      <c r="AEJ97">
        <v>17.63</v>
      </c>
      <c r="AEK97">
        <v>20.605</v>
      </c>
      <c r="AEL97">
        <v>11.809</v>
      </c>
      <c r="AEM97">
        <v>18.259352254</v>
      </c>
      <c r="AEN97">
        <v>15.405663707</v>
      </c>
      <c r="AEO97">
        <v>28.967950785</v>
      </c>
      <c r="AEP97">
        <v>37.521167486</v>
      </c>
      <c r="AEQ97">
        <v>17.629435351</v>
      </c>
      <c r="AER97">
        <v>1.197682729</v>
      </c>
      <c r="AES97">
        <v>1.159815405</v>
      </c>
      <c r="AET97">
        <v>1.294381204</v>
      </c>
      <c r="AEU97">
        <v>1.37986145</v>
      </c>
      <c r="AEV97">
        <v>1.179232722</v>
      </c>
      <c r="AEW97" t="s">
        <v>1900</v>
      </c>
      <c r="AEX97" t="s">
        <v>1900</v>
      </c>
      <c r="AEY97" t="s">
        <v>1900</v>
      </c>
      <c r="AEZ97" t="s">
        <v>1900</v>
      </c>
      <c r="AFA97" t="s">
        <v>1900</v>
      </c>
      <c r="AFB97" t="s">
        <v>1900</v>
      </c>
      <c r="AFC97" t="s">
        <v>1900</v>
      </c>
      <c r="AFD97" t="s">
        <v>1900</v>
      </c>
      <c r="AFE97" t="s">
        <v>1900</v>
      </c>
      <c r="AFF97" t="s">
        <v>1900</v>
      </c>
      <c r="AFG97">
        <v>2.943</v>
      </c>
      <c r="AFH97">
        <v>2.832</v>
      </c>
      <c r="AFI97">
        <v>3.078</v>
      </c>
      <c r="AFJ97">
        <v>3.725</v>
      </c>
      <c r="AFK97">
        <v>4.876</v>
      </c>
      <c r="AFL97" t="s">
        <v>1900</v>
      </c>
      <c r="AFM97" t="s">
        <v>1901</v>
      </c>
      <c r="AFN97">
        <v>283.953</v>
      </c>
      <c r="AFO97">
        <v>601.45</v>
      </c>
      <c r="AFP97">
        <v>200.489</v>
      </c>
      <c r="AFQ97" t="s">
        <v>1901</v>
      </c>
      <c r="AFR97" t="s">
        <v>1901</v>
      </c>
      <c r="AFS97" t="s">
        <v>1901</v>
      </c>
      <c r="AFT97" t="s">
        <v>1901</v>
      </c>
      <c r="AFU97" t="s">
        <v>1901</v>
      </c>
      <c r="AFV97">
        <v>33.272</v>
      </c>
      <c r="AFW97">
        <v>38.379</v>
      </c>
      <c r="AFX97">
        <v>21.051</v>
      </c>
      <c r="AFY97">
        <v>26.178</v>
      </c>
      <c r="AFZ97">
        <v>124.531</v>
      </c>
      <c r="AGA97">
        <v>2.489</v>
      </c>
      <c r="AGB97">
        <v>2.488</v>
      </c>
      <c r="AGC97">
        <v>2.094</v>
      </c>
      <c r="AGD97">
        <v>1.538</v>
      </c>
      <c r="AGE97">
        <v>3.66</v>
      </c>
      <c r="AGF97" t="s">
        <v>1900</v>
      </c>
      <c r="AGG97" t="s">
        <v>1900</v>
      </c>
      <c r="AGH97" t="s">
        <v>1900</v>
      </c>
      <c r="AGI97" t="s">
        <v>1900</v>
      </c>
      <c r="AGJ97" t="s">
        <v>1900</v>
      </c>
      <c r="AGK97" t="s">
        <v>1900</v>
      </c>
      <c r="AGL97" t="s">
        <v>1900</v>
      </c>
      <c r="AGM97" t="s">
        <v>1900</v>
      </c>
      <c r="AGN97" t="s">
        <v>1900</v>
      </c>
      <c r="AGO97" t="s">
        <v>1900</v>
      </c>
      <c r="AGP97" t="s">
        <v>1900</v>
      </c>
      <c r="AGQ97" t="s">
        <v>1900</v>
      </c>
      <c r="AGR97" t="s">
        <v>1900</v>
      </c>
      <c r="AGS97" t="s">
        <v>1900</v>
      </c>
      <c r="AGT97" t="s">
        <v>1900</v>
      </c>
      <c r="AGU97">
        <v>0</v>
      </c>
      <c r="AGV97">
        <v>0</v>
      </c>
      <c r="AGW97">
        <v>0</v>
      </c>
      <c r="AGX97">
        <v>0</v>
      </c>
      <c r="AGY97">
        <v>0</v>
      </c>
      <c r="AGZ97">
        <v>2.751</v>
      </c>
      <c r="AHA97">
        <v>3.008</v>
      </c>
      <c r="AHB97">
        <v>3.331</v>
      </c>
      <c r="AHC97">
        <v>2.208</v>
      </c>
      <c r="AHD97">
        <v>1.472</v>
      </c>
      <c r="AHE97">
        <v>2.751</v>
      </c>
      <c r="AHF97">
        <v>3.008</v>
      </c>
      <c r="AHG97">
        <v>3.331</v>
      </c>
      <c r="AHH97">
        <v>2.208</v>
      </c>
      <c r="AHI97">
        <v>1.472</v>
      </c>
      <c r="AHJ97" t="s">
        <v>1901</v>
      </c>
      <c r="AHK97" t="s">
        <v>1901</v>
      </c>
      <c r="AHL97" t="s">
        <v>1901</v>
      </c>
      <c r="AHM97">
        <v>9.099</v>
      </c>
      <c r="AHN97">
        <v>2.936</v>
      </c>
      <c r="AHO97">
        <v>64.32899999999999</v>
      </c>
      <c r="AHP97">
        <v>67.752</v>
      </c>
      <c r="AHQ97">
        <v>71.129</v>
      </c>
      <c r="AHR97">
        <v>50.426</v>
      </c>
      <c r="AHS97">
        <v>25.612</v>
      </c>
      <c r="AHT97" t="s">
        <v>1901</v>
      </c>
      <c r="AHU97" t="s">
        <v>1901</v>
      </c>
      <c r="AHV97" t="s">
        <v>1901</v>
      </c>
      <c r="AHW97" t="s">
        <v>1901</v>
      </c>
      <c r="AHX97">
        <v>34.43</v>
      </c>
      <c r="AHY97">
        <v>0</v>
      </c>
      <c r="AHZ97">
        <v>0</v>
      </c>
      <c r="AIA97">
        <v>0</v>
      </c>
      <c r="AIB97">
        <v>10.99</v>
      </c>
      <c r="AIC97">
        <v>34.064</v>
      </c>
      <c r="AID97">
        <v>0.027158769</v>
      </c>
      <c r="AIE97">
        <v>0.032371991</v>
      </c>
      <c r="AIF97">
        <v>0.025085735</v>
      </c>
      <c r="AIG97">
        <v>0.014279571</v>
      </c>
      <c r="AIH97">
        <v>0.034054065</v>
      </c>
      <c r="AII97">
        <v>80.640864591</v>
      </c>
      <c r="AIJ97">
        <v>76.55941263299999</v>
      </c>
      <c r="AIK97">
        <v>83.363561574</v>
      </c>
      <c r="AIL97">
        <v>82.06886509100001</v>
      </c>
      <c r="AIM97">
        <v>38.751638086</v>
      </c>
      <c r="AIN97">
        <v>34.36181178</v>
      </c>
      <c r="AIO97">
        <v>30.921776721</v>
      </c>
      <c r="AIP97">
        <v>27.597068063</v>
      </c>
      <c r="AIQ97">
        <v>43.140911776</v>
      </c>
      <c r="AIR97">
        <v>63.96180435</v>
      </c>
      <c r="AIS97">
        <v>0</v>
      </c>
      <c r="AIT97">
        <v>0</v>
      </c>
      <c r="AIU97">
        <v>0</v>
      </c>
      <c r="AIV97">
        <v>0</v>
      </c>
      <c r="AIW97">
        <v>0</v>
      </c>
      <c r="AIX97">
        <v>20.6809648732003</v>
      </c>
      <c r="AIY97">
        <v>16.1640665942345</v>
      </c>
      <c r="AIZ97">
        <v>33.7183040289623</v>
      </c>
      <c r="AJA97">
        <v>69.9723799796534</v>
      </c>
      <c r="AJB97">
        <v>31.140252309069</v>
      </c>
      <c r="AJC97">
        <v>133.943276370792</v>
      </c>
      <c r="AJD97">
        <v>121.122505548292</v>
      </c>
      <c r="AJE97">
        <v>150.647491926541</v>
      </c>
      <c r="AJF97">
        <v>256.887242400434</v>
      </c>
      <c r="AJG97">
        <v>208.819632925581</v>
      </c>
      <c r="AJH97">
        <v>40.581</v>
      </c>
      <c r="AJI97">
        <v>48.191</v>
      </c>
      <c r="AJJ97">
        <v>32.382</v>
      </c>
      <c r="AJK97">
        <v>20.054</v>
      </c>
      <c r="AJL97">
        <v>27.5</v>
      </c>
      <c r="AJM97">
        <v>54.3555356498122</v>
      </c>
      <c r="AJN97">
        <v>58.3696699305906</v>
      </c>
      <c r="AJO97">
        <v>48.7822832434457</v>
      </c>
      <c r="AJP97">
        <v>51.5171189378428</v>
      </c>
      <c r="AJQ97">
        <v>57.4253537132156</v>
      </c>
      <c r="AJR97">
        <v>45.5150044230205</v>
      </c>
      <c r="AJS97">
        <v>42.7758344222689</v>
      </c>
      <c r="AJT97">
        <v>48.9455412275165</v>
      </c>
      <c r="AJU97">
        <v>62.1396673593235</v>
      </c>
      <c r="AJV97">
        <v>31.9434734703982</v>
      </c>
      <c r="AJW97">
        <v>11.4531609867477</v>
      </c>
      <c r="AJX97">
        <v>12.0755459743567</v>
      </c>
      <c r="AJY97">
        <v>7.93249131548584</v>
      </c>
      <c r="AJZ97">
        <v>17.582389769454</v>
      </c>
      <c r="AKA97">
        <v>70.1117210474807</v>
      </c>
      <c r="AKB97">
        <v>70.75314576616449</v>
      </c>
      <c r="AKC97">
        <v>63.1357514395494</v>
      </c>
      <c r="AKD97">
        <v>68.81210969037529</v>
      </c>
      <c r="AKE97">
        <v>123.228709756236</v>
      </c>
      <c r="AKF97">
        <v>124.72165616816</v>
      </c>
      <c r="AKG97">
        <v>0</v>
      </c>
      <c r="AKH97">
        <v>0</v>
      </c>
      <c r="AKI97">
        <v>0</v>
      </c>
      <c r="AKJ97">
        <v>0</v>
      </c>
      <c r="AKK97">
        <v>0</v>
      </c>
      <c r="AKL97">
        <v>0</v>
      </c>
      <c r="AKM97">
        <v>0</v>
      </c>
      <c r="AKN97">
        <v>0</v>
      </c>
      <c r="AKO97">
        <v>0</v>
      </c>
      <c r="AKP97">
        <v>0</v>
      </c>
      <c r="AKQ97">
        <v>0</v>
      </c>
      <c r="AKR97">
        <v>0</v>
      </c>
      <c r="AKS97">
        <v>0</v>
      </c>
      <c r="AKT97">
        <v>0</v>
      </c>
      <c r="AKU97">
        <v>0</v>
      </c>
      <c r="AKV97">
        <v>0.361233635</v>
      </c>
      <c r="AKW97">
        <v>0.849772601</v>
      </c>
      <c r="AKX97">
        <v>0.87508222</v>
      </c>
      <c r="AKY97">
        <v>0.722963966</v>
      </c>
      <c r="AKZ97">
        <v>1.808710371</v>
      </c>
      <c r="ALA97">
        <v>0.6838539259999999</v>
      </c>
      <c r="ALB97">
        <v>1.63024251</v>
      </c>
      <c r="ALC97">
        <v>1.915781124</v>
      </c>
      <c r="ALD97">
        <v>1.507118098</v>
      </c>
      <c r="ALE97">
        <v>3.028297128</v>
      </c>
      <c r="ALF97">
        <v>0.6083873869999999</v>
      </c>
      <c r="ALG97">
        <v>0.690969861</v>
      </c>
      <c r="ALH97">
        <v>0.865196923</v>
      </c>
      <c r="ALI97">
        <v>0.60002739</v>
      </c>
      <c r="ALJ97">
        <v>0.160885053</v>
      </c>
      <c r="ALK97">
        <v>1.151742426</v>
      </c>
      <c r="ALL97">
        <v>1.325588092</v>
      </c>
      <c r="ALM97">
        <v>1.894139656</v>
      </c>
      <c r="ALN97">
        <v>1.25083985</v>
      </c>
      <c r="ALO97">
        <v>0.269367475</v>
      </c>
      <c r="ALP97">
        <v>9.242150721</v>
      </c>
      <c r="ALQ97">
        <v>10.660914623</v>
      </c>
      <c r="ALR97">
        <v>5.847382725</v>
      </c>
      <c r="ALS97">
        <v>7.271717168</v>
      </c>
      <c r="ALT97">
        <v>34.591860989</v>
      </c>
      <c r="ALU97">
        <v>7.480899887</v>
      </c>
      <c r="ALV97">
        <v>6.483668417</v>
      </c>
      <c r="ALW97">
        <v>9.949487303</v>
      </c>
      <c r="ALX97">
        <v>5.876428189</v>
      </c>
      <c r="ALY97">
        <v>2.938863234</v>
      </c>
      <c r="ALZ97">
        <v>93.5455063401466</v>
      </c>
      <c r="AMA97">
        <v>96.8776340473857</v>
      </c>
      <c r="AMB97">
        <v>98.7615950116911</v>
      </c>
      <c r="AMC97">
        <v>99.1099033664355</v>
      </c>
      <c r="AMD97">
        <v>98.60628853047039</v>
      </c>
      <c r="AME97">
        <v>94.70091721505329</v>
      </c>
      <c r="AMF97">
        <v>98.2495039681491</v>
      </c>
      <c r="AMG97">
        <v>99.3825881947145</v>
      </c>
      <c r="AMH97">
        <v>99.53110916666429</v>
      </c>
      <c r="AMI97">
        <v>99.2110293254774</v>
      </c>
      <c r="AMJ97">
        <v>1449.30819882431</v>
      </c>
      <c r="AMK97">
        <v>3102.6995399521</v>
      </c>
      <c r="AML97">
        <v>7974.90287458822</v>
      </c>
      <c r="AMM97">
        <v>11134.7352218981</v>
      </c>
      <c r="AMN97">
        <v>7075.08624893165</v>
      </c>
      <c r="AMO97">
        <v>1.19768272905471</v>
      </c>
      <c r="AMP97">
        <v>1.15981540423213</v>
      </c>
      <c r="AMQ97">
        <v>1.29438120410679</v>
      </c>
      <c r="AMR97">
        <v>1.37986144943722</v>
      </c>
      <c r="AMS97">
        <v>1.17923272150666</v>
      </c>
      <c r="AMT97">
        <v>1.19768272905471</v>
      </c>
      <c r="AMU97">
        <v>1.15981540475223</v>
      </c>
      <c r="AMV97">
        <v>1.29438120410679</v>
      </c>
      <c r="AMW97">
        <v>1.37986144968275</v>
      </c>
      <c r="AMX97">
        <v>1.17923272150666</v>
      </c>
      <c r="AMY97">
        <v>1.19768272914819</v>
      </c>
      <c r="AMZ97">
        <v>1.15981540483535</v>
      </c>
      <c r="ANA97">
        <v>1.29438120410679</v>
      </c>
      <c r="ANB97">
        <v>1.37986144977602</v>
      </c>
      <c r="ANC97">
        <v>1.17923272150666</v>
      </c>
      <c r="AND97">
        <v>15.4400915497215</v>
      </c>
      <c r="ANE97">
        <v>13.349140078866</v>
      </c>
      <c r="ANF97">
        <v>22.4613561807019</v>
      </c>
      <c r="ANG97">
        <v>27.2839215749137</v>
      </c>
      <c r="ANH97">
        <v>14.9872651332184</v>
      </c>
      <c r="ANI97">
        <v>15.6307971259064</v>
      </c>
      <c r="ANJ97">
        <v>13.5381752872743</v>
      </c>
      <c r="ANK97">
        <v>22.6025887019874</v>
      </c>
      <c r="ANL97">
        <v>27.3998751338416</v>
      </c>
      <c r="ANM97">
        <v>15.0791802713573</v>
      </c>
      <c r="ANN97">
        <v>18.2593522541481</v>
      </c>
      <c r="ANO97">
        <v>15.405663707222</v>
      </c>
      <c r="ANP97">
        <v>28.967950784705</v>
      </c>
      <c r="ANQ97">
        <v>37.5211674857056</v>
      </c>
      <c r="ANR97">
        <v>17.6294353507201</v>
      </c>
      <c r="ANS97">
        <v>45.4376851692607</v>
      </c>
      <c r="ANT97">
        <v>37.798941992896</v>
      </c>
      <c r="ANU97">
        <v>69.1328951124119</v>
      </c>
      <c r="ANV97">
        <v>101.623796385715</v>
      </c>
      <c r="ANW97">
        <v>73.0803841294836</v>
      </c>
      <c r="ANX97">
        <v>93.54550630321199</v>
      </c>
      <c r="ANY97">
        <v>96.8776340473857</v>
      </c>
      <c r="ANZ97">
        <v>98.7615950116911</v>
      </c>
      <c r="AOA97">
        <v>99.1099033664355</v>
      </c>
      <c r="AOB97">
        <v>98.60628853047039</v>
      </c>
      <c r="AOC97">
        <v>110.62630986072</v>
      </c>
      <c r="AOD97">
        <v>111.802276556239</v>
      </c>
      <c r="AOE97">
        <v>127.370805248867</v>
      </c>
      <c r="AOF97">
        <v>136.297096203477</v>
      </c>
      <c r="AOG97">
        <v>115.990020418694</v>
      </c>
      <c r="AOH97" t="s">
        <v>1901</v>
      </c>
      <c r="AOI97" t="s">
        <v>1901</v>
      </c>
      <c r="AOJ97" t="s">
        <v>1901</v>
      </c>
      <c r="AOK97" t="s">
        <v>1901</v>
      </c>
      <c r="AOL97" t="s">
        <v>1901</v>
      </c>
      <c r="AOM97">
        <v>239.214604197461</v>
      </c>
      <c r="AON97">
        <v>427.532847893401</v>
      </c>
      <c r="AOO97">
        <v>1813.732695907</v>
      </c>
      <c r="AOP97">
        <v>3065.27634709189</v>
      </c>
      <c r="AOQ97">
        <v>1075.34919966448</v>
      </c>
      <c r="AOR97">
        <v>19.7682729054712</v>
      </c>
      <c r="AOS97">
        <v>15.9815404752229</v>
      </c>
      <c r="AOT97">
        <v>29.4381204106786</v>
      </c>
      <c r="AOU97">
        <v>37.9861449682753</v>
      </c>
      <c r="AOV97">
        <v>17.9232721506657</v>
      </c>
      <c r="AOW97">
        <v>29.2297454992146</v>
      </c>
      <c r="AOX97">
        <v>25.6095990777892</v>
      </c>
      <c r="AOY97">
        <v>49.1737133189981</v>
      </c>
      <c r="AOZ97">
        <v>56.8770975199678</v>
      </c>
      <c r="APA97">
        <v>25.0929572204873</v>
      </c>
      <c r="APB97">
        <v>11.6133469170451</v>
      </c>
      <c r="APC97">
        <v>10.0237257099386</v>
      </c>
      <c r="APD97">
        <v>16.8761171533137</v>
      </c>
      <c r="APE97">
        <v>20.3275857246468</v>
      </c>
      <c r="APF97">
        <v>11.184383676078</v>
      </c>
      <c r="APG97">
        <v>11.7567871296966</v>
      </c>
      <c r="APH97">
        <v>10.165670214784</v>
      </c>
      <c r="API97">
        <v>16.9822308071776</v>
      </c>
      <c r="APJ97">
        <v>20.41397564857</v>
      </c>
      <c r="APK97">
        <v>11.2529761885509</v>
      </c>
      <c r="APL97">
        <v>179.926535877235</v>
      </c>
      <c r="APM97">
        <v>321.029817198264</v>
      </c>
      <c r="APN97">
        <v>1362.73006913181</v>
      </c>
      <c r="APO97">
        <v>2283.75043316843</v>
      </c>
      <c r="APP97">
        <v>802.48917517003</v>
      </c>
      <c r="APQ97">
        <v>14.8688115263281</v>
      </c>
      <c r="APR97">
        <v>12.0003668550556</v>
      </c>
      <c r="APS97">
        <v>22.1180397491227</v>
      </c>
      <c r="APT97">
        <v>28.3011595701641</v>
      </c>
      <c r="APU97">
        <v>13.3754057649585</v>
      </c>
      <c r="APV97">
        <v>13.7338688391246</v>
      </c>
      <c r="APW97">
        <v>11.5679471837461</v>
      </c>
      <c r="APX97">
        <v>21.7647824646548</v>
      </c>
      <c r="APY97">
        <v>27.9547332101918</v>
      </c>
      <c r="APZ97">
        <v>13.1561273656287</v>
      </c>
      <c r="AQA97">
        <v>21.9853084216616</v>
      </c>
      <c r="AQB97">
        <v>19.2299725061439</v>
      </c>
      <c r="AQC97">
        <v>36.9461817068671</v>
      </c>
      <c r="AQD97">
        <v>42.3756560226037</v>
      </c>
      <c r="AQE97">
        <v>18.7258488207632</v>
      </c>
      <c r="AQF97">
        <v>0.197682729148192</v>
      </c>
      <c r="AQG97">
        <v>0.159815404835349</v>
      </c>
      <c r="AQH97">
        <v>0.294381204106786</v>
      </c>
      <c r="AQI97">
        <v>0.379861449776022</v>
      </c>
      <c r="AQJ97">
        <v>0.179232721506658</v>
      </c>
      <c r="AQK97">
        <v>2</v>
      </c>
      <c r="AQO97" t="s">
        <v>1902</v>
      </c>
      <c r="AQP97">
        <v>3</v>
      </c>
      <c r="AQQ97">
        <v>0</v>
      </c>
      <c r="AQS97" t="s">
        <v>1905</v>
      </c>
      <c r="AQU97" t="s">
        <v>1906</v>
      </c>
      <c r="AQV97">
        <v>2812808.80794223</v>
      </c>
      <c r="AQW97">
        <v>2543572.61761914</v>
      </c>
      <c r="AQX97">
        <v>3615539.79983738</v>
      </c>
      <c r="AQY97">
        <v>434300.255064909</v>
      </c>
      <c r="AQZ97">
        <v>339545.071733656</v>
      </c>
      <c r="ARA97">
        <v>812099.272296512</v>
      </c>
      <c r="ARB97">
        <v>8971921.225398751</v>
      </c>
      <c r="ARC97">
        <v>1585944.599095077</v>
      </c>
      <c r="ARD97">
        <v>0.2147237500653676</v>
      </c>
      <c r="ARE97">
        <v>0.2147237500653676</v>
      </c>
      <c r="ARF97">
        <v>0.2147237500653676</v>
      </c>
      <c r="ARG97">
        <v>0.2147237500653676</v>
      </c>
      <c r="ARH97">
        <v>0.2147237500653676</v>
      </c>
      <c r="ARI97">
        <v>0.2147237500653676</v>
      </c>
      <c r="ARJ97" t="s">
        <v>1258</v>
      </c>
      <c r="ARK97" t="s">
        <v>1596</v>
      </c>
      <c r="ARL97" t="s">
        <v>1908</v>
      </c>
      <c r="ARM97" t="s">
        <v>1908</v>
      </c>
      <c r="ARN97" t="s">
        <v>1909</v>
      </c>
      <c r="ARO97" t="s">
        <v>1908</v>
      </c>
      <c r="ARP97" t="s">
        <v>1907</v>
      </c>
      <c r="ARQ97" t="s">
        <v>1990</v>
      </c>
      <c r="ARR97">
        <f>HYPERLINK("C:\Users\Usuario\Documents\Proyectos\llmthon\evidence\risk21_com_235736.png", "Ver Evidencia")</f>
        <v>0</v>
      </c>
      <c r="ARS97">
        <v>100</v>
      </c>
    </row>
    <row r="98" spans="1:1163">
      <c r="A98">
        <v>305</v>
      </c>
      <c r="B98" t="s">
        <v>1259</v>
      </c>
      <c r="C98" t="s">
        <v>1382</v>
      </c>
      <c r="E98" s="2">
        <v>43299</v>
      </c>
      <c r="F98" t="s">
        <v>1431</v>
      </c>
      <c r="G98" t="s">
        <v>1433</v>
      </c>
      <c r="H98" t="s">
        <v>1434</v>
      </c>
      <c r="I98" t="s">
        <v>1437</v>
      </c>
      <c r="J98" t="s">
        <v>1453</v>
      </c>
      <c r="L98" t="s">
        <v>1597</v>
      </c>
      <c r="N98" t="s">
        <v>1631</v>
      </c>
      <c r="O98" t="s">
        <v>1655</v>
      </c>
      <c r="P98">
        <v>6202</v>
      </c>
      <c r="Q98">
        <v>6202</v>
      </c>
      <c r="R98" t="s">
        <v>1765</v>
      </c>
      <c r="Z98" t="s">
        <v>1899</v>
      </c>
      <c r="AA98" s="2">
        <v>45657</v>
      </c>
      <c r="AB98">
        <v>2024</v>
      </c>
      <c r="AC98">
        <v>2475478.22155147</v>
      </c>
      <c r="AD98">
        <v>2853553.79998988</v>
      </c>
      <c r="AE98">
        <v>2498040.49877214</v>
      </c>
      <c r="AF98">
        <v>1737058.71693964</v>
      </c>
      <c r="AG98">
        <v>1041533.84613791</v>
      </c>
      <c r="AH98">
        <v>2475478.22155147</v>
      </c>
      <c r="AI98">
        <v>2851669.77414435</v>
      </c>
      <c r="AJ98">
        <v>2495549.98896705</v>
      </c>
      <c r="AK98">
        <v>1734300.83519096</v>
      </c>
      <c r="AL98">
        <v>1040975.51595667</v>
      </c>
      <c r="AM98">
        <v>695126.2595246111</v>
      </c>
      <c r="AN98">
        <v>781441.853101501</v>
      </c>
      <c r="AO98">
        <v>956377.6731054659</v>
      </c>
      <c r="AP98">
        <v>511309.158242011</v>
      </c>
      <c r="AQ98">
        <v>337885.829254979</v>
      </c>
      <c r="AR98">
        <v>1780351.96202686</v>
      </c>
      <c r="AS98">
        <v>2072111.94688838</v>
      </c>
      <c r="AT98">
        <v>1541662.82566667</v>
      </c>
      <c r="AU98">
        <v>1225749.55869763</v>
      </c>
      <c r="AV98">
        <v>703648.016882932</v>
      </c>
      <c r="AW98">
        <v>1576903.91066744</v>
      </c>
      <c r="AX98">
        <v>1690890.21235075</v>
      </c>
      <c r="AY98">
        <v>1138646.87471229</v>
      </c>
      <c r="AZ98">
        <v>703852.365763307</v>
      </c>
      <c r="BA98">
        <v>504508.86848132</v>
      </c>
      <c r="BB98">
        <v>203448.050320523</v>
      </c>
      <c r="BC98">
        <v>381221.73453763</v>
      </c>
      <c r="BD98">
        <v>403015.949887782</v>
      </c>
      <c r="BE98">
        <v>521897.192934322</v>
      </c>
      <c r="BF98">
        <v>199139.147174513</v>
      </c>
      <c r="BG98">
        <v>-5011.44256649959</v>
      </c>
      <c r="BH98">
        <v>-5530.36173195839</v>
      </c>
      <c r="BI98">
        <v>-3624.14507117868</v>
      </c>
      <c r="BJ98">
        <v>-3692.01650426388</v>
      </c>
      <c r="BK98">
        <v>-5368.65760295391</v>
      </c>
      <c r="BL98">
        <v>1.44407036185265</v>
      </c>
      <c r="BM98" t="s">
        <v>1900</v>
      </c>
      <c r="BN98" t="s">
        <v>1900</v>
      </c>
      <c r="BO98" t="s">
        <v>1900</v>
      </c>
      <c r="BP98">
        <v>0.0613549649715424</v>
      </c>
      <c r="BQ98">
        <v>5012.88767576099</v>
      </c>
      <c r="BR98">
        <v>5530.36173195839</v>
      </c>
      <c r="BS98">
        <v>3624.14507117868</v>
      </c>
      <c r="BT98">
        <v>3692.01650426388</v>
      </c>
      <c r="BU98">
        <v>5368.71895791888</v>
      </c>
      <c r="BV98">
        <v>198436.606715124</v>
      </c>
      <c r="BW98">
        <v>375691.372805672</v>
      </c>
      <c r="BX98">
        <v>399391.804816604</v>
      </c>
      <c r="BY98">
        <v>518205.176430059</v>
      </c>
      <c r="BZ98">
        <v>193770.489571559</v>
      </c>
      <c r="CA98">
        <v>51143.8504420841</v>
      </c>
      <c r="CB98">
        <v>86600.6126652908</v>
      </c>
      <c r="CC98">
        <v>92541.574053663</v>
      </c>
      <c r="CD98">
        <v>114577.097666001</v>
      </c>
      <c r="CE98">
        <v>29308.4200683892</v>
      </c>
      <c r="CF98">
        <v>147292.75627304</v>
      </c>
      <c r="CG98">
        <v>289090.75903538</v>
      </c>
      <c r="CH98">
        <v>306850.230762941</v>
      </c>
      <c r="CI98">
        <v>403628.078764057</v>
      </c>
      <c r="CJ98">
        <v>164462.06950317</v>
      </c>
      <c r="CK98" t="s">
        <v>1900</v>
      </c>
      <c r="CL98" t="s">
        <v>1900</v>
      </c>
      <c r="CM98" t="s">
        <v>1900</v>
      </c>
      <c r="CN98" t="s">
        <v>1900</v>
      </c>
      <c r="CO98" t="s">
        <v>1900</v>
      </c>
      <c r="CP98" t="s">
        <v>1900</v>
      </c>
      <c r="CQ98" t="s">
        <v>1900</v>
      </c>
      <c r="CR98" t="s">
        <v>1900</v>
      </c>
      <c r="CS98" t="s">
        <v>1900</v>
      </c>
      <c r="CT98" t="s">
        <v>1900</v>
      </c>
      <c r="CU98" t="s">
        <v>1900</v>
      </c>
      <c r="CV98" t="s">
        <v>1900</v>
      </c>
      <c r="CW98" t="s">
        <v>1900</v>
      </c>
      <c r="CX98" t="s">
        <v>1900</v>
      </c>
      <c r="CY98" t="s">
        <v>1900</v>
      </c>
      <c r="CZ98">
        <v>147292.75627304</v>
      </c>
      <c r="DA98">
        <v>289090.75903538</v>
      </c>
      <c r="DB98">
        <v>306850.230762941</v>
      </c>
      <c r="DC98">
        <v>403628.078764057</v>
      </c>
      <c r="DD98">
        <v>164462.06950317</v>
      </c>
      <c r="DE98" t="s">
        <v>1900</v>
      </c>
      <c r="DF98" t="s">
        <v>1900</v>
      </c>
      <c r="DG98" t="s">
        <v>1900</v>
      </c>
      <c r="DH98" t="s">
        <v>1900</v>
      </c>
      <c r="DI98" t="s">
        <v>1900</v>
      </c>
      <c r="DJ98">
        <v>695126.2595246111</v>
      </c>
      <c r="DK98">
        <v>781441.853101501</v>
      </c>
      <c r="DL98">
        <v>956377.6731054659</v>
      </c>
      <c r="DM98">
        <v>511309.158242011</v>
      </c>
      <c r="DN98">
        <v>337885.829254979</v>
      </c>
      <c r="DO98">
        <v>1348902.76936104</v>
      </c>
      <c r="DP98">
        <v>1428684.57837608</v>
      </c>
      <c r="DQ98">
        <v>949214.25228439</v>
      </c>
      <c r="DR98">
        <v>594349.73653686</v>
      </c>
      <c r="DS98">
        <v>398026.395404839</v>
      </c>
      <c r="DT98">
        <v>10289.5207779706</v>
      </c>
      <c r="DU98">
        <v>14256.2743980408</v>
      </c>
      <c r="DV98">
        <v>12164.0018658578</v>
      </c>
      <c r="DW98">
        <v>11002.8948589325</v>
      </c>
      <c r="DX98">
        <v>10260.8939029038</v>
      </c>
      <c r="DY98">
        <v>217711.621567326</v>
      </c>
      <c r="DZ98">
        <v>247949.359576626</v>
      </c>
      <c r="EA98">
        <v>177268.621628642</v>
      </c>
      <c r="EB98">
        <v>98499.73436751369</v>
      </c>
      <c r="EC98">
        <v>96221.58040067551</v>
      </c>
      <c r="ED98">
        <v>5012.88767576099</v>
      </c>
      <c r="EE98">
        <v>5530.36173195839</v>
      </c>
      <c r="EF98">
        <v>3624.14507117868</v>
      </c>
      <c r="EG98">
        <v>3692.01650426388</v>
      </c>
      <c r="EH98">
        <v>5368.71895791888</v>
      </c>
      <c r="EI98" t="s">
        <v>1900</v>
      </c>
      <c r="EJ98" t="s">
        <v>1900</v>
      </c>
      <c r="EK98" t="s">
        <v>1900</v>
      </c>
      <c r="EL98" t="s">
        <v>1900</v>
      </c>
      <c r="EM98" t="s">
        <v>1900</v>
      </c>
      <c r="EN98">
        <v>157582.27705101</v>
      </c>
      <c r="EO98">
        <v>303347.033433421</v>
      </c>
      <c r="EP98">
        <v>319014.232628798</v>
      </c>
      <c r="EQ98">
        <v>414630.972490389</v>
      </c>
      <c r="ER98">
        <v>174722.963406074</v>
      </c>
      <c r="ES98">
        <v>1562641.78452989</v>
      </c>
      <c r="ET98">
        <v>1824162.58731175</v>
      </c>
      <c r="EU98">
        <v>1364394.20403803</v>
      </c>
      <c r="EV98">
        <v>1127249.82319751</v>
      </c>
      <c r="EW98">
        <v>607426.4978372219</v>
      </c>
      <c r="EX98">
        <v>213737.571098493</v>
      </c>
      <c r="EY98">
        <v>395478.008935671</v>
      </c>
      <c r="EZ98">
        <v>415179.95175364</v>
      </c>
      <c r="FA98">
        <v>532900.086660655</v>
      </c>
      <c r="FB98">
        <v>209400.041077417</v>
      </c>
      <c r="FC98">
        <v>78323.2805062556</v>
      </c>
      <c r="FD98">
        <v>32867.466250515</v>
      </c>
      <c r="FE98">
        <v>38620.9061781526</v>
      </c>
      <c r="FF98">
        <v>29827.4934632063</v>
      </c>
      <c r="FG98">
        <v>30666.5858439922</v>
      </c>
      <c r="FH98">
        <v>197.328578798771</v>
      </c>
      <c r="FI98">
        <v>265.100668973923</v>
      </c>
      <c r="FJ98">
        <v>309.249855625629</v>
      </c>
      <c r="FK98">
        <v>385.05012652874</v>
      </c>
      <c r="FL98">
        <v>478.56872677803</v>
      </c>
      <c r="FM98">
        <v>61765.2684563863</v>
      </c>
      <c r="FN98">
        <v>15725.5935574532</v>
      </c>
      <c r="FO98">
        <v>22021.386344403</v>
      </c>
      <c r="FP98">
        <v>29012.055219841</v>
      </c>
      <c r="FQ98">
        <v>30188.0171172142</v>
      </c>
      <c r="FR98">
        <v>16360.6834710705</v>
      </c>
      <c r="FS98">
        <v>16876.7720240879</v>
      </c>
      <c r="FT98">
        <v>16290.2699781239</v>
      </c>
      <c r="FU98">
        <v>430.388116836548</v>
      </c>
      <c r="FV98">
        <v>0</v>
      </c>
      <c r="FW98">
        <v>197.328578798771</v>
      </c>
      <c r="FX98">
        <v>265.100668973923</v>
      </c>
      <c r="FY98">
        <v>309.249855625629</v>
      </c>
      <c r="FZ98">
        <v>385.05012652874</v>
      </c>
      <c r="GA98">
        <v>478.56872677803</v>
      </c>
      <c r="GB98">
        <v>61765.2684563863</v>
      </c>
      <c r="GC98">
        <v>15725.5935574532</v>
      </c>
      <c r="GD98">
        <v>22021.386344403</v>
      </c>
      <c r="GE98">
        <v>29012.055219841</v>
      </c>
      <c r="GF98">
        <v>30188.0171172142</v>
      </c>
      <c r="GG98">
        <v>16360.6834710705</v>
      </c>
      <c r="GH98">
        <v>16876.7720240879</v>
      </c>
      <c r="GI98">
        <v>16290.2699781239</v>
      </c>
      <c r="GJ98">
        <v>430.388116836548</v>
      </c>
      <c r="GK98">
        <v>0</v>
      </c>
      <c r="GL98">
        <v>1186611.8879208</v>
      </c>
      <c r="GM98">
        <v>1118718.39196707</v>
      </c>
      <c r="GN98">
        <v>1318149.77801755</v>
      </c>
      <c r="GO98">
        <v>948754.2470963</v>
      </c>
      <c r="GP98">
        <v>412414.073335701</v>
      </c>
      <c r="GQ98">
        <v>0</v>
      </c>
      <c r="GR98">
        <v>0</v>
      </c>
      <c r="GS98">
        <v>0</v>
      </c>
      <c r="GT98">
        <v>0</v>
      </c>
      <c r="GU98">
        <v>0</v>
      </c>
      <c r="GV98">
        <v>1015199.21917556</v>
      </c>
      <c r="GW98">
        <v>1023953.10743757</v>
      </c>
      <c r="GX98">
        <v>1046289.79143871</v>
      </c>
      <c r="GY98">
        <v>802757.876842976</v>
      </c>
      <c r="GZ98">
        <v>358765.218338627</v>
      </c>
      <c r="HA98">
        <v>171412.668745239</v>
      </c>
      <c r="HB98">
        <v>94765.2845294952</v>
      </c>
      <c r="HC98">
        <v>271859.98657884</v>
      </c>
      <c r="HD98">
        <v>145996.370253325</v>
      </c>
      <c r="HE98">
        <v>53648.8549970746</v>
      </c>
      <c r="HF98">
        <v>132695.396992741</v>
      </c>
      <c r="HG98">
        <v>80854.5990365505</v>
      </c>
      <c r="HH98">
        <v>271210.758136332</v>
      </c>
      <c r="HI98">
        <v>145306.967772174</v>
      </c>
      <c r="HJ98">
        <v>52823.2380464315</v>
      </c>
      <c r="HK98">
        <v>1264935.16842706</v>
      </c>
      <c r="HL98">
        <v>1151585.85821758</v>
      </c>
      <c r="HM98">
        <v>1356770.6841957</v>
      </c>
      <c r="HN98">
        <v>978581.740559506</v>
      </c>
      <c r="HO98">
        <v>443080.659179693</v>
      </c>
      <c r="HP98">
        <v>876335.356158723</v>
      </c>
      <c r="HQ98">
        <v>811562.133419113</v>
      </c>
      <c r="HR98">
        <v>533432.599761438</v>
      </c>
      <c r="HS98">
        <v>461460.270081639</v>
      </c>
      <c r="HT98">
        <v>99470.4239638626</v>
      </c>
      <c r="HU98">
        <v>28050.287604332</v>
      </c>
      <c r="HV98">
        <v>29835.0133895874</v>
      </c>
      <c r="HW98">
        <v>28798.1861829758</v>
      </c>
      <c r="HX98">
        <v>30580.2083015442</v>
      </c>
      <c r="HY98">
        <v>33131.6810846329</v>
      </c>
      <c r="HZ98">
        <v>848285.068554391</v>
      </c>
      <c r="IA98">
        <v>781727.1200295259</v>
      </c>
      <c r="IB98">
        <v>504634.413578463</v>
      </c>
      <c r="IC98">
        <v>430880.061780095</v>
      </c>
      <c r="ID98">
        <v>66338.7428792298</v>
      </c>
      <c r="IE98">
        <v>42279.7725571978</v>
      </c>
      <c r="IF98">
        <v>0</v>
      </c>
      <c r="IG98">
        <v>0</v>
      </c>
      <c r="IH98">
        <v>127393.48948524</v>
      </c>
      <c r="II98">
        <v>209115.881692648</v>
      </c>
      <c r="IJ98">
        <v>42279.7725571978</v>
      </c>
      <c r="IK98" t="s">
        <v>1900</v>
      </c>
      <c r="IL98" t="s">
        <v>1900</v>
      </c>
      <c r="IM98">
        <v>127393.48948524</v>
      </c>
      <c r="IN98">
        <v>209115.881692648</v>
      </c>
      <c r="IO98">
        <v>0</v>
      </c>
      <c r="IP98" t="s">
        <v>1900</v>
      </c>
      <c r="IQ98" t="s">
        <v>1900</v>
      </c>
      <c r="IR98">
        <v>0</v>
      </c>
      <c r="IS98">
        <v>0</v>
      </c>
      <c r="IT98">
        <v>0</v>
      </c>
      <c r="IU98" t="s">
        <v>1900</v>
      </c>
      <c r="IV98" t="s">
        <v>1900</v>
      </c>
      <c r="IW98">
        <v>0</v>
      </c>
      <c r="IX98">
        <v>0</v>
      </c>
      <c r="IY98">
        <v>346320.039711138</v>
      </c>
      <c r="IZ98">
        <v>340023.72479847</v>
      </c>
      <c r="JA98">
        <v>823338.084434265</v>
      </c>
      <c r="JB98">
        <v>389727.980992627</v>
      </c>
      <c r="JC98">
        <v>134494.353523183</v>
      </c>
      <c r="JD98">
        <v>0</v>
      </c>
      <c r="JE98">
        <v>0</v>
      </c>
      <c r="JF98">
        <v>146416.196829265</v>
      </c>
      <c r="JG98">
        <v>0</v>
      </c>
      <c r="JH98">
        <v>0</v>
      </c>
      <c r="JI98">
        <v>112446.663156834</v>
      </c>
      <c r="JJ98">
        <v>117956.946537628</v>
      </c>
      <c r="JK98">
        <v>232877.663164091</v>
      </c>
      <c r="JL98">
        <v>42902.888320756</v>
      </c>
      <c r="JM98">
        <v>15695.9743909359</v>
      </c>
      <c r="JN98">
        <v>233873.376554304</v>
      </c>
      <c r="JO98">
        <v>222066.778260841</v>
      </c>
      <c r="JP98">
        <v>444044.224440908</v>
      </c>
      <c r="JQ98">
        <v>346825.092671871</v>
      </c>
      <c r="JR98">
        <v>118798.379132247</v>
      </c>
      <c r="JS98">
        <v>1264935.16842706</v>
      </c>
      <c r="JT98">
        <v>1151585.85821758</v>
      </c>
      <c r="JU98">
        <v>1356770.6841957</v>
      </c>
      <c r="JV98">
        <v>978581.740559506</v>
      </c>
      <c r="JW98">
        <v>443080.659179693</v>
      </c>
      <c r="JX98">
        <v>902752.55601873</v>
      </c>
      <c r="JY98">
        <v>905996.159794944</v>
      </c>
      <c r="JZ98">
        <v>813412.12720802</v>
      </c>
      <c r="KA98">
        <v>759854.9885222201</v>
      </c>
      <c r="KB98">
        <v>343069.243947691</v>
      </c>
      <c r="KC98" t="s">
        <v>1900</v>
      </c>
      <c r="KD98" t="s">
        <v>1900</v>
      </c>
      <c r="KE98" t="s">
        <v>1900</v>
      </c>
      <c r="KF98" t="s">
        <v>1900</v>
      </c>
      <c r="KG98" t="s">
        <v>1900</v>
      </c>
      <c r="KH98" t="s">
        <v>1900</v>
      </c>
      <c r="KI98" t="s">
        <v>1900</v>
      </c>
      <c r="KJ98" t="s">
        <v>1900</v>
      </c>
      <c r="KK98" t="s">
        <v>1900</v>
      </c>
      <c r="KL98" t="s">
        <v>1900</v>
      </c>
      <c r="KM98">
        <v>29</v>
      </c>
      <c r="KN98">
        <v>29</v>
      </c>
      <c r="KO98">
        <v>21</v>
      </c>
      <c r="KP98">
        <v>13</v>
      </c>
      <c r="KQ98">
        <v>6</v>
      </c>
      <c r="KR98" t="s">
        <v>1900</v>
      </c>
      <c r="KS98" t="s">
        <v>1900</v>
      </c>
      <c r="KT98" t="s">
        <v>1900</v>
      </c>
      <c r="KU98" t="s">
        <v>1900</v>
      </c>
      <c r="KV98" t="s">
        <v>1900</v>
      </c>
      <c r="KW98" t="s">
        <v>1900</v>
      </c>
      <c r="KX98" t="s">
        <v>1900</v>
      </c>
      <c r="KY98" t="s">
        <v>1900</v>
      </c>
      <c r="KZ98" t="s">
        <v>1900</v>
      </c>
      <c r="LA98" t="s">
        <v>1900</v>
      </c>
      <c r="LB98" t="s">
        <v>1900</v>
      </c>
      <c r="LC98" t="s">
        <v>1900</v>
      </c>
      <c r="LD98" t="s">
        <v>1900</v>
      </c>
      <c r="LE98" t="s">
        <v>1900</v>
      </c>
      <c r="LF98" t="s">
        <v>1900</v>
      </c>
      <c r="LG98" t="s">
        <v>1900</v>
      </c>
      <c r="LH98" t="s">
        <v>1900</v>
      </c>
      <c r="LI98" t="s">
        <v>1900</v>
      </c>
      <c r="LJ98" t="s">
        <v>1900</v>
      </c>
      <c r="LK98" t="s">
        <v>1900</v>
      </c>
      <c r="LL98" t="s">
        <v>1900</v>
      </c>
      <c r="LM98" t="s">
        <v>1900</v>
      </c>
      <c r="LN98" t="s">
        <v>1900</v>
      </c>
      <c r="LO98" t="s">
        <v>1900</v>
      </c>
      <c r="LP98" t="s">
        <v>1900</v>
      </c>
      <c r="LQ98" t="s">
        <v>1900</v>
      </c>
      <c r="LR98" t="s">
        <v>1900</v>
      </c>
      <c r="LS98" t="s">
        <v>1900</v>
      </c>
      <c r="LT98" t="s">
        <v>1900</v>
      </c>
      <c r="LU98" t="s">
        <v>1900</v>
      </c>
      <c r="LV98" t="s">
        <v>1900</v>
      </c>
      <c r="LW98" t="s">
        <v>1900</v>
      </c>
      <c r="LX98" t="s">
        <v>1900</v>
      </c>
      <c r="LY98" t="s">
        <v>1900</v>
      </c>
      <c r="LZ98" t="s">
        <v>1900</v>
      </c>
      <c r="MA98" t="s">
        <v>1900</v>
      </c>
      <c r="MB98" t="s">
        <v>1900</v>
      </c>
      <c r="MC98" t="s">
        <v>1900</v>
      </c>
      <c r="MD98" t="s">
        <v>1900</v>
      </c>
      <c r="ME98" t="s">
        <v>1900</v>
      </c>
      <c r="MF98" t="s">
        <v>1900</v>
      </c>
      <c r="MG98" t="s">
        <v>1900</v>
      </c>
      <c r="MH98" t="s">
        <v>1900</v>
      </c>
      <c r="MI98" t="s">
        <v>1900</v>
      </c>
      <c r="MJ98" t="s">
        <v>1900</v>
      </c>
      <c r="MK98" t="s">
        <v>1900</v>
      </c>
      <c r="ML98" t="s">
        <v>1900</v>
      </c>
      <c r="MM98" t="s">
        <v>1900</v>
      </c>
      <c r="MN98" t="s">
        <v>1900</v>
      </c>
      <c r="MO98" t="s">
        <v>1900</v>
      </c>
      <c r="MP98">
        <v>171412.668745239</v>
      </c>
      <c r="MQ98">
        <v>94765.2845294952</v>
      </c>
      <c r="MR98">
        <v>271859.98657884</v>
      </c>
      <c r="MS98">
        <v>145996.370253325</v>
      </c>
      <c r="MT98">
        <v>53648.8549970746</v>
      </c>
      <c r="MU98" t="s">
        <v>1900</v>
      </c>
      <c r="MV98" t="s">
        <v>1900</v>
      </c>
      <c r="MW98" t="s">
        <v>1900</v>
      </c>
      <c r="MX98" t="s">
        <v>1900</v>
      </c>
      <c r="MY98" t="s">
        <v>1900</v>
      </c>
      <c r="MZ98" t="s">
        <v>1900</v>
      </c>
      <c r="NA98" t="s">
        <v>1900</v>
      </c>
      <c r="NB98" t="s">
        <v>1900</v>
      </c>
      <c r="NC98" t="s">
        <v>1900</v>
      </c>
      <c r="ND98" t="s">
        <v>1900</v>
      </c>
      <c r="NE98" t="s">
        <v>1900</v>
      </c>
      <c r="NF98" t="s">
        <v>1900</v>
      </c>
      <c r="NG98" t="s">
        <v>1900</v>
      </c>
      <c r="NH98" t="s">
        <v>1900</v>
      </c>
      <c r="NI98" t="s">
        <v>1900</v>
      </c>
      <c r="NJ98" t="s">
        <v>1900</v>
      </c>
      <c r="NK98" t="s">
        <v>1900</v>
      </c>
      <c r="NL98" t="s">
        <v>1900</v>
      </c>
      <c r="NM98" t="s">
        <v>1900</v>
      </c>
      <c r="NN98" t="s">
        <v>1900</v>
      </c>
      <c r="NO98" t="s">
        <v>1900</v>
      </c>
      <c r="NP98" t="s">
        <v>1900</v>
      </c>
      <c r="NQ98" t="s">
        <v>1900</v>
      </c>
      <c r="NR98" t="s">
        <v>1900</v>
      </c>
      <c r="NS98" t="s">
        <v>1900</v>
      </c>
      <c r="NT98">
        <v>78323.2805062556</v>
      </c>
      <c r="NU98">
        <v>32867.466250515</v>
      </c>
      <c r="NV98">
        <v>38620.9061781526</v>
      </c>
      <c r="NW98">
        <v>29827.4934632063</v>
      </c>
      <c r="NX98">
        <v>30666.5858439922</v>
      </c>
      <c r="NY98" t="s">
        <v>1900</v>
      </c>
      <c r="NZ98" t="s">
        <v>1900</v>
      </c>
      <c r="OA98" t="s">
        <v>1900</v>
      </c>
      <c r="OB98" t="s">
        <v>1900</v>
      </c>
      <c r="OC98" t="s">
        <v>1900</v>
      </c>
      <c r="OD98" t="s">
        <v>1900</v>
      </c>
      <c r="OE98" t="s">
        <v>1900</v>
      </c>
      <c r="OF98" t="s">
        <v>1900</v>
      </c>
      <c r="OG98" t="s">
        <v>1900</v>
      </c>
      <c r="OH98" t="s">
        <v>1900</v>
      </c>
      <c r="OI98" t="s">
        <v>1900</v>
      </c>
      <c r="OJ98" t="s">
        <v>1900</v>
      </c>
      <c r="OK98" t="s">
        <v>1900</v>
      </c>
      <c r="OL98" t="s">
        <v>1900</v>
      </c>
      <c r="OM98" t="s">
        <v>1900</v>
      </c>
      <c r="ON98" t="s">
        <v>1900</v>
      </c>
      <c r="OO98" t="s">
        <v>1900</v>
      </c>
      <c r="OP98" t="s">
        <v>1900</v>
      </c>
      <c r="OQ98" t="s">
        <v>1900</v>
      </c>
      <c r="OR98" t="s">
        <v>1900</v>
      </c>
      <c r="OS98" t="s">
        <v>1900</v>
      </c>
      <c r="OT98" t="s">
        <v>1900</v>
      </c>
      <c r="OU98" t="s">
        <v>1900</v>
      </c>
      <c r="OV98" t="s">
        <v>1900</v>
      </c>
      <c r="OW98" t="s">
        <v>1900</v>
      </c>
      <c r="OX98" t="s">
        <v>1900</v>
      </c>
      <c r="OY98" t="s">
        <v>1900</v>
      </c>
      <c r="OZ98" t="s">
        <v>1900</v>
      </c>
      <c r="PA98" t="s">
        <v>1900</v>
      </c>
      <c r="PB98" t="s">
        <v>1900</v>
      </c>
      <c r="PC98" t="s">
        <v>1900</v>
      </c>
      <c r="PD98" t="s">
        <v>1900</v>
      </c>
      <c r="PE98" t="s">
        <v>1900</v>
      </c>
      <c r="PF98" t="s">
        <v>1900</v>
      </c>
      <c r="PG98" t="s">
        <v>1900</v>
      </c>
      <c r="PH98" t="s">
        <v>1900</v>
      </c>
      <c r="PI98" t="s">
        <v>1900</v>
      </c>
      <c r="PJ98" t="s">
        <v>1900</v>
      </c>
      <c r="PK98" t="s">
        <v>1900</v>
      </c>
      <c r="PL98" t="s">
        <v>1900</v>
      </c>
      <c r="PM98" t="s">
        <v>1900</v>
      </c>
      <c r="PN98" t="s">
        <v>1900</v>
      </c>
      <c r="PO98" t="s">
        <v>1900</v>
      </c>
      <c r="PP98" t="s">
        <v>1900</v>
      </c>
      <c r="PQ98" t="s">
        <v>1900</v>
      </c>
      <c r="PR98" t="s">
        <v>1900</v>
      </c>
      <c r="PS98" t="s">
        <v>1900</v>
      </c>
      <c r="PT98" t="s">
        <v>1900</v>
      </c>
      <c r="PU98" t="s">
        <v>1900</v>
      </c>
      <c r="PV98" t="s">
        <v>1900</v>
      </c>
      <c r="PW98" t="s">
        <v>1900</v>
      </c>
      <c r="PX98" t="s">
        <v>1900</v>
      </c>
      <c r="PY98" t="s">
        <v>1900</v>
      </c>
      <c r="PZ98" t="s">
        <v>1900</v>
      </c>
      <c r="QA98" t="s">
        <v>1900</v>
      </c>
      <c r="QB98" t="s">
        <v>1900</v>
      </c>
      <c r="QC98" t="s">
        <v>1900</v>
      </c>
      <c r="QD98" t="s">
        <v>1900</v>
      </c>
      <c r="QE98" t="s">
        <v>1900</v>
      </c>
      <c r="QF98" t="s">
        <v>1900</v>
      </c>
      <c r="QG98" t="s">
        <v>1900</v>
      </c>
      <c r="QH98" t="s">
        <v>1900</v>
      </c>
      <c r="QI98" t="s">
        <v>1900</v>
      </c>
      <c r="QJ98" t="s">
        <v>1900</v>
      </c>
      <c r="QK98" t="s">
        <v>1900</v>
      </c>
      <c r="QL98" t="s">
        <v>1900</v>
      </c>
      <c r="QM98" t="s">
        <v>1900</v>
      </c>
      <c r="QN98" t="s">
        <v>1900</v>
      </c>
      <c r="QO98" t="s">
        <v>1900</v>
      </c>
      <c r="QP98" t="s">
        <v>1900</v>
      </c>
      <c r="QQ98" t="s">
        <v>1900</v>
      </c>
      <c r="QR98" t="s">
        <v>1900</v>
      </c>
      <c r="QS98" t="s">
        <v>1900</v>
      </c>
      <c r="QT98" t="s">
        <v>1900</v>
      </c>
      <c r="QU98" t="s">
        <v>1900</v>
      </c>
      <c r="QV98" t="s">
        <v>1900</v>
      </c>
      <c r="QW98" t="s">
        <v>1900</v>
      </c>
      <c r="QX98" t="s">
        <v>1900</v>
      </c>
      <c r="QY98" t="s">
        <v>1900</v>
      </c>
      <c r="QZ98" t="s">
        <v>1900</v>
      </c>
      <c r="RA98" t="s">
        <v>1900</v>
      </c>
      <c r="RB98" t="s">
        <v>1900</v>
      </c>
      <c r="RC98" t="s">
        <v>1900</v>
      </c>
      <c r="RD98" t="s">
        <v>1900</v>
      </c>
      <c r="RE98" t="s">
        <v>1900</v>
      </c>
      <c r="RF98" t="s">
        <v>1900</v>
      </c>
      <c r="RG98" t="s">
        <v>1900</v>
      </c>
      <c r="RH98" t="s">
        <v>1900</v>
      </c>
      <c r="RI98" t="s">
        <v>1900</v>
      </c>
      <c r="RJ98" t="s">
        <v>1900</v>
      </c>
      <c r="RK98" t="s">
        <v>1900</v>
      </c>
      <c r="RL98" t="s">
        <v>1900</v>
      </c>
      <c r="RM98" t="s">
        <v>1900</v>
      </c>
      <c r="RN98" t="s">
        <v>1900</v>
      </c>
      <c r="RO98" t="s">
        <v>1900</v>
      </c>
      <c r="RP98" t="s">
        <v>1900</v>
      </c>
      <c r="RQ98" t="s">
        <v>1900</v>
      </c>
      <c r="RR98" t="s">
        <v>1900</v>
      </c>
      <c r="RS98" t="s">
        <v>1900</v>
      </c>
      <c r="RT98" t="s">
        <v>1900</v>
      </c>
      <c r="RU98" t="s">
        <v>1900</v>
      </c>
      <c r="RV98" t="s">
        <v>1900</v>
      </c>
      <c r="RW98" t="s">
        <v>1900</v>
      </c>
      <c r="RX98" t="s">
        <v>1900</v>
      </c>
      <c r="RY98" t="s">
        <v>1900</v>
      </c>
      <c r="RZ98" t="s">
        <v>1900</v>
      </c>
      <c r="SA98" t="s">
        <v>1900</v>
      </c>
      <c r="SB98" t="s">
        <v>1900</v>
      </c>
      <c r="SC98" t="s">
        <v>1900</v>
      </c>
      <c r="SD98" t="s">
        <v>1900</v>
      </c>
      <c r="SE98" t="s">
        <v>1900</v>
      </c>
      <c r="SF98" t="s">
        <v>1900</v>
      </c>
      <c r="SG98" t="s">
        <v>1900</v>
      </c>
      <c r="SH98" t="s">
        <v>1900</v>
      </c>
      <c r="SI98" t="s">
        <v>1900</v>
      </c>
      <c r="SJ98">
        <v>16360.6834710705</v>
      </c>
      <c r="SK98">
        <v>16876.7720240879</v>
      </c>
      <c r="SL98">
        <v>16290.2699781239</v>
      </c>
      <c r="SM98">
        <v>430.388116836548</v>
      </c>
      <c r="SN98">
        <v>0</v>
      </c>
      <c r="SO98" t="s">
        <v>1900</v>
      </c>
      <c r="SP98" t="s">
        <v>1900</v>
      </c>
      <c r="SQ98" t="s">
        <v>1900</v>
      </c>
      <c r="SR98" t="s">
        <v>1900</v>
      </c>
      <c r="SS98" t="s">
        <v>1900</v>
      </c>
      <c r="ST98" t="s">
        <v>1900</v>
      </c>
      <c r="SU98" t="s">
        <v>1900</v>
      </c>
      <c r="SV98" t="s">
        <v>1900</v>
      </c>
      <c r="SW98" t="s">
        <v>1900</v>
      </c>
      <c r="SX98" t="s">
        <v>1900</v>
      </c>
      <c r="SY98" t="s">
        <v>1900</v>
      </c>
      <c r="SZ98" t="s">
        <v>1900</v>
      </c>
      <c r="TA98" t="s">
        <v>1900</v>
      </c>
      <c r="TB98" t="s">
        <v>1900</v>
      </c>
      <c r="TC98" t="s">
        <v>1900</v>
      </c>
      <c r="TD98" t="s">
        <v>1900</v>
      </c>
      <c r="TE98" t="s">
        <v>1900</v>
      </c>
      <c r="TF98" t="s">
        <v>1900</v>
      </c>
      <c r="TG98" t="s">
        <v>1900</v>
      </c>
      <c r="TH98" t="s">
        <v>1900</v>
      </c>
      <c r="TI98" t="s">
        <v>1900</v>
      </c>
      <c r="TJ98" t="s">
        <v>1900</v>
      </c>
      <c r="TK98" t="s">
        <v>1900</v>
      </c>
      <c r="TL98" t="s">
        <v>1900</v>
      </c>
      <c r="TM98" t="s">
        <v>1900</v>
      </c>
      <c r="TN98" t="s">
        <v>1900</v>
      </c>
      <c r="TO98" t="s">
        <v>1900</v>
      </c>
      <c r="TP98" t="s">
        <v>1900</v>
      </c>
      <c r="TQ98" t="s">
        <v>1900</v>
      </c>
      <c r="TR98" t="s">
        <v>1900</v>
      </c>
      <c r="TS98">
        <v>1264935.16842706</v>
      </c>
      <c r="TT98">
        <v>1151585.85821758</v>
      </c>
      <c r="TU98">
        <v>1356770.6841957</v>
      </c>
      <c r="TV98">
        <v>978581.740559506</v>
      </c>
      <c r="TW98">
        <v>443080.659179693</v>
      </c>
      <c r="TX98" t="s">
        <v>1900</v>
      </c>
      <c r="TY98" t="s">
        <v>1900</v>
      </c>
      <c r="TZ98" t="s">
        <v>1900</v>
      </c>
      <c r="UA98" t="s">
        <v>1900</v>
      </c>
      <c r="UB98" t="s">
        <v>1900</v>
      </c>
      <c r="UC98">
        <v>0</v>
      </c>
      <c r="UD98">
        <v>0</v>
      </c>
      <c r="UE98">
        <v>146416.196829265</v>
      </c>
      <c r="UF98">
        <v>0</v>
      </c>
      <c r="UG98">
        <v>0</v>
      </c>
      <c r="UH98" t="s">
        <v>1900</v>
      </c>
      <c r="UI98" t="s">
        <v>1900</v>
      </c>
      <c r="UJ98" t="s">
        <v>1900</v>
      </c>
      <c r="UK98" t="s">
        <v>1900</v>
      </c>
      <c r="UL98" t="s">
        <v>1900</v>
      </c>
      <c r="UM98" t="s">
        <v>1900</v>
      </c>
      <c r="UN98" t="s">
        <v>1900</v>
      </c>
      <c r="UO98" t="s">
        <v>1900</v>
      </c>
      <c r="UP98" t="s">
        <v>1900</v>
      </c>
      <c r="UQ98" t="s">
        <v>1900</v>
      </c>
      <c r="UR98" t="s">
        <v>1900</v>
      </c>
      <c r="US98" t="s">
        <v>1900</v>
      </c>
      <c r="UT98" t="s">
        <v>1900</v>
      </c>
      <c r="UU98" t="s">
        <v>1900</v>
      </c>
      <c r="UV98" t="s">
        <v>1900</v>
      </c>
      <c r="UW98" t="s">
        <v>1900</v>
      </c>
      <c r="UX98" t="s">
        <v>1900</v>
      </c>
      <c r="UY98" t="s">
        <v>1900</v>
      </c>
      <c r="UZ98" t="s">
        <v>1900</v>
      </c>
      <c r="VA98" t="s">
        <v>1900</v>
      </c>
      <c r="VB98" t="s">
        <v>1900</v>
      </c>
      <c r="VC98" t="s">
        <v>1900</v>
      </c>
      <c r="VD98" t="s">
        <v>1900</v>
      </c>
      <c r="VE98" t="s">
        <v>1900</v>
      </c>
      <c r="VF98" t="s">
        <v>1900</v>
      </c>
      <c r="VG98" t="s">
        <v>1900</v>
      </c>
      <c r="VH98" t="s">
        <v>1900</v>
      </c>
      <c r="VI98" t="s">
        <v>1900</v>
      </c>
      <c r="VJ98" t="s">
        <v>1900</v>
      </c>
      <c r="VK98" t="s">
        <v>1900</v>
      </c>
      <c r="VL98" t="s">
        <v>1900</v>
      </c>
      <c r="VM98" t="s">
        <v>1900</v>
      </c>
      <c r="VN98" t="s">
        <v>1900</v>
      </c>
      <c r="VO98" t="s">
        <v>1900</v>
      </c>
      <c r="VP98" t="s">
        <v>1900</v>
      </c>
      <c r="VQ98" t="s">
        <v>1900</v>
      </c>
      <c r="VR98" t="s">
        <v>1900</v>
      </c>
      <c r="VS98" t="s">
        <v>1900</v>
      </c>
      <c r="VT98" t="s">
        <v>1900</v>
      </c>
      <c r="VU98" t="s">
        <v>1900</v>
      </c>
      <c r="VV98" t="s">
        <v>1900</v>
      </c>
      <c r="VW98" t="s">
        <v>1900</v>
      </c>
      <c r="VX98" t="s">
        <v>1900</v>
      </c>
      <c r="VY98" t="s">
        <v>1900</v>
      </c>
      <c r="VZ98" t="s">
        <v>1900</v>
      </c>
      <c r="WA98">
        <v>233873.376554304</v>
      </c>
      <c r="WB98">
        <v>222066.778260841</v>
      </c>
      <c r="WC98">
        <v>444044.224440908</v>
      </c>
      <c r="WD98">
        <v>346825.092671871</v>
      </c>
      <c r="WE98">
        <v>118798.379132247</v>
      </c>
      <c r="WF98" t="s">
        <v>1900</v>
      </c>
      <c r="WG98" t="s">
        <v>1900</v>
      </c>
      <c r="WH98" t="s">
        <v>1900</v>
      </c>
      <c r="WI98" t="s">
        <v>1900</v>
      </c>
      <c r="WJ98" t="s">
        <v>1900</v>
      </c>
      <c r="WK98" t="s">
        <v>1900</v>
      </c>
      <c r="WL98" t="s">
        <v>1900</v>
      </c>
      <c r="WM98" t="s">
        <v>1900</v>
      </c>
      <c r="WN98" t="s">
        <v>1900</v>
      </c>
      <c r="WO98" t="s">
        <v>1900</v>
      </c>
      <c r="WP98" t="s">
        <v>1900</v>
      </c>
      <c r="WQ98" t="s">
        <v>1900</v>
      </c>
      <c r="WR98" t="s">
        <v>1900</v>
      </c>
      <c r="WS98" t="s">
        <v>1900</v>
      </c>
      <c r="WT98" t="s">
        <v>1900</v>
      </c>
      <c r="WU98" t="s">
        <v>1900</v>
      </c>
      <c r="WV98" t="s">
        <v>1900</v>
      </c>
      <c r="WW98" t="s">
        <v>1900</v>
      </c>
      <c r="WX98" t="s">
        <v>1900</v>
      </c>
      <c r="WY98" t="s">
        <v>1900</v>
      </c>
      <c r="WZ98" t="s">
        <v>1900</v>
      </c>
      <c r="XA98" t="s">
        <v>1900</v>
      </c>
      <c r="XB98" t="s">
        <v>1900</v>
      </c>
      <c r="XC98" t="s">
        <v>1900</v>
      </c>
      <c r="XD98" t="s">
        <v>1900</v>
      </c>
      <c r="XE98" t="s">
        <v>1900</v>
      </c>
      <c r="XF98" t="s">
        <v>1900</v>
      </c>
      <c r="XG98" t="s">
        <v>1900</v>
      </c>
      <c r="XH98" t="s">
        <v>1900</v>
      </c>
      <c r="XI98" t="s">
        <v>1900</v>
      </c>
      <c r="XJ98">
        <v>0</v>
      </c>
      <c r="XK98" t="s">
        <v>1900</v>
      </c>
      <c r="XL98" t="s">
        <v>1900</v>
      </c>
      <c r="XM98">
        <v>0</v>
      </c>
      <c r="XN98">
        <v>0</v>
      </c>
      <c r="XO98" t="s">
        <v>1900</v>
      </c>
      <c r="XP98" t="s">
        <v>1900</v>
      </c>
      <c r="XQ98" t="s">
        <v>1900</v>
      </c>
      <c r="XR98" t="s">
        <v>1900</v>
      </c>
      <c r="XS98" t="s">
        <v>1900</v>
      </c>
      <c r="XT98" t="s">
        <v>1900</v>
      </c>
      <c r="XU98" t="s">
        <v>1900</v>
      </c>
      <c r="XV98" t="s">
        <v>1900</v>
      </c>
      <c r="XW98" t="s">
        <v>1900</v>
      </c>
      <c r="XX98" t="s">
        <v>1900</v>
      </c>
      <c r="XY98">
        <v>0</v>
      </c>
      <c r="XZ98" t="s">
        <v>1900</v>
      </c>
      <c r="YA98" t="s">
        <v>1900</v>
      </c>
      <c r="YB98">
        <v>0</v>
      </c>
      <c r="YC98">
        <v>0</v>
      </c>
      <c r="YD98" t="s">
        <v>1900</v>
      </c>
      <c r="YE98" t="s">
        <v>1900</v>
      </c>
      <c r="YF98" t="s">
        <v>1900</v>
      </c>
      <c r="YG98" t="s">
        <v>1900</v>
      </c>
      <c r="YH98" t="s">
        <v>1900</v>
      </c>
      <c r="YI98" t="s">
        <v>1900</v>
      </c>
      <c r="YJ98" t="s">
        <v>1900</v>
      </c>
      <c r="YK98" t="s">
        <v>1900</v>
      </c>
      <c r="YL98" t="s">
        <v>1900</v>
      </c>
      <c r="YM98" t="s">
        <v>1900</v>
      </c>
      <c r="YN98" t="s">
        <v>1900</v>
      </c>
      <c r="YO98" t="s">
        <v>1900</v>
      </c>
      <c r="YP98" t="s">
        <v>1900</v>
      </c>
      <c r="YQ98" t="s">
        <v>1900</v>
      </c>
      <c r="YR98" t="s">
        <v>1900</v>
      </c>
      <c r="YS98" t="s">
        <v>1900</v>
      </c>
      <c r="YT98" t="s">
        <v>1900</v>
      </c>
      <c r="YU98" t="s">
        <v>1900</v>
      </c>
      <c r="YV98" t="s">
        <v>1900</v>
      </c>
      <c r="YW98" t="s">
        <v>1900</v>
      </c>
      <c r="YX98" t="s">
        <v>1900</v>
      </c>
      <c r="YY98" t="s">
        <v>1900</v>
      </c>
      <c r="YZ98" t="s">
        <v>1900</v>
      </c>
      <c r="ZA98" t="s">
        <v>1900</v>
      </c>
      <c r="ZB98" t="s">
        <v>1900</v>
      </c>
      <c r="ZC98" t="s">
        <v>1900</v>
      </c>
      <c r="ZD98" t="s">
        <v>1900</v>
      </c>
      <c r="ZE98" t="s">
        <v>1900</v>
      </c>
      <c r="ZF98" t="s">
        <v>1900</v>
      </c>
      <c r="ZG98" t="s">
        <v>1900</v>
      </c>
      <c r="ZH98" t="s">
        <v>1900</v>
      </c>
      <c r="ZI98" t="s">
        <v>1900</v>
      </c>
      <c r="ZJ98" t="s">
        <v>1900</v>
      </c>
      <c r="ZK98" t="s">
        <v>1900</v>
      </c>
      <c r="ZL98" t="s">
        <v>1900</v>
      </c>
      <c r="ZM98" t="s">
        <v>1900</v>
      </c>
      <c r="ZN98" t="s">
        <v>1900</v>
      </c>
      <c r="ZO98" t="s">
        <v>1900</v>
      </c>
      <c r="ZP98" t="s">
        <v>1900</v>
      </c>
      <c r="ZQ98" t="s">
        <v>1900</v>
      </c>
      <c r="ZR98" t="s">
        <v>1900</v>
      </c>
      <c r="ZS98" t="s">
        <v>1900</v>
      </c>
      <c r="ZT98" t="s">
        <v>1900</v>
      </c>
      <c r="ZU98" t="s">
        <v>1900</v>
      </c>
      <c r="ZV98" t="s">
        <v>1900</v>
      </c>
      <c r="ZW98" t="s">
        <v>1900</v>
      </c>
      <c r="ZX98" t="s">
        <v>1900</v>
      </c>
      <c r="ZY98" t="s">
        <v>1900</v>
      </c>
      <c r="ZZ98" t="s">
        <v>1900</v>
      </c>
      <c r="AAA98" t="s">
        <v>1900</v>
      </c>
      <c r="AAB98" t="s">
        <v>1900</v>
      </c>
      <c r="AAC98" t="s">
        <v>1900</v>
      </c>
      <c r="AAD98" t="s">
        <v>1900</v>
      </c>
      <c r="AAE98" t="s">
        <v>1900</v>
      </c>
      <c r="AAF98" t="s">
        <v>1900</v>
      </c>
      <c r="AAG98" t="s">
        <v>1900</v>
      </c>
      <c r="AAH98" t="s">
        <v>1900</v>
      </c>
      <c r="AAI98" t="s">
        <v>1900</v>
      </c>
      <c r="AAJ98" t="s">
        <v>1900</v>
      </c>
      <c r="AAK98" t="s">
        <v>1900</v>
      </c>
      <c r="AAL98" t="s">
        <v>1900</v>
      </c>
      <c r="AAM98" t="s">
        <v>1900</v>
      </c>
      <c r="AAN98" t="s">
        <v>1900</v>
      </c>
      <c r="AAO98" t="s">
        <v>1900</v>
      </c>
      <c r="AAP98" t="s">
        <v>1900</v>
      </c>
      <c r="AAQ98" t="s">
        <v>1900</v>
      </c>
      <c r="AAR98" t="s">
        <v>1900</v>
      </c>
      <c r="AAS98" t="s">
        <v>1900</v>
      </c>
      <c r="AAT98" t="s">
        <v>1900</v>
      </c>
      <c r="AAU98" t="s">
        <v>1900</v>
      </c>
      <c r="AAV98" t="s">
        <v>1900</v>
      </c>
      <c r="AAW98" t="s">
        <v>1900</v>
      </c>
      <c r="AAX98" t="s">
        <v>1900</v>
      </c>
      <c r="AAY98" t="s">
        <v>1900</v>
      </c>
      <c r="AAZ98" t="s">
        <v>1900</v>
      </c>
      <c r="ABA98" t="s">
        <v>1900</v>
      </c>
      <c r="ABB98" t="s">
        <v>1900</v>
      </c>
      <c r="ABC98" t="s">
        <v>1900</v>
      </c>
      <c r="ABD98" t="s">
        <v>1900</v>
      </c>
      <c r="ABE98" t="s">
        <v>1900</v>
      </c>
      <c r="ABF98" t="s">
        <v>1900</v>
      </c>
      <c r="ABG98" t="s">
        <v>1900</v>
      </c>
      <c r="ABH98" t="s">
        <v>1900</v>
      </c>
      <c r="ABI98" t="s">
        <v>1900</v>
      </c>
      <c r="ABJ98" t="s">
        <v>1900</v>
      </c>
      <c r="ABK98" t="s">
        <v>1900</v>
      </c>
      <c r="ABL98" t="s">
        <v>1900</v>
      </c>
      <c r="ABM98" t="s">
        <v>1900</v>
      </c>
      <c r="ABN98" t="s">
        <v>1900</v>
      </c>
      <c r="ABO98" t="s">
        <v>1900</v>
      </c>
      <c r="ABP98" t="s">
        <v>1900</v>
      </c>
      <c r="ABQ98" t="s">
        <v>1900</v>
      </c>
      <c r="ABR98" t="s">
        <v>1900</v>
      </c>
      <c r="ABS98" t="s">
        <v>1900</v>
      </c>
      <c r="ABT98" t="s">
        <v>1900</v>
      </c>
      <c r="ABU98" t="s">
        <v>1900</v>
      </c>
      <c r="ABV98" t="s">
        <v>1900</v>
      </c>
      <c r="ABW98" t="s">
        <v>1900</v>
      </c>
      <c r="ABX98" t="s">
        <v>1900</v>
      </c>
      <c r="ABY98" t="s">
        <v>1900</v>
      </c>
      <c r="ABZ98" t="s">
        <v>1900</v>
      </c>
      <c r="ACA98" t="s">
        <v>1900</v>
      </c>
      <c r="ACB98" t="s">
        <v>1900</v>
      </c>
      <c r="ACC98" t="s">
        <v>1900</v>
      </c>
      <c r="ACD98" t="s">
        <v>1900</v>
      </c>
      <c r="ACE98">
        <v>22.644</v>
      </c>
      <c r="ACF98">
        <v>46.292</v>
      </c>
      <c r="ACG98">
        <v>74.872</v>
      </c>
      <c r="ACH98">
        <v>112.297</v>
      </c>
      <c r="ACI98">
        <v>194.802</v>
      </c>
      <c r="ACJ98">
        <v>22.147</v>
      </c>
      <c r="ACK98">
        <v>46.974</v>
      </c>
      <c r="ACL98">
        <v>75.551</v>
      </c>
      <c r="ACM98">
        <v>88.629</v>
      </c>
      <c r="ACN98">
        <v>64.533</v>
      </c>
      <c r="ACO98">
        <v>15.687</v>
      </c>
      <c r="ACP98">
        <v>32.624</v>
      </c>
      <c r="ACQ98">
        <v>29.437</v>
      </c>
      <c r="ACR98">
        <v>52.955</v>
      </c>
      <c r="ACS98">
        <v>43.733</v>
      </c>
      <c r="ACT98">
        <v>16.808</v>
      </c>
      <c r="ACU98">
        <v>35.622</v>
      </c>
      <c r="ACV98">
        <v>57.524</v>
      </c>
      <c r="ACW98">
        <v>87.468</v>
      </c>
      <c r="ACX98">
        <v>165.338</v>
      </c>
      <c r="ACY98">
        <v>16.58</v>
      </c>
      <c r="ACZ98">
        <v>36.303</v>
      </c>
      <c r="ADA98">
        <v>58.203</v>
      </c>
      <c r="ADB98">
        <v>69.172</v>
      </c>
      <c r="ADC98">
        <v>55.035</v>
      </c>
      <c r="ADD98">
        <v>11.644</v>
      </c>
      <c r="ADE98">
        <v>25.104</v>
      </c>
      <c r="ADF98">
        <v>22.616</v>
      </c>
      <c r="ADG98">
        <v>41.246</v>
      </c>
      <c r="ADH98">
        <v>37.118</v>
      </c>
      <c r="ADI98">
        <v>8.016</v>
      </c>
      <c r="ADJ98">
        <v>13.166</v>
      </c>
      <c r="ADK98">
        <v>15.988</v>
      </c>
      <c r="ADL98">
        <v>29.832</v>
      </c>
      <c r="ADM98">
        <v>18.604</v>
      </c>
      <c r="ADN98">
        <v>71.92</v>
      </c>
      <c r="ADO98">
        <v>72.61499999999999</v>
      </c>
      <c r="ADP98">
        <v>61.715</v>
      </c>
      <c r="ADQ98">
        <v>70.565</v>
      </c>
      <c r="ADR98">
        <v>67.559</v>
      </c>
      <c r="ADS98">
        <v>8.218535253000001</v>
      </c>
      <c r="ADT98">
        <v>13.359542565</v>
      </c>
      <c r="ADU98">
        <v>16.133283271</v>
      </c>
      <c r="ADV98">
        <v>30.044879188</v>
      </c>
      <c r="ADW98">
        <v>19.11979605</v>
      </c>
      <c r="ADX98">
        <v>8.634</v>
      </c>
      <c r="ADY98">
        <v>13.859</v>
      </c>
      <c r="ADZ98">
        <v>16.62</v>
      </c>
      <c r="AEA98">
        <v>30.678</v>
      </c>
      <c r="AEB98">
        <v>20.105</v>
      </c>
      <c r="AEC98">
        <v>8.218999999999999</v>
      </c>
      <c r="AED98">
        <v>13.36</v>
      </c>
      <c r="AEE98">
        <v>16.133</v>
      </c>
      <c r="AEF98">
        <v>30.045</v>
      </c>
      <c r="AEG98">
        <v>19.12</v>
      </c>
      <c r="AEH98">
        <v>6.366</v>
      </c>
      <c r="AEI98">
        <v>10.63</v>
      </c>
      <c r="AEJ98">
        <v>12.771</v>
      </c>
      <c r="AEK98">
        <v>23.87</v>
      </c>
      <c r="AEL98">
        <v>16.776</v>
      </c>
      <c r="AEM98">
        <v>8.954460768000001</v>
      </c>
      <c r="AEN98">
        <v>15.419519888</v>
      </c>
      <c r="AEO98">
        <v>19.236812767</v>
      </c>
      <c r="AEP98">
        <v>42.948791796</v>
      </c>
      <c r="AEQ98">
        <v>23.639648661</v>
      </c>
      <c r="AER98">
        <v>1.129017405</v>
      </c>
      <c r="AES98">
        <v>1.225456231</v>
      </c>
      <c r="AET98">
        <v>1.353942876</v>
      </c>
      <c r="AEU98">
        <v>1.741486735</v>
      </c>
      <c r="AEV98">
        <v>1.394718823</v>
      </c>
      <c r="AEW98" t="s">
        <v>1900</v>
      </c>
      <c r="AEX98" t="s">
        <v>1900</v>
      </c>
      <c r="AEY98" t="s">
        <v>1900</v>
      </c>
      <c r="AEZ98" t="s">
        <v>1900</v>
      </c>
      <c r="AFA98" t="s">
        <v>1900</v>
      </c>
      <c r="AFB98" t="s">
        <v>1900</v>
      </c>
      <c r="AFC98" t="s">
        <v>1900</v>
      </c>
      <c r="AFD98" t="s">
        <v>1900</v>
      </c>
      <c r="AFE98" t="s">
        <v>1900</v>
      </c>
      <c r="AFF98" t="s">
        <v>1900</v>
      </c>
      <c r="AFG98">
        <v>2.695</v>
      </c>
      <c r="AFH98">
        <v>3.516</v>
      </c>
      <c r="AFI98">
        <v>4.683</v>
      </c>
      <c r="AFJ98">
        <v>2.95</v>
      </c>
      <c r="AFK98">
        <v>3.375</v>
      </c>
      <c r="AFL98">
        <v>40.585</v>
      </c>
      <c r="AFM98">
        <v>68.93300000000001</v>
      </c>
      <c r="AFN98">
        <v>111.203</v>
      </c>
      <c r="AFO98">
        <v>141.358</v>
      </c>
      <c r="AFP98">
        <v>37.092</v>
      </c>
      <c r="AFQ98" t="s">
        <v>1901</v>
      </c>
      <c r="AFR98" t="s">
        <v>1901</v>
      </c>
      <c r="AFS98" t="s">
        <v>1901</v>
      </c>
      <c r="AFT98" t="s">
        <v>1901</v>
      </c>
      <c r="AFU98" t="s">
        <v>1901</v>
      </c>
      <c r="AFV98">
        <v>147.637</v>
      </c>
      <c r="AFW98">
        <v>129.18</v>
      </c>
      <c r="AFX98">
        <v>150.784</v>
      </c>
      <c r="AFY98">
        <v>166.369</v>
      </c>
      <c r="AFZ98">
        <v>124.005</v>
      </c>
      <c r="AGA98">
        <v>16.353</v>
      </c>
      <c r="AGB98">
        <v>14.881</v>
      </c>
      <c r="AGC98">
        <v>33.561</v>
      </c>
      <c r="AGD98">
        <v>8.891</v>
      </c>
      <c r="AGE98">
        <v>5.425</v>
      </c>
      <c r="AGF98" t="s">
        <v>1900</v>
      </c>
      <c r="AGG98" t="s">
        <v>1900</v>
      </c>
      <c r="AGH98" t="s">
        <v>1900</v>
      </c>
      <c r="AGI98" t="s">
        <v>1900</v>
      </c>
      <c r="AGJ98" t="s">
        <v>1900</v>
      </c>
      <c r="AGK98" t="s">
        <v>1900</v>
      </c>
      <c r="AGL98" t="s">
        <v>1900</v>
      </c>
      <c r="AGM98" t="s">
        <v>1900</v>
      </c>
      <c r="AGN98" t="s">
        <v>1900</v>
      </c>
      <c r="AGO98" t="s">
        <v>1900</v>
      </c>
      <c r="AGP98" t="s">
        <v>1900</v>
      </c>
      <c r="AGQ98" t="s">
        <v>1900</v>
      </c>
      <c r="AGR98" t="s">
        <v>1900</v>
      </c>
      <c r="AGS98" t="s">
        <v>1900</v>
      </c>
      <c r="AGT98" t="s">
        <v>1900</v>
      </c>
      <c r="AGU98">
        <v>0</v>
      </c>
      <c r="AGV98">
        <v>0</v>
      </c>
      <c r="AGW98">
        <v>0</v>
      </c>
      <c r="AGX98">
        <v>0</v>
      </c>
      <c r="AGY98">
        <v>0</v>
      </c>
      <c r="AGZ98">
        <v>3.426</v>
      </c>
      <c r="AHA98">
        <v>3.29</v>
      </c>
      <c r="AHB98">
        <v>1.601</v>
      </c>
      <c r="AHC98">
        <v>2.434</v>
      </c>
      <c r="AHD98">
        <v>3.066</v>
      </c>
      <c r="AHE98">
        <v>3.426</v>
      </c>
      <c r="AHF98">
        <v>3.29</v>
      </c>
      <c r="AHG98">
        <v>1.601</v>
      </c>
      <c r="AHH98">
        <v>2.434</v>
      </c>
      <c r="AHI98">
        <v>3.066</v>
      </c>
      <c r="AHJ98">
        <v>20.727</v>
      </c>
      <c r="AHK98" t="s">
        <v>1901</v>
      </c>
      <c r="AHL98" t="s">
        <v>1901</v>
      </c>
      <c r="AHM98">
        <v>3.622</v>
      </c>
      <c r="AHN98">
        <v>0.476</v>
      </c>
      <c r="AHO98">
        <v>69.279</v>
      </c>
      <c r="AHP98">
        <v>70.473</v>
      </c>
      <c r="AHQ98">
        <v>39.316</v>
      </c>
      <c r="AHR98">
        <v>47.156</v>
      </c>
      <c r="AHS98">
        <v>22.45</v>
      </c>
      <c r="AHT98" t="s">
        <v>1901</v>
      </c>
      <c r="AHU98" t="s">
        <v>1901</v>
      </c>
      <c r="AHV98">
        <v>64.789</v>
      </c>
      <c r="AHW98">
        <v>89.236</v>
      </c>
      <c r="AHX98">
        <v>28.949</v>
      </c>
      <c r="AHY98">
        <v>4.825</v>
      </c>
      <c r="AHZ98">
        <v>0</v>
      </c>
      <c r="AIA98">
        <v>27.448</v>
      </c>
      <c r="AIB98">
        <v>27.607</v>
      </c>
      <c r="AIC98">
        <v>210.229</v>
      </c>
      <c r="AID98">
        <v>1.293400949</v>
      </c>
      <c r="AIE98">
        <v>1.465524425</v>
      </c>
      <c r="AIF98">
        <v>1.200664944</v>
      </c>
      <c r="AIG98">
        <v>0.043980804</v>
      </c>
      <c r="AIH98">
        <v>0</v>
      </c>
      <c r="AII98">
        <v>13.551103094</v>
      </c>
      <c r="AIJ98">
        <v>8.229111521</v>
      </c>
      <c r="AIK98">
        <v>20.037283363</v>
      </c>
      <c r="AIL98">
        <v>14.919179891</v>
      </c>
      <c r="AIM98">
        <v>12.108146426</v>
      </c>
      <c r="AIN98">
        <v>18.488961521</v>
      </c>
      <c r="AIO98">
        <v>19.283562461</v>
      </c>
      <c r="AIP98">
        <v>32.728023211</v>
      </c>
      <c r="AIQ98">
        <v>35.441606797</v>
      </c>
      <c r="AIR98">
        <v>26.811908096</v>
      </c>
      <c r="AIS98">
        <v>0</v>
      </c>
      <c r="AIT98">
        <v>0</v>
      </c>
      <c r="AIU98">
        <v>0</v>
      </c>
      <c r="AIV98">
        <v>0</v>
      </c>
      <c r="AIW98">
        <v>0</v>
      </c>
      <c r="AIX98">
        <v>6.84264118097687</v>
      </c>
      <c r="AIY98">
        <v>12.9548744289885</v>
      </c>
      <c r="AIZ98">
        <v>19.0186570674765</v>
      </c>
      <c r="AJA98">
        <v>39.8619369098353</v>
      </c>
      <c r="AJB98">
        <v>32.2950815952599</v>
      </c>
      <c r="AJC98">
        <v>85.3613179128852</v>
      </c>
      <c r="AJD98">
        <v>98.3984068199959</v>
      </c>
      <c r="AJE98">
        <v>118.954309414549</v>
      </c>
      <c r="AJF98">
        <v>133.619900780311</v>
      </c>
      <c r="AJG98">
        <v>173.588973947285</v>
      </c>
      <c r="AJH98">
        <v>54.491</v>
      </c>
      <c r="AJI98">
        <v>50.067</v>
      </c>
      <c r="AJJ98">
        <v>37.998</v>
      </c>
      <c r="AJK98">
        <v>34.216</v>
      </c>
      <c r="AJL98">
        <v>38.215</v>
      </c>
      <c r="AJM98">
        <v>46.5138886703048</v>
      </c>
      <c r="AJN98">
        <v>49.26498519452</v>
      </c>
      <c r="AJO98">
        <v>45.2006784262568</v>
      </c>
      <c r="AJP98">
        <v>45.7192099800968</v>
      </c>
      <c r="AJQ98">
        <v>66.3377329765063</v>
      </c>
      <c r="AJR98">
        <v>30.2184605571973</v>
      </c>
      <c r="AJS98">
        <v>27.9849011142797</v>
      </c>
      <c r="AJT98">
        <v>25.40155211564</v>
      </c>
      <c r="AJU98">
        <v>35.49694402668</v>
      </c>
      <c r="AJV98">
        <v>16.578403584944</v>
      </c>
      <c r="AJW98">
        <v>31.1293988416457</v>
      </c>
      <c r="AJX98">
        <v>31.2412469656877</v>
      </c>
      <c r="AJY98">
        <v>38.733911327334</v>
      </c>
      <c r="AJZ98">
        <v>58.4503838196015</v>
      </c>
      <c r="AKA98">
        <v>57.1782073246151</v>
      </c>
      <c r="AKB98">
        <v>43.6184538329228</v>
      </c>
      <c r="AKC98">
        <v>39.7098569512959</v>
      </c>
      <c r="AKD98">
        <v>64.6081280727953</v>
      </c>
      <c r="AKE98">
        <v>75.275518156085</v>
      </c>
      <c r="AKF98">
        <v>73.846776938982</v>
      </c>
      <c r="AKG98">
        <v>0</v>
      </c>
      <c r="AKH98">
        <v>0</v>
      </c>
      <c r="AKI98">
        <v>0</v>
      </c>
      <c r="AKJ98">
        <v>0</v>
      </c>
      <c r="AKK98">
        <v>0</v>
      </c>
      <c r="AKL98">
        <v>0</v>
      </c>
      <c r="AKM98">
        <v>0</v>
      </c>
      <c r="AKN98">
        <v>0</v>
      </c>
      <c r="AKO98">
        <v>0</v>
      </c>
      <c r="AKP98">
        <v>0</v>
      </c>
      <c r="AKQ98">
        <v>0</v>
      </c>
      <c r="AKR98">
        <v>0</v>
      </c>
      <c r="AKS98">
        <v>0</v>
      </c>
      <c r="AKT98">
        <v>0</v>
      </c>
      <c r="AKU98">
        <v>0</v>
      </c>
      <c r="AKV98">
        <v>0.007971331999999999</v>
      </c>
      <c r="AKW98">
        <v>0.009290193</v>
      </c>
      <c r="AKX98">
        <v>0.012379697</v>
      </c>
      <c r="AKY98">
        <v>0.022166788</v>
      </c>
      <c r="AKZ98">
        <v>0.045948457</v>
      </c>
      <c r="ALA98">
        <v>0.015599897</v>
      </c>
      <c r="ALB98">
        <v>0.023020487</v>
      </c>
      <c r="ALC98">
        <v>0.022793082</v>
      </c>
      <c r="ALD98">
        <v>0.039347773</v>
      </c>
      <c r="ALE98">
        <v>0.108009392</v>
      </c>
      <c r="ALF98">
        <v>2.4950843</v>
      </c>
      <c r="ALG98">
        <v>0.551088035</v>
      </c>
      <c r="ALH98">
        <v>0.88154641</v>
      </c>
      <c r="ALI98">
        <v>1.67018276</v>
      </c>
      <c r="ALJ98">
        <v>2.898419214</v>
      </c>
      <c r="ALK98">
        <v>4.882880166</v>
      </c>
      <c r="ALL98">
        <v>1.365559801</v>
      </c>
      <c r="ALM98">
        <v>1.623073567</v>
      </c>
      <c r="ALN98">
        <v>2.964704328</v>
      </c>
      <c r="ALO98">
        <v>6.813210302</v>
      </c>
      <c r="ALP98">
        <v>41.01022624</v>
      </c>
      <c r="ALQ98">
        <v>35.883434454</v>
      </c>
      <c r="ALR98">
        <v>41.884420687</v>
      </c>
      <c r="ALS98">
        <v>46.213629339</v>
      </c>
      <c r="ALT98">
        <v>34.445853072</v>
      </c>
      <c r="ALU98">
        <v>11.076314977</v>
      </c>
      <c r="ALV98">
        <v>11.519760591</v>
      </c>
      <c r="ALW98">
        <v>22.257472554</v>
      </c>
      <c r="ALX98">
        <v>5.344436917</v>
      </c>
      <c r="ALY98">
        <v>4.37499891</v>
      </c>
      <c r="ALZ98">
        <v>71.9195162586019</v>
      </c>
      <c r="AMA98">
        <v>72.61513509560351</v>
      </c>
      <c r="AMB98">
        <v>61.714885183985</v>
      </c>
      <c r="AMC98">
        <v>70.56465891130961</v>
      </c>
      <c r="AMD98">
        <v>67.5588238915244</v>
      </c>
      <c r="AME98">
        <v>71.9195162586019</v>
      </c>
      <c r="AMF98">
        <v>72.66311007241779</v>
      </c>
      <c r="AMG98">
        <v>61.776475425555</v>
      </c>
      <c r="AMH98">
        <v>70.67687069196739</v>
      </c>
      <c r="AMI98">
        <v>67.59505925903269</v>
      </c>
      <c r="AMJ98">
        <v>256.119221167737</v>
      </c>
      <c r="AMK98">
        <v>265.165212058233</v>
      </c>
      <c r="AML98">
        <v>161.198119636223</v>
      </c>
      <c r="AMM98">
        <v>239.727675309399</v>
      </c>
      <c r="AMN98">
        <v>208.250230095308</v>
      </c>
      <c r="AMO98">
        <v>1.12901740555219</v>
      </c>
      <c r="AMP98">
        <v>1.2254562311338</v>
      </c>
      <c r="AMQ98">
        <v>1.35394287720345</v>
      </c>
      <c r="AMR98">
        <v>1.74148673545814</v>
      </c>
      <c r="AMS98">
        <v>1.39471882625387</v>
      </c>
      <c r="AMT98">
        <v>1.12901740489337</v>
      </c>
      <c r="AMU98">
        <v>1.2254562311338</v>
      </c>
      <c r="AMV98">
        <v>1.35394287626672</v>
      </c>
      <c r="AMW98">
        <v>1.74148673545814</v>
      </c>
      <c r="AMX98">
        <v>1.3947188238216</v>
      </c>
      <c r="AMY98">
        <v>1.12901740480837</v>
      </c>
      <c r="AMZ98">
        <v>1.2254562311338</v>
      </c>
      <c r="ANA98">
        <v>1.35394287593518</v>
      </c>
      <c r="ANB98">
        <v>1.74148673545814</v>
      </c>
      <c r="ANC98">
        <v>1.39471882286154</v>
      </c>
      <c r="AND98">
        <v>8.218535253079899</v>
      </c>
      <c r="ANE98">
        <v>13.3595425654488</v>
      </c>
      <c r="ANF98">
        <v>16.1332832708628</v>
      </c>
      <c r="ANG98">
        <v>30.0448791882985</v>
      </c>
      <c r="ANH98">
        <v>19.1197960501175</v>
      </c>
      <c r="ANI98">
        <v>8.218535253079899</v>
      </c>
      <c r="ANJ98">
        <v>13.3683688761619</v>
      </c>
      <c r="ANK98">
        <v>16.1493839702484</v>
      </c>
      <c r="ANL98">
        <v>30.0926564955991</v>
      </c>
      <c r="ANM98">
        <v>19.1300510071557</v>
      </c>
      <c r="ANN98">
        <v>8.954460768023081</v>
      </c>
      <c r="ANO98">
        <v>15.4195198883163</v>
      </c>
      <c r="ANP98">
        <v>19.2368127668192</v>
      </c>
      <c r="ANQ98">
        <v>42.9487917963438</v>
      </c>
      <c r="ANR98">
        <v>23.6396486610804</v>
      </c>
      <c r="ANS98">
        <v>22.1472566650313</v>
      </c>
      <c r="ANT98">
        <v>46.973819851789</v>
      </c>
      <c r="ANU98">
        <v>75.5514286281001</v>
      </c>
      <c r="ANV98">
        <v>88.6293386864328</v>
      </c>
      <c r="ANW98">
        <v>64.53272343075921</v>
      </c>
      <c r="ANX98">
        <v>71.9195162586019</v>
      </c>
      <c r="ANY98">
        <v>72.61513509560351</v>
      </c>
      <c r="ANZ98">
        <v>61.714885183985</v>
      </c>
      <c r="AOA98">
        <v>70.56465891130961</v>
      </c>
      <c r="AOB98">
        <v>67.5588238915244</v>
      </c>
      <c r="AOC98">
        <v>78.3595211265304</v>
      </c>
      <c r="AOD98">
        <v>83.8120402935978</v>
      </c>
      <c r="AOE98">
        <v>73.5868620960857</v>
      </c>
      <c r="AOF98">
        <v>100.871327348928</v>
      </c>
      <c r="AOG98">
        <v>83.52949249903889</v>
      </c>
      <c r="AOH98" t="s">
        <v>1901</v>
      </c>
      <c r="AOI98" t="s">
        <v>1901</v>
      </c>
      <c r="AOJ98" t="s">
        <v>1901</v>
      </c>
      <c r="AOK98" t="s">
        <v>1901</v>
      </c>
      <c r="AOL98" t="s">
        <v>1901</v>
      </c>
      <c r="AOM98">
        <v>29.2677837346641</v>
      </c>
      <c r="AON98">
        <v>48.784401939131</v>
      </c>
      <c r="AOO98">
        <v>42.1398325390788</v>
      </c>
      <c r="AOP98">
        <v>102.070769615924</v>
      </c>
      <c r="AOQ98">
        <v>58.9368153182408</v>
      </c>
      <c r="AOR98">
        <v>12.9017404893372</v>
      </c>
      <c r="AOS98">
        <v>22.54562311338</v>
      </c>
      <c r="AOT98">
        <v>35.3942876266722</v>
      </c>
      <c r="AOU98">
        <v>74.14867354581391</v>
      </c>
      <c r="AOV98">
        <v>39.4718823821601</v>
      </c>
      <c r="AOW98">
        <v>16.083674120114</v>
      </c>
      <c r="AOX98">
        <v>33.1040653041435</v>
      </c>
      <c r="AOY98">
        <v>29.7040579209368</v>
      </c>
      <c r="AOZ98">
        <v>53.3319978600793</v>
      </c>
      <c r="APA98">
        <v>44.9442202110996</v>
      </c>
      <c r="APB98">
        <v>5.95007279768052</v>
      </c>
      <c r="APC98">
        <v>10.1309027023218</v>
      </c>
      <c r="APD98">
        <v>12.2836371513499</v>
      </c>
      <c r="APE98">
        <v>23.2362944803139</v>
      </c>
      <c r="APF98">
        <v>15.7903720664488</v>
      </c>
      <c r="APG98">
        <v>5.95007279768052</v>
      </c>
      <c r="APH98">
        <v>10.1375959326189</v>
      </c>
      <c r="API98">
        <v>12.2958959796253</v>
      </c>
      <c r="APJ98">
        <v>23.2732447897146</v>
      </c>
      <c r="APK98">
        <v>15.7988412774557</v>
      </c>
      <c r="APL98">
        <v>21.1893529060133</v>
      </c>
      <c r="APM98">
        <v>36.9945323363465</v>
      </c>
      <c r="APN98">
        <v>32.0846292622624</v>
      </c>
      <c r="APO98">
        <v>78.9401230660166</v>
      </c>
      <c r="APP98">
        <v>48.6738582277335</v>
      </c>
      <c r="APQ98">
        <v>9.340629779445271</v>
      </c>
      <c r="APR98">
        <v>17.096956202347</v>
      </c>
      <c r="APS98">
        <v>26.9486736913474</v>
      </c>
      <c r="APT98">
        <v>57.3455597220782</v>
      </c>
      <c r="APU98">
        <v>32.5984496562442</v>
      </c>
      <c r="APV98">
        <v>6.48286973201764</v>
      </c>
      <c r="APW98">
        <v>11.6930392593722</v>
      </c>
      <c r="APX98">
        <v>14.6466174311105</v>
      </c>
      <c r="APY98">
        <v>33.2160022178493</v>
      </c>
      <c r="APZ98">
        <v>19.5231605452346</v>
      </c>
      <c r="AQA98">
        <v>11.6442929210512</v>
      </c>
      <c r="AQB98">
        <v>25.1037086789893</v>
      </c>
      <c r="AQC98">
        <v>22.6162191103681</v>
      </c>
      <c r="AQD98">
        <v>41.2462303387433</v>
      </c>
      <c r="AQE98">
        <v>37.1178624243384</v>
      </c>
      <c r="AQF98">
        <v>0.129017404808373</v>
      </c>
      <c r="AQG98">
        <v>0.2254562311338</v>
      </c>
      <c r="AQH98">
        <v>0.353942875935175</v>
      </c>
      <c r="AQI98">
        <v>0.741486735458139</v>
      </c>
      <c r="AQJ98">
        <v>0.39471882286154</v>
      </c>
      <c r="AQK98">
        <v>2</v>
      </c>
      <c r="AQO98" t="s">
        <v>1902</v>
      </c>
      <c r="AQP98">
        <v>3</v>
      </c>
      <c r="AQQ98">
        <v>0</v>
      </c>
      <c r="AQS98" t="s">
        <v>1905</v>
      </c>
      <c r="AQU98" t="s">
        <v>1906</v>
      </c>
      <c r="AQV98">
        <v>2475478.22155147</v>
      </c>
      <c r="AQW98">
        <v>2853553.79998988</v>
      </c>
      <c r="AQX98">
        <v>2498040.49877214</v>
      </c>
      <c r="AQY98">
        <v>203448.050320523</v>
      </c>
      <c r="AQZ98">
        <v>381221.73453763</v>
      </c>
      <c r="ARA98">
        <v>403015.949887782</v>
      </c>
      <c r="ARB98">
        <v>7827072.52031349</v>
      </c>
      <c r="ARC98">
        <v>987685.734745935</v>
      </c>
      <c r="ARD98">
        <v>0.1444114458960188</v>
      </c>
      <c r="ARE98">
        <v>0.1444114458960188</v>
      </c>
      <c r="ARF98">
        <v>0.1444114458960188</v>
      </c>
      <c r="ARG98">
        <v>0.1444114458960188</v>
      </c>
      <c r="ARH98">
        <v>0.1444114458960188</v>
      </c>
      <c r="ARI98">
        <v>0.1444114458960188</v>
      </c>
      <c r="ARJ98" t="s">
        <v>1259</v>
      </c>
      <c r="ARK98" t="s">
        <v>1597</v>
      </c>
      <c r="ARL98" t="s">
        <v>1908</v>
      </c>
      <c r="ARM98" t="s">
        <v>1908</v>
      </c>
      <c r="ARN98" t="s">
        <v>1909</v>
      </c>
      <c r="ARO98" t="s">
        <v>1908</v>
      </c>
      <c r="ARP98" t="s">
        <v>1907</v>
      </c>
      <c r="ARQ98" t="s">
        <v>1991</v>
      </c>
      <c r="ARR98">
        <f>HYPERLINK("C:\Users\Usuario\Documents\Proyectos\llmthon\evidence\roadtodata_com_235756.png", "Ver Evidencia")</f>
        <v>0</v>
      </c>
      <c r="ARS98">
        <v>95</v>
      </c>
    </row>
    <row r="99" spans="1:1163">
      <c r="A99">
        <v>632</v>
      </c>
      <c r="B99" t="s">
        <v>1260</v>
      </c>
      <c r="C99" t="s">
        <v>1383</v>
      </c>
      <c r="E99" s="2">
        <v>41463</v>
      </c>
      <c r="F99" t="s">
        <v>1431</v>
      </c>
      <c r="G99" t="s">
        <v>1433</v>
      </c>
      <c r="H99" t="s">
        <v>1434</v>
      </c>
      <c r="I99" t="s">
        <v>1444</v>
      </c>
      <c r="J99" t="s">
        <v>1492</v>
      </c>
      <c r="L99" t="s">
        <v>1598</v>
      </c>
      <c r="N99" t="s">
        <v>1624</v>
      </c>
      <c r="O99" t="s">
        <v>1648</v>
      </c>
      <c r="P99">
        <v>6209</v>
      </c>
      <c r="Q99">
        <v>6209</v>
      </c>
      <c r="R99" t="s">
        <v>1766</v>
      </c>
      <c r="S99" t="s">
        <v>1833</v>
      </c>
      <c r="Z99" t="s">
        <v>1899</v>
      </c>
      <c r="AA99" s="2">
        <v>45657</v>
      </c>
      <c r="AB99">
        <v>2024</v>
      </c>
      <c r="AC99">
        <v>967639.156589773</v>
      </c>
      <c r="AD99">
        <v>2015630.36589014</v>
      </c>
      <c r="AE99">
        <v>1605508.38310234</v>
      </c>
      <c r="AF99">
        <v>1441744.0710572</v>
      </c>
      <c r="AG99">
        <v>988304.401410389</v>
      </c>
      <c r="AH99">
        <v>914398.0796444711</v>
      </c>
      <c r="AI99">
        <v>1933127.32711379</v>
      </c>
      <c r="AJ99">
        <v>1585923.32330902</v>
      </c>
      <c r="AK99">
        <v>1431905.54594436</v>
      </c>
      <c r="AL99">
        <v>958222.982409316</v>
      </c>
      <c r="AM99">
        <v>5135.62326752305</v>
      </c>
      <c r="AN99">
        <v>2531.61138615608</v>
      </c>
      <c r="AO99">
        <v>3260.93594744205</v>
      </c>
      <c r="AP99">
        <v>426.401363754272</v>
      </c>
      <c r="AQ99">
        <v>2398.40239371657</v>
      </c>
      <c r="AR99">
        <v>962503.53332225</v>
      </c>
      <c r="AS99">
        <v>2013098.75450398</v>
      </c>
      <c r="AT99">
        <v>1602247.4460883</v>
      </c>
      <c r="AU99">
        <v>1441317.66969345</v>
      </c>
      <c r="AV99">
        <v>985905.999016672</v>
      </c>
      <c r="AW99">
        <v>1939732.13784536</v>
      </c>
      <c r="AX99">
        <v>1938240.83845867</v>
      </c>
      <c r="AY99">
        <v>1472778.69491245</v>
      </c>
      <c r="AZ99">
        <v>979895.658850193</v>
      </c>
      <c r="BA99">
        <v>1017047.27472656</v>
      </c>
      <c r="BB99">
        <v>-977228.6045231119</v>
      </c>
      <c r="BC99">
        <v>74857.9160453129</v>
      </c>
      <c r="BD99">
        <v>129468.752242446</v>
      </c>
      <c r="BE99">
        <v>461422.010843253</v>
      </c>
      <c r="BF99">
        <v>-31141.2769369841</v>
      </c>
      <c r="BG99">
        <v>-88333.6178105998</v>
      </c>
      <c r="BH99">
        <v>-38208.8286976528</v>
      </c>
      <c r="BI99">
        <v>-41998.3147897124</v>
      </c>
      <c r="BJ99">
        <v>-25788.0631406307</v>
      </c>
      <c r="BK99">
        <v>-35661.3327923173</v>
      </c>
      <c r="BL99">
        <v>5137.64912162781</v>
      </c>
      <c r="BM99">
        <v>2323.38509270668</v>
      </c>
      <c r="BN99">
        <v>36.0617286980152</v>
      </c>
      <c r="BO99">
        <v>252.060198426247</v>
      </c>
      <c r="BP99">
        <v>276.195510315895</v>
      </c>
      <c r="BQ99">
        <v>93471.26693222761</v>
      </c>
      <c r="BR99">
        <v>40532.2137903595</v>
      </c>
      <c r="BS99">
        <v>42034.3765184104</v>
      </c>
      <c r="BT99">
        <v>26040.123339057</v>
      </c>
      <c r="BU99">
        <v>35937.5295297325</v>
      </c>
      <c r="BV99">
        <v>-1065562.22233371</v>
      </c>
      <c r="BW99">
        <v>36649.0873476601</v>
      </c>
      <c r="BX99">
        <v>87470.4374527335</v>
      </c>
      <c r="BY99">
        <v>435633.947702622</v>
      </c>
      <c r="BZ99">
        <v>-66802.6109564006</v>
      </c>
      <c r="CA99">
        <v>-326589.612856187</v>
      </c>
      <c r="CB99">
        <v>-16546.3658258057</v>
      </c>
      <c r="CC99">
        <v>17319.282500416</v>
      </c>
      <c r="CD99">
        <v>74635.6193691731</v>
      </c>
      <c r="CE99">
        <v>-29597.9786900759</v>
      </c>
      <c r="CF99">
        <v>-738972.609477525</v>
      </c>
      <c r="CG99">
        <v>53195.4531734657</v>
      </c>
      <c r="CH99">
        <v>70151.153885718</v>
      </c>
      <c r="CI99">
        <v>360998.327200849</v>
      </c>
      <c r="CJ99">
        <v>-37204.6322663248</v>
      </c>
      <c r="CK99" t="s">
        <v>1900</v>
      </c>
      <c r="CL99" t="s">
        <v>1900</v>
      </c>
      <c r="CM99" t="s">
        <v>1900</v>
      </c>
      <c r="CN99" t="s">
        <v>1900</v>
      </c>
      <c r="CO99" t="s">
        <v>1900</v>
      </c>
      <c r="CP99" t="s">
        <v>1900</v>
      </c>
      <c r="CQ99" t="s">
        <v>1900</v>
      </c>
      <c r="CR99" t="s">
        <v>1900</v>
      </c>
      <c r="CS99" t="s">
        <v>1900</v>
      </c>
      <c r="CT99" t="s">
        <v>1900</v>
      </c>
      <c r="CU99" t="s">
        <v>1900</v>
      </c>
      <c r="CV99" t="s">
        <v>1900</v>
      </c>
      <c r="CW99" t="s">
        <v>1900</v>
      </c>
      <c r="CX99" t="s">
        <v>1900</v>
      </c>
      <c r="CY99" t="s">
        <v>1900</v>
      </c>
      <c r="CZ99">
        <v>-738972.609477525</v>
      </c>
      <c r="DA99">
        <v>53195.4531734657</v>
      </c>
      <c r="DB99">
        <v>70151.153885718</v>
      </c>
      <c r="DC99">
        <v>360998.327200849</v>
      </c>
      <c r="DD99">
        <v>-37204.6322663248</v>
      </c>
      <c r="DE99" t="s">
        <v>1900</v>
      </c>
      <c r="DF99" t="s">
        <v>1900</v>
      </c>
      <c r="DG99" t="s">
        <v>1900</v>
      </c>
      <c r="DH99" t="s">
        <v>1900</v>
      </c>
      <c r="DI99" t="s">
        <v>1900</v>
      </c>
      <c r="DJ99">
        <v>5135.62326752305</v>
      </c>
      <c r="DK99">
        <v>2531.61138615608</v>
      </c>
      <c r="DL99">
        <v>3260.93594744205</v>
      </c>
      <c r="DM99">
        <v>426.401363754272</v>
      </c>
      <c r="DN99">
        <v>2398.40239371657</v>
      </c>
      <c r="DO99">
        <v>1525942.31541071</v>
      </c>
      <c r="DP99">
        <v>1331303.71347275</v>
      </c>
      <c r="DQ99">
        <v>1048331.50817712</v>
      </c>
      <c r="DR99">
        <v>741495.594168234</v>
      </c>
      <c r="DS99">
        <v>601730.474683166</v>
      </c>
      <c r="DT99">
        <v>367011.604476354</v>
      </c>
      <c r="DU99">
        <v>352473.64383584</v>
      </c>
      <c r="DV99">
        <v>255065.087050831</v>
      </c>
      <c r="DW99">
        <v>157915.357544947</v>
      </c>
      <c r="DX99">
        <v>164272.800480127</v>
      </c>
      <c r="DY99">
        <v>46778.2169193958</v>
      </c>
      <c r="DZ99">
        <v>254463.480045083</v>
      </c>
      <c r="EA99">
        <v>169382.099684501</v>
      </c>
      <c r="EB99">
        <v>80484.7071370125</v>
      </c>
      <c r="EC99">
        <v>251043.999563265</v>
      </c>
      <c r="ED99">
        <v>93471.26693222761</v>
      </c>
      <c r="EE99">
        <v>40532.2137903595</v>
      </c>
      <c r="EF99">
        <v>41676.4577281356</v>
      </c>
      <c r="EG99">
        <v>25478.4555205822</v>
      </c>
      <c r="EH99">
        <v>35937.5295297325</v>
      </c>
      <c r="EI99" t="s">
        <v>1900</v>
      </c>
      <c r="EJ99" t="s">
        <v>1900</v>
      </c>
      <c r="EK99" t="s">
        <v>1900</v>
      </c>
      <c r="EL99" t="s">
        <v>1900</v>
      </c>
      <c r="EM99" t="s">
        <v>1900</v>
      </c>
      <c r="EN99">
        <v>-371961.005001171</v>
      </c>
      <c r="EO99">
        <v>405669.097009306</v>
      </c>
      <c r="EP99">
        <v>325216.242003149</v>
      </c>
      <c r="EQ99">
        <v>518913.685878396</v>
      </c>
      <c r="ER99">
        <v>127068.168213802</v>
      </c>
      <c r="ES99">
        <v>920862.964485582</v>
      </c>
      <c r="ET99">
        <v>1760958.65844661</v>
      </c>
      <c r="EU99">
        <v>1432543.48934222</v>
      </c>
      <c r="EV99">
        <v>1360523.35493639</v>
      </c>
      <c r="EW99">
        <v>735138.193736624</v>
      </c>
      <c r="EX99">
        <v>-610216.999007858</v>
      </c>
      <c r="EY99">
        <v>427331.559881153</v>
      </c>
      <c r="EZ99">
        <v>384533.839293277</v>
      </c>
      <c r="FA99">
        <v>619337.3683881999</v>
      </c>
      <c r="FB99">
        <v>133131.523543143</v>
      </c>
      <c r="FC99">
        <v>1854523.52985379</v>
      </c>
      <c r="FD99">
        <v>1413896.05838918</v>
      </c>
      <c r="FE99">
        <v>1290734.87537689</v>
      </c>
      <c r="FF99">
        <v>1143518.99349067</v>
      </c>
      <c r="FG99">
        <v>1081195.35207957</v>
      </c>
      <c r="FH99">
        <v>1171488.50263596</v>
      </c>
      <c r="FI99">
        <v>971034.622638407</v>
      </c>
      <c r="FJ99">
        <v>871775.972302348</v>
      </c>
      <c r="FK99">
        <v>848935.690278769</v>
      </c>
      <c r="FL99">
        <v>763296.06218698</v>
      </c>
      <c r="FM99">
        <v>86162.1203792036</v>
      </c>
      <c r="FN99">
        <v>178954.764012699</v>
      </c>
      <c r="FO99">
        <v>265893.034399712</v>
      </c>
      <c r="FP99">
        <v>119399.789057207</v>
      </c>
      <c r="FQ99">
        <v>47555.4357348979</v>
      </c>
      <c r="FR99">
        <v>596872.906838629</v>
      </c>
      <c r="FS99">
        <v>263906.671738071</v>
      </c>
      <c r="FT99">
        <v>153065.868674833</v>
      </c>
      <c r="FU99">
        <v>175183.514154696</v>
      </c>
      <c r="FV99">
        <v>270343.854157692</v>
      </c>
      <c r="FW99">
        <v>1171488.50263596</v>
      </c>
      <c r="FX99">
        <v>971034.622638407</v>
      </c>
      <c r="FY99">
        <v>871775.972302348</v>
      </c>
      <c r="FZ99">
        <v>848935.690278769</v>
      </c>
      <c r="GA99">
        <v>763296.06218698</v>
      </c>
      <c r="GB99">
        <v>86162.1203792036</v>
      </c>
      <c r="GC99">
        <v>178954.764012699</v>
      </c>
      <c r="GD99">
        <v>265893.034399712</v>
      </c>
      <c r="GE99">
        <v>119399.789057207</v>
      </c>
      <c r="GF99">
        <v>47555.4357348979</v>
      </c>
      <c r="GG99">
        <v>596872.906838629</v>
      </c>
      <c r="GH99">
        <v>263906.671738071</v>
      </c>
      <c r="GI99">
        <v>153065.868674833</v>
      </c>
      <c r="GJ99">
        <v>175183.514154696</v>
      </c>
      <c r="GK99">
        <v>270343.854157692</v>
      </c>
      <c r="GL99">
        <v>1737232.62358367</v>
      </c>
      <c r="GM99">
        <v>1870505.94346008</v>
      </c>
      <c r="GN99">
        <v>2059584.51969606</v>
      </c>
      <c r="GO99">
        <v>1434572.96690648</v>
      </c>
      <c r="GP99">
        <v>1511556.97976875</v>
      </c>
      <c r="GQ99">
        <v>0</v>
      </c>
      <c r="GR99">
        <v>0</v>
      </c>
      <c r="GS99">
        <v>0</v>
      </c>
      <c r="GT99">
        <v>0</v>
      </c>
      <c r="GU99">
        <v>0</v>
      </c>
      <c r="GV99">
        <v>564626.981882386</v>
      </c>
      <c r="GW99">
        <v>866694.972912054</v>
      </c>
      <c r="GX99">
        <v>992445.513418549</v>
      </c>
      <c r="GY99">
        <v>532807.520370126</v>
      </c>
      <c r="GZ99">
        <v>492015.649030983</v>
      </c>
      <c r="HA99">
        <v>1172605.64170129</v>
      </c>
      <c r="HB99">
        <v>1003810.96944303</v>
      </c>
      <c r="HC99">
        <v>1067139.00521091</v>
      </c>
      <c r="HD99">
        <v>901765.4465363499</v>
      </c>
      <c r="HE99">
        <v>1019541.33073776</v>
      </c>
      <c r="HF99">
        <v>1055479.75423424</v>
      </c>
      <c r="HG99">
        <v>890911.3239800551</v>
      </c>
      <c r="HH99">
        <v>1067069.92262865</v>
      </c>
      <c r="HI99">
        <v>901696.618415666</v>
      </c>
      <c r="HJ99">
        <v>1019529.75919137</v>
      </c>
      <c r="HK99">
        <v>3591756.15343746</v>
      </c>
      <c r="HL99">
        <v>3284402.00184926</v>
      </c>
      <c r="HM99">
        <v>3350319.39507295</v>
      </c>
      <c r="HN99">
        <v>2578091.96039715</v>
      </c>
      <c r="HO99">
        <v>2592752.33062122</v>
      </c>
      <c r="HP99">
        <v>1403640.45381798</v>
      </c>
      <c r="HQ99">
        <v>2440882.336938</v>
      </c>
      <c r="HR99">
        <v>2359981.94088098</v>
      </c>
      <c r="HS99">
        <v>1504498.72452707</v>
      </c>
      <c r="HT99">
        <v>1251476.71913242</v>
      </c>
      <c r="HU99">
        <v>13432.202278192</v>
      </c>
      <c r="HV99">
        <v>14286.8387117577</v>
      </c>
      <c r="HW99">
        <v>13790.3420995593</v>
      </c>
      <c r="HX99">
        <v>13689.2868762016</v>
      </c>
      <c r="HY99">
        <v>14831.4583925009</v>
      </c>
      <c r="HZ99">
        <v>1390208.25153978</v>
      </c>
      <c r="IA99">
        <v>2426595.49822624</v>
      </c>
      <c r="IB99">
        <v>2346191.59878142</v>
      </c>
      <c r="IC99">
        <v>1490809.43765087</v>
      </c>
      <c r="ID99">
        <v>1236645.25951282</v>
      </c>
      <c r="IE99">
        <v>1281690.69605764</v>
      </c>
      <c r="IF99">
        <v>308699.15969039</v>
      </c>
      <c r="IG99">
        <v>511128.564552647</v>
      </c>
      <c r="IH99">
        <v>674590.085157537</v>
      </c>
      <c r="II99">
        <v>988050.600462288</v>
      </c>
      <c r="IJ99">
        <v>1262077.73757378</v>
      </c>
      <c r="IK99">
        <v>233857.144602213</v>
      </c>
      <c r="IL99">
        <v>420772.388854456</v>
      </c>
      <c r="IM99">
        <v>674589.088469267</v>
      </c>
      <c r="IN99">
        <v>970870.130422872</v>
      </c>
      <c r="IO99">
        <v>19612.9584838617</v>
      </c>
      <c r="IP99">
        <v>74842.0150881767</v>
      </c>
      <c r="IQ99">
        <v>90356.1756981909</v>
      </c>
      <c r="IR99">
        <v>0.996688270568848</v>
      </c>
      <c r="IS99">
        <v>17180.4700394154</v>
      </c>
      <c r="IT99" t="s">
        <v>1900</v>
      </c>
      <c r="IU99" t="s">
        <v>1900</v>
      </c>
      <c r="IV99" t="s">
        <v>1900</v>
      </c>
      <c r="IW99" t="s">
        <v>1900</v>
      </c>
      <c r="IX99">
        <v>17179.3901920319</v>
      </c>
      <c r="IY99">
        <v>906425.003561844</v>
      </c>
      <c r="IZ99">
        <v>534820.505220871</v>
      </c>
      <c r="JA99">
        <v>479208.889639324</v>
      </c>
      <c r="JB99">
        <v>399003.150712538</v>
      </c>
      <c r="JC99">
        <v>353225.012253612</v>
      </c>
      <c r="JD99">
        <v>450983.371397494</v>
      </c>
      <c r="JE99">
        <v>236420.060652418</v>
      </c>
      <c r="JF99">
        <v>253613.530475271</v>
      </c>
      <c r="JG99">
        <v>240276.760739422</v>
      </c>
      <c r="JH99">
        <v>176173.529758924</v>
      </c>
      <c r="JI99">
        <v>1219.2213342154</v>
      </c>
      <c r="JJ99">
        <v>402.120730466843</v>
      </c>
      <c r="JK99">
        <v>285.208703160286</v>
      </c>
      <c r="JL99">
        <v>430.104966759682</v>
      </c>
      <c r="JM99">
        <v>901.746191179752</v>
      </c>
      <c r="JN99">
        <v>454222.409791235</v>
      </c>
      <c r="JO99">
        <v>297998.323837986</v>
      </c>
      <c r="JP99">
        <v>225310.150460893</v>
      </c>
      <c r="JQ99">
        <v>158296.285006356</v>
      </c>
      <c r="JR99">
        <v>176149.736303508</v>
      </c>
      <c r="JS99">
        <v>3591756.15343746</v>
      </c>
      <c r="JT99">
        <v>3284402.00184926</v>
      </c>
      <c r="JU99">
        <v>3350319.39507295</v>
      </c>
      <c r="JV99">
        <v>2578091.96039715</v>
      </c>
      <c r="JW99">
        <v>2592752.33062122</v>
      </c>
      <c r="JX99">
        <v>563407.760548171</v>
      </c>
      <c r="JY99">
        <v>866292.852181587</v>
      </c>
      <c r="JZ99">
        <v>992160.304715389</v>
      </c>
      <c r="KA99">
        <v>532377.415403366</v>
      </c>
      <c r="KB99">
        <v>491113.902839804</v>
      </c>
      <c r="KC99" t="s">
        <v>1900</v>
      </c>
      <c r="KD99" t="s">
        <v>1900</v>
      </c>
      <c r="KE99" t="s">
        <v>1900</v>
      </c>
      <c r="KF99" t="s">
        <v>1900</v>
      </c>
      <c r="KG99" t="s">
        <v>1900</v>
      </c>
      <c r="KH99" t="s">
        <v>1900</v>
      </c>
      <c r="KI99" t="s">
        <v>1900</v>
      </c>
      <c r="KJ99" t="s">
        <v>1900</v>
      </c>
      <c r="KK99" t="s">
        <v>1900</v>
      </c>
      <c r="KL99" t="s">
        <v>1900</v>
      </c>
      <c r="KM99">
        <v>44</v>
      </c>
      <c r="KN99">
        <v>38</v>
      </c>
      <c r="KO99">
        <v>32</v>
      </c>
      <c r="KP99">
        <v>24</v>
      </c>
      <c r="KQ99">
        <v>20</v>
      </c>
      <c r="KR99" t="s">
        <v>1900</v>
      </c>
      <c r="KS99" t="s">
        <v>1900</v>
      </c>
      <c r="KT99" t="s">
        <v>1900</v>
      </c>
      <c r="KU99" t="s">
        <v>1900</v>
      </c>
      <c r="KV99" t="s">
        <v>1900</v>
      </c>
      <c r="KW99" t="s">
        <v>1900</v>
      </c>
      <c r="KX99" t="s">
        <v>1900</v>
      </c>
      <c r="KY99" t="s">
        <v>1900</v>
      </c>
      <c r="KZ99" t="s">
        <v>1900</v>
      </c>
      <c r="LA99" t="s">
        <v>1900</v>
      </c>
      <c r="LB99" t="s">
        <v>1900</v>
      </c>
      <c r="LC99" t="s">
        <v>1900</v>
      </c>
      <c r="LD99" t="s">
        <v>1900</v>
      </c>
      <c r="LE99" t="s">
        <v>1900</v>
      </c>
      <c r="LF99" t="s">
        <v>1900</v>
      </c>
      <c r="LG99" t="s">
        <v>1900</v>
      </c>
      <c r="LH99" t="s">
        <v>1900</v>
      </c>
      <c r="LI99" t="s">
        <v>1900</v>
      </c>
      <c r="LJ99" t="s">
        <v>1900</v>
      </c>
      <c r="LK99" t="s">
        <v>1900</v>
      </c>
      <c r="LL99" t="s">
        <v>1900</v>
      </c>
      <c r="LM99" t="s">
        <v>1900</v>
      </c>
      <c r="LN99" t="s">
        <v>1900</v>
      </c>
      <c r="LO99" t="s">
        <v>1900</v>
      </c>
      <c r="LP99" t="s">
        <v>1900</v>
      </c>
      <c r="LQ99" t="s">
        <v>1900</v>
      </c>
      <c r="LR99" t="s">
        <v>1900</v>
      </c>
      <c r="LS99" t="s">
        <v>1900</v>
      </c>
      <c r="LT99" t="s">
        <v>1900</v>
      </c>
      <c r="LU99" t="s">
        <v>1900</v>
      </c>
      <c r="LV99" t="s">
        <v>1900</v>
      </c>
      <c r="LW99" t="s">
        <v>1900</v>
      </c>
      <c r="LX99" t="s">
        <v>1900</v>
      </c>
      <c r="LY99" t="s">
        <v>1900</v>
      </c>
      <c r="LZ99" t="s">
        <v>1900</v>
      </c>
      <c r="MA99" t="s">
        <v>1900</v>
      </c>
      <c r="MB99" t="s">
        <v>1900</v>
      </c>
      <c r="MC99" t="s">
        <v>1900</v>
      </c>
      <c r="MD99" t="s">
        <v>1900</v>
      </c>
      <c r="ME99" t="s">
        <v>1900</v>
      </c>
      <c r="MF99" t="s">
        <v>1900</v>
      </c>
      <c r="MG99" t="s">
        <v>1900</v>
      </c>
      <c r="MH99" t="s">
        <v>1900</v>
      </c>
      <c r="MI99" t="s">
        <v>1900</v>
      </c>
      <c r="MJ99" t="s">
        <v>1900</v>
      </c>
      <c r="MK99" t="s">
        <v>1900</v>
      </c>
      <c r="ML99" t="s">
        <v>1900</v>
      </c>
      <c r="MM99" t="s">
        <v>1900</v>
      </c>
      <c r="MN99" t="s">
        <v>1900</v>
      </c>
      <c r="MO99" t="s">
        <v>1900</v>
      </c>
      <c r="MP99">
        <v>1172605.64170129</v>
      </c>
      <c r="MQ99">
        <v>1003810.96944303</v>
      </c>
      <c r="MR99">
        <v>1067139.00521091</v>
      </c>
      <c r="MS99">
        <v>901765.4465363499</v>
      </c>
      <c r="MT99">
        <v>1019541.33073776</v>
      </c>
      <c r="MU99" t="s">
        <v>1900</v>
      </c>
      <c r="MV99" t="s">
        <v>1900</v>
      </c>
      <c r="MW99" t="s">
        <v>1900</v>
      </c>
      <c r="MX99" t="s">
        <v>1900</v>
      </c>
      <c r="MY99" t="s">
        <v>1900</v>
      </c>
      <c r="MZ99" t="s">
        <v>1900</v>
      </c>
      <c r="NA99" t="s">
        <v>1900</v>
      </c>
      <c r="NB99" t="s">
        <v>1900</v>
      </c>
      <c r="NC99" t="s">
        <v>1900</v>
      </c>
      <c r="ND99" t="s">
        <v>1900</v>
      </c>
      <c r="NE99" t="s">
        <v>1900</v>
      </c>
      <c r="NF99" t="s">
        <v>1900</v>
      </c>
      <c r="NG99" t="s">
        <v>1900</v>
      </c>
      <c r="NH99" t="s">
        <v>1900</v>
      </c>
      <c r="NI99" t="s">
        <v>1900</v>
      </c>
      <c r="NJ99" t="s">
        <v>1900</v>
      </c>
      <c r="NK99" t="s">
        <v>1900</v>
      </c>
      <c r="NL99" t="s">
        <v>1900</v>
      </c>
      <c r="NM99" t="s">
        <v>1900</v>
      </c>
      <c r="NN99" t="s">
        <v>1900</v>
      </c>
      <c r="NO99" t="s">
        <v>1900</v>
      </c>
      <c r="NP99" t="s">
        <v>1900</v>
      </c>
      <c r="NQ99" t="s">
        <v>1900</v>
      </c>
      <c r="NR99" t="s">
        <v>1900</v>
      </c>
      <c r="NS99" t="s">
        <v>1900</v>
      </c>
      <c r="NT99">
        <v>1854523.52985379</v>
      </c>
      <c r="NU99">
        <v>1413896.05838918</v>
      </c>
      <c r="NV99">
        <v>1290734.87537689</v>
      </c>
      <c r="NW99">
        <v>1143518.99349067</v>
      </c>
      <c r="NX99">
        <v>1081195.35207957</v>
      </c>
      <c r="NY99" t="s">
        <v>1900</v>
      </c>
      <c r="NZ99" t="s">
        <v>1900</v>
      </c>
      <c r="OA99" t="s">
        <v>1900</v>
      </c>
      <c r="OB99" t="s">
        <v>1900</v>
      </c>
      <c r="OC99" t="s">
        <v>1900</v>
      </c>
      <c r="OD99" t="s">
        <v>1900</v>
      </c>
      <c r="OE99" t="s">
        <v>1900</v>
      </c>
      <c r="OF99" t="s">
        <v>1900</v>
      </c>
      <c r="OG99" t="s">
        <v>1900</v>
      </c>
      <c r="OH99" t="s">
        <v>1900</v>
      </c>
      <c r="OI99" t="s">
        <v>1900</v>
      </c>
      <c r="OJ99" t="s">
        <v>1900</v>
      </c>
      <c r="OK99" t="s">
        <v>1900</v>
      </c>
      <c r="OL99" t="s">
        <v>1900</v>
      </c>
      <c r="OM99" t="s">
        <v>1900</v>
      </c>
      <c r="ON99" t="s">
        <v>1900</v>
      </c>
      <c r="OO99" t="s">
        <v>1900</v>
      </c>
      <c r="OP99" t="s">
        <v>1900</v>
      </c>
      <c r="OQ99" t="s">
        <v>1900</v>
      </c>
      <c r="OR99" t="s">
        <v>1900</v>
      </c>
      <c r="OS99" t="s">
        <v>1900</v>
      </c>
      <c r="OT99" t="s">
        <v>1900</v>
      </c>
      <c r="OU99" t="s">
        <v>1900</v>
      </c>
      <c r="OV99" t="s">
        <v>1900</v>
      </c>
      <c r="OW99" t="s">
        <v>1900</v>
      </c>
      <c r="OX99" t="s">
        <v>1900</v>
      </c>
      <c r="OY99" t="s">
        <v>1900</v>
      </c>
      <c r="OZ99" t="s">
        <v>1900</v>
      </c>
      <c r="PA99" t="s">
        <v>1900</v>
      </c>
      <c r="PB99" t="s">
        <v>1900</v>
      </c>
      <c r="PC99" t="s">
        <v>1900</v>
      </c>
      <c r="PD99" t="s">
        <v>1900</v>
      </c>
      <c r="PE99" t="s">
        <v>1900</v>
      </c>
      <c r="PF99" t="s">
        <v>1900</v>
      </c>
      <c r="PG99" t="s">
        <v>1900</v>
      </c>
      <c r="PH99" t="s">
        <v>1900</v>
      </c>
      <c r="PI99" t="s">
        <v>1900</v>
      </c>
      <c r="PJ99" t="s">
        <v>1900</v>
      </c>
      <c r="PK99" t="s">
        <v>1900</v>
      </c>
      <c r="PL99" t="s">
        <v>1900</v>
      </c>
      <c r="PM99" t="s">
        <v>1900</v>
      </c>
      <c r="PN99" t="s">
        <v>1900</v>
      </c>
      <c r="PO99" t="s">
        <v>1900</v>
      </c>
      <c r="PP99" t="s">
        <v>1900</v>
      </c>
      <c r="PQ99" t="s">
        <v>1900</v>
      </c>
      <c r="PR99" t="s">
        <v>1900</v>
      </c>
      <c r="PS99" t="s">
        <v>1900</v>
      </c>
      <c r="PT99" t="s">
        <v>1900</v>
      </c>
      <c r="PU99" t="s">
        <v>1900</v>
      </c>
      <c r="PV99" t="s">
        <v>1900</v>
      </c>
      <c r="PW99" t="s">
        <v>1900</v>
      </c>
      <c r="PX99" t="s">
        <v>1900</v>
      </c>
      <c r="PY99" t="s">
        <v>1900</v>
      </c>
      <c r="PZ99" t="s">
        <v>1900</v>
      </c>
      <c r="QA99" t="s">
        <v>1900</v>
      </c>
      <c r="QB99" t="s">
        <v>1900</v>
      </c>
      <c r="QC99" t="s">
        <v>1900</v>
      </c>
      <c r="QD99" t="s">
        <v>1900</v>
      </c>
      <c r="QE99" t="s">
        <v>1900</v>
      </c>
      <c r="QF99" t="s">
        <v>1900</v>
      </c>
      <c r="QG99" t="s">
        <v>1900</v>
      </c>
      <c r="QH99" t="s">
        <v>1900</v>
      </c>
      <c r="QI99" t="s">
        <v>1900</v>
      </c>
      <c r="QJ99" t="s">
        <v>1900</v>
      </c>
      <c r="QK99" t="s">
        <v>1900</v>
      </c>
      <c r="QL99" t="s">
        <v>1900</v>
      </c>
      <c r="QM99" t="s">
        <v>1900</v>
      </c>
      <c r="QN99" t="s">
        <v>1900</v>
      </c>
      <c r="QO99" t="s">
        <v>1900</v>
      </c>
      <c r="QP99" t="s">
        <v>1900</v>
      </c>
      <c r="QQ99" t="s">
        <v>1900</v>
      </c>
      <c r="QR99" t="s">
        <v>1900</v>
      </c>
      <c r="QS99" t="s">
        <v>1900</v>
      </c>
      <c r="QT99" t="s">
        <v>1900</v>
      </c>
      <c r="QU99" t="s">
        <v>1900</v>
      </c>
      <c r="QV99" t="s">
        <v>1900</v>
      </c>
      <c r="QW99" t="s">
        <v>1900</v>
      </c>
      <c r="QX99" t="s">
        <v>1900</v>
      </c>
      <c r="QY99" t="s">
        <v>1900</v>
      </c>
      <c r="QZ99" t="s">
        <v>1900</v>
      </c>
      <c r="RA99" t="s">
        <v>1900</v>
      </c>
      <c r="RB99" t="s">
        <v>1900</v>
      </c>
      <c r="RC99" t="s">
        <v>1900</v>
      </c>
      <c r="RD99" t="s">
        <v>1900</v>
      </c>
      <c r="RE99" t="s">
        <v>1900</v>
      </c>
      <c r="RF99" t="s">
        <v>1900</v>
      </c>
      <c r="RG99" t="s">
        <v>1900</v>
      </c>
      <c r="RH99" t="s">
        <v>1900</v>
      </c>
      <c r="RI99" t="s">
        <v>1900</v>
      </c>
      <c r="RJ99" t="s">
        <v>1900</v>
      </c>
      <c r="RK99" t="s">
        <v>1900</v>
      </c>
      <c r="RL99" t="s">
        <v>1900</v>
      </c>
      <c r="RM99" t="s">
        <v>1900</v>
      </c>
      <c r="RN99" t="s">
        <v>1900</v>
      </c>
      <c r="RO99" t="s">
        <v>1900</v>
      </c>
      <c r="RP99" t="s">
        <v>1900</v>
      </c>
      <c r="RQ99" t="s">
        <v>1900</v>
      </c>
      <c r="RR99" t="s">
        <v>1900</v>
      </c>
      <c r="RS99" t="s">
        <v>1900</v>
      </c>
      <c r="RT99" t="s">
        <v>1900</v>
      </c>
      <c r="RU99" t="s">
        <v>1900</v>
      </c>
      <c r="RV99" t="s">
        <v>1900</v>
      </c>
      <c r="RW99" t="s">
        <v>1900</v>
      </c>
      <c r="RX99" t="s">
        <v>1900</v>
      </c>
      <c r="RY99" t="s">
        <v>1900</v>
      </c>
      <c r="RZ99" t="s">
        <v>1900</v>
      </c>
      <c r="SA99" t="s">
        <v>1900</v>
      </c>
      <c r="SB99" t="s">
        <v>1900</v>
      </c>
      <c r="SC99" t="s">
        <v>1900</v>
      </c>
      <c r="SD99" t="s">
        <v>1900</v>
      </c>
      <c r="SE99" t="s">
        <v>1900</v>
      </c>
      <c r="SF99" t="s">
        <v>1900</v>
      </c>
      <c r="SG99" t="s">
        <v>1900</v>
      </c>
      <c r="SH99" t="s">
        <v>1900</v>
      </c>
      <c r="SI99" t="s">
        <v>1900</v>
      </c>
      <c r="SJ99">
        <v>596872.906838629</v>
      </c>
      <c r="SK99">
        <v>263906.671738071</v>
      </c>
      <c r="SL99">
        <v>153065.868674833</v>
      </c>
      <c r="SM99">
        <v>175183.514154696</v>
      </c>
      <c r="SN99">
        <v>270343.854157692</v>
      </c>
      <c r="SO99" t="s">
        <v>1900</v>
      </c>
      <c r="SP99" t="s">
        <v>1900</v>
      </c>
      <c r="SQ99" t="s">
        <v>1900</v>
      </c>
      <c r="SR99" t="s">
        <v>1900</v>
      </c>
      <c r="SS99" t="s">
        <v>1900</v>
      </c>
      <c r="ST99" t="s">
        <v>1900</v>
      </c>
      <c r="SU99" t="s">
        <v>1900</v>
      </c>
      <c r="SV99" t="s">
        <v>1900</v>
      </c>
      <c r="SW99" t="s">
        <v>1900</v>
      </c>
      <c r="SX99" t="s">
        <v>1900</v>
      </c>
      <c r="SY99" t="s">
        <v>1900</v>
      </c>
      <c r="SZ99" t="s">
        <v>1900</v>
      </c>
      <c r="TA99" t="s">
        <v>1900</v>
      </c>
      <c r="TB99" t="s">
        <v>1900</v>
      </c>
      <c r="TC99" t="s">
        <v>1900</v>
      </c>
      <c r="TD99" t="s">
        <v>1900</v>
      </c>
      <c r="TE99" t="s">
        <v>1900</v>
      </c>
      <c r="TF99" t="s">
        <v>1900</v>
      </c>
      <c r="TG99" t="s">
        <v>1900</v>
      </c>
      <c r="TH99" t="s">
        <v>1900</v>
      </c>
      <c r="TI99" t="s">
        <v>1900</v>
      </c>
      <c r="TJ99" t="s">
        <v>1900</v>
      </c>
      <c r="TK99" t="s">
        <v>1900</v>
      </c>
      <c r="TL99" t="s">
        <v>1900</v>
      </c>
      <c r="TM99" t="s">
        <v>1900</v>
      </c>
      <c r="TN99" t="s">
        <v>1900</v>
      </c>
      <c r="TO99" t="s">
        <v>1900</v>
      </c>
      <c r="TP99" t="s">
        <v>1900</v>
      </c>
      <c r="TQ99" t="s">
        <v>1900</v>
      </c>
      <c r="TR99" t="s">
        <v>1900</v>
      </c>
      <c r="TS99">
        <v>3591756.15343746</v>
      </c>
      <c r="TT99">
        <v>3284402.00184926</v>
      </c>
      <c r="TU99">
        <v>3350319.39507295</v>
      </c>
      <c r="TV99">
        <v>2578091.96039715</v>
      </c>
      <c r="TW99">
        <v>2592752.33062122</v>
      </c>
      <c r="TX99" t="s">
        <v>1900</v>
      </c>
      <c r="TY99" t="s">
        <v>1900</v>
      </c>
      <c r="TZ99" t="s">
        <v>1900</v>
      </c>
      <c r="UA99" t="s">
        <v>1900</v>
      </c>
      <c r="UB99" t="s">
        <v>1900</v>
      </c>
      <c r="UC99">
        <v>450983.371397494</v>
      </c>
      <c r="UD99">
        <v>236420.060652418</v>
      </c>
      <c r="UE99">
        <v>253613.530475271</v>
      </c>
      <c r="UF99">
        <v>240276.760739422</v>
      </c>
      <c r="UG99">
        <v>176173.529758924</v>
      </c>
      <c r="UH99" t="s">
        <v>1900</v>
      </c>
      <c r="UI99" t="s">
        <v>1900</v>
      </c>
      <c r="UJ99" t="s">
        <v>1900</v>
      </c>
      <c r="UK99" t="s">
        <v>1900</v>
      </c>
      <c r="UL99" t="s">
        <v>1900</v>
      </c>
      <c r="UM99" t="s">
        <v>1900</v>
      </c>
      <c r="UN99" t="s">
        <v>1900</v>
      </c>
      <c r="UO99" t="s">
        <v>1900</v>
      </c>
      <c r="UP99" t="s">
        <v>1900</v>
      </c>
      <c r="UQ99" t="s">
        <v>1900</v>
      </c>
      <c r="UR99" t="s">
        <v>1900</v>
      </c>
      <c r="US99" t="s">
        <v>1900</v>
      </c>
      <c r="UT99" t="s">
        <v>1900</v>
      </c>
      <c r="UU99" t="s">
        <v>1900</v>
      </c>
      <c r="UV99" t="s">
        <v>1900</v>
      </c>
      <c r="UW99" t="s">
        <v>1900</v>
      </c>
      <c r="UX99" t="s">
        <v>1900</v>
      </c>
      <c r="UY99" t="s">
        <v>1900</v>
      </c>
      <c r="UZ99" t="s">
        <v>1900</v>
      </c>
      <c r="VA99" t="s">
        <v>1900</v>
      </c>
      <c r="VB99" t="s">
        <v>1900</v>
      </c>
      <c r="VC99" t="s">
        <v>1900</v>
      </c>
      <c r="VD99" t="s">
        <v>1900</v>
      </c>
      <c r="VE99" t="s">
        <v>1900</v>
      </c>
      <c r="VF99" t="s">
        <v>1900</v>
      </c>
      <c r="VG99" t="s">
        <v>1900</v>
      </c>
      <c r="VH99" t="s">
        <v>1900</v>
      </c>
      <c r="VI99" t="s">
        <v>1900</v>
      </c>
      <c r="VJ99" t="s">
        <v>1900</v>
      </c>
      <c r="VK99" t="s">
        <v>1900</v>
      </c>
      <c r="VL99" t="s">
        <v>1900</v>
      </c>
      <c r="VM99" t="s">
        <v>1900</v>
      </c>
      <c r="VN99" t="s">
        <v>1900</v>
      </c>
      <c r="VO99" t="s">
        <v>1900</v>
      </c>
      <c r="VP99" t="s">
        <v>1900</v>
      </c>
      <c r="VQ99" t="s">
        <v>1900</v>
      </c>
      <c r="VR99" t="s">
        <v>1900</v>
      </c>
      <c r="VS99" t="s">
        <v>1900</v>
      </c>
      <c r="VT99" t="s">
        <v>1900</v>
      </c>
      <c r="VU99" t="s">
        <v>1900</v>
      </c>
      <c r="VV99" t="s">
        <v>1900</v>
      </c>
      <c r="VW99" t="s">
        <v>1900</v>
      </c>
      <c r="VX99" t="s">
        <v>1900</v>
      </c>
      <c r="VY99" t="s">
        <v>1900</v>
      </c>
      <c r="VZ99" t="s">
        <v>1900</v>
      </c>
      <c r="WA99">
        <v>454222.409791235</v>
      </c>
      <c r="WB99">
        <v>297998.323837986</v>
      </c>
      <c r="WC99">
        <v>225310.150460893</v>
      </c>
      <c r="WD99">
        <v>158296.285006356</v>
      </c>
      <c r="WE99">
        <v>176149.736303508</v>
      </c>
      <c r="WF99" t="s">
        <v>1900</v>
      </c>
      <c r="WG99" t="s">
        <v>1900</v>
      </c>
      <c r="WH99" t="s">
        <v>1900</v>
      </c>
      <c r="WI99" t="s">
        <v>1900</v>
      </c>
      <c r="WJ99" t="s">
        <v>1900</v>
      </c>
      <c r="WK99" t="s">
        <v>1900</v>
      </c>
      <c r="WL99" t="s">
        <v>1900</v>
      </c>
      <c r="WM99" t="s">
        <v>1900</v>
      </c>
      <c r="WN99" t="s">
        <v>1900</v>
      </c>
      <c r="WO99" t="s">
        <v>1900</v>
      </c>
      <c r="WP99" t="s">
        <v>1900</v>
      </c>
      <c r="WQ99" t="s">
        <v>1900</v>
      </c>
      <c r="WR99" t="s">
        <v>1900</v>
      </c>
      <c r="WS99" t="s">
        <v>1900</v>
      </c>
      <c r="WT99" t="s">
        <v>1900</v>
      </c>
      <c r="WU99" t="s">
        <v>1900</v>
      </c>
      <c r="WV99" t="s">
        <v>1900</v>
      </c>
      <c r="WW99" t="s">
        <v>1900</v>
      </c>
      <c r="WX99" t="s">
        <v>1900</v>
      </c>
      <c r="WY99" t="s">
        <v>1900</v>
      </c>
      <c r="WZ99" t="s">
        <v>1900</v>
      </c>
      <c r="XA99" t="s">
        <v>1900</v>
      </c>
      <c r="XB99" t="s">
        <v>1900</v>
      </c>
      <c r="XC99" t="s">
        <v>1900</v>
      </c>
      <c r="XD99" t="s">
        <v>1900</v>
      </c>
      <c r="XE99" t="s">
        <v>1900</v>
      </c>
      <c r="XF99" t="s">
        <v>1900</v>
      </c>
      <c r="XG99" t="s">
        <v>1900</v>
      </c>
      <c r="XH99" t="s">
        <v>1900</v>
      </c>
      <c r="XI99" t="s">
        <v>1900</v>
      </c>
      <c r="XJ99">
        <v>19612.9584838617</v>
      </c>
      <c r="XK99">
        <v>74842.0150881767</v>
      </c>
      <c r="XL99">
        <v>90356.1756981909</v>
      </c>
      <c r="XM99">
        <v>0.996688270568848</v>
      </c>
      <c r="XN99">
        <v>17180.4700394154</v>
      </c>
      <c r="XO99" t="s">
        <v>1900</v>
      </c>
      <c r="XP99" t="s">
        <v>1900</v>
      </c>
      <c r="XQ99" t="s">
        <v>1900</v>
      </c>
      <c r="XR99" t="s">
        <v>1900</v>
      </c>
      <c r="XS99" t="s">
        <v>1900</v>
      </c>
      <c r="XT99" t="s">
        <v>1900</v>
      </c>
      <c r="XU99" t="s">
        <v>1900</v>
      </c>
      <c r="XV99" t="s">
        <v>1900</v>
      </c>
      <c r="XW99" t="s">
        <v>1900</v>
      </c>
      <c r="XX99" t="s">
        <v>1900</v>
      </c>
      <c r="XY99" t="s">
        <v>1900</v>
      </c>
      <c r="XZ99" t="s">
        <v>1900</v>
      </c>
      <c r="YA99" t="s">
        <v>1900</v>
      </c>
      <c r="YB99" t="s">
        <v>1900</v>
      </c>
      <c r="YC99">
        <v>17179.3901920319</v>
      </c>
      <c r="YD99" t="s">
        <v>1900</v>
      </c>
      <c r="YE99" t="s">
        <v>1900</v>
      </c>
      <c r="YF99" t="s">
        <v>1900</v>
      </c>
      <c r="YG99" t="s">
        <v>1900</v>
      </c>
      <c r="YH99" t="s">
        <v>1900</v>
      </c>
      <c r="YI99" t="s">
        <v>1900</v>
      </c>
      <c r="YJ99" t="s">
        <v>1900</v>
      </c>
      <c r="YK99" t="s">
        <v>1900</v>
      </c>
      <c r="YL99" t="s">
        <v>1900</v>
      </c>
      <c r="YM99" t="s">
        <v>1900</v>
      </c>
      <c r="YN99" t="s">
        <v>1900</v>
      </c>
      <c r="YO99" t="s">
        <v>1900</v>
      </c>
      <c r="YP99" t="s">
        <v>1900</v>
      </c>
      <c r="YQ99" t="s">
        <v>1900</v>
      </c>
      <c r="YR99" t="s">
        <v>1900</v>
      </c>
      <c r="YS99" t="s">
        <v>1900</v>
      </c>
      <c r="YT99" t="s">
        <v>1900</v>
      </c>
      <c r="YU99" t="s">
        <v>1900</v>
      </c>
      <c r="YV99" t="s">
        <v>1900</v>
      </c>
      <c r="YW99" t="s">
        <v>1900</v>
      </c>
      <c r="YX99" t="s">
        <v>1900</v>
      </c>
      <c r="YY99" t="s">
        <v>1900</v>
      </c>
      <c r="YZ99" t="s">
        <v>1900</v>
      </c>
      <c r="ZA99" t="s">
        <v>1900</v>
      </c>
      <c r="ZB99" t="s">
        <v>1900</v>
      </c>
      <c r="ZC99" t="s">
        <v>1900</v>
      </c>
      <c r="ZD99" t="s">
        <v>1900</v>
      </c>
      <c r="ZE99" t="s">
        <v>1900</v>
      </c>
      <c r="ZF99" t="s">
        <v>1900</v>
      </c>
      <c r="ZG99" t="s">
        <v>1900</v>
      </c>
      <c r="ZH99" t="s">
        <v>1900</v>
      </c>
      <c r="ZI99" t="s">
        <v>1900</v>
      </c>
      <c r="ZJ99" t="s">
        <v>1900</v>
      </c>
      <c r="ZK99" t="s">
        <v>1900</v>
      </c>
      <c r="ZL99" t="s">
        <v>1900</v>
      </c>
      <c r="ZM99" t="s">
        <v>1900</v>
      </c>
      <c r="ZN99" t="s">
        <v>1900</v>
      </c>
      <c r="ZO99" t="s">
        <v>1900</v>
      </c>
      <c r="ZP99" t="s">
        <v>1900</v>
      </c>
      <c r="ZQ99" t="s">
        <v>1900</v>
      </c>
      <c r="ZR99" t="s">
        <v>1900</v>
      </c>
      <c r="ZS99" t="s">
        <v>1900</v>
      </c>
      <c r="ZT99" t="s">
        <v>1900</v>
      </c>
      <c r="ZU99" t="s">
        <v>1900</v>
      </c>
      <c r="ZV99" t="s">
        <v>1900</v>
      </c>
      <c r="ZW99" t="s">
        <v>1900</v>
      </c>
      <c r="ZX99" t="s">
        <v>1900</v>
      </c>
      <c r="ZY99" t="s">
        <v>1900</v>
      </c>
      <c r="ZZ99" t="s">
        <v>1900</v>
      </c>
      <c r="AAA99" t="s">
        <v>1900</v>
      </c>
      <c r="AAB99" t="s">
        <v>1900</v>
      </c>
      <c r="AAC99" t="s">
        <v>1900</v>
      </c>
      <c r="AAD99" t="s">
        <v>1900</v>
      </c>
      <c r="AAE99" t="s">
        <v>1900</v>
      </c>
      <c r="AAF99" t="s">
        <v>1900</v>
      </c>
      <c r="AAG99" t="s">
        <v>1900</v>
      </c>
      <c r="AAH99" t="s">
        <v>1900</v>
      </c>
      <c r="AAI99" t="s">
        <v>1900</v>
      </c>
      <c r="AAJ99" t="s">
        <v>1900</v>
      </c>
      <c r="AAK99" t="s">
        <v>1900</v>
      </c>
      <c r="AAL99" t="s">
        <v>1900</v>
      </c>
      <c r="AAM99" t="s">
        <v>1900</v>
      </c>
      <c r="AAN99" t="s">
        <v>1900</v>
      </c>
      <c r="AAO99" t="s">
        <v>1900</v>
      </c>
      <c r="AAP99" t="s">
        <v>1900</v>
      </c>
      <c r="AAQ99" t="s">
        <v>1900</v>
      </c>
      <c r="AAR99" t="s">
        <v>1900</v>
      </c>
      <c r="AAS99" t="s">
        <v>1900</v>
      </c>
      <c r="AAT99" t="s">
        <v>1900</v>
      </c>
      <c r="AAU99" t="s">
        <v>1900</v>
      </c>
      <c r="AAV99" t="s">
        <v>1900</v>
      </c>
      <c r="AAW99" t="s">
        <v>1900</v>
      </c>
      <c r="AAX99" t="s">
        <v>1900</v>
      </c>
      <c r="AAY99" t="s">
        <v>1900</v>
      </c>
      <c r="AAZ99" t="s">
        <v>1900</v>
      </c>
      <c r="ABA99" t="s">
        <v>1900</v>
      </c>
      <c r="ABB99" t="s">
        <v>1900</v>
      </c>
      <c r="ABC99" t="s">
        <v>1900</v>
      </c>
      <c r="ABD99" t="s">
        <v>1900</v>
      </c>
      <c r="ABE99" t="s">
        <v>1900</v>
      </c>
      <c r="ABF99" t="s">
        <v>1900</v>
      </c>
      <c r="ABG99" t="s">
        <v>1900</v>
      </c>
      <c r="ABH99" t="s">
        <v>1900</v>
      </c>
      <c r="ABI99" t="s">
        <v>1900</v>
      </c>
      <c r="ABJ99" t="s">
        <v>1900</v>
      </c>
      <c r="ABK99" t="s">
        <v>1900</v>
      </c>
      <c r="ABL99" t="s">
        <v>1900</v>
      </c>
      <c r="ABM99" t="s">
        <v>1900</v>
      </c>
      <c r="ABN99" t="s">
        <v>1900</v>
      </c>
      <c r="ABO99" t="s">
        <v>1900</v>
      </c>
      <c r="ABP99" t="s">
        <v>1900</v>
      </c>
      <c r="ABQ99" t="s">
        <v>1900</v>
      </c>
      <c r="ABR99" t="s">
        <v>1900</v>
      </c>
      <c r="ABS99" t="s">
        <v>1900</v>
      </c>
      <c r="ABT99" t="s">
        <v>1900</v>
      </c>
      <c r="ABU99" t="s">
        <v>1900</v>
      </c>
      <c r="ABV99" t="s">
        <v>1900</v>
      </c>
      <c r="ABW99" t="s">
        <v>1900</v>
      </c>
      <c r="ABX99" t="s">
        <v>1900</v>
      </c>
      <c r="ABY99" t="s">
        <v>1900</v>
      </c>
      <c r="ABZ99" t="s">
        <v>1900</v>
      </c>
      <c r="ACA99" t="s">
        <v>1900</v>
      </c>
      <c r="ACB99" t="s">
        <v>1900</v>
      </c>
      <c r="ACC99" t="s">
        <v>1900</v>
      </c>
      <c r="ACD99" t="s">
        <v>1900</v>
      </c>
      <c r="ACE99">
        <v>-75.914</v>
      </c>
      <c r="ACF99">
        <v>1.501</v>
      </c>
      <c r="ACG99">
        <v>3.706</v>
      </c>
      <c r="ACH99">
        <v>28.955</v>
      </c>
      <c r="ACI99">
        <v>-5.338</v>
      </c>
      <c r="ACJ99">
        <v>-36.2</v>
      </c>
      <c r="ACK99">
        <v>2.807</v>
      </c>
      <c r="ACL99">
        <v>4.498</v>
      </c>
      <c r="ACM99">
        <v>21.161</v>
      </c>
      <c r="ACN99">
        <v>-1.378</v>
      </c>
      <c r="ACO99">
        <v>-29.667</v>
      </c>
      <c r="ACP99">
        <v>1.116</v>
      </c>
      <c r="ACQ99">
        <v>2.611</v>
      </c>
      <c r="ACR99">
        <v>16.898</v>
      </c>
      <c r="ACS99">
        <v>-2.577</v>
      </c>
      <c r="ACT99">
        <v>-52.647</v>
      </c>
      <c r="ACU99">
        <v>2.179</v>
      </c>
      <c r="ACV99">
        <v>2.973</v>
      </c>
      <c r="ACW99">
        <v>23.995</v>
      </c>
      <c r="ACX99">
        <v>-2.973</v>
      </c>
      <c r="ACY99">
        <v>-24.038</v>
      </c>
      <c r="ACZ99">
        <v>3.409</v>
      </c>
      <c r="ADA99">
        <v>3.895</v>
      </c>
      <c r="ADB99">
        <v>17.736</v>
      </c>
      <c r="ADC99">
        <v>-0.057</v>
      </c>
      <c r="ADD99">
        <v>-20.574</v>
      </c>
      <c r="ADE99">
        <v>1.62</v>
      </c>
      <c r="ADF99">
        <v>2.094</v>
      </c>
      <c r="ADG99">
        <v>14.003</v>
      </c>
      <c r="ADH99">
        <v>-1.435</v>
      </c>
      <c r="ADI99" t="s">
        <v>1901</v>
      </c>
      <c r="ADJ99">
        <v>1.818</v>
      </c>
      <c r="ADK99">
        <v>5.448</v>
      </c>
      <c r="ADL99">
        <v>30.216</v>
      </c>
      <c r="ADM99">
        <v>-6.759</v>
      </c>
      <c r="ADN99">
        <v>99.46899999999999</v>
      </c>
      <c r="ADO99">
        <v>99.874</v>
      </c>
      <c r="ADP99">
        <v>99.797</v>
      </c>
      <c r="ADQ99">
        <v>99.97</v>
      </c>
      <c r="ADR99">
        <v>99.75700000000001</v>
      </c>
      <c r="ADS99">
        <v>-100.99101487</v>
      </c>
      <c r="ADT99">
        <v>3.713871219</v>
      </c>
      <c r="ADU99">
        <v>8.064034645</v>
      </c>
      <c r="ADV99">
        <v>32.004432694</v>
      </c>
      <c r="ADW99">
        <v>-3.150980294</v>
      </c>
      <c r="ADX99">
        <v>-63.062</v>
      </c>
      <c r="ADY99">
        <v>21.201</v>
      </c>
      <c r="ADZ99">
        <v>23.951</v>
      </c>
      <c r="AEA99">
        <v>42.958</v>
      </c>
      <c r="AEB99">
        <v>13.471</v>
      </c>
      <c r="AEC99" t="s">
        <v>1901</v>
      </c>
      <c r="AED99">
        <v>3.714</v>
      </c>
      <c r="AEE99">
        <v>8.064</v>
      </c>
      <c r="AEF99">
        <v>32.004</v>
      </c>
      <c r="AEG99">
        <v>-3.151</v>
      </c>
      <c r="AEH99">
        <v>-38.44</v>
      </c>
      <c r="AEI99">
        <v>20.126</v>
      </c>
      <c r="AEJ99">
        <v>20.256</v>
      </c>
      <c r="AEK99">
        <v>35.992</v>
      </c>
      <c r="AEL99">
        <v>12.857</v>
      </c>
      <c r="AEM99">
        <v>-50.246532133</v>
      </c>
      <c r="AEN99">
        <v>3.857119677</v>
      </c>
      <c r="AEO99">
        <v>8.771360167999999</v>
      </c>
      <c r="AEP99">
        <v>47.068410431</v>
      </c>
      <c r="AEQ99">
        <v>-3.054726465</v>
      </c>
      <c r="AER99">
        <v>0.496204354</v>
      </c>
      <c r="AES99">
        <v>1.038621576</v>
      </c>
      <c r="AET99">
        <v>1.087907812</v>
      </c>
      <c r="AEU99">
        <v>1.470888922</v>
      </c>
      <c r="AEV99">
        <v>0.969380699</v>
      </c>
      <c r="AEW99" t="s">
        <v>1900</v>
      </c>
      <c r="AEX99" t="s">
        <v>1900</v>
      </c>
      <c r="AEY99" t="s">
        <v>1900</v>
      </c>
      <c r="AEZ99" t="s">
        <v>1900</v>
      </c>
      <c r="AFA99" t="s">
        <v>1900</v>
      </c>
      <c r="AFB99" t="s">
        <v>1900</v>
      </c>
      <c r="AFC99" t="s">
        <v>1900</v>
      </c>
      <c r="AFD99" t="s">
        <v>1900</v>
      </c>
      <c r="AFE99" t="s">
        <v>1900</v>
      </c>
      <c r="AFF99" t="s">
        <v>1900</v>
      </c>
      <c r="AFG99">
        <v>0.36</v>
      </c>
      <c r="AFH99">
        <v>0.733</v>
      </c>
      <c r="AFI99">
        <v>0.5590000000000001</v>
      </c>
      <c r="AFJ99">
        <v>0.662</v>
      </c>
      <c r="AFK99">
        <v>0.441</v>
      </c>
      <c r="AFL99">
        <v>-10.455</v>
      </c>
      <c r="AFM99">
        <v>1.847</v>
      </c>
      <c r="AFN99">
        <v>3.107</v>
      </c>
      <c r="AFO99">
        <v>18.11</v>
      </c>
      <c r="AFP99">
        <v>-0.867</v>
      </c>
      <c r="AFQ99" t="s">
        <v>1901</v>
      </c>
      <c r="AFR99" t="s">
        <v>1901</v>
      </c>
      <c r="AFS99" t="s">
        <v>1901</v>
      </c>
      <c r="AFT99" t="s">
        <v>1901</v>
      </c>
      <c r="AFU99" t="s">
        <v>1901</v>
      </c>
      <c r="AFV99">
        <v>210.064</v>
      </c>
      <c r="AFW99">
        <v>154.795</v>
      </c>
      <c r="AFX99">
        <v>222.534</v>
      </c>
      <c r="AFY99">
        <v>133.041</v>
      </c>
      <c r="AFZ99">
        <v>179.222</v>
      </c>
      <c r="AGA99">
        <v>0.454</v>
      </c>
      <c r="AGB99">
        <v>0.07199999999999999</v>
      </c>
      <c r="AGC99">
        <v>0.064</v>
      </c>
      <c r="AGD99">
        <v>0.107</v>
      </c>
      <c r="AGE99">
        <v>0.328</v>
      </c>
      <c r="AGF99" t="s">
        <v>1900</v>
      </c>
      <c r="AGG99" t="s">
        <v>1900</v>
      </c>
      <c r="AGH99" t="s">
        <v>1900</v>
      </c>
      <c r="AGI99" t="s">
        <v>1900</v>
      </c>
      <c r="AGJ99" t="s">
        <v>1900</v>
      </c>
      <c r="AGK99" t="s">
        <v>1900</v>
      </c>
      <c r="AGL99" t="s">
        <v>1900</v>
      </c>
      <c r="AGM99" t="s">
        <v>1900</v>
      </c>
      <c r="AGN99" t="s">
        <v>1900</v>
      </c>
      <c r="AGO99" t="s">
        <v>1900</v>
      </c>
      <c r="AGP99" t="s">
        <v>1900</v>
      </c>
      <c r="AGQ99" t="s">
        <v>1900</v>
      </c>
      <c r="AGR99" t="s">
        <v>1900</v>
      </c>
      <c r="AGS99" t="s">
        <v>1900</v>
      </c>
      <c r="AGT99" t="s">
        <v>1900</v>
      </c>
      <c r="AGU99">
        <v>0</v>
      </c>
      <c r="AGV99">
        <v>0</v>
      </c>
      <c r="AGW99">
        <v>0</v>
      </c>
      <c r="AGX99">
        <v>0</v>
      </c>
      <c r="AGY99">
        <v>0</v>
      </c>
      <c r="AGZ99">
        <v>1.917</v>
      </c>
      <c r="AHA99">
        <v>3.497</v>
      </c>
      <c r="AHB99">
        <v>4.298</v>
      </c>
      <c r="AHC99">
        <v>3.595</v>
      </c>
      <c r="AHD99">
        <v>4.279</v>
      </c>
      <c r="AHE99">
        <v>1.917</v>
      </c>
      <c r="AHF99">
        <v>3.497</v>
      </c>
      <c r="AHG99">
        <v>4.298</v>
      </c>
      <c r="AHH99">
        <v>3.595</v>
      </c>
      <c r="AHI99">
        <v>4.279</v>
      </c>
      <c r="AHJ99">
        <v>1.095</v>
      </c>
      <c r="AHK99">
        <v>7.907</v>
      </c>
      <c r="AHL99">
        <v>4.617</v>
      </c>
      <c r="AHM99">
        <v>2.23</v>
      </c>
      <c r="AHN99">
        <v>1.267</v>
      </c>
      <c r="AHO99">
        <v>39.08</v>
      </c>
      <c r="AHP99">
        <v>74.31699999999999</v>
      </c>
      <c r="AHQ99">
        <v>70.441</v>
      </c>
      <c r="AHR99">
        <v>58.357</v>
      </c>
      <c r="AHS99">
        <v>48.268</v>
      </c>
      <c r="AHT99">
        <v>64.148</v>
      </c>
      <c r="AHU99" t="s">
        <v>1901</v>
      </c>
      <c r="AHV99" t="s">
        <v>1901</v>
      </c>
      <c r="AHW99" t="s">
        <v>1901</v>
      </c>
      <c r="AHX99">
        <v>93.30500000000001</v>
      </c>
      <c r="AHY99">
        <v>123.441</v>
      </c>
      <c r="AHZ99">
        <v>22.333</v>
      </c>
      <c r="AIA99">
        <v>32.405</v>
      </c>
      <c r="AIB99">
        <v>60.809</v>
      </c>
      <c r="AIC99">
        <v>93.02800000000001</v>
      </c>
      <c r="AID99">
        <v>16.617857152</v>
      </c>
      <c r="AIE99">
        <v>8.035151347999999</v>
      </c>
      <c r="AIF99">
        <v>4.568694821</v>
      </c>
      <c r="AIG99">
        <v>6.795083994</v>
      </c>
      <c r="AIH99">
        <v>10.426906225</v>
      </c>
      <c r="AII99">
        <v>32.647139494</v>
      </c>
      <c r="AIJ99">
        <v>30.562975205</v>
      </c>
      <c r="AIK99">
        <v>31.851858864</v>
      </c>
      <c r="AIL99">
        <v>34.978017091</v>
      </c>
      <c r="AIM99">
        <v>39.322742813</v>
      </c>
      <c r="AIN99">
        <v>12.646248531</v>
      </c>
      <c r="AIO99">
        <v>9.073137931</v>
      </c>
      <c r="AIP99">
        <v>6.725034956</v>
      </c>
      <c r="AIQ99">
        <v>6.140055802</v>
      </c>
      <c r="AIR99">
        <v>6.793928376</v>
      </c>
      <c r="AIS99">
        <v>0</v>
      </c>
      <c r="AIT99">
        <v>0</v>
      </c>
      <c r="AIU99">
        <v>0</v>
      </c>
      <c r="AIV99">
        <v>0</v>
      </c>
      <c r="AIW99">
        <v>0</v>
      </c>
      <c r="AIX99">
        <v>-24.2173228098527</v>
      </c>
      <c r="AIY99">
        <v>0.96444995783329</v>
      </c>
      <c r="AIZ99">
        <v>2.73345130372286</v>
      </c>
      <c r="AJA99">
        <v>18.1514149595261</v>
      </c>
      <c r="AJB99">
        <v>-3.34012993427038</v>
      </c>
      <c r="AJC99">
        <v>21.991799485631</v>
      </c>
      <c r="AJD99">
        <v>53.0429045400038</v>
      </c>
      <c r="AJE99">
        <v>50.1721370386106</v>
      </c>
      <c r="AJF99">
        <v>60.072669533</v>
      </c>
      <c r="AJG99">
        <v>49.4152200705194</v>
      </c>
      <c r="AJH99" t="s">
        <v>1901</v>
      </c>
      <c r="AJI99">
        <v>66.04900000000001</v>
      </c>
      <c r="AJJ99">
        <v>65.29600000000001</v>
      </c>
      <c r="AJK99">
        <v>51.43</v>
      </c>
      <c r="AJL99">
        <v>60.885</v>
      </c>
      <c r="AJM99">
        <v>34.6805070739799</v>
      </c>
      <c r="AJN99">
        <v>35.034308132967</v>
      </c>
      <c r="AJO99">
        <v>32.7603600971723</v>
      </c>
      <c r="AJP99">
        <v>30.8956499457765</v>
      </c>
      <c r="AJQ99">
        <v>30.0865237341583</v>
      </c>
      <c r="AJR99">
        <v>31.9009199244038</v>
      </c>
      <c r="AJS99">
        <v>64.23374623231599</v>
      </c>
      <c r="AJT99">
        <v>73.7494360525054</v>
      </c>
      <c r="AJU99">
        <v>62.6874472328281</v>
      </c>
      <c r="AJV99">
        <v>62.5738365701705</v>
      </c>
      <c r="AJW99">
        <v>12.8047215000813</v>
      </c>
      <c r="AJX99">
        <v>22.7971801460943</v>
      </c>
      <c r="AJY99">
        <v>31.0050093223685</v>
      </c>
      <c r="AJZ99">
        <v>22.182392686007</v>
      </c>
      <c r="AKA99">
        <v>24.5556951419902</v>
      </c>
      <c r="AKB99">
        <v>81.6308218579241</v>
      </c>
      <c r="AKC99">
        <v>86.4316315694542</v>
      </c>
      <c r="AKD99">
        <v>104.697481496004</v>
      </c>
      <c r="AKE99">
        <v>107.420498727415</v>
      </c>
      <c r="AKF99">
        <v>129.637615978866</v>
      </c>
      <c r="AKG99">
        <v>0</v>
      </c>
      <c r="AKH99">
        <v>0</v>
      </c>
      <c r="AKI99">
        <v>0</v>
      </c>
      <c r="AKJ99">
        <v>0</v>
      </c>
      <c r="AKK99">
        <v>0</v>
      </c>
      <c r="AKL99">
        <v>0</v>
      </c>
      <c r="AKM99">
        <v>0</v>
      </c>
      <c r="AKN99">
        <v>0</v>
      </c>
      <c r="AKO99">
        <v>0</v>
      </c>
      <c r="AKP99">
        <v>0</v>
      </c>
      <c r="AKQ99">
        <v>0</v>
      </c>
      <c r="AKR99">
        <v>0</v>
      </c>
      <c r="AKS99">
        <v>0</v>
      </c>
      <c r="AKT99">
        <v>0</v>
      </c>
      <c r="AKU99">
        <v>0</v>
      </c>
      <c r="AKV99">
        <v>121.066669807</v>
      </c>
      <c r="AKW99">
        <v>48.175232874</v>
      </c>
      <c r="AKX99">
        <v>54.299060751</v>
      </c>
      <c r="AKY99">
        <v>58.882551163</v>
      </c>
      <c r="AKZ99">
        <v>77.232891111</v>
      </c>
      <c r="ALA99">
        <v>32.616036629</v>
      </c>
      <c r="ALB99">
        <v>29.565035647</v>
      </c>
      <c r="ALC99">
        <v>26.020682493</v>
      </c>
      <c r="ALD99">
        <v>32.928836648</v>
      </c>
      <c r="ALE99">
        <v>29.439605672</v>
      </c>
      <c r="ALF99">
        <v>8.904364792999999</v>
      </c>
      <c r="ALG99">
        <v>8.878352253999999</v>
      </c>
      <c r="ALH99">
        <v>16.561298415</v>
      </c>
      <c r="ALI99">
        <v>8.281621645</v>
      </c>
      <c r="ALJ99">
        <v>4.811820697</v>
      </c>
      <c r="ALK99">
        <v>2.398885578</v>
      </c>
      <c r="ALL99">
        <v>5.44862547</v>
      </c>
      <c r="ALM99">
        <v>7.936348839</v>
      </c>
      <c r="ALN99">
        <v>4.631323897</v>
      </c>
      <c r="ALO99">
        <v>1.834168084</v>
      </c>
      <c r="ALP99">
        <v>58.350985286</v>
      </c>
      <c r="ALQ99">
        <v>42.998705893</v>
      </c>
      <c r="ALR99">
        <v>61.815031542</v>
      </c>
      <c r="ALS99">
        <v>36.955762889</v>
      </c>
      <c r="ALT99">
        <v>49.783816436</v>
      </c>
      <c r="ALU99">
        <v>0.215933948</v>
      </c>
      <c r="ALV99">
        <v>0.04639703</v>
      </c>
      <c r="ALW99">
        <v>0.028737971</v>
      </c>
      <c r="ALX99">
        <v>0.080724267</v>
      </c>
      <c r="ALY99">
        <v>0.183275917</v>
      </c>
      <c r="ALZ99">
        <v>99.4692625621288</v>
      </c>
      <c r="AMA99">
        <v>99.8744010097785</v>
      </c>
      <c r="AMB99">
        <v>99.79689068905761</v>
      </c>
      <c r="AMC99">
        <v>99.9704246147209</v>
      </c>
      <c r="AMD99">
        <v>99.7573214901913</v>
      </c>
      <c r="AME99" t="s">
        <v>1901</v>
      </c>
      <c r="AMF99" t="s">
        <v>1901</v>
      </c>
      <c r="AMG99" t="s">
        <v>1901</v>
      </c>
      <c r="AMH99" t="s">
        <v>1901</v>
      </c>
      <c r="AMI99" t="s">
        <v>1901</v>
      </c>
      <c r="AMJ99">
        <v>18741.7083221229</v>
      </c>
      <c r="AMK99">
        <v>79518.4744985923</v>
      </c>
      <c r="AML99">
        <v>49134.5881033062</v>
      </c>
      <c r="AMM99">
        <v>338019.010305992</v>
      </c>
      <c r="AMN99">
        <v>41106.7801466337</v>
      </c>
      <c r="AMO99">
        <v>0.496204354479269</v>
      </c>
      <c r="AMP99">
        <v>1.03862157610137</v>
      </c>
      <c r="AMQ99">
        <v>1.08790781101267</v>
      </c>
      <c r="AMR99">
        <v>1.4708889223825</v>
      </c>
      <c r="AMS99">
        <v>0.969380699910673</v>
      </c>
      <c r="AMT99">
        <v>0.496204354479269</v>
      </c>
      <c r="AMU99">
        <v>1.03862157610137</v>
      </c>
      <c r="AMV99">
        <v>1.08790781173688</v>
      </c>
      <c r="AMW99">
        <v>1.4708889223825</v>
      </c>
      <c r="AMX99">
        <v>0.969380698704142</v>
      </c>
      <c r="AMY99">
        <v>0.496204354479269</v>
      </c>
      <c r="AMZ99">
        <v>1.03862157610137</v>
      </c>
      <c r="ANA99">
        <v>1.08790781173688</v>
      </c>
      <c r="ANB99">
        <v>1.4708889223825</v>
      </c>
      <c r="ANC99">
        <v>0.969380698741085</v>
      </c>
      <c r="AND99" t="s">
        <v>1901</v>
      </c>
      <c r="ANE99">
        <v>3.71387121925275</v>
      </c>
      <c r="ANF99">
        <v>8.064034645043231</v>
      </c>
      <c r="ANG99">
        <v>32.0044326941398</v>
      </c>
      <c r="ANH99">
        <v>-3.15098029438531</v>
      </c>
      <c r="ANI99" t="s">
        <v>1901</v>
      </c>
      <c r="ANJ99">
        <v>3.87237379531941</v>
      </c>
      <c r="ANK99">
        <v>8.16361991400129</v>
      </c>
      <c r="ANL99">
        <v>32.2243329631732</v>
      </c>
      <c r="ANM99">
        <v>-3.24989877185827</v>
      </c>
      <c r="ANN99">
        <v>-50.2465321325459</v>
      </c>
      <c r="ANO99">
        <v>3.85711967682239</v>
      </c>
      <c r="ANP99">
        <v>8.77136016781756</v>
      </c>
      <c r="ANQ99">
        <v>47.068410430604</v>
      </c>
      <c r="ANR99">
        <v>-3.05472646541278</v>
      </c>
      <c r="ANS99">
        <v>-36.3913629262586</v>
      </c>
      <c r="ANT99">
        <v>2.72252035944764</v>
      </c>
      <c r="ANU99">
        <v>4.50936151699575</v>
      </c>
      <c r="ANV99">
        <v>21.1749979529305</v>
      </c>
      <c r="ANW99">
        <v>-1.39052900500821</v>
      </c>
      <c r="ANX99">
        <v>99.4692625621288</v>
      </c>
      <c r="ANY99">
        <v>99.8744010097785</v>
      </c>
      <c r="ANZ99">
        <v>99.7968907554913</v>
      </c>
      <c r="AOA99">
        <v>99.9704246147209</v>
      </c>
      <c r="AOB99">
        <v>99.7573214901913</v>
      </c>
      <c r="AOC99">
        <v>49.4894075868423</v>
      </c>
      <c r="AOD99">
        <v>103.726676183235</v>
      </c>
      <c r="AOE99">
        <v>108.550435407678</v>
      </c>
      <c r="AOF99">
        <v>147.024914381595</v>
      </c>
      <c r="AOG99">
        <v>96.7100081894435</v>
      </c>
      <c r="AOH99">
        <v>26.7975745625463</v>
      </c>
      <c r="AOI99">
        <v>61.2927027011469</v>
      </c>
      <c r="AOJ99">
        <v>47.8237223723982</v>
      </c>
      <c r="AOK99">
        <v>55.9063715272366</v>
      </c>
      <c r="AOL99">
        <v>38.0254599474394</v>
      </c>
      <c r="AOM99">
        <v>-19028.4324534271</v>
      </c>
      <c r="AON99">
        <v>2956.92760961131</v>
      </c>
      <c r="AOO99">
        <v>3970.29424463255</v>
      </c>
      <c r="AOP99">
        <v>108213.071079473</v>
      </c>
      <c r="AOQ99">
        <v>-1298.41752237111</v>
      </c>
      <c r="AOR99">
        <v>-50.3795645520731</v>
      </c>
      <c r="AOS99">
        <v>3.8621576101369</v>
      </c>
      <c r="AOT99">
        <v>8.79078117368762</v>
      </c>
      <c r="AOU99">
        <v>47.0888922382496</v>
      </c>
      <c r="AOV99">
        <v>-3.06193012958583</v>
      </c>
      <c r="AOW99">
        <v>-27.2075431286687</v>
      </c>
      <c r="AOX99">
        <v>2.27919469063667</v>
      </c>
      <c r="AOY99">
        <v>3.86437043682598</v>
      </c>
      <c r="AOZ99">
        <v>17.8978103935506</v>
      </c>
      <c r="APA99">
        <v>-1.20108953598058</v>
      </c>
      <c r="APB99">
        <v>-76.3686136970591</v>
      </c>
      <c r="APC99">
        <v>2.63914724017236</v>
      </c>
      <c r="APD99">
        <v>4.369404397015</v>
      </c>
      <c r="APE99">
        <v>25.0390020287121</v>
      </c>
      <c r="APF99">
        <v>-3.76449120465626</v>
      </c>
      <c r="APG99">
        <v>-80.8151970053181</v>
      </c>
      <c r="APH99">
        <v>2.75178217323573</v>
      </c>
      <c r="API99">
        <v>4.42336352928767</v>
      </c>
      <c r="APJ99">
        <v>25.2110432998405</v>
      </c>
      <c r="APK99">
        <v>-3.88266958206105</v>
      </c>
      <c r="APL99">
        <v>-14389.1514424487</v>
      </c>
      <c r="APM99">
        <v>2101.24877239694</v>
      </c>
      <c r="APN99">
        <v>2151.25825886724</v>
      </c>
      <c r="APO99">
        <v>84661.62584997879</v>
      </c>
      <c r="APP99">
        <v>-1551.22561434207</v>
      </c>
      <c r="APQ99">
        <v>-38.0966317492873</v>
      </c>
      <c r="APR99">
        <v>2.7445223585201</v>
      </c>
      <c r="APS99">
        <v>4.76318364246083</v>
      </c>
      <c r="APT99">
        <v>36.8404864273451</v>
      </c>
      <c r="APU99">
        <v>-3.65810254752687</v>
      </c>
      <c r="APV99">
        <v>-37.9960336765865</v>
      </c>
      <c r="APW99">
        <v>2.74094230767336</v>
      </c>
      <c r="APX99">
        <v>4.75266059386564</v>
      </c>
      <c r="APY99">
        <v>36.8244622713136</v>
      </c>
      <c r="APZ99">
        <v>-3.64949629553949</v>
      </c>
      <c r="AQA99">
        <v>-20.5741308125914</v>
      </c>
      <c r="AQB99">
        <v>1.6196389218955</v>
      </c>
      <c r="AQC99">
        <v>2.09386466224336</v>
      </c>
      <c r="AQD99">
        <v>14.0025388056847</v>
      </c>
      <c r="AQE99">
        <v>-1.43494740422856</v>
      </c>
      <c r="AQF99">
        <v>-0.503795645520731</v>
      </c>
      <c r="AQG99">
        <v>0.038621576101369</v>
      </c>
      <c r="AQH99">
        <v>0.0879078117368762</v>
      </c>
      <c r="AQI99">
        <v>0.470888922382496</v>
      </c>
      <c r="AQJ99">
        <v>-0.0306193012589152</v>
      </c>
      <c r="AQK99">
        <v>3</v>
      </c>
      <c r="AQO99" t="s">
        <v>1902</v>
      </c>
      <c r="AQP99">
        <v>3</v>
      </c>
      <c r="AQQ99">
        <v>0</v>
      </c>
      <c r="AQS99" t="s">
        <v>1905</v>
      </c>
      <c r="AQU99" t="s">
        <v>1906</v>
      </c>
      <c r="AQV99">
        <v>967639.156589773</v>
      </c>
      <c r="AQW99">
        <v>2015630.36589014</v>
      </c>
      <c r="AQX99">
        <v>1605508.38310234</v>
      </c>
      <c r="AQY99">
        <v>-977228.6045231119</v>
      </c>
      <c r="AQZ99">
        <v>74857.9160453129</v>
      </c>
      <c r="ARA99">
        <v>129468.752242446</v>
      </c>
      <c r="ARB99">
        <v>4588777.905582253</v>
      </c>
      <c r="ARC99">
        <v>-772901.9362353531</v>
      </c>
      <c r="ARD99">
        <v>-0.1441529444199973</v>
      </c>
      <c r="ARE99">
        <v>-0.1441529444199973</v>
      </c>
      <c r="ARF99">
        <v>-0.1441529444199973</v>
      </c>
      <c r="ARG99">
        <v>-0.1441529444199973</v>
      </c>
      <c r="ARH99" t="s">
        <v>1907</v>
      </c>
      <c r="ARI99" t="s">
        <v>1907</v>
      </c>
      <c r="ARJ99" t="s">
        <v>1260</v>
      </c>
      <c r="ARK99" t="s">
        <v>1598</v>
      </c>
      <c r="ARL99" t="s">
        <v>1908</v>
      </c>
      <c r="ARM99" t="s">
        <v>1908</v>
      </c>
      <c r="ARN99" t="s">
        <v>1909</v>
      </c>
      <c r="ARO99" t="s">
        <v>1908</v>
      </c>
      <c r="ARP99" t="s">
        <v>1907</v>
      </c>
      <c r="ARQ99" t="s">
        <v>1992</v>
      </c>
      <c r="ARR99">
        <f>HYPERLINK("C:\Users\Usuario\Documents\Proyectos\llmthon\evidence\roams_es_235815.png", "Ver Evidencia")</f>
        <v>0</v>
      </c>
      <c r="ARS99">
        <v>100</v>
      </c>
    </row>
    <row r="100" spans="1:1163">
      <c r="A100">
        <v>234</v>
      </c>
      <c r="B100" t="s">
        <v>1261</v>
      </c>
      <c r="C100" t="s">
        <v>1384</v>
      </c>
      <c r="E100" s="2">
        <v>39762</v>
      </c>
      <c r="F100" t="s">
        <v>1431</v>
      </c>
      <c r="G100" t="s">
        <v>1433</v>
      </c>
      <c r="H100" t="s">
        <v>1434</v>
      </c>
      <c r="I100" t="s">
        <v>1435</v>
      </c>
      <c r="J100" t="s">
        <v>1451</v>
      </c>
      <c r="L100" t="s">
        <v>1599</v>
      </c>
      <c r="N100" t="s">
        <v>1626</v>
      </c>
      <c r="O100" t="s">
        <v>1650</v>
      </c>
      <c r="P100">
        <v>6920</v>
      </c>
      <c r="Q100">
        <v>6920</v>
      </c>
      <c r="R100" t="s">
        <v>1767</v>
      </c>
      <c r="Z100" t="s">
        <v>1899</v>
      </c>
      <c r="AA100" s="2">
        <v>45657</v>
      </c>
      <c r="AB100">
        <v>2024</v>
      </c>
      <c r="AC100">
        <v>3476858.30031483</v>
      </c>
      <c r="AD100">
        <v>2503823.10993505</v>
      </c>
      <c r="AE100">
        <v>1329379.23607779</v>
      </c>
      <c r="AF100">
        <v>1327212.40198953</v>
      </c>
      <c r="AG100">
        <v>1317057.91225914</v>
      </c>
      <c r="AH100" t="s">
        <v>1900</v>
      </c>
      <c r="AI100" t="s">
        <v>1900</v>
      </c>
      <c r="AJ100" t="s">
        <v>1900</v>
      </c>
      <c r="AK100">
        <v>1327212.40198953</v>
      </c>
      <c r="AL100">
        <v>1317057.91225914</v>
      </c>
      <c r="AM100" t="s">
        <v>1900</v>
      </c>
      <c r="AN100" t="s">
        <v>1900</v>
      </c>
      <c r="AO100" t="s">
        <v>1900</v>
      </c>
      <c r="AP100" t="s">
        <v>1900</v>
      </c>
      <c r="AQ100" t="s">
        <v>1900</v>
      </c>
      <c r="AR100">
        <v>3476858.30031483</v>
      </c>
      <c r="AS100">
        <v>2503823.10993505</v>
      </c>
      <c r="AT100">
        <v>1329379.23607779</v>
      </c>
      <c r="AU100">
        <v>1327212.40198953</v>
      </c>
      <c r="AV100">
        <v>1317057.91225914</v>
      </c>
      <c r="AW100">
        <v>3352220.45232639</v>
      </c>
      <c r="AX100">
        <v>2494199.47166107</v>
      </c>
      <c r="AY100">
        <v>1305116.07092897</v>
      </c>
      <c r="AZ100">
        <v>1310431.26351199</v>
      </c>
      <c r="BA100">
        <v>1349086.13656976</v>
      </c>
      <c r="BB100">
        <v>124637.847988442</v>
      </c>
      <c r="BC100">
        <v>9623.63716897011</v>
      </c>
      <c r="BD100">
        <v>24263.1651488244</v>
      </c>
      <c r="BE100">
        <v>16781.13847754</v>
      </c>
      <c r="BF100">
        <v>-32028.2243106127</v>
      </c>
      <c r="BG100">
        <v>-5398.92196716905</v>
      </c>
      <c r="BH100">
        <v>-14.7296566104889</v>
      </c>
      <c r="BI100">
        <v>0</v>
      </c>
      <c r="BJ100">
        <v>-202.180480885506</v>
      </c>
      <c r="BK100">
        <v>36171.0465264142</v>
      </c>
      <c r="BL100" t="s">
        <v>1900</v>
      </c>
      <c r="BM100" t="s">
        <v>1900</v>
      </c>
      <c r="BN100" t="s">
        <v>1900</v>
      </c>
      <c r="BO100" t="s">
        <v>1900</v>
      </c>
      <c r="BP100">
        <v>37001.1055765212</v>
      </c>
      <c r="BQ100">
        <v>5398.92196716905</v>
      </c>
      <c r="BR100">
        <v>14.7296566104889</v>
      </c>
      <c r="BS100" t="s">
        <v>1900</v>
      </c>
      <c r="BT100">
        <v>202.180480885506</v>
      </c>
      <c r="BU100">
        <v>830.059050107002</v>
      </c>
      <c r="BV100">
        <v>119238.926021273</v>
      </c>
      <c r="BW100">
        <v>9608.907512359619</v>
      </c>
      <c r="BX100">
        <v>24263.1651488244</v>
      </c>
      <c r="BY100">
        <v>16578.9579966545</v>
      </c>
      <c r="BZ100">
        <v>4142.82221580148</v>
      </c>
      <c r="CA100">
        <v>28563.0572507346</v>
      </c>
      <c r="CB100">
        <v>3429.95468932152</v>
      </c>
      <c r="CC100">
        <v>5858.50034316182</v>
      </c>
      <c r="CD100">
        <v>4086.84097144604</v>
      </c>
      <c r="CE100">
        <v>940.902929824591</v>
      </c>
      <c r="CF100">
        <v>90675.8687705386</v>
      </c>
      <c r="CG100">
        <v>6178.95171803761</v>
      </c>
      <c r="CH100">
        <v>18404.6648056626</v>
      </c>
      <c r="CI100">
        <v>12492.1170252085</v>
      </c>
      <c r="CJ100">
        <v>3201.91928597689</v>
      </c>
      <c r="CK100" t="s">
        <v>1900</v>
      </c>
      <c r="CL100" t="s">
        <v>1900</v>
      </c>
      <c r="CM100" t="s">
        <v>1900</v>
      </c>
      <c r="CN100" t="s">
        <v>1900</v>
      </c>
      <c r="CO100" t="s">
        <v>1900</v>
      </c>
      <c r="CP100" t="s">
        <v>1900</v>
      </c>
      <c r="CQ100" t="s">
        <v>1900</v>
      </c>
      <c r="CR100" t="s">
        <v>1900</v>
      </c>
      <c r="CS100" t="s">
        <v>1900</v>
      </c>
      <c r="CT100" t="s">
        <v>1900</v>
      </c>
      <c r="CU100" t="s">
        <v>1900</v>
      </c>
      <c r="CV100" t="s">
        <v>1900</v>
      </c>
      <c r="CW100" t="s">
        <v>1900</v>
      </c>
      <c r="CX100" t="s">
        <v>1900</v>
      </c>
      <c r="CY100" t="s">
        <v>1900</v>
      </c>
      <c r="CZ100">
        <v>90675.8687705386</v>
      </c>
      <c r="DA100">
        <v>6178.95171803761</v>
      </c>
      <c r="DB100">
        <v>18404.6648056626</v>
      </c>
      <c r="DC100">
        <v>12492.1170252085</v>
      </c>
      <c r="DD100">
        <v>3201.91928597689</v>
      </c>
      <c r="DE100" t="s">
        <v>1900</v>
      </c>
      <c r="DF100" t="s">
        <v>1900</v>
      </c>
      <c r="DG100" t="s">
        <v>1900</v>
      </c>
      <c r="DH100" t="s">
        <v>1900</v>
      </c>
      <c r="DI100" t="s">
        <v>1900</v>
      </c>
      <c r="DJ100" t="s">
        <v>1900</v>
      </c>
      <c r="DK100" t="s">
        <v>1900</v>
      </c>
      <c r="DL100" t="s">
        <v>1900</v>
      </c>
      <c r="DM100" t="s">
        <v>1900</v>
      </c>
      <c r="DN100" t="s">
        <v>1900</v>
      </c>
      <c r="DO100">
        <v>2441633.47175776</v>
      </c>
      <c r="DP100">
        <v>1785771.66558238</v>
      </c>
      <c r="DQ100">
        <v>595620.512268424</v>
      </c>
      <c r="DR100">
        <v>677100.119980931</v>
      </c>
      <c r="DS100">
        <v>773372.388084257</v>
      </c>
      <c r="DT100">
        <v>36997.5397864628</v>
      </c>
      <c r="DU100">
        <v>22027.3892856216</v>
      </c>
      <c r="DV100">
        <v>24911.0390099823</v>
      </c>
      <c r="DW100">
        <v>42292.1336049557</v>
      </c>
      <c r="DX100">
        <v>72556.0500866771</v>
      </c>
      <c r="DY100">
        <v>873589.440782167</v>
      </c>
      <c r="DZ100">
        <v>686400.417898073</v>
      </c>
      <c r="EA100">
        <v>684584.519650561</v>
      </c>
      <c r="EB100">
        <v>591039.009926105</v>
      </c>
      <c r="EC100">
        <v>503157.698398823</v>
      </c>
      <c r="ED100">
        <v>5398.92196716905</v>
      </c>
      <c r="EE100">
        <v>14.7296566104889</v>
      </c>
      <c r="EF100" t="s">
        <v>1900</v>
      </c>
      <c r="EG100">
        <v>202.180480885506</v>
      </c>
      <c r="EH100">
        <v>830.059050107002</v>
      </c>
      <c r="EI100" t="s">
        <v>1900</v>
      </c>
      <c r="EJ100" t="s">
        <v>1900</v>
      </c>
      <c r="EK100" t="s">
        <v>1900</v>
      </c>
      <c r="EL100" t="s">
        <v>1900</v>
      </c>
      <c r="EM100" t="s">
        <v>1900</v>
      </c>
      <c r="EN100">
        <v>127673.408557001</v>
      </c>
      <c r="EO100">
        <v>28206.3410036592</v>
      </c>
      <c r="EP100">
        <v>43315.703815645</v>
      </c>
      <c r="EQ100">
        <v>54784.2506301641</v>
      </c>
      <c r="ER100">
        <v>75757.969372654</v>
      </c>
      <c r="ES100">
        <v>2603268.85953267</v>
      </c>
      <c r="ET100">
        <v>1817422.69203697</v>
      </c>
      <c r="EU100">
        <v>644794.716427231</v>
      </c>
      <c r="EV100">
        <v>736173.390930827</v>
      </c>
      <c r="EW100">
        <v>850901.318209743</v>
      </c>
      <c r="EX100">
        <v>161635.387774905</v>
      </c>
      <c r="EY100">
        <v>31651.0253495913</v>
      </c>
      <c r="EZ100">
        <v>49174.2041588068</v>
      </c>
      <c r="FA100">
        <v>59073.2720824957</v>
      </c>
      <c r="FB100">
        <v>40527.8245489651</v>
      </c>
      <c r="FC100">
        <v>118670.876530299</v>
      </c>
      <c r="FD100">
        <v>124765.583893261</v>
      </c>
      <c r="FE100">
        <v>29002.5039809465</v>
      </c>
      <c r="FF100">
        <v>54440.8462169409</v>
      </c>
      <c r="FG100">
        <v>91355.1990829647</v>
      </c>
      <c r="FH100">
        <v>67803.7473699296</v>
      </c>
      <c r="FI100">
        <v>77133.6535166359</v>
      </c>
      <c r="FJ100">
        <v>9446.67967959642</v>
      </c>
      <c r="FK100">
        <v>31594.1347487927</v>
      </c>
      <c r="FL100">
        <v>70868.8989888966</v>
      </c>
      <c r="FM100">
        <v>49484.426594398</v>
      </c>
      <c r="FN100">
        <v>46172.3020715618</v>
      </c>
      <c r="FO100">
        <v>16778.3565699458</v>
      </c>
      <c r="FP100">
        <v>20339.0890834093</v>
      </c>
      <c r="FQ100">
        <v>18391.1752922058</v>
      </c>
      <c r="FR100">
        <v>1382.70256597161</v>
      </c>
      <c r="FS100">
        <v>1459.62830506325</v>
      </c>
      <c r="FT100">
        <v>2777.4677314043</v>
      </c>
      <c r="FU100">
        <v>2507.62238473892</v>
      </c>
      <c r="FV100">
        <v>2095.12480186224</v>
      </c>
      <c r="FW100">
        <v>67803.7473699296</v>
      </c>
      <c r="FX100">
        <v>77133.6535166359</v>
      </c>
      <c r="FY100">
        <v>9446.67967959642</v>
      </c>
      <c r="FZ100">
        <v>31594.1347487927</v>
      </c>
      <c r="GA100">
        <v>70868.8989888966</v>
      </c>
      <c r="GB100">
        <v>49484.426594398</v>
      </c>
      <c r="GC100">
        <v>46172.3020715618</v>
      </c>
      <c r="GD100">
        <v>16778.3565699458</v>
      </c>
      <c r="GE100">
        <v>20339.0890834093</v>
      </c>
      <c r="GF100">
        <v>18391.1752922058</v>
      </c>
      <c r="GG100">
        <v>1382.70256597161</v>
      </c>
      <c r="GH100">
        <v>1459.62830506325</v>
      </c>
      <c r="GI100">
        <v>2777.4677314043</v>
      </c>
      <c r="GJ100">
        <v>2507.62238473892</v>
      </c>
      <c r="GK100">
        <v>2095.12480186224</v>
      </c>
      <c r="GL100">
        <v>1011863.89453347</v>
      </c>
      <c r="GM100">
        <v>444152.485180178</v>
      </c>
      <c r="GN100">
        <v>211861.578835356</v>
      </c>
      <c r="GO100">
        <v>279676.95802331</v>
      </c>
      <c r="GP100">
        <v>378267.851092285</v>
      </c>
      <c r="GQ100">
        <v>0</v>
      </c>
      <c r="GR100">
        <v>0</v>
      </c>
      <c r="GS100">
        <v>0</v>
      </c>
      <c r="GT100">
        <v>0</v>
      </c>
      <c r="GU100">
        <v>0</v>
      </c>
      <c r="GV100">
        <v>825387.255168135</v>
      </c>
      <c r="GW100">
        <v>284698.891469364</v>
      </c>
      <c r="GX100">
        <v>2078.82373460531</v>
      </c>
      <c r="GY100">
        <v>164101.269318223</v>
      </c>
      <c r="GZ100">
        <v>236044.796696532</v>
      </c>
      <c r="HA100">
        <v>186476.638326439</v>
      </c>
      <c r="HB100">
        <v>159453.593710813</v>
      </c>
      <c r="HC100">
        <v>209782.755100751</v>
      </c>
      <c r="HD100">
        <v>115575.688705087</v>
      </c>
      <c r="HE100">
        <v>142223.054395753</v>
      </c>
      <c r="HF100">
        <v>11962.6996555781</v>
      </c>
      <c r="HG100">
        <v>19520.3089104748</v>
      </c>
      <c r="HH100">
        <v>131070.539355928</v>
      </c>
      <c r="HI100">
        <v>26631.8616956949</v>
      </c>
      <c r="HJ100">
        <v>47200.7917663693</v>
      </c>
      <c r="HK100">
        <v>1130534.77106377</v>
      </c>
      <c r="HL100">
        <v>568918.069073439</v>
      </c>
      <c r="HM100">
        <v>240864.082816303</v>
      </c>
      <c r="HN100">
        <v>334117.804240251</v>
      </c>
      <c r="HO100">
        <v>469623.05017525</v>
      </c>
      <c r="HP100">
        <v>206740.956694359</v>
      </c>
      <c r="HQ100">
        <v>123449.83770277</v>
      </c>
      <c r="HR100">
        <v>113195.483860165</v>
      </c>
      <c r="HS100">
        <v>100656.443198991</v>
      </c>
      <c r="HT100">
        <v>95520.35450601581</v>
      </c>
      <c r="HU100">
        <v>4155.59816360474</v>
      </c>
      <c r="HV100">
        <v>4420.00198364258</v>
      </c>
      <c r="HW100">
        <v>4266.39795303345</v>
      </c>
      <c r="HX100">
        <v>4530.4012298584</v>
      </c>
      <c r="HY100">
        <v>4908.39719772339</v>
      </c>
      <c r="HZ100">
        <v>202585.358530754</v>
      </c>
      <c r="IA100">
        <v>119029.835719128</v>
      </c>
      <c r="IB100">
        <v>108929.085907131</v>
      </c>
      <c r="IC100">
        <v>96126.04083653211</v>
      </c>
      <c r="ID100">
        <v>90611.9573082924</v>
      </c>
      <c r="IE100">
        <v>0</v>
      </c>
      <c r="IF100">
        <v>0</v>
      </c>
      <c r="IG100">
        <v>0</v>
      </c>
      <c r="IH100">
        <v>0</v>
      </c>
      <c r="II100">
        <v>0</v>
      </c>
      <c r="IJ100" t="s">
        <v>1900</v>
      </c>
      <c r="IK100" t="s">
        <v>1900</v>
      </c>
      <c r="IL100" t="s">
        <v>1900</v>
      </c>
      <c r="IM100" t="s">
        <v>1900</v>
      </c>
      <c r="IN100" t="s">
        <v>1900</v>
      </c>
      <c r="IO100" t="s">
        <v>1900</v>
      </c>
      <c r="IP100" t="s">
        <v>1900</v>
      </c>
      <c r="IQ100" t="s">
        <v>1900</v>
      </c>
      <c r="IR100" t="s">
        <v>1900</v>
      </c>
      <c r="IS100" t="s">
        <v>1900</v>
      </c>
      <c r="IT100" t="s">
        <v>1900</v>
      </c>
      <c r="IU100" t="s">
        <v>1900</v>
      </c>
      <c r="IV100" t="s">
        <v>1900</v>
      </c>
      <c r="IW100" t="s">
        <v>1900</v>
      </c>
      <c r="IX100" t="s">
        <v>1900</v>
      </c>
      <c r="IY100">
        <v>923793.814369414</v>
      </c>
      <c r="IZ100">
        <v>445468.231370668</v>
      </c>
      <c r="JA100">
        <v>127668.598956138</v>
      </c>
      <c r="JB100">
        <v>233461.36104126</v>
      </c>
      <c r="JC100">
        <v>374102.695669234</v>
      </c>
      <c r="JD100">
        <v>480497.790513813</v>
      </c>
      <c r="JE100">
        <v>0</v>
      </c>
      <c r="JF100">
        <v>0</v>
      </c>
      <c r="JG100">
        <v>0</v>
      </c>
      <c r="JH100">
        <v>28053.1956530154</v>
      </c>
      <c r="JI100">
        <v>69465.5077026831</v>
      </c>
      <c r="JJ100">
        <v>36532.2224952126</v>
      </c>
      <c r="JK100">
        <v>45821.7006452978</v>
      </c>
      <c r="JL100">
        <v>24295.092067337</v>
      </c>
      <c r="JM100">
        <v>1221.57735258341</v>
      </c>
      <c r="JN100">
        <v>373830.515114018</v>
      </c>
      <c r="JO100">
        <v>408936.008875456</v>
      </c>
      <c r="JP100">
        <v>81846.8983108401</v>
      </c>
      <c r="JQ100">
        <v>209166.267841322</v>
      </c>
      <c r="JR100">
        <v>344827.922663635</v>
      </c>
      <c r="JS100">
        <v>1130534.77106377</v>
      </c>
      <c r="JT100">
        <v>568918.069073439</v>
      </c>
      <c r="JU100">
        <v>240864.082816303</v>
      </c>
      <c r="JV100">
        <v>334117.804240251</v>
      </c>
      <c r="JW100">
        <v>469623.05017525</v>
      </c>
      <c r="JX100">
        <v>755921.7474654519</v>
      </c>
      <c r="JY100">
        <v>248166.668974152</v>
      </c>
      <c r="JZ100">
        <v>-43742.8769106925</v>
      </c>
      <c r="KA100">
        <v>139806.177250886</v>
      </c>
      <c r="KB100">
        <v>234823.219343948</v>
      </c>
      <c r="KC100" t="s">
        <v>1900</v>
      </c>
      <c r="KD100" t="s">
        <v>1900</v>
      </c>
      <c r="KE100" t="s">
        <v>1900</v>
      </c>
      <c r="KF100" t="s">
        <v>1900</v>
      </c>
      <c r="KG100" t="s">
        <v>1900</v>
      </c>
      <c r="KH100" t="s">
        <v>1900</v>
      </c>
      <c r="KI100" t="s">
        <v>1900</v>
      </c>
      <c r="KJ100" t="s">
        <v>1900</v>
      </c>
      <c r="KK100" t="s">
        <v>1900</v>
      </c>
      <c r="KL100" t="s">
        <v>1900</v>
      </c>
      <c r="KM100">
        <v>52</v>
      </c>
      <c r="KN100">
        <v>37</v>
      </c>
      <c r="KO100">
        <v>14</v>
      </c>
      <c r="KP100">
        <v>28</v>
      </c>
      <c r="KQ100">
        <v>12</v>
      </c>
      <c r="KR100" t="s">
        <v>1900</v>
      </c>
      <c r="KS100" t="s">
        <v>1900</v>
      </c>
      <c r="KT100" t="s">
        <v>1900</v>
      </c>
      <c r="KU100" t="s">
        <v>1900</v>
      </c>
      <c r="KV100" t="s">
        <v>1900</v>
      </c>
      <c r="KW100" t="s">
        <v>1900</v>
      </c>
      <c r="KX100" t="s">
        <v>1900</v>
      </c>
      <c r="KY100" t="s">
        <v>1900</v>
      </c>
      <c r="KZ100" t="s">
        <v>1900</v>
      </c>
      <c r="LA100" t="s">
        <v>1900</v>
      </c>
      <c r="LB100" t="s">
        <v>1900</v>
      </c>
      <c r="LC100" t="s">
        <v>1900</v>
      </c>
      <c r="LD100" t="s">
        <v>1900</v>
      </c>
      <c r="LE100" t="s">
        <v>1900</v>
      </c>
      <c r="LF100" t="s">
        <v>1900</v>
      </c>
      <c r="LG100" t="s">
        <v>1900</v>
      </c>
      <c r="LH100" t="s">
        <v>1900</v>
      </c>
      <c r="LI100" t="s">
        <v>1900</v>
      </c>
      <c r="LJ100" t="s">
        <v>1900</v>
      </c>
      <c r="LK100" t="s">
        <v>1900</v>
      </c>
      <c r="LL100" t="s">
        <v>1900</v>
      </c>
      <c r="LM100" t="s">
        <v>1900</v>
      </c>
      <c r="LN100" t="s">
        <v>1900</v>
      </c>
      <c r="LO100" t="s">
        <v>1900</v>
      </c>
      <c r="LP100" t="s">
        <v>1900</v>
      </c>
      <c r="LQ100" t="s">
        <v>1900</v>
      </c>
      <c r="LR100" t="s">
        <v>1900</v>
      </c>
      <c r="LS100" t="s">
        <v>1900</v>
      </c>
      <c r="LT100" t="s">
        <v>1900</v>
      </c>
      <c r="LU100" t="s">
        <v>1900</v>
      </c>
      <c r="LV100" t="s">
        <v>1900</v>
      </c>
      <c r="LW100" t="s">
        <v>1900</v>
      </c>
      <c r="LX100" t="s">
        <v>1900</v>
      </c>
      <c r="LY100" t="s">
        <v>1900</v>
      </c>
      <c r="LZ100" t="s">
        <v>1900</v>
      </c>
      <c r="MA100" t="s">
        <v>1900</v>
      </c>
      <c r="MB100" t="s">
        <v>1900</v>
      </c>
      <c r="MC100" t="s">
        <v>1900</v>
      </c>
      <c r="MD100" t="s">
        <v>1900</v>
      </c>
      <c r="ME100" t="s">
        <v>1900</v>
      </c>
      <c r="MF100" t="s">
        <v>1900</v>
      </c>
      <c r="MG100" t="s">
        <v>1900</v>
      </c>
      <c r="MH100" t="s">
        <v>1900</v>
      </c>
      <c r="MI100" t="s">
        <v>1900</v>
      </c>
      <c r="MJ100" t="s">
        <v>1900</v>
      </c>
      <c r="MK100" t="s">
        <v>1900</v>
      </c>
      <c r="ML100" t="s">
        <v>1900</v>
      </c>
      <c r="MM100" t="s">
        <v>1900</v>
      </c>
      <c r="MN100" t="s">
        <v>1900</v>
      </c>
      <c r="MO100" t="s">
        <v>1900</v>
      </c>
      <c r="MP100">
        <v>186476.638326439</v>
      </c>
      <c r="MQ100">
        <v>159453.593710813</v>
      </c>
      <c r="MR100">
        <v>209782.755100751</v>
      </c>
      <c r="MS100">
        <v>115575.688705087</v>
      </c>
      <c r="MT100">
        <v>142223.054395753</v>
      </c>
      <c r="MU100" t="s">
        <v>1900</v>
      </c>
      <c r="MV100" t="s">
        <v>1900</v>
      </c>
      <c r="MW100" t="s">
        <v>1900</v>
      </c>
      <c r="MX100" t="s">
        <v>1900</v>
      </c>
      <c r="MY100" t="s">
        <v>1900</v>
      </c>
      <c r="MZ100" t="s">
        <v>1900</v>
      </c>
      <c r="NA100" t="s">
        <v>1900</v>
      </c>
      <c r="NB100" t="s">
        <v>1900</v>
      </c>
      <c r="NC100" t="s">
        <v>1900</v>
      </c>
      <c r="ND100" t="s">
        <v>1900</v>
      </c>
      <c r="NE100" t="s">
        <v>1900</v>
      </c>
      <c r="NF100" t="s">
        <v>1900</v>
      </c>
      <c r="NG100" t="s">
        <v>1900</v>
      </c>
      <c r="NH100" t="s">
        <v>1900</v>
      </c>
      <c r="NI100" t="s">
        <v>1900</v>
      </c>
      <c r="NJ100" t="s">
        <v>1900</v>
      </c>
      <c r="NK100" t="s">
        <v>1900</v>
      </c>
      <c r="NL100" t="s">
        <v>1900</v>
      </c>
      <c r="NM100" t="s">
        <v>1900</v>
      </c>
      <c r="NN100" t="s">
        <v>1900</v>
      </c>
      <c r="NO100" t="s">
        <v>1900</v>
      </c>
      <c r="NP100" t="s">
        <v>1900</v>
      </c>
      <c r="NQ100" t="s">
        <v>1900</v>
      </c>
      <c r="NR100" t="s">
        <v>1900</v>
      </c>
      <c r="NS100" t="s">
        <v>1900</v>
      </c>
      <c r="NT100">
        <v>118670.876530299</v>
      </c>
      <c r="NU100">
        <v>124765.583893261</v>
      </c>
      <c r="NV100">
        <v>29002.5039809465</v>
      </c>
      <c r="NW100">
        <v>54440.8462169409</v>
      </c>
      <c r="NX100">
        <v>91355.1990829647</v>
      </c>
      <c r="NY100" t="s">
        <v>1900</v>
      </c>
      <c r="NZ100" t="s">
        <v>1900</v>
      </c>
      <c r="OA100" t="s">
        <v>1900</v>
      </c>
      <c r="OB100" t="s">
        <v>1900</v>
      </c>
      <c r="OC100" t="s">
        <v>1900</v>
      </c>
      <c r="OD100" t="s">
        <v>1900</v>
      </c>
      <c r="OE100" t="s">
        <v>1900</v>
      </c>
      <c r="OF100" t="s">
        <v>1900</v>
      </c>
      <c r="OG100" t="s">
        <v>1900</v>
      </c>
      <c r="OH100" t="s">
        <v>1900</v>
      </c>
      <c r="OI100" t="s">
        <v>1900</v>
      </c>
      <c r="OJ100" t="s">
        <v>1900</v>
      </c>
      <c r="OK100" t="s">
        <v>1900</v>
      </c>
      <c r="OL100" t="s">
        <v>1900</v>
      </c>
      <c r="OM100" t="s">
        <v>1900</v>
      </c>
      <c r="ON100" t="s">
        <v>1900</v>
      </c>
      <c r="OO100" t="s">
        <v>1900</v>
      </c>
      <c r="OP100" t="s">
        <v>1900</v>
      </c>
      <c r="OQ100" t="s">
        <v>1900</v>
      </c>
      <c r="OR100" t="s">
        <v>1900</v>
      </c>
      <c r="OS100" t="s">
        <v>1900</v>
      </c>
      <c r="OT100" t="s">
        <v>1900</v>
      </c>
      <c r="OU100" t="s">
        <v>1900</v>
      </c>
      <c r="OV100" t="s">
        <v>1900</v>
      </c>
      <c r="OW100" t="s">
        <v>1900</v>
      </c>
      <c r="OX100" t="s">
        <v>1900</v>
      </c>
      <c r="OY100" t="s">
        <v>1900</v>
      </c>
      <c r="OZ100" t="s">
        <v>1900</v>
      </c>
      <c r="PA100" t="s">
        <v>1900</v>
      </c>
      <c r="PB100" t="s">
        <v>1900</v>
      </c>
      <c r="PC100" t="s">
        <v>1900</v>
      </c>
      <c r="PD100" t="s">
        <v>1900</v>
      </c>
      <c r="PE100" t="s">
        <v>1900</v>
      </c>
      <c r="PF100" t="s">
        <v>1900</v>
      </c>
      <c r="PG100" t="s">
        <v>1900</v>
      </c>
      <c r="PH100" t="s">
        <v>1900</v>
      </c>
      <c r="PI100" t="s">
        <v>1900</v>
      </c>
      <c r="PJ100" t="s">
        <v>1900</v>
      </c>
      <c r="PK100" t="s">
        <v>1900</v>
      </c>
      <c r="PL100" t="s">
        <v>1900</v>
      </c>
      <c r="PM100" t="s">
        <v>1900</v>
      </c>
      <c r="PN100" t="s">
        <v>1900</v>
      </c>
      <c r="PO100" t="s">
        <v>1900</v>
      </c>
      <c r="PP100" t="s">
        <v>1900</v>
      </c>
      <c r="PQ100" t="s">
        <v>1900</v>
      </c>
      <c r="PR100" t="s">
        <v>1900</v>
      </c>
      <c r="PS100" t="s">
        <v>1900</v>
      </c>
      <c r="PT100" t="s">
        <v>1900</v>
      </c>
      <c r="PU100" t="s">
        <v>1900</v>
      </c>
      <c r="PV100" t="s">
        <v>1900</v>
      </c>
      <c r="PW100" t="s">
        <v>1900</v>
      </c>
      <c r="PX100" t="s">
        <v>1900</v>
      </c>
      <c r="PY100" t="s">
        <v>1900</v>
      </c>
      <c r="PZ100" t="s">
        <v>1900</v>
      </c>
      <c r="QA100" t="s">
        <v>1900</v>
      </c>
      <c r="QB100" t="s">
        <v>1900</v>
      </c>
      <c r="QC100" t="s">
        <v>1900</v>
      </c>
      <c r="QD100" t="s">
        <v>1900</v>
      </c>
      <c r="QE100" t="s">
        <v>1900</v>
      </c>
      <c r="QF100" t="s">
        <v>1900</v>
      </c>
      <c r="QG100" t="s">
        <v>1900</v>
      </c>
      <c r="QH100" t="s">
        <v>1900</v>
      </c>
      <c r="QI100" t="s">
        <v>1900</v>
      </c>
      <c r="QJ100" t="s">
        <v>1900</v>
      </c>
      <c r="QK100" t="s">
        <v>1900</v>
      </c>
      <c r="QL100" t="s">
        <v>1900</v>
      </c>
      <c r="QM100" t="s">
        <v>1900</v>
      </c>
      <c r="QN100" t="s">
        <v>1900</v>
      </c>
      <c r="QO100" t="s">
        <v>1900</v>
      </c>
      <c r="QP100" t="s">
        <v>1900</v>
      </c>
      <c r="QQ100" t="s">
        <v>1900</v>
      </c>
      <c r="QR100" t="s">
        <v>1900</v>
      </c>
      <c r="QS100" t="s">
        <v>1900</v>
      </c>
      <c r="QT100" t="s">
        <v>1900</v>
      </c>
      <c r="QU100" t="s">
        <v>1900</v>
      </c>
      <c r="QV100" t="s">
        <v>1900</v>
      </c>
      <c r="QW100" t="s">
        <v>1900</v>
      </c>
      <c r="QX100" t="s">
        <v>1900</v>
      </c>
      <c r="QY100" t="s">
        <v>1900</v>
      </c>
      <c r="QZ100" t="s">
        <v>1900</v>
      </c>
      <c r="RA100" t="s">
        <v>1900</v>
      </c>
      <c r="RB100" t="s">
        <v>1900</v>
      </c>
      <c r="RC100" t="s">
        <v>1900</v>
      </c>
      <c r="RD100" t="s">
        <v>1900</v>
      </c>
      <c r="RE100" t="s">
        <v>1900</v>
      </c>
      <c r="RF100" t="s">
        <v>1900</v>
      </c>
      <c r="RG100" t="s">
        <v>1900</v>
      </c>
      <c r="RH100" t="s">
        <v>1900</v>
      </c>
      <c r="RI100" t="s">
        <v>1900</v>
      </c>
      <c r="RJ100" t="s">
        <v>1900</v>
      </c>
      <c r="RK100" t="s">
        <v>1900</v>
      </c>
      <c r="RL100" t="s">
        <v>1900</v>
      </c>
      <c r="RM100" t="s">
        <v>1900</v>
      </c>
      <c r="RN100" t="s">
        <v>1900</v>
      </c>
      <c r="RO100" t="s">
        <v>1900</v>
      </c>
      <c r="RP100" t="s">
        <v>1900</v>
      </c>
      <c r="RQ100" t="s">
        <v>1900</v>
      </c>
      <c r="RR100" t="s">
        <v>1900</v>
      </c>
      <c r="RS100" t="s">
        <v>1900</v>
      </c>
      <c r="RT100" t="s">
        <v>1900</v>
      </c>
      <c r="RU100" t="s">
        <v>1900</v>
      </c>
      <c r="RV100" t="s">
        <v>1900</v>
      </c>
      <c r="RW100" t="s">
        <v>1900</v>
      </c>
      <c r="RX100" t="s">
        <v>1900</v>
      </c>
      <c r="RY100" t="s">
        <v>1900</v>
      </c>
      <c r="RZ100" t="s">
        <v>1900</v>
      </c>
      <c r="SA100" t="s">
        <v>1900</v>
      </c>
      <c r="SB100" t="s">
        <v>1900</v>
      </c>
      <c r="SC100" t="s">
        <v>1900</v>
      </c>
      <c r="SD100" t="s">
        <v>1900</v>
      </c>
      <c r="SE100" t="s">
        <v>1900</v>
      </c>
      <c r="SF100" t="s">
        <v>1900</v>
      </c>
      <c r="SG100" t="s">
        <v>1900</v>
      </c>
      <c r="SH100" t="s">
        <v>1900</v>
      </c>
      <c r="SI100" t="s">
        <v>1900</v>
      </c>
      <c r="SJ100">
        <v>1382.70256597161</v>
      </c>
      <c r="SK100">
        <v>1459.62830506325</v>
      </c>
      <c r="SL100">
        <v>2777.4677314043</v>
      </c>
      <c r="SM100">
        <v>2507.62238473892</v>
      </c>
      <c r="SN100">
        <v>2095.12480186224</v>
      </c>
      <c r="SO100" t="s">
        <v>1900</v>
      </c>
      <c r="SP100" t="s">
        <v>1900</v>
      </c>
      <c r="SQ100" t="s">
        <v>1900</v>
      </c>
      <c r="SR100" t="s">
        <v>1900</v>
      </c>
      <c r="SS100" t="s">
        <v>1900</v>
      </c>
      <c r="ST100" t="s">
        <v>1900</v>
      </c>
      <c r="SU100" t="s">
        <v>1900</v>
      </c>
      <c r="SV100" t="s">
        <v>1900</v>
      </c>
      <c r="SW100" t="s">
        <v>1900</v>
      </c>
      <c r="SX100" t="s">
        <v>1900</v>
      </c>
      <c r="SY100" t="s">
        <v>1900</v>
      </c>
      <c r="SZ100" t="s">
        <v>1900</v>
      </c>
      <c r="TA100" t="s">
        <v>1900</v>
      </c>
      <c r="TB100" t="s">
        <v>1900</v>
      </c>
      <c r="TC100" t="s">
        <v>1900</v>
      </c>
      <c r="TD100" t="s">
        <v>1900</v>
      </c>
      <c r="TE100" t="s">
        <v>1900</v>
      </c>
      <c r="TF100" t="s">
        <v>1900</v>
      </c>
      <c r="TG100" t="s">
        <v>1900</v>
      </c>
      <c r="TH100" t="s">
        <v>1900</v>
      </c>
      <c r="TI100" t="s">
        <v>1900</v>
      </c>
      <c r="TJ100" t="s">
        <v>1900</v>
      </c>
      <c r="TK100" t="s">
        <v>1900</v>
      </c>
      <c r="TL100" t="s">
        <v>1900</v>
      </c>
      <c r="TM100" t="s">
        <v>1900</v>
      </c>
      <c r="TN100" t="s">
        <v>1900</v>
      </c>
      <c r="TO100" t="s">
        <v>1900</v>
      </c>
      <c r="TP100" t="s">
        <v>1900</v>
      </c>
      <c r="TQ100" t="s">
        <v>1900</v>
      </c>
      <c r="TR100" t="s">
        <v>1900</v>
      </c>
      <c r="TS100">
        <v>1130534.77106377</v>
      </c>
      <c r="TT100">
        <v>568918.069073439</v>
      </c>
      <c r="TU100">
        <v>240864.082816303</v>
      </c>
      <c r="TV100">
        <v>334117.804240251</v>
      </c>
      <c r="TW100">
        <v>469623.05017525</v>
      </c>
      <c r="TX100" t="s">
        <v>1900</v>
      </c>
      <c r="TY100" t="s">
        <v>1900</v>
      </c>
      <c r="TZ100" t="s">
        <v>1900</v>
      </c>
      <c r="UA100" t="s">
        <v>1900</v>
      </c>
      <c r="UB100" t="s">
        <v>1900</v>
      </c>
      <c r="UC100">
        <v>480497.790513813</v>
      </c>
      <c r="UD100">
        <v>0</v>
      </c>
      <c r="UE100">
        <v>0</v>
      </c>
      <c r="UF100">
        <v>0</v>
      </c>
      <c r="UG100">
        <v>28053.1956530154</v>
      </c>
      <c r="UH100" t="s">
        <v>1900</v>
      </c>
      <c r="UI100" t="s">
        <v>1900</v>
      </c>
      <c r="UJ100" t="s">
        <v>1900</v>
      </c>
      <c r="UK100" t="s">
        <v>1900</v>
      </c>
      <c r="UL100" t="s">
        <v>1900</v>
      </c>
      <c r="UM100" t="s">
        <v>1900</v>
      </c>
      <c r="UN100" t="s">
        <v>1900</v>
      </c>
      <c r="UO100" t="s">
        <v>1900</v>
      </c>
      <c r="UP100" t="s">
        <v>1900</v>
      </c>
      <c r="UQ100" t="s">
        <v>1900</v>
      </c>
      <c r="UR100" t="s">
        <v>1900</v>
      </c>
      <c r="US100" t="s">
        <v>1900</v>
      </c>
      <c r="UT100" t="s">
        <v>1900</v>
      </c>
      <c r="UU100" t="s">
        <v>1900</v>
      </c>
      <c r="UV100" t="s">
        <v>1900</v>
      </c>
      <c r="UW100" t="s">
        <v>1900</v>
      </c>
      <c r="UX100" t="s">
        <v>1900</v>
      </c>
      <c r="UY100" t="s">
        <v>1900</v>
      </c>
      <c r="UZ100" t="s">
        <v>1900</v>
      </c>
      <c r="VA100" t="s">
        <v>1900</v>
      </c>
      <c r="VB100" t="s">
        <v>1900</v>
      </c>
      <c r="VC100" t="s">
        <v>1900</v>
      </c>
      <c r="VD100" t="s">
        <v>1900</v>
      </c>
      <c r="VE100" t="s">
        <v>1900</v>
      </c>
      <c r="VF100" t="s">
        <v>1900</v>
      </c>
      <c r="VG100" t="s">
        <v>1900</v>
      </c>
      <c r="VH100" t="s">
        <v>1900</v>
      </c>
      <c r="VI100" t="s">
        <v>1900</v>
      </c>
      <c r="VJ100" t="s">
        <v>1900</v>
      </c>
      <c r="VK100" t="s">
        <v>1900</v>
      </c>
      <c r="VL100" t="s">
        <v>1900</v>
      </c>
      <c r="VM100" t="s">
        <v>1900</v>
      </c>
      <c r="VN100" t="s">
        <v>1900</v>
      </c>
      <c r="VO100" t="s">
        <v>1900</v>
      </c>
      <c r="VP100" t="s">
        <v>1900</v>
      </c>
      <c r="VQ100" t="s">
        <v>1900</v>
      </c>
      <c r="VR100" t="s">
        <v>1900</v>
      </c>
      <c r="VS100" t="s">
        <v>1900</v>
      </c>
      <c r="VT100" t="s">
        <v>1900</v>
      </c>
      <c r="VU100" t="s">
        <v>1900</v>
      </c>
      <c r="VV100" t="s">
        <v>1900</v>
      </c>
      <c r="VW100" t="s">
        <v>1900</v>
      </c>
      <c r="VX100" t="s">
        <v>1900</v>
      </c>
      <c r="VY100" t="s">
        <v>1900</v>
      </c>
      <c r="VZ100" t="s">
        <v>1900</v>
      </c>
      <c r="WA100">
        <v>373830.515114018</v>
      </c>
      <c r="WB100">
        <v>408936.008875456</v>
      </c>
      <c r="WC100">
        <v>81846.8983108401</v>
      </c>
      <c r="WD100">
        <v>209166.267841322</v>
      </c>
      <c r="WE100">
        <v>344827.922663635</v>
      </c>
      <c r="WF100" t="s">
        <v>1900</v>
      </c>
      <c r="WG100" t="s">
        <v>1900</v>
      </c>
      <c r="WH100" t="s">
        <v>1900</v>
      </c>
      <c r="WI100" t="s">
        <v>1900</v>
      </c>
      <c r="WJ100" t="s">
        <v>1900</v>
      </c>
      <c r="WK100" t="s">
        <v>1900</v>
      </c>
      <c r="WL100" t="s">
        <v>1900</v>
      </c>
      <c r="WM100" t="s">
        <v>1900</v>
      </c>
      <c r="WN100" t="s">
        <v>1900</v>
      </c>
      <c r="WO100" t="s">
        <v>1900</v>
      </c>
      <c r="WP100" t="s">
        <v>1900</v>
      </c>
      <c r="WQ100" t="s">
        <v>1900</v>
      </c>
      <c r="WR100" t="s">
        <v>1900</v>
      </c>
      <c r="WS100" t="s">
        <v>1900</v>
      </c>
      <c r="WT100" t="s">
        <v>1900</v>
      </c>
      <c r="WU100" t="s">
        <v>1900</v>
      </c>
      <c r="WV100" t="s">
        <v>1900</v>
      </c>
      <c r="WW100" t="s">
        <v>1900</v>
      </c>
      <c r="WX100" t="s">
        <v>1900</v>
      </c>
      <c r="WY100" t="s">
        <v>1900</v>
      </c>
      <c r="WZ100" t="s">
        <v>1900</v>
      </c>
      <c r="XA100" t="s">
        <v>1900</v>
      </c>
      <c r="XB100" t="s">
        <v>1900</v>
      </c>
      <c r="XC100" t="s">
        <v>1900</v>
      </c>
      <c r="XD100" t="s">
        <v>1900</v>
      </c>
      <c r="XE100" t="s">
        <v>1900</v>
      </c>
      <c r="XF100" t="s">
        <v>1900</v>
      </c>
      <c r="XG100" t="s">
        <v>1900</v>
      </c>
      <c r="XH100" t="s">
        <v>1900</v>
      </c>
      <c r="XI100" t="s">
        <v>1900</v>
      </c>
      <c r="XJ100" t="s">
        <v>1900</v>
      </c>
      <c r="XK100" t="s">
        <v>1900</v>
      </c>
      <c r="XL100" t="s">
        <v>1900</v>
      </c>
      <c r="XM100" t="s">
        <v>1900</v>
      </c>
      <c r="XN100" t="s">
        <v>1900</v>
      </c>
      <c r="XO100" t="s">
        <v>1900</v>
      </c>
      <c r="XP100" t="s">
        <v>1900</v>
      </c>
      <c r="XQ100" t="s">
        <v>1900</v>
      </c>
      <c r="XR100" t="s">
        <v>1900</v>
      </c>
      <c r="XS100" t="s">
        <v>1900</v>
      </c>
      <c r="XT100" t="s">
        <v>1900</v>
      </c>
      <c r="XU100" t="s">
        <v>1900</v>
      </c>
      <c r="XV100" t="s">
        <v>1900</v>
      </c>
      <c r="XW100" t="s">
        <v>1900</v>
      </c>
      <c r="XX100" t="s">
        <v>1900</v>
      </c>
      <c r="XY100" t="s">
        <v>1900</v>
      </c>
      <c r="XZ100" t="s">
        <v>1900</v>
      </c>
      <c r="YA100" t="s">
        <v>1900</v>
      </c>
      <c r="YB100" t="s">
        <v>1900</v>
      </c>
      <c r="YC100" t="s">
        <v>1900</v>
      </c>
      <c r="YD100" t="s">
        <v>1900</v>
      </c>
      <c r="YE100" t="s">
        <v>1900</v>
      </c>
      <c r="YF100" t="s">
        <v>1900</v>
      </c>
      <c r="YG100" t="s">
        <v>1900</v>
      </c>
      <c r="YH100" t="s">
        <v>1900</v>
      </c>
      <c r="YI100" t="s">
        <v>1900</v>
      </c>
      <c r="YJ100" t="s">
        <v>1900</v>
      </c>
      <c r="YK100" t="s">
        <v>1900</v>
      </c>
      <c r="YL100" t="s">
        <v>1900</v>
      </c>
      <c r="YM100" t="s">
        <v>1900</v>
      </c>
      <c r="YN100" t="s">
        <v>1900</v>
      </c>
      <c r="YO100" t="s">
        <v>1900</v>
      </c>
      <c r="YP100" t="s">
        <v>1900</v>
      </c>
      <c r="YQ100" t="s">
        <v>1900</v>
      </c>
      <c r="YR100" t="s">
        <v>1900</v>
      </c>
      <c r="YS100" t="s">
        <v>1900</v>
      </c>
      <c r="YT100" t="s">
        <v>1900</v>
      </c>
      <c r="YU100" t="s">
        <v>1900</v>
      </c>
      <c r="YV100" t="s">
        <v>1900</v>
      </c>
      <c r="YW100" t="s">
        <v>1900</v>
      </c>
      <c r="YX100" t="s">
        <v>1900</v>
      </c>
      <c r="YY100" t="s">
        <v>1900</v>
      </c>
      <c r="YZ100" t="s">
        <v>1900</v>
      </c>
      <c r="ZA100" t="s">
        <v>1900</v>
      </c>
      <c r="ZB100" t="s">
        <v>1900</v>
      </c>
      <c r="ZC100" t="s">
        <v>1900</v>
      </c>
      <c r="ZD100" t="s">
        <v>1900</v>
      </c>
      <c r="ZE100" t="s">
        <v>1900</v>
      </c>
      <c r="ZF100" t="s">
        <v>1900</v>
      </c>
      <c r="ZG100" t="s">
        <v>1900</v>
      </c>
      <c r="ZH100" t="s">
        <v>1900</v>
      </c>
      <c r="ZI100" t="s">
        <v>1900</v>
      </c>
      <c r="ZJ100" t="s">
        <v>1900</v>
      </c>
      <c r="ZK100" t="s">
        <v>1900</v>
      </c>
      <c r="ZL100" t="s">
        <v>1900</v>
      </c>
      <c r="ZM100" t="s">
        <v>1900</v>
      </c>
      <c r="ZN100" t="s">
        <v>1900</v>
      </c>
      <c r="ZO100" t="s">
        <v>1900</v>
      </c>
      <c r="ZP100" t="s">
        <v>1900</v>
      </c>
      <c r="ZQ100" t="s">
        <v>1900</v>
      </c>
      <c r="ZR100" t="s">
        <v>1900</v>
      </c>
      <c r="ZS100" t="s">
        <v>1900</v>
      </c>
      <c r="ZT100" t="s">
        <v>1900</v>
      </c>
      <c r="ZU100" t="s">
        <v>1900</v>
      </c>
      <c r="ZV100" t="s">
        <v>1900</v>
      </c>
      <c r="ZW100" t="s">
        <v>1900</v>
      </c>
      <c r="ZX100" t="s">
        <v>1900</v>
      </c>
      <c r="ZY100" t="s">
        <v>1900</v>
      </c>
      <c r="ZZ100" t="s">
        <v>1900</v>
      </c>
      <c r="AAA100" t="s">
        <v>1900</v>
      </c>
      <c r="AAB100" t="s">
        <v>1900</v>
      </c>
      <c r="AAC100" t="s">
        <v>1900</v>
      </c>
      <c r="AAD100" t="s">
        <v>1900</v>
      </c>
      <c r="AAE100" t="s">
        <v>1900</v>
      </c>
      <c r="AAF100" t="s">
        <v>1900</v>
      </c>
      <c r="AAG100" t="s">
        <v>1900</v>
      </c>
      <c r="AAH100" t="s">
        <v>1900</v>
      </c>
      <c r="AAI100" t="s">
        <v>1900</v>
      </c>
      <c r="AAJ100" t="s">
        <v>1900</v>
      </c>
      <c r="AAK100" t="s">
        <v>1900</v>
      </c>
      <c r="AAL100" t="s">
        <v>1900</v>
      </c>
      <c r="AAM100" t="s">
        <v>1900</v>
      </c>
      <c r="AAN100" t="s">
        <v>1900</v>
      </c>
      <c r="AAO100" t="s">
        <v>1900</v>
      </c>
      <c r="AAP100" t="s">
        <v>1900</v>
      </c>
      <c r="AAQ100" t="s">
        <v>1900</v>
      </c>
      <c r="AAR100" t="s">
        <v>1900</v>
      </c>
      <c r="AAS100" t="s">
        <v>1900</v>
      </c>
      <c r="AAT100" t="s">
        <v>1900</v>
      </c>
      <c r="AAU100" t="s">
        <v>1900</v>
      </c>
      <c r="AAV100" t="s">
        <v>1900</v>
      </c>
      <c r="AAW100" t="s">
        <v>1900</v>
      </c>
      <c r="AAX100" t="s">
        <v>1900</v>
      </c>
      <c r="AAY100" t="s">
        <v>1900</v>
      </c>
      <c r="AAZ100" t="s">
        <v>1900</v>
      </c>
      <c r="ABA100" t="s">
        <v>1900</v>
      </c>
      <c r="ABB100" t="s">
        <v>1900</v>
      </c>
      <c r="ABC100" t="s">
        <v>1900</v>
      </c>
      <c r="ABD100" t="s">
        <v>1900</v>
      </c>
      <c r="ABE100" t="s">
        <v>1900</v>
      </c>
      <c r="ABF100" t="s">
        <v>1900</v>
      </c>
      <c r="ABG100" t="s">
        <v>1900</v>
      </c>
      <c r="ABH100" t="s">
        <v>1900</v>
      </c>
      <c r="ABI100" t="s">
        <v>1900</v>
      </c>
      <c r="ABJ100" t="s">
        <v>1900</v>
      </c>
      <c r="ABK100" t="s">
        <v>1900</v>
      </c>
      <c r="ABL100" t="s">
        <v>1900</v>
      </c>
      <c r="ABM100" t="s">
        <v>1900</v>
      </c>
      <c r="ABN100" t="s">
        <v>1900</v>
      </c>
      <c r="ABO100" t="s">
        <v>1900</v>
      </c>
      <c r="ABP100" t="s">
        <v>1900</v>
      </c>
      <c r="ABQ100" t="s">
        <v>1900</v>
      </c>
      <c r="ABR100" t="s">
        <v>1900</v>
      </c>
      <c r="ABS100" t="s">
        <v>1900</v>
      </c>
      <c r="ABT100" t="s">
        <v>1900</v>
      </c>
      <c r="ABU100" t="s">
        <v>1900</v>
      </c>
      <c r="ABV100" t="s">
        <v>1900</v>
      </c>
      <c r="ABW100" t="s">
        <v>1900</v>
      </c>
      <c r="ABX100" t="s">
        <v>1900</v>
      </c>
      <c r="ABY100" t="s">
        <v>1900</v>
      </c>
      <c r="ABZ100" t="s">
        <v>1900</v>
      </c>
      <c r="ACA100" t="s">
        <v>1900</v>
      </c>
      <c r="ACB100" t="s">
        <v>1900</v>
      </c>
      <c r="ACC100" t="s">
        <v>1900</v>
      </c>
      <c r="ACD100" t="s">
        <v>1900</v>
      </c>
      <c r="ACE100">
        <v>57.676</v>
      </c>
      <c r="ACF100">
        <v>7.784</v>
      </c>
      <c r="ACG100">
        <v>21.435</v>
      </c>
      <c r="ACH100">
        <v>16.471</v>
      </c>
      <c r="ACI100">
        <v>4.337</v>
      </c>
      <c r="ACJ100">
        <v>60.287</v>
      </c>
      <c r="ACK100">
        <v>7.796</v>
      </c>
      <c r="ACL100" t="s">
        <v>1900</v>
      </c>
      <c r="ACM100">
        <v>16.672</v>
      </c>
      <c r="ACN100">
        <v>5.206</v>
      </c>
      <c r="ACO100">
        <v>10.547</v>
      </c>
      <c r="ACP100">
        <v>1.689</v>
      </c>
      <c r="ACQ100">
        <v>10.073</v>
      </c>
      <c r="ACR100">
        <v>4.962</v>
      </c>
      <c r="ACS100">
        <v>0.882</v>
      </c>
      <c r="ACT100">
        <v>43.86</v>
      </c>
      <c r="ACU100">
        <v>5.005</v>
      </c>
      <c r="ACV100">
        <v>16.259</v>
      </c>
      <c r="ACW100">
        <v>12.411</v>
      </c>
      <c r="ACX100">
        <v>3.352</v>
      </c>
      <c r="ACY100">
        <v>46.471</v>
      </c>
      <c r="ACZ100">
        <v>5.017</v>
      </c>
      <c r="ADA100" t="s">
        <v>1900</v>
      </c>
      <c r="ADB100">
        <v>12.612</v>
      </c>
      <c r="ADC100">
        <v>4.221</v>
      </c>
      <c r="ADD100">
        <v>8.021000000000001</v>
      </c>
      <c r="ADE100">
        <v>1.086</v>
      </c>
      <c r="ADF100">
        <v>7.641</v>
      </c>
      <c r="ADG100">
        <v>3.739</v>
      </c>
      <c r="ADH100">
        <v>0.6820000000000001</v>
      </c>
      <c r="ADI100">
        <v>3.43</v>
      </c>
      <c r="ADJ100">
        <v>0.384</v>
      </c>
      <c r="ADK100">
        <v>1.825</v>
      </c>
      <c r="ADL100">
        <v>1.249</v>
      </c>
      <c r="ADM100">
        <v>0.315</v>
      </c>
      <c r="ADN100">
        <v>100</v>
      </c>
      <c r="ADO100">
        <v>100</v>
      </c>
      <c r="ADP100">
        <v>100</v>
      </c>
      <c r="ADQ100">
        <v>100</v>
      </c>
      <c r="ADR100">
        <v>100</v>
      </c>
      <c r="ADS100">
        <v>3.584783653</v>
      </c>
      <c r="ADT100">
        <v>0.38435771</v>
      </c>
      <c r="ADU100">
        <v>1.825150002</v>
      </c>
      <c r="ADV100">
        <v>1.264389818</v>
      </c>
      <c r="ADW100">
        <v>-2.431800759</v>
      </c>
      <c r="ADX100">
        <v>4.649</v>
      </c>
      <c r="ADY100">
        <v>1.264</v>
      </c>
      <c r="ADZ100">
        <v>3.699</v>
      </c>
      <c r="AEA100">
        <v>4.451</v>
      </c>
      <c r="AEB100">
        <v>3.077</v>
      </c>
      <c r="AEC100">
        <v>3.585</v>
      </c>
      <c r="AED100">
        <v>0.384</v>
      </c>
      <c r="AEE100">
        <v>1.825</v>
      </c>
      <c r="AEF100">
        <v>1.264</v>
      </c>
      <c r="AEG100">
        <v>-2.432</v>
      </c>
      <c r="AEH100">
        <v>3.672</v>
      </c>
      <c r="AEI100">
        <v>1.127</v>
      </c>
      <c r="AEJ100">
        <v>3.258</v>
      </c>
      <c r="AEK100">
        <v>4.128</v>
      </c>
      <c r="AEL100">
        <v>5.752</v>
      </c>
      <c r="AEM100">
        <v>3.71806836</v>
      </c>
      <c r="AEN100">
        <v>0.385840719</v>
      </c>
      <c r="AEO100">
        <v>1.859081019</v>
      </c>
      <c r="AEP100">
        <v>1.280581359</v>
      </c>
      <c r="AEQ100">
        <v>-2.374068152</v>
      </c>
      <c r="AER100" t="s">
        <v>1900</v>
      </c>
      <c r="AES100" t="s">
        <v>1900</v>
      </c>
      <c r="AET100" t="s">
        <v>1900</v>
      </c>
      <c r="AEU100" t="s">
        <v>1900</v>
      </c>
      <c r="AEV100" t="s">
        <v>1900</v>
      </c>
      <c r="AEW100" t="s">
        <v>1900</v>
      </c>
      <c r="AEX100" t="s">
        <v>1900</v>
      </c>
      <c r="AEY100" t="s">
        <v>1900</v>
      </c>
      <c r="AEZ100" t="s">
        <v>1900</v>
      </c>
      <c r="AFA100" t="s">
        <v>1900</v>
      </c>
      <c r="AFB100" t="s">
        <v>1900</v>
      </c>
      <c r="AFC100" t="s">
        <v>1900</v>
      </c>
      <c r="AFD100" t="s">
        <v>1900</v>
      </c>
      <c r="AFE100" t="s">
        <v>1900</v>
      </c>
      <c r="AFF100" t="s">
        <v>1900</v>
      </c>
      <c r="AFG100">
        <v>16.817</v>
      </c>
      <c r="AFH100">
        <v>20.282</v>
      </c>
      <c r="AFI100">
        <v>11.744</v>
      </c>
      <c r="AFJ100">
        <v>13.186</v>
      </c>
      <c r="AFK100">
        <v>13.788</v>
      </c>
      <c r="AFL100">
        <v>23.086</v>
      </c>
      <c r="AFM100">
        <v>653.351</v>
      </c>
      <c r="AFN100" t="s">
        <v>1900</v>
      </c>
      <c r="AFO100">
        <v>83.001</v>
      </c>
      <c r="AFP100">
        <v>-38.585</v>
      </c>
      <c r="AFQ100" t="s">
        <v>1901</v>
      </c>
      <c r="AFR100" t="s">
        <v>1901</v>
      </c>
      <c r="AFS100" t="s">
        <v>1901</v>
      </c>
      <c r="AFT100" t="s">
        <v>1901</v>
      </c>
      <c r="AFU100" t="s">
        <v>1901</v>
      </c>
      <c r="AFV100">
        <v>85.462</v>
      </c>
      <c r="AFW100">
        <v>40.934</v>
      </c>
      <c r="AFX100">
        <v>0.5629999999999999</v>
      </c>
      <c r="AFY100">
        <v>44.512</v>
      </c>
      <c r="AFZ100">
        <v>64.52</v>
      </c>
      <c r="AGA100">
        <v>7.193</v>
      </c>
      <c r="AGB100">
        <v>5.253</v>
      </c>
      <c r="AGC100">
        <v>12.409</v>
      </c>
      <c r="AGD100">
        <v>6.59</v>
      </c>
      <c r="AGE100">
        <v>0.334</v>
      </c>
      <c r="AGF100" t="s">
        <v>1900</v>
      </c>
      <c r="AGG100" t="s">
        <v>1900</v>
      </c>
      <c r="AGH100" t="s">
        <v>1900</v>
      </c>
      <c r="AGI100" t="s">
        <v>1900</v>
      </c>
      <c r="AGJ100" t="s">
        <v>1900</v>
      </c>
      <c r="AGK100" t="s">
        <v>1900</v>
      </c>
      <c r="AGL100" t="s">
        <v>1900</v>
      </c>
      <c r="AGM100" t="s">
        <v>1900</v>
      </c>
      <c r="AGN100" t="s">
        <v>1900</v>
      </c>
      <c r="AGO100" t="s">
        <v>1900</v>
      </c>
      <c r="AGP100" t="s">
        <v>1900</v>
      </c>
      <c r="AGQ100" t="s">
        <v>1900</v>
      </c>
      <c r="AGR100" t="s">
        <v>1900</v>
      </c>
      <c r="AGS100" t="s">
        <v>1900</v>
      </c>
      <c r="AGT100" t="s">
        <v>1900</v>
      </c>
      <c r="AGU100">
        <v>0</v>
      </c>
      <c r="AGV100">
        <v>0</v>
      </c>
      <c r="AGW100">
        <v>0</v>
      </c>
      <c r="AGX100">
        <v>0</v>
      </c>
      <c r="AGY100">
        <v>0</v>
      </c>
      <c r="AGZ100">
        <v>1.095</v>
      </c>
      <c r="AHA100">
        <v>0.997</v>
      </c>
      <c r="AHB100">
        <v>1.659</v>
      </c>
      <c r="AHC100">
        <v>1.198</v>
      </c>
      <c r="AHD100">
        <v>1.011</v>
      </c>
      <c r="AHE100">
        <v>1.095</v>
      </c>
      <c r="AHF100">
        <v>0.997</v>
      </c>
      <c r="AHG100">
        <v>1.659</v>
      </c>
      <c r="AHH100">
        <v>1.198</v>
      </c>
      <c r="AHI100">
        <v>1.011</v>
      </c>
      <c r="AHJ100" t="s">
        <v>1901</v>
      </c>
      <c r="AHK100" t="s">
        <v>1901</v>
      </c>
      <c r="AHL100" t="s">
        <v>1901</v>
      </c>
      <c r="AHM100" t="s">
        <v>1901</v>
      </c>
      <c r="AHN100" t="s">
        <v>1901</v>
      </c>
      <c r="AHO100">
        <v>18.287</v>
      </c>
      <c r="AHP100">
        <v>21.699</v>
      </c>
      <c r="AHQ100">
        <v>46.996</v>
      </c>
      <c r="AHR100">
        <v>30.126</v>
      </c>
      <c r="AHS100">
        <v>20.34</v>
      </c>
      <c r="AHT100">
        <v>22.38</v>
      </c>
      <c r="AHU100">
        <v>27.712</v>
      </c>
      <c r="AHV100">
        <v>88.664</v>
      </c>
      <c r="AHW100">
        <v>43.115</v>
      </c>
      <c r="AHX100">
        <v>25.533</v>
      </c>
      <c r="AHY100">
        <v>232.415</v>
      </c>
      <c r="AHZ100">
        <v>0</v>
      </c>
      <c r="AIA100">
        <v>0</v>
      </c>
      <c r="AIB100">
        <v>0</v>
      </c>
      <c r="AIC100">
        <v>29.369</v>
      </c>
      <c r="AID100">
        <v>0.122305178</v>
      </c>
      <c r="AIE100">
        <v>0.256562128</v>
      </c>
      <c r="AIF100">
        <v>1.153126568</v>
      </c>
      <c r="AIG100">
        <v>0.750520431</v>
      </c>
      <c r="AIH100">
        <v>0.446129039</v>
      </c>
      <c r="AII100">
        <v>16.494551349</v>
      </c>
      <c r="AIJ100">
        <v>28.027514396</v>
      </c>
      <c r="AIK100">
        <v>87.095905976</v>
      </c>
      <c r="AIL100">
        <v>34.591299008</v>
      </c>
      <c r="AIM100">
        <v>30.284513152</v>
      </c>
      <c r="AIN100">
        <v>33.066697698</v>
      </c>
      <c r="AIO100">
        <v>71.879595869</v>
      </c>
      <c r="AIP100">
        <v>33.980532653</v>
      </c>
      <c r="AIQ100">
        <v>62.602550713</v>
      </c>
      <c r="AIR100">
        <v>73.42653273400001</v>
      </c>
      <c r="AIS100" t="s">
        <v>1900</v>
      </c>
      <c r="AIT100" t="s">
        <v>1900</v>
      </c>
      <c r="AIU100" t="s">
        <v>1900</v>
      </c>
      <c r="AIV100" t="s">
        <v>1900</v>
      </c>
      <c r="AIW100" t="s">
        <v>1900</v>
      </c>
      <c r="AIX100">
        <v>2.29305594997847</v>
      </c>
      <c r="AIY100">
        <v>0.259700531550407</v>
      </c>
      <c r="AIZ100">
        <v>1.73308337728739</v>
      </c>
      <c r="AJA100">
        <v>0.592105319137573</v>
      </c>
      <c r="AJB100">
        <v>0.345235798199773</v>
      </c>
      <c r="AJC100">
        <v>66.8626591819047</v>
      </c>
      <c r="AJD100">
        <v>67.6708944748659</v>
      </c>
      <c r="AJE100">
        <v>94.9556598722136</v>
      </c>
      <c r="AJF100">
        <v>47.4004430090976</v>
      </c>
      <c r="AJG100">
        <v>109.754826635145</v>
      </c>
      <c r="AJH100">
        <v>70.22499999999999</v>
      </c>
      <c r="AJI100">
        <v>71.322</v>
      </c>
      <c r="AJJ100">
        <v>44.804</v>
      </c>
      <c r="AJK100">
        <v>51.017</v>
      </c>
      <c r="AJL100">
        <v>58.72</v>
      </c>
      <c r="AJM100">
        <v>46.9544901211991</v>
      </c>
      <c r="AJN100">
        <v>48.2640989503345</v>
      </c>
      <c r="AJO100">
        <v>42.5443220001447</v>
      </c>
      <c r="AJP100">
        <v>24.1821468994761</v>
      </c>
      <c r="AJQ100">
        <v>64.4476994160545</v>
      </c>
      <c r="AJR100">
        <v>3.97578750886464</v>
      </c>
      <c r="AJS100">
        <v>3.33648159237194</v>
      </c>
      <c r="AJT100">
        <v>8.08539155192614</v>
      </c>
      <c r="AJU100">
        <v>3.59487337589264</v>
      </c>
      <c r="AJV100">
        <v>7.96002995120108</v>
      </c>
      <c r="AJW100">
        <v>14.5369566220914</v>
      </c>
      <c r="AJX100">
        <v>6.70720715011215</v>
      </c>
      <c r="AJY100">
        <v>-3.1244912079066</v>
      </c>
      <c r="AJZ100">
        <v>4.99307751626015</v>
      </c>
      <c r="AKA100">
        <v>19.5686016119957</v>
      </c>
      <c r="AKB100">
        <v>21.7410538091377</v>
      </c>
      <c r="AKC100">
        <v>15.3761636706333</v>
      </c>
      <c r="AKD100">
        <v>17.2045771916503</v>
      </c>
      <c r="AKE100">
        <v>11.9327789655662</v>
      </c>
      <c r="AKF100">
        <v>39.1352545903039</v>
      </c>
      <c r="AKG100" t="s">
        <v>1900</v>
      </c>
      <c r="AKH100" t="s">
        <v>1900</v>
      </c>
      <c r="AKI100" t="s">
        <v>1900</v>
      </c>
      <c r="AKJ100" t="s">
        <v>1900</v>
      </c>
      <c r="AKK100" t="s">
        <v>1900</v>
      </c>
      <c r="AKL100">
        <v>0</v>
      </c>
      <c r="AKM100">
        <v>0</v>
      </c>
      <c r="AKN100">
        <v>0</v>
      </c>
      <c r="AKO100">
        <v>0</v>
      </c>
      <c r="AKP100">
        <v>0</v>
      </c>
      <c r="AKQ100">
        <v>0</v>
      </c>
      <c r="AKR100">
        <v>0</v>
      </c>
      <c r="AKS100">
        <v>0</v>
      </c>
      <c r="AKT100">
        <v>0</v>
      </c>
      <c r="AKU100">
        <v>0</v>
      </c>
      <c r="AKV100">
        <v>1.95014411</v>
      </c>
      <c r="AKW100">
        <v>3.080635098</v>
      </c>
      <c r="AKX100">
        <v>0.710608337</v>
      </c>
      <c r="AKY100">
        <v>2.38048821</v>
      </c>
      <c r="AKZ100">
        <v>5.380849113</v>
      </c>
      <c r="ALA100">
        <v>5.99749332</v>
      </c>
      <c r="ALB100">
        <v>13.5579546</v>
      </c>
      <c r="ALC100">
        <v>3.921995994</v>
      </c>
      <c r="ALD100">
        <v>9.455986586</v>
      </c>
      <c r="ALE100">
        <v>15.090592117</v>
      </c>
      <c r="ALF100">
        <v>1.423251174</v>
      </c>
      <c r="ALG100">
        <v>1.844072047</v>
      </c>
      <c r="ALH100">
        <v>1.262119651</v>
      </c>
      <c r="ALI100">
        <v>1.532466774</v>
      </c>
      <c r="ALJ100">
        <v>1.39638319</v>
      </c>
      <c r="ALK100">
        <v>4.377081348</v>
      </c>
      <c r="ALL100">
        <v>8.115808686999999</v>
      </c>
      <c r="ALM100">
        <v>6.965902252</v>
      </c>
      <c r="ALN100">
        <v>6.087400559</v>
      </c>
      <c r="ALO100">
        <v>3.916156859</v>
      </c>
      <c r="ALP100">
        <v>23.739456253</v>
      </c>
      <c r="ALQ100">
        <v>11.370567287</v>
      </c>
      <c r="ALR100">
        <v>0.156375523</v>
      </c>
      <c r="ALS100">
        <v>12.364356231</v>
      </c>
      <c r="ALT100">
        <v>17.922127379</v>
      </c>
      <c r="ALU100">
        <v>8.416111015</v>
      </c>
      <c r="ALV100">
        <v>12.831880836</v>
      </c>
      <c r="ALW100" t="s">
        <v>1901</v>
      </c>
      <c r="ALX100">
        <v>14.804938541</v>
      </c>
      <c r="ALY100">
        <v>0.517519289</v>
      </c>
      <c r="ALZ100">
        <v>100</v>
      </c>
      <c r="AMA100">
        <v>100</v>
      </c>
      <c r="AMB100">
        <v>100</v>
      </c>
      <c r="AMC100">
        <v>100</v>
      </c>
      <c r="AMD100">
        <v>100</v>
      </c>
      <c r="AME100" t="s">
        <v>1900</v>
      </c>
      <c r="AMF100" t="s">
        <v>1900</v>
      </c>
      <c r="AMG100" t="s">
        <v>1900</v>
      </c>
      <c r="AMH100">
        <v>100</v>
      </c>
      <c r="AMI100">
        <v>100</v>
      </c>
      <c r="AMJ100" t="s">
        <v>1900</v>
      </c>
      <c r="AMK100" t="s">
        <v>1900</v>
      </c>
      <c r="AML100" t="s">
        <v>1900</v>
      </c>
      <c r="AMM100" t="s">
        <v>1900</v>
      </c>
      <c r="AMN100" t="s">
        <v>1900</v>
      </c>
      <c r="AMO100">
        <v>1.03718068359793</v>
      </c>
      <c r="AMP100">
        <v>1.00385840763071</v>
      </c>
      <c r="AMQ100">
        <v>1.01859081018867</v>
      </c>
      <c r="AMR100">
        <v>1.0128058135858</v>
      </c>
      <c r="AMS100">
        <v>0.976259318480546</v>
      </c>
      <c r="AMT100">
        <v>1.03718068359793</v>
      </c>
      <c r="AMU100">
        <v>1.00385840718768</v>
      </c>
      <c r="AMV100">
        <v>1.01859081018867</v>
      </c>
      <c r="AMW100">
        <v>1.0128058135858</v>
      </c>
      <c r="AMX100">
        <v>0.976259318480546</v>
      </c>
      <c r="AMY100" t="s">
        <v>1900</v>
      </c>
      <c r="AMZ100" t="s">
        <v>1900</v>
      </c>
      <c r="ANA100" t="s">
        <v>1900</v>
      </c>
      <c r="ANB100" t="s">
        <v>1900</v>
      </c>
      <c r="ANC100" t="s">
        <v>1900</v>
      </c>
      <c r="AND100">
        <v>3.5847836530225</v>
      </c>
      <c r="ANE100">
        <v>0.384357710046848</v>
      </c>
      <c r="ANF100">
        <v>1.82515000162111</v>
      </c>
      <c r="ANG100">
        <v>1.26438981826756</v>
      </c>
      <c r="ANH100">
        <v>-2.43180075929044</v>
      </c>
      <c r="ANI100" t="s">
        <v>1900</v>
      </c>
      <c r="ANJ100" t="s">
        <v>1900</v>
      </c>
      <c r="ANK100" t="s">
        <v>1900</v>
      </c>
      <c r="ANL100">
        <v>1.26438981826756</v>
      </c>
      <c r="ANM100">
        <v>-2.43180075929044</v>
      </c>
      <c r="ANN100">
        <v>3.71806835979255</v>
      </c>
      <c r="ANO100">
        <v>0.385840718597277</v>
      </c>
      <c r="ANP100">
        <v>1.8590810188671</v>
      </c>
      <c r="ANQ100">
        <v>1.28058135858008</v>
      </c>
      <c r="ANR100">
        <v>-2.37406815194536</v>
      </c>
      <c r="ANS100">
        <v>60.2869648962223</v>
      </c>
      <c r="ANT100">
        <v>7.79558511218209</v>
      </c>
      <c r="ANU100">
        <v>21.4347466183348</v>
      </c>
      <c r="ANV100">
        <v>16.6716982482332</v>
      </c>
      <c r="ANW100">
        <v>-33.5302611430274</v>
      </c>
      <c r="ANX100" t="s">
        <v>1900</v>
      </c>
      <c r="ANY100" t="s">
        <v>1900</v>
      </c>
      <c r="ANZ100" t="s">
        <v>1900</v>
      </c>
      <c r="AOA100" t="s">
        <v>1900</v>
      </c>
      <c r="AOB100" t="s">
        <v>1900</v>
      </c>
      <c r="AOC100">
        <v>103.718068359793</v>
      </c>
      <c r="AOD100">
        <v>100.385840718597</v>
      </c>
      <c r="AOE100">
        <v>101.859081018867</v>
      </c>
      <c r="AOF100">
        <v>101.28058135858</v>
      </c>
      <c r="AOG100">
        <v>97.62593184805461</v>
      </c>
      <c r="AOH100" t="s">
        <v>1901</v>
      </c>
      <c r="AOI100" t="s">
        <v>1901</v>
      </c>
      <c r="AOJ100" t="s">
        <v>1901</v>
      </c>
      <c r="AOK100" t="s">
        <v>1901</v>
      </c>
      <c r="AOL100" t="s">
        <v>1901</v>
      </c>
      <c r="AOM100" t="s">
        <v>1900</v>
      </c>
      <c r="AON100" t="s">
        <v>1900</v>
      </c>
      <c r="AOO100" t="s">
        <v>1900</v>
      </c>
      <c r="AOP100" t="s">
        <v>1900</v>
      </c>
      <c r="AOQ100" t="s">
        <v>1900</v>
      </c>
      <c r="AOR100">
        <v>3.71806835979255</v>
      </c>
      <c r="AOS100">
        <v>0.385840718768215</v>
      </c>
      <c r="AOT100">
        <v>1.8590810188671</v>
      </c>
      <c r="AOU100">
        <v>1.28058135858008</v>
      </c>
      <c r="AOV100">
        <v>-2.37406815194536</v>
      </c>
      <c r="AOW100">
        <v>11.0246806359759</v>
      </c>
      <c r="AOX100">
        <v>1.6915682050042</v>
      </c>
      <c r="AOY100">
        <v>10.0733844851949</v>
      </c>
      <c r="AOZ100">
        <v>5.02252147732701</v>
      </c>
      <c r="APA100">
        <v>-6.81998558176833</v>
      </c>
      <c r="APB100">
        <v>2.6079828666681</v>
      </c>
      <c r="APC100">
        <v>0.246780680852407</v>
      </c>
      <c r="APD100">
        <v>1.38445556438536</v>
      </c>
      <c r="APE100">
        <v>0.941229678571599</v>
      </c>
      <c r="APF100">
        <v>0.24311150300784</v>
      </c>
      <c r="APG100" t="s">
        <v>1900</v>
      </c>
      <c r="APH100" t="s">
        <v>1900</v>
      </c>
      <c r="API100" t="s">
        <v>1900</v>
      </c>
      <c r="APJ100">
        <v>0.941229678571599</v>
      </c>
      <c r="APK100">
        <v>0.24311150300784</v>
      </c>
      <c r="APL100" t="s">
        <v>1900</v>
      </c>
      <c r="APM100" t="s">
        <v>1900</v>
      </c>
      <c r="APN100" t="s">
        <v>1900</v>
      </c>
      <c r="APO100" t="s">
        <v>1900</v>
      </c>
      <c r="APP100" t="s">
        <v>1900</v>
      </c>
      <c r="APQ100">
        <v>2.7049494524625</v>
      </c>
      <c r="APR100">
        <v>0.247732861314519</v>
      </c>
      <c r="APS100">
        <v>1.4101937149975</v>
      </c>
      <c r="APT100">
        <v>0.953282890376811</v>
      </c>
      <c r="APU100">
        <v>0.237339870241216</v>
      </c>
      <c r="APV100">
        <v>2.7049494524625</v>
      </c>
      <c r="APW100">
        <v>0.247732861204767</v>
      </c>
      <c r="APX100">
        <v>1.4101937149975</v>
      </c>
      <c r="APY100">
        <v>0.953282890376811</v>
      </c>
      <c r="APZ100">
        <v>0.237339870241216</v>
      </c>
      <c r="AQA100">
        <v>8.020617418535251</v>
      </c>
      <c r="AQB100">
        <v>1.08608814764855</v>
      </c>
      <c r="AQC100">
        <v>7.64109973993056</v>
      </c>
      <c r="AQD100">
        <v>3.73883608316362</v>
      </c>
      <c r="AQE100">
        <v>0.681806245409382</v>
      </c>
      <c r="AQF100" t="s">
        <v>1900</v>
      </c>
      <c r="AQG100" t="s">
        <v>1900</v>
      </c>
      <c r="AQH100" t="s">
        <v>1900</v>
      </c>
      <c r="AQI100" t="s">
        <v>1900</v>
      </c>
      <c r="AQJ100" t="s">
        <v>1900</v>
      </c>
      <c r="AQK100">
        <v>5</v>
      </c>
      <c r="AQO100" t="s">
        <v>1902</v>
      </c>
      <c r="AQP100">
        <v>2</v>
      </c>
      <c r="AQQ100">
        <v>0</v>
      </c>
      <c r="AQS100" t="s">
        <v>1905</v>
      </c>
      <c r="AQU100" t="s">
        <v>1906</v>
      </c>
      <c r="AQV100">
        <v>3476858.30031483</v>
      </c>
      <c r="AQW100">
        <v>2503823.10993505</v>
      </c>
      <c r="AQX100">
        <v>1329379.23607779</v>
      </c>
      <c r="AQY100">
        <v>124637.847988442</v>
      </c>
      <c r="AQZ100">
        <v>9623.63716897011</v>
      </c>
      <c r="ARA100">
        <v>24263.1651488244</v>
      </c>
      <c r="ARB100">
        <v>7310060.64632767</v>
      </c>
      <c r="ARC100">
        <v>158524.6503062365</v>
      </c>
      <c r="ARD100">
        <v>0.02216651784937215</v>
      </c>
      <c r="ARE100">
        <v>0.02216651784937215</v>
      </c>
      <c r="ARF100">
        <v>0.02216651784937215</v>
      </c>
      <c r="ARG100">
        <v>0.02216651784937215</v>
      </c>
      <c r="ARH100">
        <v>0.02216651784937215</v>
      </c>
      <c r="ARI100">
        <v>0.02216651784937215</v>
      </c>
      <c r="ARJ100" t="s">
        <v>1261</v>
      </c>
      <c r="ARK100" t="s">
        <v>1599</v>
      </c>
      <c r="ARL100" t="s">
        <v>1908</v>
      </c>
      <c r="ARM100" t="s">
        <v>1908</v>
      </c>
      <c r="ARN100" t="s">
        <v>1909</v>
      </c>
      <c r="ARO100" t="s">
        <v>1908</v>
      </c>
      <c r="ARP100" t="s">
        <v>1907</v>
      </c>
      <c r="ARQ100" t="s">
        <v>1993</v>
      </c>
      <c r="ARR100">
        <f>HYPERLINK("C:\Users\Usuario\Documents\Proyectos\llmthon\evidence\rmotion_es_235831.png", "Ver Evidencia")</f>
        <v>0</v>
      </c>
      <c r="ARS100">
        <v>100</v>
      </c>
    </row>
    <row r="101" spans="1:1163">
      <c r="A101">
        <v>420</v>
      </c>
      <c r="B101" t="s">
        <v>1262</v>
      </c>
      <c r="C101" t="s">
        <v>1385</v>
      </c>
      <c r="D101" t="s">
        <v>1424</v>
      </c>
      <c r="E101" s="2">
        <v>33603</v>
      </c>
      <c r="F101" t="s">
        <v>1431</v>
      </c>
      <c r="G101" t="s">
        <v>1433</v>
      </c>
      <c r="H101" t="s">
        <v>1434</v>
      </c>
      <c r="I101" t="s">
        <v>1435</v>
      </c>
      <c r="J101" t="s">
        <v>1451</v>
      </c>
      <c r="L101" t="s">
        <v>1600</v>
      </c>
      <c r="N101" t="s">
        <v>1626</v>
      </c>
      <c r="O101" t="s">
        <v>1650</v>
      </c>
      <c r="P101">
        <v>6920</v>
      </c>
      <c r="Q101">
        <v>6920</v>
      </c>
      <c r="R101" t="s">
        <v>1768</v>
      </c>
      <c r="S101" t="s">
        <v>1809</v>
      </c>
      <c r="Z101" t="s">
        <v>1899</v>
      </c>
      <c r="AA101" s="2">
        <v>45291</v>
      </c>
      <c r="AB101">
        <v>2023</v>
      </c>
      <c r="AC101" t="s">
        <v>1900</v>
      </c>
      <c r="AD101">
        <v>1674606.12944265</v>
      </c>
      <c r="AE101">
        <v>1537007.993512</v>
      </c>
      <c r="AF101">
        <v>1611684.29137051</v>
      </c>
      <c r="AG101">
        <v>1626301.43880234</v>
      </c>
      <c r="AH101" t="s">
        <v>1900</v>
      </c>
      <c r="AI101">
        <v>1652528.21953436</v>
      </c>
      <c r="AJ101">
        <v>1514246.76043257</v>
      </c>
      <c r="AK101">
        <v>1571086.23334944</v>
      </c>
      <c r="AL101">
        <v>1566625.90770108</v>
      </c>
      <c r="AM101" t="s">
        <v>1900</v>
      </c>
      <c r="AN101">
        <v>66986.5776127529</v>
      </c>
      <c r="AO101">
        <v>72539.3245365024</v>
      </c>
      <c r="AP101">
        <v>75889.4645395517</v>
      </c>
      <c r="AQ101">
        <v>133609.895934033</v>
      </c>
      <c r="AR101" t="s">
        <v>1900</v>
      </c>
      <c r="AS101">
        <v>1607619.5518299</v>
      </c>
      <c r="AT101">
        <v>1464468.6689755</v>
      </c>
      <c r="AU101">
        <v>1535794.82683096</v>
      </c>
      <c r="AV101">
        <v>1492691.54164121</v>
      </c>
      <c r="AW101" t="s">
        <v>1900</v>
      </c>
      <c r="AX101">
        <v>1577691.91619375</v>
      </c>
      <c r="AY101">
        <v>1402873.77511799</v>
      </c>
      <c r="AZ101">
        <v>1487256.41385634</v>
      </c>
      <c r="BA101">
        <v>1711885.34568732</v>
      </c>
      <c r="BB101" t="s">
        <v>1900</v>
      </c>
      <c r="BC101">
        <v>29927.6345311546</v>
      </c>
      <c r="BD101">
        <v>61594.8938575089</v>
      </c>
      <c r="BE101">
        <v>48538.4129746199</v>
      </c>
      <c r="BF101">
        <v>-219193.802819014</v>
      </c>
      <c r="BG101" t="s">
        <v>1900</v>
      </c>
      <c r="BH101">
        <v>4740.62671753502</v>
      </c>
      <c r="BI101">
        <v>-3176.14128812552</v>
      </c>
      <c r="BJ101">
        <v>-4049.87289741039</v>
      </c>
      <c r="BK101">
        <v>-2834.37850381136</v>
      </c>
      <c r="BL101" t="s">
        <v>1900</v>
      </c>
      <c r="BM101">
        <v>9082.615666166301</v>
      </c>
      <c r="BN101">
        <v>751.5899953961371</v>
      </c>
      <c r="BO101">
        <v>826.968114495277</v>
      </c>
      <c r="BP101">
        <v>2123.31127277017</v>
      </c>
      <c r="BQ101" t="s">
        <v>1900</v>
      </c>
      <c r="BR101">
        <v>4341.98894863129</v>
      </c>
      <c r="BS101">
        <v>3927.73128352165</v>
      </c>
      <c r="BT101">
        <v>4876.84101190567</v>
      </c>
      <c r="BU101">
        <v>4957.68977658153</v>
      </c>
      <c r="BV101" t="s">
        <v>1900</v>
      </c>
      <c r="BW101">
        <v>34668.2634586906</v>
      </c>
      <c r="BX101">
        <v>58418.7525693834</v>
      </c>
      <c r="BY101">
        <v>44488.5400772095</v>
      </c>
      <c r="BZ101">
        <v>-222028.181322825</v>
      </c>
      <c r="CA101" t="s">
        <v>1900</v>
      </c>
      <c r="CB101">
        <v>8667.07138967514</v>
      </c>
      <c r="CC101">
        <v>14604.6908088446</v>
      </c>
      <c r="CD101">
        <v>11122.1350193024</v>
      </c>
      <c r="CE101">
        <v>-55507.0514662027</v>
      </c>
      <c r="CF101" t="s">
        <v>1900</v>
      </c>
      <c r="CG101">
        <v>26001.1920690155</v>
      </c>
      <c r="CH101">
        <v>43814.0617605388</v>
      </c>
      <c r="CI101">
        <v>33366.4050579071</v>
      </c>
      <c r="CJ101">
        <v>-166521.129856622</v>
      </c>
      <c r="CK101" t="s">
        <v>1900</v>
      </c>
      <c r="CL101" t="s">
        <v>1900</v>
      </c>
      <c r="CM101" t="s">
        <v>1900</v>
      </c>
      <c r="CN101" t="s">
        <v>1900</v>
      </c>
      <c r="CO101" t="s">
        <v>1900</v>
      </c>
      <c r="CP101" t="s">
        <v>1900</v>
      </c>
      <c r="CQ101" t="s">
        <v>1900</v>
      </c>
      <c r="CR101" t="s">
        <v>1900</v>
      </c>
      <c r="CS101" t="s">
        <v>1900</v>
      </c>
      <c r="CT101" t="s">
        <v>1900</v>
      </c>
      <c r="CU101" t="s">
        <v>1900</v>
      </c>
      <c r="CV101" t="s">
        <v>1900</v>
      </c>
      <c r="CW101" t="s">
        <v>1900</v>
      </c>
      <c r="CX101" t="s">
        <v>1900</v>
      </c>
      <c r="CY101" t="s">
        <v>1900</v>
      </c>
      <c r="CZ101" t="s">
        <v>1900</v>
      </c>
      <c r="DA101">
        <v>26001.1920690155</v>
      </c>
      <c r="DB101">
        <v>43814.0617605388</v>
      </c>
      <c r="DC101">
        <v>33366.4050579071</v>
      </c>
      <c r="DD101">
        <v>-166521.129856622</v>
      </c>
      <c r="DE101" t="s">
        <v>1900</v>
      </c>
      <c r="DF101" t="s">
        <v>1900</v>
      </c>
      <c r="DG101" t="s">
        <v>1900</v>
      </c>
      <c r="DH101" t="s">
        <v>1900</v>
      </c>
      <c r="DI101" t="s">
        <v>1900</v>
      </c>
      <c r="DJ101" t="s">
        <v>1900</v>
      </c>
      <c r="DK101">
        <v>66986.5776127529</v>
      </c>
      <c r="DL101">
        <v>72539.3245365024</v>
      </c>
      <c r="DM101">
        <v>75889.4645395517</v>
      </c>
      <c r="DN101">
        <v>72254.9321895897</v>
      </c>
      <c r="DO101" t="s">
        <v>1900</v>
      </c>
      <c r="DP101">
        <v>1058243.3170766</v>
      </c>
      <c r="DQ101">
        <v>930079.148151183</v>
      </c>
      <c r="DR101">
        <v>937174.507574773</v>
      </c>
      <c r="DS101">
        <v>1035088.0775829</v>
      </c>
      <c r="DT101" t="s">
        <v>1900</v>
      </c>
      <c r="DU101">
        <v>11203.600028038</v>
      </c>
      <c r="DV101">
        <v>11915.8254969299</v>
      </c>
      <c r="DW101">
        <v>12530.9991937637</v>
      </c>
      <c r="DX101">
        <v>19231.578789407</v>
      </c>
      <c r="DY101" t="s">
        <v>1900</v>
      </c>
      <c r="DZ101">
        <v>508244.99908911</v>
      </c>
      <c r="EA101">
        <v>460878.800403281</v>
      </c>
      <c r="EB101">
        <v>537550.907087803</v>
      </c>
      <c r="EC101">
        <v>657565.689315015</v>
      </c>
      <c r="ED101" t="s">
        <v>1900</v>
      </c>
      <c r="EE101">
        <v>4341.98894863129</v>
      </c>
      <c r="EF101">
        <v>3927.73128352165</v>
      </c>
      <c r="EG101">
        <v>4876.84101190567</v>
      </c>
      <c r="EH101">
        <v>4957.68977658153</v>
      </c>
      <c r="EI101" t="s">
        <v>1900</v>
      </c>
      <c r="EJ101" t="s">
        <v>1900</v>
      </c>
      <c r="EK101" t="s">
        <v>1900</v>
      </c>
      <c r="EL101" t="s">
        <v>1900</v>
      </c>
      <c r="EM101" t="s">
        <v>1900</v>
      </c>
      <c r="EN101" t="s">
        <v>1900</v>
      </c>
      <c r="EO101">
        <v>37204.790992053</v>
      </c>
      <c r="EP101">
        <v>55729.8872574687</v>
      </c>
      <c r="EQ101">
        <v>45897.4042516708</v>
      </c>
      <c r="ER101">
        <v>-147289.551067215</v>
      </c>
      <c r="ES101" t="s">
        <v>1900</v>
      </c>
      <c r="ET101">
        <v>1108457.16951196</v>
      </c>
      <c r="EU101">
        <v>1004341.45750102</v>
      </c>
      <c r="EV101">
        <v>999070.887857652</v>
      </c>
      <c r="EW101">
        <v>837249.164826059</v>
      </c>
      <c r="EX101" t="s">
        <v>1900</v>
      </c>
      <c r="EY101">
        <v>41131.2345591927</v>
      </c>
      <c r="EZ101">
        <v>73510.7193544388</v>
      </c>
      <c r="FA101">
        <v>61069.4121683836</v>
      </c>
      <c r="FB101">
        <v>-199962.224029607</v>
      </c>
      <c r="FC101" t="s">
        <v>1900</v>
      </c>
      <c r="FD101">
        <v>98635.7255665016</v>
      </c>
      <c r="FE101">
        <v>129098.674218005</v>
      </c>
      <c r="FF101">
        <v>210462.50737381</v>
      </c>
      <c r="FG101">
        <v>282992.806007218</v>
      </c>
      <c r="FH101" t="s">
        <v>1900</v>
      </c>
      <c r="FI101">
        <v>716.26132144928</v>
      </c>
      <c r="FJ101">
        <v>1932.85959463716</v>
      </c>
      <c r="FK101">
        <v>4222.3452722311</v>
      </c>
      <c r="FL101">
        <v>5169.57301261425</v>
      </c>
      <c r="FM101" t="s">
        <v>1900</v>
      </c>
      <c r="FN101">
        <v>48201.3039821529</v>
      </c>
      <c r="FO101">
        <v>54540.8741459429</v>
      </c>
      <c r="FP101">
        <v>66137.1076581001</v>
      </c>
      <c r="FQ101">
        <v>37210.8413887799</v>
      </c>
      <c r="FR101" t="s">
        <v>1900</v>
      </c>
      <c r="FS101">
        <v>49718.1602628994</v>
      </c>
      <c r="FT101">
        <v>72624.9404774249</v>
      </c>
      <c r="FU101">
        <v>140103.054443479</v>
      </c>
      <c r="FV101">
        <v>240612.391605824</v>
      </c>
      <c r="FW101" t="s">
        <v>1900</v>
      </c>
      <c r="FX101">
        <v>716.26132144928</v>
      </c>
      <c r="FY101">
        <v>1932.85959463716</v>
      </c>
      <c r="FZ101">
        <v>4222.3452722311</v>
      </c>
      <c r="GA101">
        <v>5169.57301261425</v>
      </c>
      <c r="GB101" t="s">
        <v>1900</v>
      </c>
      <c r="GC101">
        <v>48201.3039821529</v>
      </c>
      <c r="GD101">
        <v>54540.8741459429</v>
      </c>
      <c r="GE101">
        <v>66137.1076581001</v>
      </c>
      <c r="GF101">
        <v>37210.8413887799</v>
      </c>
      <c r="GG101" t="s">
        <v>1900</v>
      </c>
      <c r="GH101">
        <v>49718.1602628994</v>
      </c>
      <c r="GI101">
        <v>72624.9404774249</v>
      </c>
      <c r="GJ101">
        <v>140103.054443479</v>
      </c>
      <c r="GK101">
        <v>240612.391605824</v>
      </c>
      <c r="GL101" t="s">
        <v>1900</v>
      </c>
      <c r="GM101">
        <v>564428.452058554</v>
      </c>
      <c r="GN101">
        <v>457293.597946018</v>
      </c>
      <c r="GO101">
        <v>321073.952301264</v>
      </c>
      <c r="GP101">
        <v>378965.187082166</v>
      </c>
      <c r="GQ101" t="s">
        <v>1900</v>
      </c>
      <c r="GR101">
        <v>0</v>
      </c>
      <c r="GS101">
        <v>0</v>
      </c>
      <c r="GT101">
        <v>0</v>
      </c>
      <c r="GU101">
        <v>0</v>
      </c>
      <c r="GV101" t="s">
        <v>1900</v>
      </c>
      <c r="GW101">
        <v>164691.738061628</v>
      </c>
      <c r="GX101">
        <v>144211.802336907</v>
      </c>
      <c r="GY101">
        <v>200875.487485242</v>
      </c>
      <c r="GZ101">
        <v>218888.745933175</v>
      </c>
      <c r="HA101" t="s">
        <v>1900</v>
      </c>
      <c r="HB101">
        <v>399736.713996925</v>
      </c>
      <c r="HC101">
        <v>313081.795609111</v>
      </c>
      <c r="HD101">
        <v>120198.464816022</v>
      </c>
      <c r="HE101">
        <v>160076.438694792</v>
      </c>
      <c r="HF101" t="s">
        <v>1900</v>
      </c>
      <c r="HG101">
        <v>399736.713996925</v>
      </c>
      <c r="HH101">
        <v>313081.795609111</v>
      </c>
      <c r="HI101">
        <v>108707.102096486</v>
      </c>
      <c r="HJ101">
        <v>139742.031406206</v>
      </c>
      <c r="HK101" t="s">
        <v>1900</v>
      </c>
      <c r="HL101">
        <v>663064.177625055</v>
      </c>
      <c r="HM101">
        <v>586392.272164023</v>
      </c>
      <c r="HN101">
        <v>531536.459675074</v>
      </c>
      <c r="HO101">
        <v>661957.9930893841</v>
      </c>
      <c r="HP101" t="s">
        <v>1900</v>
      </c>
      <c r="HQ101">
        <v>198776.285008354</v>
      </c>
      <c r="HR101">
        <v>166770.808153367</v>
      </c>
      <c r="HS101">
        <v>110493.575213456</v>
      </c>
      <c r="HT101">
        <v>105308.692468709</v>
      </c>
      <c r="HU101" t="s">
        <v>1900</v>
      </c>
      <c r="HV101">
        <v>67738.7404003143</v>
      </c>
      <c r="HW101">
        <v>65384.6818292141</v>
      </c>
      <c r="HX101">
        <v>69430.6640481949</v>
      </c>
      <c r="HY101">
        <v>75223.64125370979</v>
      </c>
      <c r="HZ101" t="s">
        <v>1900</v>
      </c>
      <c r="IA101">
        <v>131037.543503039</v>
      </c>
      <c r="IB101">
        <v>101386.126324153</v>
      </c>
      <c r="IC101">
        <v>41062.9111652613</v>
      </c>
      <c r="ID101">
        <v>30085.0499878997</v>
      </c>
      <c r="IE101" t="s">
        <v>1900</v>
      </c>
      <c r="IF101">
        <v>137352.777142239</v>
      </c>
      <c r="IG101">
        <v>161970.950466281</v>
      </c>
      <c r="IH101">
        <v>192542.052268982</v>
      </c>
      <c r="II101">
        <v>209047.86357848</v>
      </c>
      <c r="IJ101" t="s">
        <v>1900</v>
      </c>
      <c r="IK101">
        <v>137352.777142239</v>
      </c>
      <c r="IL101">
        <v>161970.950466281</v>
      </c>
      <c r="IM101">
        <v>192542.052268982</v>
      </c>
      <c r="IN101">
        <v>208606.880903244</v>
      </c>
      <c r="IO101" t="s">
        <v>1900</v>
      </c>
      <c r="IP101">
        <v>0</v>
      </c>
      <c r="IQ101">
        <v>0</v>
      </c>
      <c r="IR101">
        <v>0</v>
      </c>
      <c r="IS101">
        <v>440.982675236464</v>
      </c>
      <c r="IT101" t="s">
        <v>1900</v>
      </c>
      <c r="IU101">
        <v>0</v>
      </c>
      <c r="IV101">
        <v>0</v>
      </c>
      <c r="IW101">
        <v>0</v>
      </c>
      <c r="IX101" t="s">
        <v>1900</v>
      </c>
      <c r="IY101" t="s">
        <v>1900</v>
      </c>
      <c r="IZ101">
        <v>326935.115474463</v>
      </c>
      <c r="JA101">
        <v>257650.513544375</v>
      </c>
      <c r="JB101">
        <v>228500.832192636</v>
      </c>
      <c r="JC101">
        <v>347601.437042195</v>
      </c>
      <c r="JD101" t="s">
        <v>1900</v>
      </c>
      <c r="JE101">
        <v>0</v>
      </c>
      <c r="JF101">
        <v>0</v>
      </c>
      <c r="JG101">
        <v>0</v>
      </c>
      <c r="JH101">
        <v>0</v>
      </c>
      <c r="JI101" t="s">
        <v>1900</v>
      </c>
      <c r="JJ101">
        <v>0</v>
      </c>
      <c r="JK101">
        <v>0</v>
      </c>
      <c r="JL101">
        <v>0</v>
      </c>
      <c r="JM101">
        <v>0</v>
      </c>
      <c r="JN101" t="s">
        <v>1900</v>
      </c>
      <c r="JO101">
        <v>326935.115474463</v>
      </c>
      <c r="JP101">
        <v>257650.513544375</v>
      </c>
      <c r="JQ101">
        <v>228500.832192636</v>
      </c>
      <c r="JR101">
        <v>347601.437042195</v>
      </c>
      <c r="JS101" t="s">
        <v>1900</v>
      </c>
      <c r="JT101">
        <v>663064.177625055</v>
      </c>
      <c r="JU101">
        <v>586392.272164023</v>
      </c>
      <c r="JV101">
        <v>531536.459675074</v>
      </c>
      <c r="JW101">
        <v>661957.9930893841</v>
      </c>
      <c r="JX101" t="s">
        <v>1900</v>
      </c>
      <c r="JY101">
        <v>164691.738061628</v>
      </c>
      <c r="JZ101">
        <v>144211.802336907</v>
      </c>
      <c r="KA101">
        <v>200875.487485242</v>
      </c>
      <c r="KB101">
        <v>218888.745933175</v>
      </c>
      <c r="KC101" t="s">
        <v>1900</v>
      </c>
      <c r="KD101" t="s">
        <v>1900</v>
      </c>
      <c r="KE101" t="s">
        <v>1900</v>
      </c>
      <c r="KF101" t="s">
        <v>1900</v>
      </c>
      <c r="KG101" t="s">
        <v>1900</v>
      </c>
      <c r="KH101" t="s">
        <v>1900</v>
      </c>
      <c r="KI101" t="s">
        <v>1900</v>
      </c>
      <c r="KJ101" t="s">
        <v>1900</v>
      </c>
      <c r="KK101" t="s">
        <v>1900</v>
      </c>
      <c r="KL101" t="s">
        <v>1900</v>
      </c>
      <c r="KM101" t="s">
        <v>1900</v>
      </c>
      <c r="KN101">
        <v>21</v>
      </c>
      <c r="KO101">
        <v>21</v>
      </c>
      <c r="KP101">
        <v>21</v>
      </c>
      <c r="KQ101">
        <v>22</v>
      </c>
      <c r="KR101" t="s">
        <v>1900</v>
      </c>
      <c r="KS101" t="s">
        <v>1900</v>
      </c>
      <c r="KT101" t="s">
        <v>1900</v>
      </c>
      <c r="KU101" t="s">
        <v>1900</v>
      </c>
      <c r="KV101" t="s">
        <v>1900</v>
      </c>
      <c r="KW101" t="s">
        <v>1900</v>
      </c>
      <c r="KX101" t="s">
        <v>1900</v>
      </c>
      <c r="KY101" t="s">
        <v>1900</v>
      </c>
      <c r="KZ101" t="s">
        <v>1900</v>
      </c>
      <c r="LA101" t="s">
        <v>1900</v>
      </c>
      <c r="LB101" t="s">
        <v>1900</v>
      </c>
      <c r="LC101" t="s">
        <v>1900</v>
      </c>
      <c r="LD101" t="s">
        <v>1900</v>
      </c>
      <c r="LE101" t="s">
        <v>1900</v>
      </c>
      <c r="LF101" t="s">
        <v>1900</v>
      </c>
      <c r="LG101" t="s">
        <v>1900</v>
      </c>
      <c r="LH101" t="s">
        <v>1900</v>
      </c>
      <c r="LI101" t="s">
        <v>1900</v>
      </c>
      <c r="LJ101" t="s">
        <v>1900</v>
      </c>
      <c r="LK101" t="s">
        <v>1900</v>
      </c>
      <c r="LL101" t="s">
        <v>1900</v>
      </c>
      <c r="LM101" t="s">
        <v>1900</v>
      </c>
      <c r="LN101" t="s">
        <v>1900</v>
      </c>
      <c r="LO101" t="s">
        <v>1900</v>
      </c>
      <c r="LP101" t="s">
        <v>1900</v>
      </c>
      <c r="LQ101" t="s">
        <v>1900</v>
      </c>
      <c r="LR101" t="s">
        <v>1900</v>
      </c>
      <c r="LS101" t="s">
        <v>1900</v>
      </c>
      <c r="LT101" t="s">
        <v>1900</v>
      </c>
      <c r="LU101" t="s">
        <v>1900</v>
      </c>
      <c r="LV101" t="s">
        <v>1900</v>
      </c>
      <c r="LW101" t="s">
        <v>1900</v>
      </c>
      <c r="LX101" t="s">
        <v>1900</v>
      </c>
      <c r="LY101" t="s">
        <v>1900</v>
      </c>
      <c r="LZ101" t="s">
        <v>1900</v>
      </c>
      <c r="MA101" t="s">
        <v>1900</v>
      </c>
      <c r="MB101" t="s">
        <v>1900</v>
      </c>
      <c r="MC101" t="s">
        <v>1900</v>
      </c>
      <c r="MD101" t="s">
        <v>1900</v>
      </c>
      <c r="ME101" t="s">
        <v>1900</v>
      </c>
      <c r="MF101" t="s">
        <v>1900</v>
      </c>
      <c r="MG101" t="s">
        <v>1900</v>
      </c>
      <c r="MH101" t="s">
        <v>1900</v>
      </c>
      <c r="MI101" t="s">
        <v>1900</v>
      </c>
      <c r="MJ101" t="s">
        <v>1900</v>
      </c>
      <c r="MK101" t="s">
        <v>1900</v>
      </c>
      <c r="ML101" t="s">
        <v>1900</v>
      </c>
      <c r="MM101" t="s">
        <v>1900</v>
      </c>
      <c r="MN101" t="s">
        <v>1900</v>
      </c>
      <c r="MO101" t="s">
        <v>1900</v>
      </c>
      <c r="MP101" t="s">
        <v>1900</v>
      </c>
      <c r="MQ101">
        <v>399736.713996925</v>
      </c>
      <c r="MR101">
        <v>313081.795609111</v>
      </c>
      <c r="MS101">
        <v>120198.464816022</v>
      </c>
      <c r="MT101">
        <v>160076.438694792</v>
      </c>
      <c r="MU101" t="s">
        <v>1900</v>
      </c>
      <c r="MV101" t="s">
        <v>1900</v>
      </c>
      <c r="MW101" t="s">
        <v>1900</v>
      </c>
      <c r="MX101" t="s">
        <v>1900</v>
      </c>
      <c r="MY101" t="s">
        <v>1900</v>
      </c>
      <c r="MZ101" t="s">
        <v>1900</v>
      </c>
      <c r="NA101" t="s">
        <v>1900</v>
      </c>
      <c r="NB101" t="s">
        <v>1900</v>
      </c>
      <c r="NC101" t="s">
        <v>1900</v>
      </c>
      <c r="ND101" t="s">
        <v>1900</v>
      </c>
      <c r="NE101" t="s">
        <v>1900</v>
      </c>
      <c r="NF101" t="s">
        <v>1900</v>
      </c>
      <c r="NG101" t="s">
        <v>1900</v>
      </c>
      <c r="NH101" t="s">
        <v>1900</v>
      </c>
      <c r="NI101" t="s">
        <v>1900</v>
      </c>
      <c r="NJ101" t="s">
        <v>1900</v>
      </c>
      <c r="NK101" t="s">
        <v>1900</v>
      </c>
      <c r="NL101" t="s">
        <v>1900</v>
      </c>
      <c r="NM101" t="s">
        <v>1900</v>
      </c>
      <c r="NN101" t="s">
        <v>1900</v>
      </c>
      <c r="NO101" t="s">
        <v>1900</v>
      </c>
      <c r="NP101" t="s">
        <v>1900</v>
      </c>
      <c r="NQ101" t="s">
        <v>1900</v>
      </c>
      <c r="NR101" t="s">
        <v>1900</v>
      </c>
      <c r="NS101" t="s">
        <v>1900</v>
      </c>
      <c r="NT101" t="s">
        <v>1900</v>
      </c>
      <c r="NU101">
        <v>98635.7255665016</v>
      </c>
      <c r="NV101">
        <v>129098.674218005</v>
      </c>
      <c r="NW101">
        <v>210462.50737381</v>
      </c>
      <c r="NX101">
        <v>282992.806007218</v>
      </c>
      <c r="NY101" t="s">
        <v>1900</v>
      </c>
      <c r="NZ101" t="s">
        <v>1900</v>
      </c>
      <c r="OA101" t="s">
        <v>1900</v>
      </c>
      <c r="OB101" t="s">
        <v>1900</v>
      </c>
      <c r="OC101" t="s">
        <v>1900</v>
      </c>
      <c r="OD101" t="s">
        <v>1900</v>
      </c>
      <c r="OE101" t="s">
        <v>1900</v>
      </c>
      <c r="OF101" t="s">
        <v>1900</v>
      </c>
      <c r="OG101" t="s">
        <v>1900</v>
      </c>
      <c r="OH101" t="s">
        <v>1900</v>
      </c>
      <c r="OI101" t="s">
        <v>1900</v>
      </c>
      <c r="OJ101" t="s">
        <v>1900</v>
      </c>
      <c r="OK101" t="s">
        <v>1900</v>
      </c>
      <c r="OL101" t="s">
        <v>1900</v>
      </c>
      <c r="OM101" t="s">
        <v>1900</v>
      </c>
      <c r="ON101" t="s">
        <v>1900</v>
      </c>
      <c r="OO101" t="s">
        <v>1900</v>
      </c>
      <c r="OP101" t="s">
        <v>1900</v>
      </c>
      <c r="OQ101" t="s">
        <v>1900</v>
      </c>
      <c r="OR101" t="s">
        <v>1900</v>
      </c>
      <c r="OS101" t="s">
        <v>1900</v>
      </c>
      <c r="OT101" t="s">
        <v>1900</v>
      </c>
      <c r="OU101" t="s">
        <v>1900</v>
      </c>
      <c r="OV101" t="s">
        <v>1900</v>
      </c>
      <c r="OW101" t="s">
        <v>1900</v>
      </c>
      <c r="OX101" t="s">
        <v>1900</v>
      </c>
      <c r="OY101" t="s">
        <v>1900</v>
      </c>
      <c r="OZ101" t="s">
        <v>1900</v>
      </c>
      <c r="PA101" t="s">
        <v>1900</v>
      </c>
      <c r="PB101" t="s">
        <v>1900</v>
      </c>
      <c r="PC101" t="s">
        <v>1900</v>
      </c>
      <c r="PD101" t="s">
        <v>1900</v>
      </c>
      <c r="PE101" t="s">
        <v>1900</v>
      </c>
      <c r="PF101" t="s">
        <v>1900</v>
      </c>
      <c r="PG101" t="s">
        <v>1900</v>
      </c>
      <c r="PH101" t="s">
        <v>1900</v>
      </c>
      <c r="PI101" t="s">
        <v>1900</v>
      </c>
      <c r="PJ101" t="s">
        <v>1900</v>
      </c>
      <c r="PK101" t="s">
        <v>1900</v>
      </c>
      <c r="PL101" t="s">
        <v>1900</v>
      </c>
      <c r="PM101" t="s">
        <v>1900</v>
      </c>
      <c r="PN101" t="s">
        <v>1900</v>
      </c>
      <c r="PO101" t="s">
        <v>1900</v>
      </c>
      <c r="PP101" t="s">
        <v>1900</v>
      </c>
      <c r="PQ101" t="s">
        <v>1900</v>
      </c>
      <c r="PR101" t="s">
        <v>1900</v>
      </c>
      <c r="PS101" t="s">
        <v>1900</v>
      </c>
      <c r="PT101" t="s">
        <v>1900</v>
      </c>
      <c r="PU101" t="s">
        <v>1900</v>
      </c>
      <c r="PV101" t="s">
        <v>1900</v>
      </c>
      <c r="PW101" t="s">
        <v>1900</v>
      </c>
      <c r="PX101" t="s">
        <v>1900</v>
      </c>
      <c r="PY101" t="s">
        <v>1900</v>
      </c>
      <c r="PZ101" t="s">
        <v>1900</v>
      </c>
      <c r="QA101" t="s">
        <v>1900</v>
      </c>
      <c r="QB101" t="s">
        <v>1900</v>
      </c>
      <c r="QC101" t="s">
        <v>1900</v>
      </c>
      <c r="QD101" t="s">
        <v>1900</v>
      </c>
      <c r="QE101" t="s">
        <v>1900</v>
      </c>
      <c r="QF101" t="s">
        <v>1900</v>
      </c>
      <c r="QG101" t="s">
        <v>1900</v>
      </c>
      <c r="QH101" t="s">
        <v>1900</v>
      </c>
      <c r="QI101" t="s">
        <v>1900</v>
      </c>
      <c r="QJ101" t="s">
        <v>1900</v>
      </c>
      <c r="QK101" t="s">
        <v>1900</v>
      </c>
      <c r="QL101" t="s">
        <v>1900</v>
      </c>
      <c r="QM101" t="s">
        <v>1900</v>
      </c>
      <c r="QN101" t="s">
        <v>1900</v>
      </c>
      <c r="QO101" t="s">
        <v>1900</v>
      </c>
      <c r="QP101" t="s">
        <v>1900</v>
      </c>
      <c r="QQ101" t="s">
        <v>1900</v>
      </c>
      <c r="QR101" t="s">
        <v>1900</v>
      </c>
      <c r="QS101" t="s">
        <v>1900</v>
      </c>
      <c r="QT101" t="s">
        <v>1900</v>
      </c>
      <c r="QU101" t="s">
        <v>1900</v>
      </c>
      <c r="QV101" t="s">
        <v>1900</v>
      </c>
      <c r="QW101" t="s">
        <v>1900</v>
      </c>
      <c r="QX101" t="s">
        <v>1900</v>
      </c>
      <c r="QY101" t="s">
        <v>1900</v>
      </c>
      <c r="QZ101" t="s">
        <v>1900</v>
      </c>
      <c r="RA101" t="s">
        <v>1900</v>
      </c>
      <c r="RB101" t="s">
        <v>1900</v>
      </c>
      <c r="RC101" t="s">
        <v>1900</v>
      </c>
      <c r="RD101" t="s">
        <v>1900</v>
      </c>
      <c r="RE101" t="s">
        <v>1900</v>
      </c>
      <c r="RF101" t="s">
        <v>1900</v>
      </c>
      <c r="RG101" t="s">
        <v>1900</v>
      </c>
      <c r="RH101" t="s">
        <v>1900</v>
      </c>
      <c r="RI101" t="s">
        <v>1900</v>
      </c>
      <c r="RJ101" t="s">
        <v>1900</v>
      </c>
      <c r="RK101" t="s">
        <v>1900</v>
      </c>
      <c r="RL101" t="s">
        <v>1900</v>
      </c>
      <c r="RM101" t="s">
        <v>1900</v>
      </c>
      <c r="RN101" t="s">
        <v>1900</v>
      </c>
      <c r="RO101" t="s">
        <v>1900</v>
      </c>
      <c r="RP101" t="s">
        <v>1900</v>
      </c>
      <c r="RQ101" t="s">
        <v>1900</v>
      </c>
      <c r="RR101" t="s">
        <v>1900</v>
      </c>
      <c r="RS101" t="s">
        <v>1900</v>
      </c>
      <c r="RT101" t="s">
        <v>1900</v>
      </c>
      <c r="RU101" t="s">
        <v>1900</v>
      </c>
      <c r="RV101" t="s">
        <v>1900</v>
      </c>
      <c r="RW101" t="s">
        <v>1900</v>
      </c>
      <c r="RX101" t="s">
        <v>1900</v>
      </c>
      <c r="RY101" t="s">
        <v>1900</v>
      </c>
      <c r="RZ101" t="s">
        <v>1900</v>
      </c>
      <c r="SA101" t="s">
        <v>1900</v>
      </c>
      <c r="SB101" t="s">
        <v>1900</v>
      </c>
      <c r="SC101" t="s">
        <v>1900</v>
      </c>
      <c r="SD101" t="s">
        <v>1900</v>
      </c>
      <c r="SE101" t="s">
        <v>1900</v>
      </c>
      <c r="SF101" t="s">
        <v>1900</v>
      </c>
      <c r="SG101" t="s">
        <v>1900</v>
      </c>
      <c r="SH101" t="s">
        <v>1900</v>
      </c>
      <c r="SI101" t="s">
        <v>1900</v>
      </c>
      <c r="SJ101" t="s">
        <v>1900</v>
      </c>
      <c r="SK101">
        <v>49718.1602628994</v>
      </c>
      <c r="SL101">
        <v>72624.9404774249</v>
      </c>
      <c r="SM101">
        <v>140103.054443479</v>
      </c>
      <c r="SN101">
        <v>240612.391605824</v>
      </c>
      <c r="SO101" t="s">
        <v>1900</v>
      </c>
      <c r="SP101" t="s">
        <v>1900</v>
      </c>
      <c r="SQ101" t="s">
        <v>1900</v>
      </c>
      <c r="SR101" t="s">
        <v>1900</v>
      </c>
      <c r="SS101" t="s">
        <v>1900</v>
      </c>
      <c r="ST101" t="s">
        <v>1900</v>
      </c>
      <c r="SU101" t="s">
        <v>1900</v>
      </c>
      <c r="SV101" t="s">
        <v>1900</v>
      </c>
      <c r="SW101" t="s">
        <v>1900</v>
      </c>
      <c r="SX101" t="s">
        <v>1900</v>
      </c>
      <c r="SY101" t="s">
        <v>1900</v>
      </c>
      <c r="SZ101" t="s">
        <v>1900</v>
      </c>
      <c r="TA101" t="s">
        <v>1900</v>
      </c>
      <c r="TB101" t="s">
        <v>1900</v>
      </c>
      <c r="TC101" t="s">
        <v>1900</v>
      </c>
      <c r="TD101" t="s">
        <v>1900</v>
      </c>
      <c r="TE101" t="s">
        <v>1900</v>
      </c>
      <c r="TF101" t="s">
        <v>1900</v>
      </c>
      <c r="TG101" t="s">
        <v>1900</v>
      </c>
      <c r="TH101" t="s">
        <v>1900</v>
      </c>
      <c r="TI101" t="s">
        <v>1900</v>
      </c>
      <c r="TJ101" t="s">
        <v>1900</v>
      </c>
      <c r="TK101" t="s">
        <v>1900</v>
      </c>
      <c r="TL101" t="s">
        <v>1900</v>
      </c>
      <c r="TM101" t="s">
        <v>1900</v>
      </c>
      <c r="TN101" t="s">
        <v>1900</v>
      </c>
      <c r="TO101" t="s">
        <v>1900</v>
      </c>
      <c r="TP101" t="s">
        <v>1900</v>
      </c>
      <c r="TQ101" t="s">
        <v>1900</v>
      </c>
      <c r="TR101" t="s">
        <v>1900</v>
      </c>
      <c r="TS101" t="s">
        <v>1900</v>
      </c>
      <c r="TT101">
        <v>663064.177625055</v>
      </c>
      <c r="TU101">
        <v>586392.272164023</v>
      </c>
      <c r="TV101">
        <v>531536.459675074</v>
      </c>
      <c r="TW101">
        <v>661957.9930893841</v>
      </c>
      <c r="TX101" t="s">
        <v>1900</v>
      </c>
      <c r="TY101" t="s">
        <v>1900</v>
      </c>
      <c r="TZ101" t="s">
        <v>1900</v>
      </c>
      <c r="UA101" t="s">
        <v>1900</v>
      </c>
      <c r="UB101" t="s">
        <v>1900</v>
      </c>
      <c r="UC101" t="s">
        <v>1900</v>
      </c>
      <c r="UD101">
        <v>0</v>
      </c>
      <c r="UE101">
        <v>0</v>
      </c>
      <c r="UF101">
        <v>0</v>
      </c>
      <c r="UG101">
        <v>0</v>
      </c>
      <c r="UH101" t="s">
        <v>1900</v>
      </c>
      <c r="UI101" t="s">
        <v>1900</v>
      </c>
      <c r="UJ101" t="s">
        <v>1900</v>
      </c>
      <c r="UK101" t="s">
        <v>1900</v>
      </c>
      <c r="UL101" t="s">
        <v>1900</v>
      </c>
      <c r="UM101" t="s">
        <v>1900</v>
      </c>
      <c r="UN101" t="s">
        <v>1900</v>
      </c>
      <c r="UO101" t="s">
        <v>1900</v>
      </c>
      <c r="UP101" t="s">
        <v>1900</v>
      </c>
      <c r="UQ101" t="s">
        <v>1900</v>
      </c>
      <c r="UR101" t="s">
        <v>1900</v>
      </c>
      <c r="US101" t="s">
        <v>1900</v>
      </c>
      <c r="UT101" t="s">
        <v>1900</v>
      </c>
      <c r="UU101" t="s">
        <v>1900</v>
      </c>
      <c r="UV101" t="s">
        <v>1900</v>
      </c>
      <c r="UW101" t="s">
        <v>1900</v>
      </c>
      <c r="UX101" t="s">
        <v>1900</v>
      </c>
      <c r="UY101" t="s">
        <v>1900</v>
      </c>
      <c r="UZ101" t="s">
        <v>1900</v>
      </c>
      <c r="VA101" t="s">
        <v>1900</v>
      </c>
      <c r="VB101" t="s">
        <v>1900</v>
      </c>
      <c r="VC101" t="s">
        <v>1900</v>
      </c>
      <c r="VD101" t="s">
        <v>1900</v>
      </c>
      <c r="VE101" t="s">
        <v>1900</v>
      </c>
      <c r="VF101" t="s">
        <v>1900</v>
      </c>
      <c r="VG101" t="s">
        <v>1900</v>
      </c>
      <c r="VH101" t="s">
        <v>1900</v>
      </c>
      <c r="VI101" t="s">
        <v>1900</v>
      </c>
      <c r="VJ101" t="s">
        <v>1900</v>
      </c>
      <c r="VK101" t="s">
        <v>1900</v>
      </c>
      <c r="VL101" t="s">
        <v>1900</v>
      </c>
      <c r="VM101" t="s">
        <v>1900</v>
      </c>
      <c r="VN101" t="s">
        <v>1900</v>
      </c>
      <c r="VO101" t="s">
        <v>1900</v>
      </c>
      <c r="VP101" t="s">
        <v>1900</v>
      </c>
      <c r="VQ101" t="s">
        <v>1900</v>
      </c>
      <c r="VR101" t="s">
        <v>1900</v>
      </c>
      <c r="VS101" t="s">
        <v>1900</v>
      </c>
      <c r="VT101" t="s">
        <v>1900</v>
      </c>
      <c r="VU101" t="s">
        <v>1900</v>
      </c>
      <c r="VV101" t="s">
        <v>1900</v>
      </c>
      <c r="VW101" t="s">
        <v>1900</v>
      </c>
      <c r="VX101" t="s">
        <v>1900</v>
      </c>
      <c r="VY101" t="s">
        <v>1900</v>
      </c>
      <c r="VZ101" t="s">
        <v>1900</v>
      </c>
      <c r="WA101" t="s">
        <v>1900</v>
      </c>
      <c r="WB101">
        <v>326935.115474463</v>
      </c>
      <c r="WC101">
        <v>257650.513544375</v>
      </c>
      <c r="WD101">
        <v>228500.832192636</v>
      </c>
      <c r="WE101">
        <v>347601.437042195</v>
      </c>
      <c r="WF101" t="s">
        <v>1900</v>
      </c>
      <c r="WG101" t="s">
        <v>1900</v>
      </c>
      <c r="WH101" t="s">
        <v>1900</v>
      </c>
      <c r="WI101" t="s">
        <v>1900</v>
      </c>
      <c r="WJ101" t="s">
        <v>1900</v>
      </c>
      <c r="WK101" t="s">
        <v>1900</v>
      </c>
      <c r="WL101" t="s">
        <v>1900</v>
      </c>
      <c r="WM101" t="s">
        <v>1900</v>
      </c>
      <c r="WN101" t="s">
        <v>1900</v>
      </c>
      <c r="WO101" t="s">
        <v>1900</v>
      </c>
      <c r="WP101" t="s">
        <v>1900</v>
      </c>
      <c r="WQ101" t="s">
        <v>1900</v>
      </c>
      <c r="WR101" t="s">
        <v>1900</v>
      </c>
      <c r="WS101" t="s">
        <v>1900</v>
      </c>
      <c r="WT101" t="s">
        <v>1900</v>
      </c>
      <c r="WU101" t="s">
        <v>1900</v>
      </c>
      <c r="WV101" t="s">
        <v>1900</v>
      </c>
      <c r="WW101" t="s">
        <v>1900</v>
      </c>
      <c r="WX101" t="s">
        <v>1900</v>
      </c>
      <c r="WY101" t="s">
        <v>1900</v>
      </c>
      <c r="WZ101" t="s">
        <v>1900</v>
      </c>
      <c r="XA101" t="s">
        <v>1900</v>
      </c>
      <c r="XB101" t="s">
        <v>1900</v>
      </c>
      <c r="XC101" t="s">
        <v>1900</v>
      </c>
      <c r="XD101" t="s">
        <v>1900</v>
      </c>
      <c r="XE101" t="s">
        <v>1900</v>
      </c>
      <c r="XF101" t="s">
        <v>1900</v>
      </c>
      <c r="XG101" t="s">
        <v>1900</v>
      </c>
      <c r="XH101" t="s">
        <v>1900</v>
      </c>
      <c r="XI101" t="s">
        <v>1900</v>
      </c>
      <c r="XJ101" t="s">
        <v>1900</v>
      </c>
      <c r="XK101">
        <v>0</v>
      </c>
      <c r="XL101">
        <v>0</v>
      </c>
      <c r="XM101">
        <v>0</v>
      </c>
      <c r="XN101">
        <v>440.982675236464</v>
      </c>
      <c r="XO101" t="s">
        <v>1900</v>
      </c>
      <c r="XP101" t="s">
        <v>1900</v>
      </c>
      <c r="XQ101" t="s">
        <v>1900</v>
      </c>
      <c r="XR101" t="s">
        <v>1900</v>
      </c>
      <c r="XS101" t="s">
        <v>1900</v>
      </c>
      <c r="XT101" t="s">
        <v>1900</v>
      </c>
      <c r="XU101" t="s">
        <v>1900</v>
      </c>
      <c r="XV101" t="s">
        <v>1900</v>
      </c>
      <c r="XW101" t="s">
        <v>1900</v>
      </c>
      <c r="XX101" t="s">
        <v>1900</v>
      </c>
      <c r="XY101" t="s">
        <v>1900</v>
      </c>
      <c r="XZ101">
        <v>0</v>
      </c>
      <c r="YA101">
        <v>0</v>
      </c>
      <c r="YB101">
        <v>0</v>
      </c>
      <c r="YC101" t="s">
        <v>1900</v>
      </c>
      <c r="YD101" t="s">
        <v>1900</v>
      </c>
      <c r="YE101" t="s">
        <v>1900</v>
      </c>
      <c r="YF101" t="s">
        <v>1900</v>
      </c>
      <c r="YG101" t="s">
        <v>1900</v>
      </c>
      <c r="YH101" t="s">
        <v>1900</v>
      </c>
      <c r="YI101" t="s">
        <v>1900</v>
      </c>
      <c r="YJ101" t="s">
        <v>1900</v>
      </c>
      <c r="YK101" t="s">
        <v>1900</v>
      </c>
      <c r="YL101" t="s">
        <v>1900</v>
      </c>
      <c r="YM101" t="s">
        <v>1900</v>
      </c>
      <c r="YN101" t="s">
        <v>1900</v>
      </c>
      <c r="YO101" t="s">
        <v>1900</v>
      </c>
      <c r="YP101" t="s">
        <v>1900</v>
      </c>
      <c r="YQ101" t="s">
        <v>1900</v>
      </c>
      <c r="YR101" t="s">
        <v>1900</v>
      </c>
      <c r="YS101" t="s">
        <v>1900</v>
      </c>
      <c r="YT101" t="s">
        <v>1900</v>
      </c>
      <c r="YU101" t="s">
        <v>1900</v>
      </c>
      <c r="YV101" t="s">
        <v>1900</v>
      </c>
      <c r="YW101" t="s">
        <v>1900</v>
      </c>
      <c r="YX101" t="s">
        <v>1900</v>
      </c>
      <c r="YY101" t="s">
        <v>1900</v>
      </c>
      <c r="YZ101" t="s">
        <v>1900</v>
      </c>
      <c r="ZA101" t="s">
        <v>1900</v>
      </c>
      <c r="ZB101" t="s">
        <v>1900</v>
      </c>
      <c r="ZC101" t="s">
        <v>1900</v>
      </c>
      <c r="ZD101" t="s">
        <v>1900</v>
      </c>
      <c r="ZE101" t="s">
        <v>1900</v>
      </c>
      <c r="ZF101" t="s">
        <v>1900</v>
      </c>
      <c r="ZG101" t="s">
        <v>1900</v>
      </c>
      <c r="ZH101" t="s">
        <v>1900</v>
      </c>
      <c r="ZI101" t="s">
        <v>1900</v>
      </c>
      <c r="ZJ101" t="s">
        <v>1900</v>
      </c>
      <c r="ZK101" t="s">
        <v>1900</v>
      </c>
      <c r="ZL101" t="s">
        <v>1900</v>
      </c>
      <c r="ZM101" t="s">
        <v>1900</v>
      </c>
      <c r="ZN101" t="s">
        <v>1900</v>
      </c>
      <c r="ZO101" t="s">
        <v>1900</v>
      </c>
      <c r="ZP101" t="s">
        <v>1900</v>
      </c>
      <c r="ZQ101" t="s">
        <v>1900</v>
      </c>
      <c r="ZR101" t="s">
        <v>1900</v>
      </c>
      <c r="ZS101" t="s">
        <v>1900</v>
      </c>
      <c r="ZT101" t="s">
        <v>1900</v>
      </c>
      <c r="ZU101" t="s">
        <v>1900</v>
      </c>
      <c r="ZV101" t="s">
        <v>1900</v>
      </c>
      <c r="ZW101" t="s">
        <v>1900</v>
      </c>
      <c r="ZX101" t="s">
        <v>1900</v>
      </c>
      <c r="ZY101" t="s">
        <v>1900</v>
      </c>
      <c r="ZZ101" t="s">
        <v>1900</v>
      </c>
      <c r="AAA101" t="s">
        <v>1900</v>
      </c>
      <c r="AAB101" t="s">
        <v>1900</v>
      </c>
      <c r="AAC101" t="s">
        <v>1900</v>
      </c>
      <c r="AAD101" t="s">
        <v>1900</v>
      </c>
      <c r="AAE101" t="s">
        <v>1900</v>
      </c>
      <c r="AAF101" t="s">
        <v>1900</v>
      </c>
      <c r="AAG101" t="s">
        <v>1900</v>
      </c>
      <c r="AAH101" t="s">
        <v>1900</v>
      </c>
      <c r="AAI101" t="s">
        <v>1900</v>
      </c>
      <c r="AAJ101" t="s">
        <v>1900</v>
      </c>
      <c r="AAK101" t="s">
        <v>1900</v>
      </c>
      <c r="AAL101" t="s">
        <v>1900</v>
      </c>
      <c r="AAM101" t="s">
        <v>1900</v>
      </c>
      <c r="AAN101" t="s">
        <v>1900</v>
      </c>
      <c r="AAO101" t="s">
        <v>1900</v>
      </c>
      <c r="AAP101" t="s">
        <v>1900</v>
      </c>
      <c r="AAQ101" t="s">
        <v>1900</v>
      </c>
      <c r="AAR101" t="s">
        <v>1900</v>
      </c>
      <c r="AAS101" t="s">
        <v>1900</v>
      </c>
      <c r="AAT101" t="s">
        <v>1900</v>
      </c>
      <c r="AAU101" t="s">
        <v>1900</v>
      </c>
      <c r="AAV101" t="s">
        <v>1900</v>
      </c>
      <c r="AAW101" t="s">
        <v>1900</v>
      </c>
      <c r="AAX101" t="s">
        <v>1900</v>
      </c>
      <c r="AAY101" t="s">
        <v>1900</v>
      </c>
      <c r="AAZ101" t="s">
        <v>1900</v>
      </c>
      <c r="ABA101" t="s">
        <v>1900</v>
      </c>
      <c r="ABB101" t="s">
        <v>1900</v>
      </c>
      <c r="ABC101" t="s">
        <v>1900</v>
      </c>
      <c r="ABD101" t="s">
        <v>1900</v>
      </c>
      <c r="ABE101" t="s">
        <v>1900</v>
      </c>
      <c r="ABF101" t="s">
        <v>1900</v>
      </c>
      <c r="ABG101" t="s">
        <v>1900</v>
      </c>
      <c r="ABH101" t="s">
        <v>1900</v>
      </c>
      <c r="ABI101" t="s">
        <v>1900</v>
      </c>
      <c r="ABJ101" t="s">
        <v>1900</v>
      </c>
      <c r="ABK101" t="s">
        <v>1900</v>
      </c>
      <c r="ABL101" t="s">
        <v>1900</v>
      </c>
      <c r="ABM101" t="s">
        <v>1900</v>
      </c>
      <c r="ABN101" t="s">
        <v>1900</v>
      </c>
      <c r="ABO101" t="s">
        <v>1900</v>
      </c>
      <c r="ABP101" t="s">
        <v>1900</v>
      </c>
      <c r="ABQ101" t="s">
        <v>1900</v>
      </c>
      <c r="ABR101" t="s">
        <v>1900</v>
      </c>
      <c r="ABS101" t="s">
        <v>1900</v>
      </c>
      <c r="ABT101" t="s">
        <v>1900</v>
      </c>
      <c r="ABU101" t="s">
        <v>1900</v>
      </c>
      <c r="ABV101" t="s">
        <v>1900</v>
      </c>
      <c r="ABW101" t="s">
        <v>1900</v>
      </c>
      <c r="ABX101" t="s">
        <v>1900</v>
      </c>
      <c r="ABY101" t="s">
        <v>1900</v>
      </c>
      <c r="ABZ101" t="s">
        <v>1900</v>
      </c>
      <c r="ACA101" t="s">
        <v>1900</v>
      </c>
      <c r="ACB101" t="s">
        <v>1900</v>
      </c>
      <c r="ACC101" t="s">
        <v>1900</v>
      </c>
      <c r="ACD101" t="s">
        <v>1900</v>
      </c>
      <c r="ACE101" t="s">
        <v>1900</v>
      </c>
      <c r="ACF101">
        <v>17.441</v>
      </c>
      <c r="ACG101">
        <v>35.029</v>
      </c>
      <c r="ACH101">
        <v>40.263</v>
      </c>
      <c r="ACI101">
        <v>-210.836</v>
      </c>
      <c r="ACJ101" t="s">
        <v>1900</v>
      </c>
      <c r="ACK101">
        <v>11.606</v>
      </c>
      <c r="ACL101">
        <v>18.965</v>
      </c>
      <c r="ACM101">
        <v>16.29</v>
      </c>
      <c r="ACN101">
        <v>-69.05200000000001</v>
      </c>
      <c r="ACO101" t="s">
        <v>1900</v>
      </c>
      <c r="ACP101">
        <v>5.228</v>
      </c>
      <c r="ACQ101">
        <v>9.962</v>
      </c>
      <c r="ACR101">
        <v>8.369999999999999</v>
      </c>
      <c r="ACS101">
        <v>-33.541</v>
      </c>
      <c r="ACT101" t="s">
        <v>1900</v>
      </c>
      <c r="ACU101">
        <v>13.081</v>
      </c>
      <c r="ACV101">
        <v>26.272</v>
      </c>
      <c r="ACW101">
        <v>30.198</v>
      </c>
      <c r="ACX101">
        <v>-158.127</v>
      </c>
      <c r="ACY101" t="s">
        <v>1900</v>
      </c>
      <c r="ACZ101">
        <v>9.026999999999999</v>
      </c>
      <c r="ADA101">
        <v>14.523</v>
      </c>
      <c r="ADB101">
        <v>12.62</v>
      </c>
      <c r="ADC101">
        <v>-51.395</v>
      </c>
      <c r="ADD101" t="s">
        <v>1900</v>
      </c>
      <c r="ADE101">
        <v>3.921</v>
      </c>
      <c r="ADF101">
        <v>7.472</v>
      </c>
      <c r="ADG101">
        <v>6.277</v>
      </c>
      <c r="ADH101">
        <v>-25.156</v>
      </c>
      <c r="ADI101" t="s">
        <v>1900</v>
      </c>
      <c r="ADJ101">
        <v>2.07</v>
      </c>
      <c r="ADK101">
        <v>3.801</v>
      </c>
      <c r="ADL101">
        <v>2.76</v>
      </c>
      <c r="ADM101">
        <v>-13.652</v>
      </c>
      <c r="ADN101" t="s">
        <v>1900</v>
      </c>
      <c r="ADO101">
        <v>96</v>
      </c>
      <c r="ADP101">
        <v>95.28</v>
      </c>
      <c r="ADQ101">
        <v>95.291</v>
      </c>
      <c r="ADR101">
        <v>91.78400000000001</v>
      </c>
      <c r="ADS101" t="s">
        <v>1900</v>
      </c>
      <c r="ADT101">
        <v>1.787144691</v>
      </c>
      <c r="ADU101">
        <v>4.007454361</v>
      </c>
      <c r="ADV101">
        <v>3.011657633</v>
      </c>
      <c r="ADW101">
        <v>-13.478055027</v>
      </c>
      <c r="ADX101" t="s">
        <v>1900</v>
      </c>
      <c r="ADY101">
        <v>2.456</v>
      </c>
      <c r="ADZ101">
        <v>4.783</v>
      </c>
      <c r="AEA101">
        <v>3.789</v>
      </c>
      <c r="AEB101">
        <v>-12.296</v>
      </c>
      <c r="AEC101" t="s">
        <v>1900</v>
      </c>
      <c r="AED101">
        <v>1.787</v>
      </c>
      <c r="AEE101">
        <v>4.007</v>
      </c>
      <c r="AEF101">
        <v>3.012</v>
      </c>
      <c r="AEG101">
        <v>-13.478</v>
      </c>
      <c r="AEH101" t="s">
        <v>1900</v>
      </c>
      <c r="AEI101">
        <v>2.222</v>
      </c>
      <c r="AEJ101">
        <v>3.626</v>
      </c>
      <c r="AEK101">
        <v>2.848</v>
      </c>
      <c r="AEL101">
        <v>-9.057</v>
      </c>
      <c r="AEM101" t="s">
        <v>1900</v>
      </c>
      <c r="AEN101">
        <v>1.819664732</v>
      </c>
      <c r="AEO101">
        <v>4.174755794</v>
      </c>
      <c r="AEP101">
        <v>3.105174869</v>
      </c>
      <c r="AEQ101">
        <v>-11.877234786</v>
      </c>
      <c r="AER101" t="s">
        <v>1900</v>
      </c>
      <c r="AES101">
        <v>1.018969251</v>
      </c>
      <c r="AET101">
        <v>1.043906227</v>
      </c>
      <c r="AEU101">
        <v>1.03263621</v>
      </c>
      <c r="AEV101">
        <v>0.871957662</v>
      </c>
      <c r="AEW101" t="s">
        <v>1900</v>
      </c>
      <c r="AEX101" t="s">
        <v>1900</v>
      </c>
      <c r="AEY101" t="s">
        <v>1900</v>
      </c>
      <c r="AEZ101" t="s">
        <v>1900</v>
      </c>
      <c r="AFA101" t="s">
        <v>1900</v>
      </c>
      <c r="AFB101" t="s">
        <v>1900</v>
      </c>
      <c r="AFC101" t="s">
        <v>1900</v>
      </c>
      <c r="AFD101" t="s">
        <v>1900</v>
      </c>
      <c r="AFE101" t="s">
        <v>1900</v>
      </c>
      <c r="AFF101" t="s">
        <v>1900</v>
      </c>
      <c r="AFG101" t="s">
        <v>1900</v>
      </c>
      <c r="AFH101">
        <v>4.982</v>
      </c>
      <c r="AFI101">
        <v>4.675</v>
      </c>
      <c r="AFJ101">
        <v>5.318</v>
      </c>
      <c r="AFK101">
        <v>5.173</v>
      </c>
      <c r="AFL101" t="s">
        <v>1900</v>
      </c>
      <c r="AFM101">
        <v>6.893</v>
      </c>
      <c r="AFN101">
        <v>15.682</v>
      </c>
      <c r="AFO101">
        <v>9.952999999999999</v>
      </c>
      <c r="AFP101">
        <v>-44.213</v>
      </c>
      <c r="AFQ101" t="s">
        <v>1900</v>
      </c>
      <c r="AFR101" t="s">
        <v>1901</v>
      </c>
      <c r="AFS101" t="s">
        <v>1901</v>
      </c>
      <c r="AFT101" t="s">
        <v>1901</v>
      </c>
      <c r="AFU101" t="s">
        <v>1901</v>
      </c>
      <c r="AFV101" t="s">
        <v>1900</v>
      </c>
      <c r="AFW101">
        <v>35.405</v>
      </c>
      <c r="AFX101">
        <v>33.777</v>
      </c>
      <c r="AFY101">
        <v>44.869</v>
      </c>
      <c r="AFZ101">
        <v>48.453</v>
      </c>
      <c r="AGA101" t="s">
        <v>1900</v>
      </c>
      <c r="AGB101">
        <v>0</v>
      </c>
      <c r="AGC101">
        <v>0</v>
      </c>
      <c r="AGD101">
        <v>0</v>
      </c>
      <c r="AGE101">
        <v>0</v>
      </c>
      <c r="AGF101" t="s">
        <v>1900</v>
      </c>
      <c r="AGG101" t="s">
        <v>1900</v>
      </c>
      <c r="AGH101" t="s">
        <v>1900</v>
      </c>
      <c r="AGI101" t="s">
        <v>1900</v>
      </c>
      <c r="AGJ101" t="s">
        <v>1900</v>
      </c>
      <c r="AGK101" t="s">
        <v>1900</v>
      </c>
      <c r="AGL101" t="s">
        <v>1900</v>
      </c>
      <c r="AGM101" t="s">
        <v>1900</v>
      </c>
      <c r="AGN101" t="s">
        <v>1900</v>
      </c>
      <c r="AGO101" t="s">
        <v>1900</v>
      </c>
      <c r="AGP101" t="s">
        <v>1900</v>
      </c>
      <c r="AGQ101" t="s">
        <v>1900</v>
      </c>
      <c r="AGR101" t="s">
        <v>1900</v>
      </c>
      <c r="AGS101" t="s">
        <v>1900</v>
      </c>
      <c r="AGT101" t="s">
        <v>1900</v>
      </c>
      <c r="AGU101">
        <v>0</v>
      </c>
      <c r="AGV101">
        <v>0</v>
      </c>
      <c r="AGW101">
        <v>0</v>
      </c>
      <c r="AGX101">
        <v>0</v>
      </c>
      <c r="AGY101">
        <v>0</v>
      </c>
      <c r="AGZ101" t="s">
        <v>1900</v>
      </c>
      <c r="AHA101">
        <v>1.726</v>
      </c>
      <c r="AHB101">
        <v>1.775</v>
      </c>
      <c r="AHC101">
        <v>1.405</v>
      </c>
      <c r="AHD101">
        <v>1.09</v>
      </c>
      <c r="AHE101" t="s">
        <v>1900</v>
      </c>
      <c r="AHF101">
        <v>1.726</v>
      </c>
      <c r="AHG101">
        <v>1.775</v>
      </c>
      <c r="AHH101">
        <v>1.405</v>
      </c>
      <c r="AHI101">
        <v>1.09</v>
      </c>
      <c r="AHJ101" t="s">
        <v>1900</v>
      </c>
      <c r="AHK101">
        <v>1.447</v>
      </c>
      <c r="AHL101">
        <v>1.03</v>
      </c>
      <c r="AHM101">
        <v>0.574</v>
      </c>
      <c r="AHN101">
        <v>0.504</v>
      </c>
      <c r="AHO101" t="s">
        <v>1900</v>
      </c>
      <c r="AHP101">
        <v>29.978</v>
      </c>
      <c r="AHQ101">
        <v>28.44</v>
      </c>
      <c r="AHR101">
        <v>20.788</v>
      </c>
      <c r="AHS101">
        <v>15.909</v>
      </c>
      <c r="AHT101" t="s">
        <v>1900</v>
      </c>
      <c r="AHU101">
        <v>42.813</v>
      </c>
      <c r="AHV101">
        <v>39.743</v>
      </c>
      <c r="AHW101">
        <v>26.243</v>
      </c>
      <c r="AHX101">
        <v>18.918</v>
      </c>
      <c r="AHY101" t="s">
        <v>1900</v>
      </c>
      <c r="AHZ101">
        <v>69.099</v>
      </c>
      <c r="AIA101">
        <v>97.122</v>
      </c>
      <c r="AIB101">
        <v>174.256</v>
      </c>
      <c r="AIC101">
        <v>198.51</v>
      </c>
      <c r="AID101" t="s">
        <v>1900</v>
      </c>
      <c r="AIE101">
        <v>7.498242544</v>
      </c>
      <c r="AIF101">
        <v>12.385043925</v>
      </c>
      <c r="AIG101">
        <v>26.358126878</v>
      </c>
      <c r="AIH101">
        <v>36.348589203</v>
      </c>
      <c r="AII101" t="s">
        <v>1900</v>
      </c>
      <c r="AIJ101">
        <v>60.286278084</v>
      </c>
      <c r="AIK101">
        <v>53.391187175</v>
      </c>
      <c r="AIL101">
        <v>22.61339982</v>
      </c>
      <c r="AIM101">
        <v>24.182265395</v>
      </c>
      <c r="AIN101" t="s">
        <v>1900</v>
      </c>
      <c r="AIO101">
        <v>49.306707632</v>
      </c>
      <c r="AIP101">
        <v>43.938251879</v>
      </c>
      <c r="AIQ101">
        <v>42.988741042</v>
      </c>
      <c r="AIR101">
        <v>52.511102014</v>
      </c>
      <c r="AIS101" t="s">
        <v>1900</v>
      </c>
      <c r="AIT101">
        <v>0</v>
      </c>
      <c r="AIU101">
        <v>0</v>
      </c>
      <c r="AIV101">
        <v>0</v>
      </c>
      <c r="AIW101">
        <v>0</v>
      </c>
      <c r="AIX101" t="s">
        <v>1900</v>
      </c>
      <c r="AIY101">
        <v>1.65086963589001</v>
      </c>
      <c r="AIZ101">
        <v>2.78184505570412</v>
      </c>
      <c r="AJA101">
        <v>2.11850169270515</v>
      </c>
      <c r="AJB101">
        <v>-10.0921898370194</v>
      </c>
      <c r="AJC101" t="s">
        <v>1900</v>
      </c>
      <c r="AJD101">
        <v>79.74314865274521</v>
      </c>
      <c r="AJE101">
        <v>73.190856833905</v>
      </c>
      <c r="AJF101">
        <v>76.7468712873101</v>
      </c>
      <c r="AJG101">
        <v>73.9227932863832</v>
      </c>
      <c r="AJH101" t="s">
        <v>1900</v>
      </c>
      <c r="AJI101">
        <v>63.194</v>
      </c>
      <c r="AJJ101">
        <v>60.512</v>
      </c>
      <c r="AJK101">
        <v>58.149</v>
      </c>
      <c r="AJL101">
        <v>63.647</v>
      </c>
      <c r="AJM101" t="s">
        <v>1900</v>
      </c>
      <c r="AJN101">
        <v>50.3925387505522</v>
      </c>
      <c r="AJO101">
        <v>44.2894835500371</v>
      </c>
      <c r="AJP101">
        <v>44.6273572338939</v>
      </c>
      <c r="AJQ101">
        <v>47.0494585181677</v>
      </c>
      <c r="AJR101" t="s">
        <v>1900</v>
      </c>
      <c r="AJS101">
        <v>9.4655370130167</v>
      </c>
      <c r="AJT101">
        <v>7.94146675017953</v>
      </c>
      <c r="AJU101">
        <v>5.26159892755508</v>
      </c>
      <c r="AJV101">
        <v>4.78675852546871</v>
      </c>
      <c r="AJW101" t="s">
        <v>1900</v>
      </c>
      <c r="AJX101">
        <v>7.84246366460133</v>
      </c>
      <c r="AJY101">
        <v>6.86722827638626</v>
      </c>
      <c r="AJZ101">
        <v>9.565499350125791</v>
      </c>
      <c r="AKA101">
        <v>9.94948800529003</v>
      </c>
      <c r="AKB101" t="s">
        <v>1900</v>
      </c>
      <c r="AKC101">
        <v>31.5744841752405</v>
      </c>
      <c r="AKD101">
        <v>27.9234412776679</v>
      </c>
      <c r="AKE101">
        <v>25.311259930594</v>
      </c>
      <c r="AKF101">
        <v>30.0890000205445</v>
      </c>
      <c r="AKG101" t="s">
        <v>1900</v>
      </c>
      <c r="AKH101">
        <v>0</v>
      </c>
      <c r="AKI101">
        <v>0</v>
      </c>
      <c r="AKJ101">
        <v>0</v>
      </c>
      <c r="AKK101">
        <v>0</v>
      </c>
      <c r="AKL101" t="s">
        <v>1900</v>
      </c>
      <c r="AKM101">
        <v>0</v>
      </c>
      <c r="AKN101">
        <v>0</v>
      </c>
      <c r="AKO101">
        <v>0</v>
      </c>
      <c r="AKP101">
        <v>0</v>
      </c>
      <c r="AKQ101" t="s">
        <v>1900</v>
      </c>
      <c r="AKR101">
        <v>0</v>
      </c>
      <c r="AKS101">
        <v>0</v>
      </c>
      <c r="AKT101">
        <v>0</v>
      </c>
      <c r="AKU101">
        <v>0</v>
      </c>
      <c r="AKV101" t="s">
        <v>1900</v>
      </c>
      <c r="AKW101">
        <v>0.042771928</v>
      </c>
      <c r="AKX101">
        <v>0.125754687</v>
      </c>
      <c r="AKY101">
        <v>0.261983398</v>
      </c>
      <c r="AKZ101">
        <v>0.31787299</v>
      </c>
      <c r="ALA101" t="s">
        <v>1900</v>
      </c>
      <c r="ALB101">
        <v>0.108022925</v>
      </c>
      <c r="ALC101">
        <v>0.329618872</v>
      </c>
      <c r="ALD101">
        <v>0.794366068</v>
      </c>
      <c r="ALE101">
        <v>0.780951823</v>
      </c>
      <c r="ALF101" t="s">
        <v>1900</v>
      </c>
      <c r="ALG101">
        <v>2.878366628</v>
      </c>
      <c r="ALH101">
        <v>3.548509466</v>
      </c>
      <c r="ALI101">
        <v>4.103601928</v>
      </c>
      <c r="ALJ101">
        <v>2.288065453</v>
      </c>
      <c r="ALK101" t="s">
        <v>1900</v>
      </c>
      <c r="ALL101">
        <v>7.269477919</v>
      </c>
      <c r="ALM101">
        <v>9.301090198000001</v>
      </c>
      <c r="ALN101">
        <v>12.44262862</v>
      </c>
      <c r="ALO101">
        <v>5.621329718</v>
      </c>
      <c r="ALP101" t="s">
        <v>1900</v>
      </c>
      <c r="ALQ101">
        <v>9.834655157</v>
      </c>
      <c r="ALR101">
        <v>9.382631902</v>
      </c>
      <c r="ALS101">
        <v>12.463699532</v>
      </c>
      <c r="ALT101">
        <v>13.459297318</v>
      </c>
      <c r="ALU101" t="s">
        <v>1900</v>
      </c>
      <c r="ALV101">
        <v>0</v>
      </c>
      <c r="ALW101">
        <v>0</v>
      </c>
      <c r="ALX101">
        <v>0</v>
      </c>
      <c r="ALY101">
        <v>0</v>
      </c>
      <c r="ALZ101" t="s">
        <v>1900</v>
      </c>
      <c r="AMA101">
        <v>95.9998607173947</v>
      </c>
      <c r="AMB101">
        <v>95.28048488734581</v>
      </c>
      <c r="AMC101">
        <v>95.2912946446218</v>
      </c>
      <c r="AMD101">
        <v>91.7844322108251</v>
      </c>
      <c r="AME101" t="s">
        <v>1900</v>
      </c>
      <c r="AMF101">
        <v>97.28242657682949</v>
      </c>
      <c r="AMG101">
        <v>96.7126829815473</v>
      </c>
      <c r="AMH101">
        <v>97.75369386037811</v>
      </c>
      <c r="AMI101">
        <v>95.28066236512269</v>
      </c>
      <c r="AMJ101" t="s">
        <v>1900</v>
      </c>
      <c r="AMK101">
        <v>2399.91295140273</v>
      </c>
      <c r="AML101">
        <v>2018.86173924679</v>
      </c>
      <c r="AMM101">
        <v>2023.72600221806</v>
      </c>
      <c r="AMN101">
        <v>1117.20133542967</v>
      </c>
      <c r="AMO101" t="s">
        <v>1900</v>
      </c>
      <c r="AMP101">
        <v>1.01896925206308</v>
      </c>
      <c r="AMQ101">
        <v>1.04390622659714</v>
      </c>
      <c r="AMR101">
        <v>1.03263621022065</v>
      </c>
      <c r="AMS101">
        <v>0.871957660833818</v>
      </c>
      <c r="AMT101" t="s">
        <v>1900</v>
      </c>
      <c r="AMU101">
        <v>1.01896925136268</v>
      </c>
      <c r="AMV101">
        <v>1.04390622659714</v>
      </c>
      <c r="AMW101">
        <v>1.03263621022065</v>
      </c>
      <c r="AMX101">
        <v>0.871957661550629</v>
      </c>
      <c r="AMY101" t="s">
        <v>1900</v>
      </c>
      <c r="AMZ101">
        <v>1.0189692513494</v>
      </c>
      <c r="ANA101">
        <v>1.04390622659714</v>
      </c>
      <c r="ANB101">
        <v>1.03263621022065</v>
      </c>
      <c r="ANC101">
        <v>0.876387987768418</v>
      </c>
      <c r="AND101" t="s">
        <v>1900</v>
      </c>
      <c r="ANE101">
        <v>1.78714469062138</v>
      </c>
      <c r="ANF101">
        <v>4.00745436051812</v>
      </c>
      <c r="ANG101">
        <v>3.01165763260897</v>
      </c>
      <c r="ANH101">
        <v>-13.4780550265291</v>
      </c>
      <c r="ANI101" t="s">
        <v>1900</v>
      </c>
      <c r="ANJ101">
        <v>1.81102108740918</v>
      </c>
      <c r="ANK101">
        <v>4.06769196850804</v>
      </c>
      <c r="ANL101">
        <v>3.08948114650203</v>
      </c>
      <c r="ANM101">
        <v>-13.9914578037756</v>
      </c>
      <c r="ANN101" t="s">
        <v>1900</v>
      </c>
      <c r="ANO101">
        <v>1.81966473227128</v>
      </c>
      <c r="ANP101">
        <v>4.17475579361013</v>
      </c>
      <c r="ANQ101">
        <v>3.10517486854331</v>
      </c>
      <c r="ANR101">
        <v>-11.8772347863895</v>
      </c>
      <c r="ANS101" t="s">
        <v>1900</v>
      </c>
      <c r="ANT101">
        <v>8.90361408789652</v>
      </c>
      <c r="ANU101">
        <v>18.736559090071</v>
      </c>
      <c r="ANV101">
        <v>16.0173948449124</v>
      </c>
      <c r="ANW101">
        <v>-69.72776568595231</v>
      </c>
      <c r="ANX101" t="s">
        <v>1900</v>
      </c>
      <c r="ANY101">
        <v>95.9998607173946</v>
      </c>
      <c r="ANZ101">
        <v>95.28048488734581</v>
      </c>
      <c r="AOA101">
        <v>95.2912946446218</v>
      </c>
      <c r="AOB101">
        <v>95.5571008875943</v>
      </c>
      <c r="AOC101" t="s">
        <v>1900</v>
      </c>
      <c r="AOD101">
        <v>97.7467363258986</v>
      </c>
      <c r="AOE101">
        <v>99.25821245036011</v>
      </c>
      <c r="AOF101">
        <v>98.2502559778362</v>
      </c>
      <c r="AOG101">
        <v>80.88297969979099</v>
      </c>
      <c r="AOH101" t="s">
        <v>1900</v>
      </c>
      <c r="AOI101" t="s">
        <v>1901</v>
      </c>
      <c r="AOJ101" t="s">
        <v>1901</v>
      </c>
      <c r="AOK101" t="s">
        <v>1901</v>
      </c>
      <c r="AOL101" t="s">
        <v>1901</v>
      </c>
      <c r="AOM101" t="s">
        <v>1900</v>
      </c>
      <c r="AON101">
        <v>44.6770615811503</v>
      </c>
      <c r="AOO101">
        <v>84.91241716279541</v>
      </c>
      <c r="AOP101">
        <v>63.9593562415015</v>
      </c>
      <c r="AOQ101">
        <v>-164.055065896643</v>
      </c>
      <c r="AOR101" t="s">
        <v>1900</v>
      </c>
      <c r="AOS101">
        <v>1.89692513626846</v>
      </c>
      <c r="AOT101">
        <v>4.39062265971351</v>
      </c>
      <c r="AOU101">
        <v>3.26362102206462</v>
      </c>
      <c r="AOV101">
        <v>-12.8042338449371</v>
      </c>
      <c r="AOW101" t="s">
        <v>1900</v>
      </c>
      <c r="AOX101">
        <v>4.5135351208911</v>
      </c>
      <c r="AOY101">
        <v>10.5040425635555</v>
      </c>
      <c r="AOZ101">
        <v>9.13171845338535</v>
      </c>
      <c r="APA101">
        <v>-33.1129475143925</v>
      </c>
      <c r="APB101" t="s">
        <v>1900</v>
      </c>
      <c r="APC101">
        <v>1.55267508053785</v>
      </c>
      <c r="APD101">
        <v>2.85060728021494</v>
      </c>
      <c r="APE101">
        <v>2.07028170694235</v>
      </c>
      <c r="APF101">
        <v>-10.2392536760746</v>
      </c>
      <c r="APG101" t="s">
        <v>1900</v>
      </c>
      <c r="APH101">
        <v>1.57341894447902</v>
      </c>
      <c r="API101">
        <v>2.89345586897756</v>
      </c>
      <c r="APJ101">
        <v>2.12377935403153</v>
      </c>
      <c r="APK101">
        <v>-10.6292848240318</v>
      </c>
      <c r="APL101" t="s">
        <v>1900</v>
      </c>
      <c r="APM101">
        <v>38.8155254315685</v>
      </c>
      <c r="APN101">
        <v>60.4004269966578</v>
      </c>
      <c r="APO101">
        <v>43.9671109294984</v>
      </c>
      <c r="APP101">
        <v>-124.632332577251</v>
      </c>
      <c r="APQ101" t="s">
        <v>1900</v>
      </c>
      <c r="APR101">
        <v>1.64805256350331</v>
      </c>
      <c r="APS101">
        <v>3.12316493027704</v>
      </c>
      <c r="APT101">
        <v>2.243487050857</v>
      </c>
      <c r="APU101">
        <v>-9.727352960648449</v>
      </c>
      <c r="APV101" t="s">
        <v>1900</v>
      </c>
      <c r="APW101">
        <v>1.58092856138516</v>
      </c>
      <c r="APX101">
        <v>2.96961317279879</v>
      </c>
      <c r="APY101">
        <v>2.13456757421437</v>
      </c>
      <c r="APZ101">
        <v>-9.02311347659319</v>
      </c>
      <c r="AQA101" t="s">
        <v>1900</v>
      </c>
      <c r="AQB101">
        <v>3.92136884277866</v>
      </c>
      <c r="AQC101">
        <v>7.47180067684851</v>
      </c>
      <c r="AQD101">
        <v>6.27735020816895</v>
      </c>
      <c r="AQE101">
        <v>-25.1558454758529</v>
      </c>
      <c r="AQF101" t="s">
        <v>1900</v>
      </c>
      <c r="AQG101">
        <v>0.0189692513493987</v>
      </c>
      <c r="AQH101">
        <v>0.0439062265971351</v>
      </c>
      <c r="AQI101">
        <v>0.0326362102206462</v>
      </c>
      <c r="AQJ101">
        <v>-0.123612012231582</v>
      </c>
      <c r="AQK101">
        <v>8</v>
      </c>
      <c r="AQO101" t="s">
        <v>1902</v>
      </c>
      <c r="AQP101">
        <v>5</v>
      </c>
      <c r="AQQ101">
        <v>0</v>
      </c>
      <c r="AQS101" t="s">
        <v>1905</v>
      </c>
      <c r="AQU101" t="s">
        <v>1906</v>
      </c>
      <c r="AQV101" t="s">
        <v>1900</v>
      </c>
      <c r="AQW101">
        <v>1674606.12944265</v>
      </c>
      <c r="AQX101">
        <v>1537007.993512</v>
      </c>
      <c r="AQY101" t="s">
        <v>1900</v>
      </c>
      <c r="AQZ101">
        <v>29927.6345311546</v>
      </c>
      <c r="ARA101">
        <v>61594.8938575089</v>
      </c>
      <c r="ARB101">
        <v>3211614.12295465</v>
      </c>
      <c r="ARC101">
        <v>91522.5283886635</v>
      </c>
      <c r="ARD101">
        <v>0.02933328257031331</v>
      </c>
      <c r="ARE101">
        <v>0.02933328257031331</v>
      </c>
      <c r="ARF101">
        <v>0.02933328257031331</v>
      </c>
      <c r="ARG101">
        <v>0.02933328257031331</v>
      </c>
      <c r="ARH101">
        <v>0.02933328257031331</v>
      </c>
      <c r="ARI101">
        <v>0.02933328257031331</v>
      </c>
      <c r="ARJ101" t="s">
        <v>1262</v>
      </c>
      <c r="ARK101" t="s">
        <v>1600</v>
      </c>
      <c r="ARL101" t="s">
        <v>1908</v>
      </c>
      <c r="ARM101" t="s">
        <v>1908</v>
      </c>
      <c r="ARN101" t="s">
        <v>1909</v>
      </c>
      <c r="ARO101" t="s">
        <v>1908</v>
      </c>
      <c r="ARP101" t="s">
        <v>1907</v>
      </c>
      <c r="ARQ101" t="s">
        <v>1994</v>
      </c>
      <c r="ARR101">
        <f>HYPERLINK("C:\Users\Usuario\Documents\Proyectos\llmthon\evidence\sainzdebaranda_cat_235856.png", "Ver Evidencia")</f>
        <v>0</v>
      </c>
      <c r="ARS101">
        <v>90</v>
      </c>
    </row>
    <row r="102" spans="1:1163">
      <c r="A102">
        <v>677</v>
      </c>
      <c r="B102" t="s">
        <v>1263</v>
      </c>
      <c r="C102" t="s">
        <v>1386</v>
      </c>
      <c r="E102" s="2">
        <v>35702</v>
      </c>
      <c r="F102" t="s">
        <v>1431</v>
      </c>
      <c r="G102" t="s">
        <v>1433</v>
      </c>
      <c r="H102" t="s">
        <v>1434</v>
      </c>
      <c r="I102" t="s">
        <v>1448</v>
      </c>
      <c r="J102" t="s">
        <v>1485</v>
      </c>
      <c r="L102" t="s">
        <v>1601</v>
      </c>
      <c r="N102" t="s">
        <v>1646</v>
      </c>
      <c r="O102" t="s">
        <v>1670</v>
      </c>
      <c r="P102">
        <v>6920</v>
      </c>
      <c r="Q102">
        <v>6920</v>
      </c>
      <c r="R102" t="s">
        <v>1769</v>
      </c>
      <c r="Z102" t="s">
        <v>1899</v>
      </c>
      <c r="AA102" s="2">
        <v>45657</v>
      </c>
      <c r="AB102">
        <v>2024</v>
      </c>
      <c r="AC102">
        <v>545630.038881302</v>
      </c>
      <c r="AD102">
        <v>488631.219291687</v>
      </c>
      <c r="AE102">
        <v>513216.390386933</v>
      </c>
      <c r="AF102">
        <v>375481.861368663</v>
      </c>
      <c r="AG102">
        <v>357562.194727451</v>
      </c>
      <c r="AH102">
        <v>398937.423706055</v>
      </c>
      <c r="AI102">
        <v>424320.190429688</v>
      </c>
      <c r="AJ102">
        <v>489537.881747597</v>
      </c>
      <c r="AK102">
        <v>345862.348432517</v>
      </c>
      <c r="AL102">
        <v>330320.590280086</v>
      </c>
      <c r="AM102">
        <v>2299.60413378477</v>
      </c>
      <c r="AN102">
        <v>2152.67356609344</v>
      </c>
      <c r="AO102">
        <v>2795.91990255117</v>
      </c>
      <c r="AP102">
        <v>2490.50879409313</v>
      </c>
      <c r="AQ102">
        <v>9021.499068492651</v>
      </c>
      <c r="AR102">
        <v>543330.434747517</v>
      </c>
      <c r="AS102">
        <v>486478.545725594</v>
      </c>
      <c r="AT102">
        <v>510420.469417782</v>
      </c>
      <c r="AU102">
        <v>372991.35257457</v>
      </c>
      <c r="AV102">
        <v>348540.695658958</v>
      </c>
      <c r="AW102">
        <v>492177.815993308</v>
      </c>
      <c r="AX102">
        <v>557469.534635477</v>
      </c>
      <c r="AY102">
        <v>662175.776370007</v>
      </c>
      <c r="AZ102">
        <v>484121.846703529</v>
      </c>
      <c r="BA102">
        <v>452110.967594057</v>
      </c>
      <c r="BB102">
        <v>51152.6187542093</v>
      </c>
      <c r="BC102">
        <v>-70990.9889098835</v>
      </c>
      <c r="BD102">
        <v>-151755.305885625</v>
      </c>
      <c r="BE102">
        <v>-111130.492996359</v>
      </c>
      <c r="BF102">
        <v>-103570.273162198</v>
      </c>
      <c r="BG102">
        <v>-2018.96620080113</v>
      </c>
      <c r="BH102">
        <v>-2505.83172458649</v>
      </c>
      <c r="BI102">
        <v>1003971.05949673</v>
      </c>
      <c r="BJ102">
        <v>202199.123486567</v>
      </c>
      <c r="BK102">
        <v>96525.8151299834</v>
      </c>
      <c r="BL102">
        <v>0.11427894949913</v>
      </c>
      <c r="BM102">
        <v>2.89510129928589</v>
      </c>
      <c r="BN102">
        <v>1004599.95855299</v>
      </c>
      <c r="BO102">
        <v>203269.181605053</v>
      </c>
      <c r="BP102">
        <v>99095.95007065529</v>
      </c>
      <c r="BQ102">
        <v>2019.08047975063</v>
      </c>
      <c r="BR102">
        <v>2508.72682588577</v>
      </c>
      <c r="BS102">
        <v>628.899056261778</v>
      </c>
      <c r="BT102">
        <v>1070.0581184864</v>
      </c>
      <c r="BU102">
        <v>2570.13494067192</v>
      </c>
      <c r="BV102">
        <v>49133.6525534081</v>
      </c>
      <c r="BW102">
        <v>-73496.8195294695</v>
      </c>
      <c r="BX102">
        <v>852215.753611106</v>
      </c>
      <c r="BY102">
        <v>91068.6304902077</v>
      </c>
      <c r="BZ102">
        <v>-7044.45803221464</v>
      </c>
      <c r="CA102">
        <v>12283.4183328497</v>
      </c>
      <c r="CB102">
        <v>-18374.2023961163</v>
      </c>
      <c r="CC102">
        <v>-21247.1311098814</v>
      </c>
      <c r="CD102">
        <v>-25509.2735749483</v>
      </c>
      <c r="CE102">
        <v>-26535.0283997595</v>
      </c>
      <c r="CF102">
        <v>36850.2342205584</v>
      </c>
      <c r="CG102">
        <v>-55122.6171333532</v>
      </c>
      <c r="CH102">
        <v>873462.883654388</v>
      </c>
      <c r="CI102">
        <v>116577.904065156</v>
      </c>
      <c r="CJ102">
        <v>19490.5691404456</v>
      </c>
      <c r="CK102" t="s">
        <v>1900</v>
      </c>
      <c r="CL102" t="s">
        <v>1900</v>
      </c>
      <c r="CM102" t="s">
        <v>1900</v>
      </c>
      <c r="CN102" t="s">
        <v>1900</v>
      </c>
      <c r="CO102" t="s">
        <v>1900</v>
      </c>
      <c r="CP102" t="s">
        <v>1900</v>
      </c>
      <c r="CQ102" t="s">
        <v>1900</v>
      </c>
      <c r="CR102" t="s">
        <v>1900</v>
      </c>
      <c r="CS102" t="s">
        <v>1900</v>
      </c>
      <c r="CT102" t="s">
        <v>1900</v>
      </c>
      <c r="CU102" t="s">
        <v>1900</v>
      </c>
      <c r="CV102" t="s">
        <v>1900</v>
      </c>
      <c r="CW102" t="s">
        <v>1900</v>
      </c>
      <c r="CX102" t="s">
        <v>1900</v>
      </c>
      <c r="CY102" t="s">
        <v>1900</v>
      </c>
      <c r="CZ102">
        <v>36850.2342205584</v>
      </c>
      <c r="DA102">
        <v>-55122.6171333532</v>
      </c>
      <c r="DB102">
        <v>873462.883654388</v>
      </c>
      <c r="DC102">
        <v>116577.904065156</v>
      </c>
      <c r="DD102">
        <v>19490.5691404456</v>
      </c>
      <c r="DE102" t="s">
        <v>1900</v>
      </c>
      <c r="DF102" t="s">
        <v>1900</v>
      </c>
      <c r="DG102" t="s">
        <v>1900</v>
      </c>
      <c r="DH102" t="s">
        <v>1900</v>
      </c>
      <c r="DI102" t="s">
        <v>1900</v>
      </c>
      <c r="DJ102">
        <v>2299.60413378477</v>
      </c>
      <c r="DK102">
        <v>2152.67356609344</v>
      </c>
      <c r="DL102">
        <v>2795.91990255117</v>
      </c>
      <c r="DM102">
        <v>2490.50879409313</v>
      </c>
      <c r="DN102">
        <v>9021.499068492651</v>
      </c>
      <c r="DO102">
        <v>315438.36646502</v>
      </c>
      <c r="DP102">
        <v>356479.248533506</v>
      </c>
      <c r="DQ102">
        <v>326543.74239223</v>
      </c>
      <c r="DR102">
        <v>320886.314408326</v>
      </c>
      <c r="DS102">
        <v>312510.409693182</v>
      </c>
      <c r="DT102">
        <v>33773.8345110464</v>
      </c>
      <c r="DU102">
        <v>34459.7498651123</v>
      </c>
      <c r="DV102">
        <v>29162.6218961239</v>
      </c>
      <c r="DW102">
        <v>25568.3160289764</v>
      </c>
      <c r="DX102">
        <v>26096.0827093601</v>
      </c>
      <c r="DY102">
        <v>142965.615017241</v>
      </c>
      <c r="DZ102">
        <v>166530.536236858</v>
      </c>
      <c r="EA102">
        <v>306469.412081653</v>
      </c>
      <c r="EB102">
        <v>137667.216266227</v>
      </c>
      <c r="EC102">
        <v>113504.476418614</v>
      </c>
      <c r="ED102">
        <v>2019.08047975063</v>
      </c>
      <c r="EE102">
        <v>2508.72682588577</v>
      </c>
      <c r="EF102">
        <v>628.899056261778</v>
      </c>
      <c r="EG102">
        <v>1070.0581184864</v>
      </c>
      <c r="EH102">
        <v>2570.13494067192</v>
      </c>
      <c r="EI102" t="s">
        <v>1900</v>
      </c>
      <c r="EJ102" t="s">
        <v>1900</v>
      </c>
      <c r="EK102" t="s">
        <v>1900</v>
      </c>
      <c r="EL102" t="s">
        <v>1900</v>
      </c>
      <c r="EM102" t="s">
        <v>1900</v>
      </c>
      <c r="EN102">
        <v>70624.0687316048</v>
      </c>
      <c r="EO102">
        <v>-20662.8672682409</v>
      </c>
      <c r="EP102">
        <v>902625.506617111</v>
      </c>
      <c r="EQ102">
        <v>142146.220094132</v>
      </c>
      <c r="ER102">
        <v>45586.653076905</v>
      </c>
      <c r="ES102">
        <v>400364.934009225</v>
      </c>
      <c r="ET102">
        <v>319950.905695035</v>
      </c>
      <c r="EU102">
        <v>1208551.01588912</v>
      </c>
      <c r="EV102">
        <v>438593.319045997</v>
      </c>
      <c r="EW102">
        <v>334132.169310999</v>
      </c>
      <c r="EX102">
        <v>84926.4532652557</v>
      </c>
      <c r="EY102">
        <v>-36531.2390447712</v>
      </c>
      <c r="EZ102">
        <v>-122592.683989501</v>
      </c>
      <c r="FA102">
        <v>-85562.1769673824</v>
      </c>
      <c r="FB102">
        <v>-77474.19045283789</v>
      </c>
      <c r="FC102">
        <v>2859831.53194637</v>
      </c>
      <c r="FD102">
        <v>2275588.141556</v>
      </c>
      <c r="FE102">
        <v>1980568.85639682</v>
      </c>
      <c r="FF102">
        <v>1381023.47713151</v>
      </c>
      <c r="FG102">
        <v>1897102.09417233</v>
      </c>
      <c r="FH102">
        <v>11227.2418925834</v>
      </c>
      <c r="FI102">
        <v>0</v>
      </c>
      <c r="FJ102">
        <v>1522.59210147858</v>
      </c>
      <c r="FK102">
        <v>6062.49231777191</v>
      </c>
      <c r="FL102">
        <v>11384.9291321754</v>
      </c>
      <c r="FM102">
        <v>2672557.95274321</v>
      </c>
      <c r="FN102">
        <v>2075275.72905825</v>
      </c>
      <c r="FO102">
        <v>1803430.77587955</v>
      </c>
      <c r="FP102">
        <v>1017207.37514513</v>
      </c>
      <c r="FQ102">
        <v>1096267.12559887</v>
      </c>
      <c r="FR102">
        <v>176046.33731058</v>
      </c>
      <c r="FS102">
        <v>200312.412497749</v>
      </c>
      <c r="FT102">
        <v>175615.487349196</v>
      </c>
      <c r="FU102">
        <v>357753.609668612</v>
      </c>
      <c r="FV102">
        <v>789450.039441288</v>
      </c>
      <c r="FW102">
        <v>11227.2418925834</v>
      </c>
      <c r="FX102">
        <v>0</v>
      </c>
      <c r="FY102">
        <v>1522.59210147858</v>
      </c>
      <c r="FZ102">
        <v>6062.49231777191</v>
      </c>
      <c r="GA102">
        <v>11384.9291321754</v>
      </c>
      <c r="GB102">
        <v>2672557.95274321</v>
      </c>
      <c r="GC102">
        <v>2075275.72905825</v>
      </c>
      <c r="GD102">
        <v>1803430.77587955</v>
      </c>
      <c r="GE102">
        <v>1017207.37514513</v>
      </c>
      <c r="GF102">
        <v>1096267.12559887</v>
      </c>
      <c r="GG102">
        <v>176046.33731058</v>
      </c>
      <c r="GH102">
        <v>200312.412497749</v>
      </c>
      <c r="GI102">
        <v>175615.487349196</v>
      </c>
      <c r="GJ102">
        <v>357753.609668612</v>
      </c>
      <c r="GK102">
        <v>789450.039441288</v>
      </c>
      <c r="GL102">
        <v>568573.106731559</v>
      </c>
      <c r="GM102">
        <v>1261368.04423648</v>
      </c>
      <c r="GN102">
        <v>1573293.20680079</v>
      </c>
      <c r="GO102">
        <v>589504.257227469</v>
      </c>
      <c r="GP102">
        <v>128045.590845877</v>
      </c>
      <c r="GQ102">
        <v>0</v>
      </c>
      <c r="GR102">
        <v>0</v>
      </c>
      <c r="GS102">
        <v>0</v>
      </c>
      <c r="GT102">
        <v>0</v>
      </c>
      <c r="GU102">
        <v>0</v>
      </c>
      <c r="GV102">
        <v>150012.927718972</v>
      </c>
      <c r="GW102">
        <v>194298.557798805</v>
      </c>
      <c r="GX102">
        <v>284679.6911461</v>
      </c>
      <c r="GY102">
        <v>23098.5564725161</v>
      </c>
      <c r="GZ102">
        <v>94785.5919875026</v>
      </c>
      <c r="HA102">
        <v>418560.179012587</v>
      </c>
      <c r="HB102">
        <v>1067069.48643767</v>
      </c>
      <c r="HC102">
        <v>1288613.51565469</v>
      </c>
      <c r="HD102">
        <v>566405.700754952</v>
      </c>
      <c r="HE102">
        <v>33259.9988583744</v>
      </c>
      <c r="HF102">
        <v>247630.473885922</v>
      </c>
      <c r="HG102">
        <v>901072.521790276</v>
      </c>
      <c r="HH102">
        <v>1128385.28209228</v>
      </c>
      <c r="HI102">
        <v>396262.597748566</v>
      </c>
      <c r="HJ102">
        <v>32985.7912489235</v>
      </c>
      <c r="HK102">
        <v>3428404.63867793</v>
      </c>
      <c r="HL102">
        <v>3536956.18579247</v>
      </c>
      <c r="HM102">
        <v>3553862.06319762</v>
      </c>
      <c r="HN102">
        <v>1970527.73435898</v>
      </c>
      <c r="HO102">
        <v>2025147.68501821</v>
      </c>
      <c r="HP102">
        <v>2332718.53720123</v>
      </c>
      <c r="HQ102">
        <v>2426136.76832037</v>
      </c>
      <c r="HR102">
        <v>2501690.54087889</v>
      </c>
      <c r="HS102">
        <v>1768622.84910629</v>
      </c>
      <c r="HT102">
        <v>1796019.51941987</v>
      </c>
      <c r="HU102">
        <v>571394.747495651</v>
      </c>
      <c r="HV102">
        <v>607750.272750854</v>
      </c>
      <c r="HW102">
        <v>586629.718542099</v>
      </c>
      <c r="HX102">
        <v>622930.16910553</v>
      </c>
      <c r="HY102">
        <v>674904.6146869659</v>
      </c>
      <c r="HZ102">
        <v>1761323.78970557</v>
      </c>
      <c r="IA102">
        <v>1818386.49556952</v>
      </c>
      <c r="IB102">
        <v>1915060.82233679</v>
      </c>
      <c r="IC102">
        <v>1145692.68000076</v>
      </c>
      <c r="ID102">
        <v>1121114.90350581</v>
      </c>
      <c r="IE102">
        <v>907185.997475554</v>
      </c>
      <c r="IF102">
        <v>985574.628013783</v>
      </c>
      <c r="IG102">
        <v>957253.649933183</v>
      </c>
      <c r="IH102">
        <v>73253.7110820293</v>
      </c>
      <c r="II102">
        <v>101261.755792165</v>
      </c>
      <c r="IJ102">
        <v>907185.997475554</v>
      </c>
      <c r="IK102">
        <v>985574.628013783</v>
      </c>
      <c r="IL102">
        <v>957253.649933183</v>
      </c>
      <c r="IM102">
        <v>73253.7110820293</v>
      </c>
      <c r="IN102">
        <v>101261.755792165</v>
      </c>
      <c r="IO102">
        <v>0</v>
      </c>
      <c r="IP102">
        <v>0</v>
      </c>
      <c r="IQ102">
        <v>0</v>
      </c>
      <c r="IR102">
        <v>0</v>
      </c>
      <c r="IS102">
        <v>0</v>
      </c>
      <c r="IT102">
        <v>0</v>
      </c>
      <c r="IU102">
        <v>0</v>
      </c>
      <c r="IV102">
        <v>0</v>
      </c>
      <c r="IW102">
        <v>0</v>
      </c>
      <c r="IX102">
        <v>0</v>
      </c>
      <c r="IY102">
        <v>188500.104001151</v>
      </c>
      <c r="IZ102">
        <v>125244.789458323</v>
      </c>
      <c r="JA102">
        <v>94917.8723855436</v>
      </c>
      <c r="JB102">
        <v>128651.174170661</v>
      </c>
      <c r="JC102">
        <v>127866.409806174</v>
      </c>
      <c r="JD102">
        <v>19416.0454648793</v>
      </c>
      <c r="JE102">
        <v>19575.1500850868</v>
      </c>
      <c r="JF102">
        <v>18449.0993403435</v>
      </c>
      <c r="JG102">
        <v>20209.8593883276</v>
      </c>
      <c r="JH102">
        <v>21761.6121249735</v>
      </c>
      <c r="JI102">
        <v>16.8706896446943</v>
      </c>
      <c r="JJ102">
        <v>17.944103053093</v>
      </c>
      <c r="JK102">
        <v>17.3205090898275</v>
      </c>
      <c r="JL102">
        <v>18.3922963929176</v>
      </c>
      <c r="JM102">
        <v>19.9268655234575</v>
      </c>
      <c r="JN102">
        <v>169067.186807728</v>
      </c>
      <c r="JO102">
        <v>105651.694165182</v>
      </c>
      <c r="JP102">
        <v>76451.45146951079</v>
      </c>
      <c r="JQ102">
        <v>108422.92135334</v>
      </c>
      <c r="JR102">
        <v>106084.869588578</v>
      </c>
      <c r="JS102">
        <v>3428404.63867793</v>
      </c>
      <c r="JT102">
        <v>3536956.18579247</v>
      </c>
      <c r="JU102">
        <v>3553862.06319762</v>
      </c>
      <c r="JV102">
        <v>1970527.73435898</v>
      </c>
      <c r="JW102">
        <v>2025147.68501821</v>
      </c>
      <c r="JX102">
        <v>149996.057029327</v>
      </c>
      <c r="JY102">
        <v>194280.613695752</v>
      </c>
      <c r="JZ102">
        <v>284662.37063701</v>
      </c>
      <c r="KA102">
        <v>23080.1641761231</v>
      </c>
      <c r="KB102">
        <v>94765.66512197909</v>
      </c>
      <c r="KC102" t="s">
        <v>1900</v>
      </c>
      <c r="KD102" t="s">
        <v>1900</v>
      </c>
      <c r="KE102" t="s">
        <v>1900</v>
      </c>
      <c r="KF102" t="s">
        <v>1900</v>
      </c>
      <c r="KG102" t="s">
        <v>1900</v>
      </c>
      <c r="KH102" t="s">
        <v>1900</v>
      </c>
      <c r="KI102" t="s">
        <v>1900</v>
      </c>
      <c r="KJ102" t="s">
        <v>1900</v>
      </c>
      <c r="KK102" t="s">
        <v>1900</v>
      </c>
      <c r="KL102" t="s">
        <v>1900</v>
      </c>
      <c r="KM102">
        <v>5</v>
      </c>
      <c r="KN102">
        <v>5</v>
      </c>
      <c r="KO102">
        <v>5</v>
      </c>
      <c r="KP102">
        <v>4</v>
      </c>
      <c r="KQ102">
        <v>4</v>
      </c>
      <c r="KR102" t="s">
        <v>1900</v>
      </c>
      <c r="KS102" t="s">
        <v>1900</v>
      </c>
      <c r="KT102" t="s">
        <v>1900</v>
      </c>
      <c r="KU102" t="s">
        <v>1900</v>
      </c>
      <c r="KV102" t="s">
        <v>1900</v>
      </c>
      <c r="KW102" t="s">
        <v>1900</v>
      </c>
      <c r="KX102" t="s">
        <v>1900</v>
      </c>
      <c r="KY102" t="s">
        <v>1900</v>
      </c>
      <c r="KZ102" t="s">
        <v>1900</v>
      </c>
      <c r="LA102" t="s">
        <v>1900</v>
      </c>
      <c r="LB102" t="s">
        <v>1900</v>
      </c>
      <c r="LC102" t="s">
        <v>1900</v>
      </c>
      <c r="LD102" t="s">
        <v>1900</v>
      </c>
      <c r="LE102" t="s">
        <v>1900</v>
      </c>
      <c r="LF102" t="s">
        <v>1900</v>
      </c>
      <c r="LG102" t="s">
        <v>1900</v>
      </c>
      <c r="LH102" t="s">
        <v>1900</v>
      </c>
      <c r="LI102" t="s">
        <v>1900</v>
      </c>
      <c r="LJ102" t="s">
        <v>1900</v>
      </c>
      <c r="LK102" t="s">
        <v>1900</v>
      </c>
      <c r="LL102" t="s">
        <v>1900</v>
      </c>
      <c r="LM102" t="s">
        <v>1900</v>
      </c>
      <c r="LN102" t="s">
        <v>1900</v>
      </c>
      <c r="LO102" t="s">
        <v>1900</v>
      </c>
      <c r="LP102" t="s">
        <v>1900</v>
      </c>
      <c r="LQ102" t="s">
        <v>1900</v>
      </c>
      <c r="LR102" t="s">
        <v>1900</v>
      </c>
      <c r="LS102" t="s">
        <v>1900</v>
      </c>
      <c r="LT102" t="s">
        <v>1900</v>
      </c>
      <c r="LU102" t="s">
        <v>1900</v>
      </c>
      <c r="LV102" t="s">
        <v>1900</v>
      </c>
      <c r="LW102" t="s">
        <v>1900</v>
      </c>
      <c r="LX102" t="s">
        <v>1900</v>
      </c>
      <c r="LY102" t="s">
        <v>1900</v>
      </c>
      <c r="LZ102" t="s">
        <v>1900</v>
      </c>
      <c r="MA102" t="s">
        <v>1900</v>
      </c>
      <c r="MB102" t="s">
        <v>1900</v>
      </c>
      <c r="MC102" t="s">
        <v>1900</v>
      </c>
      <c r="MD102" t="s">
        <v>1900</v>
      </c>
      <c r="ME102" t="s">
        <v>1900</v>
      </c>
      <c r="MF102" t="s">
        <v>1900</v>
      </c>
      <c r="MG102" t="s">
        <v>1900</v>
      </c>
      <c r="MH102" t="s">
        <v>1900</v>
      </c>
      <c r="MI102" t="s">
        <v>1900</v>
      </c>
      <c r="MJ102" t="s">
        <v>1900</v>
      </c>
      <c r="MK102" t="s">
        <v>1900</v>
      </c>
      <c r="ML102" t="s">
        <v>1900</v>
      </c>
      <c r="MM102" t="s">
        <v>1900</v>
      </c>
      <c r="MN102" t="s">
        <v>1900</v>
      </c>
      <c r="MO102" t="s">
        <v>1900</v>
      </c>
      <c r="MP102">
        <v>418560.179012587</v>
      </c>
      <c r="MQ102">
        <v>1067069.48643767</v>
      </c>
      <c r="MR102">
        <v>1288613.51565469</v>
      </c>
      <c r="MS102">
        <v>566405.700754952</v>
      </c>
      <c r="MT102">
        <v>33259.9988583744</v>
      </c>
      <c r="MU102" t="s">
        <v>1900</v>
      </c>
      <c r="MV102" t="s">
        <v>1900</v>
      </c>
      <c r="MW102" t="s">
        <v>1900</v>
      </c>
      <c r="MX102" t="s">
        <v>1900</v>
      </c>
      <c r="MY102" t="s">
        <v>1900</v>
      </c>
      <c r="MZ102" t="s">
        <v>1900</v>
      </c>
      <c r="NA102" t="s">
        <v>1900</v>
      </c>
      <c r="NB102" t="s">
        <v>1900</v>
      </c>
      <c r="NC102" t="s">
        <v>1900</v>
      </c>
      <c r="ND102" t="s">
        <v>1900</v>
      </c>
      <c r="NE102" t="s">
        <v>1900</v>
      </c>
      <c r="NF102" t="s">
        <v>1900</v>
      </c>
      <c r="NG102" t="s">
        <v>1900</v>
      </c>
      <c r="NH102" t="s">
        <v>1900</v>
      </c>
      <c r="NI102" t="s">
        <v>1900</v>
      </c>
      <c r="NJ102" t="s">
        <v>1900</v>
      </c>
      <c r="NK102" t="s">
        <v>1900</v>
      </c>
      <c r="NL102" t="s">
        <v>1900</v>
      </c>
      <c r="NM102" t="s">
        <v>1900</v>
      </c>
      <c r="NN102" t="s">
        <v>1900</v>
      </c>
      <c r="NO102" t="s">
        <v>1900</v>
      </c>
      <c r="NP102" t="s">
        <v>1900</v>
      </c>
      <c r="NQ102" t="s">
        <v>1900</v>
      </c>
      <c r="NR102" t="s">
        <v>1900</v>
      </c>
      <c r="NS102" t="s">
        <v>1900</v>
      </c>
      <c r="NT102">
        <v>2859831.53194637</v>
      </c>
      <c r="NU102">
        <v>2275588.141556</v>
      </c>
      <c r="NV102">
        <v>1980568.85639682</v>
      </c>
      <c r="NW102">
        <v>1381023.47713151</v>
      </c>
      <c r="NX102">
        <v>1897102.09417233</v>
      </c>
      <c r="NY102" t="s">
        <v>1900</v>
      </c>
      <c r="NZ102" t="s">
        <v>1900</v>
      </c>
      <c r="OA102" t="s">
        <v>1900</v>
      </c>
      <c r="OB102" t="s">
        <v>1900</v>
      </c>
      <c r="OC102" t="s">
        <v>1900</v>
      </c>
      <c r="OD102" t="s">
        <v>1900</v>
      </c>
      <c r="OE102" t="s">
        <v>1900</v>
      </c>
      <c r="OF102" t="s">
        <v>1900</v>
      </c>
      <c r="OG102" t="s">
        <v>1900</v>
      </c>
      <c r="OH102" t="s">
        <v>1900</v>
      </c>
      <c r="OI102" t="s">
        <v>1900</v>
      </c>
      <c r="OJ102" t="s">
        <v>1900</v>
      </c>
      <c r="OK102" t="s">
        <v>1900</v>
      </c>
      <c r="OL102" t="s">
        <v>1900</v>
      </c>
      <c r="OM102" t="s">
        <v>1900</v>
      </c>
      <c r="ON102" t="s">
        <v>1900</v>
      </c>
      <c r="OO102" t="s">
        <v>1900</v>
      </c>
      <c r="OP102" t="s">
        <v>1900</v>
      </c>
      <c r="OQ102" t="s">
        <v>1900</v>
      </c>
      <c r="OR102" t="s">
        <v>1900</v>
      </c>
      <c r="OS102" t="s">
        <v>1900</v>
      </c>
      <c r="OT102" t="s">
        <v>1900</v>
      </c>
      <c r="OU102" t="s">
        <v>1900</v>
      </c>
      <c r="OV102" t="s">
        <v>1900</v>
      </c>
      <c r="OW102" t="s">
        <v>1900</v>
      </c>
      <c r="OX102" t="s">
        <v>1900</v>
      </c>
      <c r="OY102" t="s">
        <v>1900</v>
      </c>
      <c r="OZ102" t="s">
        <v>1900</v>
      </c>
      <c r="PA102" t="s">
        <v>1900</v>
      </c>
      <c r="PB102" t="s">
        <v>1900</v>
      </c>
      <c r="PC102" t="s">
        <v>1900</v>
      </c>
      <c r="PD102" t="s">
        <v>1900</v>
      </c>
      <c r="PE102" t="s">
        <v>1900</v>
      </c>
      <c r="PF102" t="s">
        <v>1900</v>
      </c>
      <c r="PG102" t="s">
        <v>1900</v>
      </c>
      <c r="PH102" t="s">
        <v>1900</v>
      </c>
      <c r="PI102" t="s">
        <v>1900</v>
      </c>
      <c r="PJ102" t="s">
        <v>1900</v>
      </c>
      <c r="PK102" t="s">
        <v>1900</v>
      </c>
      <c r="PL102" t="s">
        <v>1900</v>
      </c>
      <c r="PM102" t="s">
        <v>1900</v>
      </c>
      <c r="PN102" t="s">
        <v>1900</v>
      </c>
      <c r="PO102" t="s">
        <v>1900</v>
      </c>
      <c r="PP102" t="s">
        <v>1900</v>
      </c>
      <c r="PQ102" t="s">
        <v>1900</v>
      </c>
      <c r="PR102" t="s">
        <v>1900</v>
      </c>
      <c r="PS102" t="s">
        <v>1900</v>
      </c>
      <c r="PT102" t="s">
        <v>1900</v>
      </c>
      <c r="PU102" t="s">
        <v>1900</v>
      </c>
      <c r="PV102" t="s">
        <v>1900</v>
      </c>
      <c r="PW102" t="s">
        <v>1900</v>
      </c>
      <c r="PX102" t="s">
        <v>1900</v>
      </c>
      <c r="PY102" t="s">
        <v>1900</v>
      </c>
      <c r="PZ102" t="s">
        <v>1900</v>
      </c>
      <c r="QA102" t="s">
        <v>1900</v>
      </c>
      <c r="QB102" t="s">
        <v>1900</v>
      </c>
      <c r="QC102" t="s">
        <v>1900</v>
      </c>
      <c r="QD102" t="s">
        <v>1900</v>
      </c>
      <c r="QE102" t="s">
        <v>1900</v>
      </c>
      <c r="QF102" t="s">
        <v>1900</v>
      </c>
      <c r="QG102" t="s">
        <v>1900</v>
      </c>
      <c r="QH102" t="s">
        <v>1900</v>
      </c>
      <c r="QI102" t="s">
        <v>1900</v>
      </c>
      <c r="QJ102" t="s">
        <v>1900</v>
      </c>
      <c r="QK102" t="s">
        <v>1900</v>
      </c>
      <c r="QL102" t="s">
        <v>1900</v>
      </c>
      <c r="QM102" t="s">
        <v>1900</v>
      </c>
      <c r="QN102" t="s">
        <v>1900</v>
      </c>
      <c r="QO102" t="s">
        <v>1900</v>
      </c>
      <c r="QP102" t="s">
        <v>1900</v>
      </c>
      <c r="QQ102" t="s">
        <v>1900</v>
      </c>
      <c r="QR102" t="s">
        <v>1900</v>
      </c>
      <c r="QS102" t="s">
        <v>1900</v>
      </c>
      <c r="QT102" t="s">
        <v>1900</v>
      </c>
      <c r="QU102" t="s">
        <v>1900</v>
      </c>
      <c r="QV102" t="s">
        <v>1900</v>
      </c>
      <c r="QW102" t="s">
        <v>1900</v>
      </c>
      <c r="QX102" t="s">
        <v>1900</v>
      </c>
      <c r="QY102" t="s">
        <v>1900</v>
      </c>
      <c r="QZ102" t="s">
        <v>1900</v>
      </c>
      <c r="RA102" t="s">
        <v>1900</v>
      </c>
      <c r="RB102" t="s">
        <v>1900</v>
      </c>
      <c r="RC102" t="s">
        <v>1900</v>
      </c>
      <c r="RD102" t="s">
        <v>1900</v>
      </c>
      <c r="RE102" t="s">
        <v>1900</v>
      </c>
      <c r="RF102" t="s">
        <v>1900</v>
      </c>
      <c r="RG102" t="s">
        <v>1900</v>
      </c>
      <c r="RH102" t="s">
        <v>1900</v>
      </c>
      <c r="RI102" t="s">
        <v>1900</v>
      </c>
      <c r="RJ102" t="s">
        <v>1900</v>
      </c>
      <c r="RK102" t="s">
        <v>1900</v>
      </c>
      <c r="RL102" t="s">
        <v>1900</v>
      </c>
      <c r="RM102" t="s">
        <v>1900</v>
      </c>
      <c r="RN102" t="s">
        <v>1900</v>
      </c>
      <c r="RO102" t="s">
        <v>1900</v>
      </c>
      <c r="RP102" t="s">
        <v>1900</v>
      </c>
      <c r="RQ102" t="s">
        <v>1900</v>
      </c>
      <c r="RR102" t="s">
        <v>1900</v>
      </c>
      <c r="RS102" t="s">
        <v>1900</v>
      </c>
      <c r="RT102" t="s">
        <v>1900</v>
      </c>
      <c r="RU102" t="s">
        <v>1900</v>
      </c>
      <c r="RV102" t="s">
        <v>1900</v>
      </c>
      <c r="RW102" t="s">
        <v>1900</v>
      </c>
      <c r="RX102" t="s">
        <v>1900</v>
      </c>
      <c r="RY102" t="s">
        <v>1900</v>
      </c>
      <c r="RZ102" t="s">
        <v>1900</v>
      </c>
      <c r="SA102" t="s">
        <v>1900</v>
      </c>
      <c r="SB102" t="s">
        <v>1900</v>
      </c>
      <c r="SC102" t="s">
        <v>1900</v>
      </c>
      <c r="SD102" t="s">
        <v>1900</v>
      </c>
      <c r="SE102" t="s">
        <v>1900</v>
      </c>
      <c r="SF102" t="s">
        <v>1900</v>
      </c>
      <c r="SG102" t="s">
        <v>1900</v>
      </c>
      <c r="SH102" t="s">
        <v>1900</v>
      </c>
      <c r="SI102" t="s">
        <v>1900</v>
      </c>
      <c r="SJ102">
        <v>176046.33731058</v>
      </c>
      <c r="SK102">
        <v>200312.412497749</v>
      </c>
      <c r="SL102">
        <v>175615.487349196</v>
      </c>
      <c r="SM102">
        <v>357753.609668612</v>
      </c>
      <c r="SN102">
        <v>789450.039441288</v>
      </c>
      <c r="SO102" t="s">
        <v>1900</v>
      </c>
      <c r="SP102" t="s">
        <v>1900</v>
      </c>
      <c r="SQ102" t="s">
        <v>1900</v>
      </c>
      <c r="SR102" t="s">
        <v>1900</v>
      </c>
      <c r="SS102" t="s">
        <v>1900</v>
      </c>
      <c r="ST102" t="s">
        <v>1900</v>
      </c>
      <c r="SU102" t="s">
        <v>1900</v>
      </c>
      <c r="SV102" t="s">
        <v>1900</v>
      </c>
      <c r="SW102" t="s">
        <v>1900</v>
      </c>
      <c r="SX102" t="s">
        <v>1900</v>
      </c>
      <c r="SY102" t="s">
        <v>1900</v>
      </c>
      <c r="SZ102" t="s">
        <v>1900</v>
      </c>
      <c r="TA102" t="s">
        <v>1900</v>
      </c>
      <c r="TB102" t="s">
        <v>1900</v>
      </c>
      <c r="TC102" t="s">
        <v>1900</v>
      </c>
      <c r="TD102" t="s">
        <v>1900</v>
      </c>
      <c r="TE102" t="s">
        <v>1900</v>
      </c>
      <c r="TF102" t="s">
        <v>1900</v>
      </c>
      <c r="TG102" t="s">
        <v>1900</v>
      </c>
      <c r="TH102" t="s">
        <v>1900</v>
      </c>
      <c r="TI102" t="s">
        <v>1900</v>
      </c>
      <c r="TJ102" t="s">
        <v>1900</v>
      </c>
      <c r="TK102" t="s">
        <v>1900</v>
      </c>
      <c r="TL102" t="s">
        <v>1900</v>
      </c>
      <c r="TM102" t="s">
        <v>1900</v>
      </c>
      <c r="TN102" t="s">
        <v>1900</v>
      </c>
      <c r="TO102" t="s">
        <v>1900</v>
      </c>
      <c r="TP102" t="s">
        <v>1900</v>
      </c>
      <c r="TQ102" t="s">
        <v>1900</v>
      </c>
      <c r="TR102" t="s">
        <v>1900</v>
      </c>
      <c r="TS102">
        <v>3428404.63867793</v>
      </c>
      <c r="TT102">
        <v>3536956.18579247</v>
      </c>
      <c r="TU102">
        <v>3553862.06319762</v>
      </c>
      <c r="TV102">
        <v>1970527.73435898</v>
      </c>
      <c r="TW102">
        <v>2025147.68501821</v>
      </c>
      <c r="TX102" t="s">
        <v>1900</v>
      </c>
      <c r="TY102" t="s">
        <v>1900</v>
      </c>
      <c r="TZ102" t="s">
        <v>1900</v>
      </c>
      <c r="UA102" t="s">
        <v>1900</v>
      </c>
      <c r="UB102" t="s">
        <v>1900</v>
      </c>
      <c r="UC102">
        <v>19416.0454648793</v>
      </c>
      <c r="UD102">
        <v>19575.1500850868</v>
      </c>
      <c r="UE102">
        <v>18449.0993403435</v>
      </c>
      <c r="UF102">
        <v>20209.8593883276</v>
      </c>
      <c r="UG102">
        <v>21761.6121249735</v>
      </c>
      <c r="UH102" t="s">
        <v>1900</v>
      </c>
      <c r="UI102" t="s">
        <v>1900</v>
      </c>
      <c r="UJ102" t="s">
        <v>1900</v>
      </c>
      <c r="UK102" t="s">
        <v>1900</v>
      </c>
      <c r="UL102" t="s">
        <v>1900</v>
      </c>
      <c r="UM102" t="s">
        <v>1900</v>
      </c>
      <c r="UN102" t="s">
        <v>1900</v>
      </c>
      <c r="UO102" t="s">
        <v>1900</v>
      </c>
      <c r="UP102" t="s">
        <v>1900</v>
      </c>
      <c r="UQ102" t="s">
        <v>1900</v>
      </c>
      <c r="UR102" t="s">
        <v>1900</v>
      </c>
      <c r="US102" t="s">
        <v>1900</v>
      </c>
      <c r="UT102" t="s">
        <v>1900</v>
      </c>
      <c r="UU102" t="s">
        <v>1900</v>
      </c>
      <c r="UV102" t="s">
        <v>1900</v>
      </c>
      <c r="UW102" t="s">
        <v>1900</v>
      </c>
      <c r="UX102" t="s">
        <v>1900</v>
      </c>
      <c r="UY102" t="s">
        <v>1900</v>
      </c>
      <c r="UZ102" t="s">
        <v>1900</v>
      </c>
      <c r="VA102" t="s">
        <v>1900</v>
      </c>
      <c r="VB102" t="s">
        <v>1900</v>
      </c>
      <c r="VC102" t="s">
        <v>1900</v>
      </c>
      <c r="VD102" t="s">
        <v>1900</v>
      </c>
      <c r="VE102" t="s">
        <v>1900</v>
      </c>
      <c r="VF102" t="s">
        <v>1900</v>
      </c>
      <c r="VG102" t="s">
        <v>1900</v>
      </c>
      <c r="VH102" t="s">
        <v>1900</v>
      </c>
      <c r="VI102" t="s">
        <v>1900</v>
      </c>
      <c r="VJ102" t="s">
        <v>1900</v>
      </c>
      <c r="VK102" t="s">
        <v>1900</v>
      </c>
      <c r="VL102" t="s">
        <v>1900</v>
      </c>
      <c r="VM102" t="s">
        <v>1900</v>
      </c>
      <c r="VN102" t="s">
        <v>1900</v>
      </c>
      <c r="VO102" t="s">
        <v>1900</v>
      </c>
      <c r="VP102" t="s">
        <v>1900</v>
      </c>
      <c r="VQ102" t="s">
        <v>1900</v>
      </c>
      <c r="VR102" t="s">
        <v>1900</v>
      </c>
      <c r="VS102" t="s">
        <v>1900</v>
      </c>
      <c r="VT102" t="s">
        <v>1900</v>
      </c>
      <c r="VU102" t="s">
        <v>1900</v>
      </c>
      <c r="VV102" t="s">
        <v>1900</v>
      </c>
      <c r="VW102" t="s">
        <v>1900</v>
      </c>
      <c r="VX102" t="s">
        <v>1900</v>
      </c>
      <c r="VY102" t="s">
        <v>1900</v>
      </c>
      <c r="VZ102" t="s">
        <v>1900</v>
      </c>
      <c r="WA102">
        <v>169067.186807728</v>
      </c>
      <c r="WB102">
        <v>105651.694165182</v>
      </c>
      <c r="WC102">
        <v>76451.45146951079</v>
      </c>
      <c r="WD102">
        <v>108422.92135334</v>
      </c>
      <c r="WE102">
        <v>106084.869588578</v>
      </c>
      <c r="WF102" t="s">
        <v>1900</v>
      </c>
      <c r="WG102" t="s">
        <v>1900</v>
      </c>
      <c r="WH102" t="s">
        <v>1900</v>
      </c>
      <c r="WI102" t="s">
        <v>1900</v>
      </c>
      <c r="WJ102" t="s">
        <v>1900</v>
      </c>
      <c r="WK102" t="s">
        <v>1900</v>
      </c>
      <c r="WL102" t="s">
        <v>1900</v>
      </c>
      <c r="WM102" t="s">
        <v>1900</v>
      </c>
      <c r="WN102" t="s">
        <v>1900</v>
      </c>
      <c r="WO102" t="s">
        <v>1900</v>
      </c>
      <c r="WP102" t="s">
        <v>1900</v>
      </c>
      <c r="WQ102" t="s">
        <v>1900</v>
      </c>
      <c r="WR102" t="s">
        <v>1900</v>
      </c>
      <c r="WS102" t="s">
        <v>1900</v>
      </c>
      <c r="WT102" t="s">
        <v>1900</v>
      </c>
      <c r="WU102" t="s">
        <v>1900</v>
      </c>
      <c r="WV102" t="s">
        <v>1900</v>
      </c>
      <c r="WW102" t="s">
        <v>1900</v>
      </c>
      <c r="WX102" t="s">
        <v>1900</v>
      </c>
      <c r="WY102" t="s">
        <v>1900</v>
      </c>
      <c r="WZ102" t="s">
        <v>1900</v>
      </c>
      <c r="XA102" t="s">
        <v>1900</v>
      </c>
      <c r="XB102" t="s">
        <v>1900</v>
      </c>
      <c r="XC102" t="s">
        <v>1900</v>
      </c>
      <c r="XD102" t="s">
        <v>1900</v>
      </c>
      <c r="XE102" t="s">
        <v>1900</v>
      </c>
      <c r="XF102" t="s">
        <v>1900</v>
      </c>
      <c r="XG102" t="s">
        <v>1900</v>
      </c>
      <c r="XH102" t="s">
        <v>1900</v>
      </c>
      <c r="XI102" t="s">
        <v>1900</v>
      </c>
      <c r="XJ102">
        <v>0</v>
      </c>
      <c r="XK102">
        <v>0</v>
      </c>
      <c r="XL102">
        <v>0</v>
      </c>
      <c r="XM102">
        <v>0</v>
      </c>
      <c r="XN102">
        <v>0</v>
      </c>
      <c r="XO102" t="s">
        <v>1900</v>
      </c>
      <c r="XP102" t="s">
        <v>1900</v>
      </c>
      <c r="XQ102" t="s">
        <v>1900</v>
      </c>
      <c r="XR102" t="s">
        <v>1900</v>
      </c>
      <c r="XS102" t="s">
        <v>1900</v>
      </c>
      <c r="XT102" t="s">
        <v>1900</v>
      </c>
      <c r="XU102" t="s">
        <v>1900</v>
      </c>
      <c r="XV102" t="s">
        <v>1900</v>
      </c>
      <c r="XW102" t="s">
        <v>1900</v>
      </c>
      <c r="XX102" t="s">
        <v>1900</v>
      </c>
      <c r="XY102">
        <v>0</v>
      </c>
      <c r="XZ102">
        <v>0</v>
      </c>
      <c r="YA102">
        <v>0</v>
      </c>
      <c r="YB102">
        <v>0</v>
      </c>
      <c r="YC102">
        <v>0</v>
      </c>
      <c r="YD102" t="s">
        <v>1900</v>
      </c>
      <c r="YE102" t="s">
        <v>1900</v>
      </c>
      <c r="YF102" t="s">
        <v>1900</v>
      </c>
      <c r="YG102" t="s">
        <v>1900</v>
      </c>
      <c r="YH102" t="s">
        <v>1900</v>
      </c>
      <c r="YI102" t="s">
        <v>1900</v>
      </c>
      <c r="YJ102" t="s">
        <v>1900</v>
      </c>
      <c r="YK102" t="s">
        <v>1900</v>
      </c>
      <c r="YL102" t="s">
        <v>1900</v>
      </c>
      <c r="YM102" t="s">
        <v>1900</v>
      </c>
      <c r="YN102" t="s">
        <v>1900</v>
      </c>
      <c r="YO102" t="s">
        <v>1900</v>
      </c>
      <c r="YP102" t="s">
        <v>1900</v>
      </c>
      <c r="YQ102" t="s">
        <v>1900</v>
      </c>
      <c r="YR102" t="s">
        <v>1900</v>
      </c>
      <c r="YS102" t="s">
        <v>1900</v>
      </c>
      <c r="YT102" t="s">
        <v>1900</v>
      </c>
      <c r="YU102" t="s">
        <v>1900</v>
      </c>
      <c r="YV102" t="s">
        <v>1900</v>
      </c>
      <c r="YW102" t="s">
        <v>1900</v>
      </c>
      <c r="YX102" t="s">
        <v>1900</v>
      </c>
      <c r="YY102" t="s">
        <v>1900</v>
      </c>
      <c r="YZ102" t="s">
        <v>1900</v>
      </c>
      <c r="ZA102" t="s">
        <v>1900</v>
      </c>
      <c r="ZB102" t="s">
        <v>1900</v>
      </c>
      <c r="ZC102" t="s">
        <v>1900</v>
      </c>
      <c r="ZD102" t="s">
        <v>1900</v>
      </c>
      <c r="ZE102" t="s">
        <v>1900</v>
      </c>
      <c r="ZF102" t="s">
        <v>1900</v>
      </c>
      <c r="ZG102" t="s">
        <v>1900</v>
      </c>
      <c r="ZH102" t="s">
        <v>1900</v>
      </c>
      <c r="ZI102" t="s">
        <v>1900</v>
      </c>
      <c r="ZJ102" t="s">
        <v>1900</v>
      </c>
      <c r="ZK102" t="s">
        <v>1900</v>
      </c>
      <c r="ZL102" t="s">
        <v>1900</v>
      </c>
      <c r="ZM102" t="s">
        <v>1900</v>
      </c>
      <c r="ZN102" t="s">
        <v>1900</v>
      </c>
      <c r="ZO102" t="s">
        <v>1900</v>
      </c>
      <c r="ZP102" t="s">
        <v>1900</v>
      </c>
      <c r="ZQ102" t="s">
        <v>1900</v>
      </c>
      <c r="ZR102" t="s">
        <v>1900</v>
      </c>
      <c r="ZS102" t="s">
        <v>1900</v>
      </c>
      <c r="ZT102" t="s">
        <v>1900</v>
      </c>
      <c r="ZU102" t="s">
        <v>1900</v>
      </c>
      <c r="ZV102" t="s">
        <v>1900</v>
      </c>
      <c r="ZW102" t="s">
        <v>1900</v>
      </c>
      <c r="ZX102" t="s">
        <v>1900</v>
      </c>
      <c r="ZY102" t="s">
        <v>1900</v>
      </c>
      <c r="ZZ102" t="s">
        <v>1900</v>
      </c>
      <c r="AAA102" t="s">
        <v>1900</v>
      </c>
      <c r="AAB102" t="s">
        <v>1900</v>
      </c>
      <c r="AAC102" t="s">
        <v>1900</v>
      </c>
      <c r="AAD102" t="s">
        <v>1900</v>
      </c>
      <c r="AAE102" t="s">
        <v>1900</v>
      </c>
      <c r="AAF102" t="s">
        <v>1900</v>
      </c>
      <c r="AAG102" t="s">
        <v>1900</v>
      </c>
      <c r="AAH102" t="s">
        <v>1900</v>
      </c>
      <c r="AAI102" t="s">
        <v>1900</v>
      </c>
      <c r="AAJ102" t="s">
        <v>1900</v>
      </c>
      <c r="AAK102" t="s">
        <v>1900</v>
      </c>
      <c r="AAL102" t="s">
        <v>1900</v>
      </c>
      <c r="AAM102" t="s">
        <v>1900</v>
      </c>
      <c r="AAN102" t="s">
        <v>1900</v>
      </c>
      <c r="AAO102" t="s">
        <v>1900</v>
      </c>
      <c r="AAP102" t="s">
        <v>1900</v>
      </c>
      <c r="AAQ102" t="s">
        <v>1900</v>
      </c>
      <c r="AAR102" t="s">
        <v>1900</v>
      </c>
      <c r="AAS102" t="s">
        <v>1900</v>
      </c>
      <c r="AAT102" t="s">
        <v>1900</v>
      </c>
      <c r="AAU102" t="s">
        <v>1900</v>
      </c>
      <c r="AAV102" t="s">
        <v>1900</v>
      </c>
      <c r="AAW102" t="s">
        <v>1900</v>
      </c>
      <c r="AAX102" t="s">
        <v>1900</v>
      </c>
      <c r="AAY102" t="s">
        <v>1900</v>
      </c>
      <c r="AAZ102" t="s">
        <v>1900</v>
      </c>
      <c r="ABA102" t="s">
        <v>1900</v>
      </c>
      <c r="ABB102" t="s">
        <v>1900</v>
      </c>
      <c r="ABC102" t="s">
        <v>1900</v>
      </c>
      <c r="ABD102" t="s">
        <v>1900</v>
      </c>
      <c r="ABE102" t="s">
        <v>1900</v>
      </c>
      <c r="ABF102" t="s">
        <v>1900</v>
      </c>
      <c r="ABG102" t="s">
        <v>1900</v>
      </c>
      <c r="ABH102" t="s">
        <v>1900</v>
      </c>
      <c r="ABI102" t="s">
        <v>1900</v>
      </c>
      <c r="ABJ102" t="s">
        <v>1900</v>
      </c>
      <c r="ABK102" t="s">
        <v>1900</v>
      </c>
      <c r="ABL102" t="s">
        <v>1900</v>
      </c>
      <c r="ABM102" t="s">
        <v>1900</v>
      </c>
      <c r="ABN102" t="s">
        <v>1900</v>
      </c>
      <c r="ABO102" t="s">
        <v>1900</v>
      </c>
      <c r="ABP102" t="s">
        <v>1900</v>
      </c>
      <c r="ABQ102" t="s">
        <v>1900</v>
      </c>
      <c r="ABR102" t="s">
        <v>1900</v>
      </c>
      <c r="ABS102" t="s">
        <v>1900</v>
      </c>
      <c r="ABT102" t="s">
        <v>1900</v>
      </c>
      <c r="ABU102" t="s">
        <v>1900</v>
      </c>
      <c r="ABV102" t="s">
        <v>1900</v>
      </c>
      <c r="ABW102" t="s">
        <v>1900</v>
      </c>
      <c r="ABX102" t="s">
        <v>1900</v>
      </c>
      <c r="ABY102" t="s">
        <v>1900</v>
      </c>
      <c r="ABZ102" t="s">
        <v>1900</v>
      </c>
      <c r="ACA102" t="s">
        <v>1900</v>
      </c>
      <c r="ACB102" t="s">
        <v>1900</v>
      </c>
      <c r="ACC102" t="s">
        <v>1900</v>
      </c>
      <c r="ACD102" t="s">
        <v>1900</v>
      </c>
      <c r="ACE102">
        <v>2.106</v>
      </c>
      <c r="ACF102">
        <v>-3.029</v>
      </c>
      <c r="ACG102">
        <v>34.066</v>
      </c>
      <c r="ACH102">
        <v>5.149</v>
      </c>
      <c r="ACI102">
        <v>-0.392</v>
      </c>
      <c r="ACJ102">
        <v>1.579</v>
      </c>
      <c r="ACK102">
        <v>-2.081</v>
      </c>
      <c r="ACL102">
        <v>24.656</v>
      </c>
      <c r="ACM102">
        <v>5.002</v>
      </c>
      <c r="ACN102">
        <v>-0.236</v>
      </c>
      <c r="ACO102">
        <v>1.433</v>
      </c>
      <c r="ACP102">
        <v>-2.078</v>
      </c>
      <c r="ACQ102">
        <v>23.98</v>
      </c>
      <c r="ACR102">
        <v>4.622</v>
      </c>
      <c r="ACS102">
        <v>-0.348</v>
      </c>
      <c r="ACT102">
        <v>1.58</v>
      </c>
      <c r="ACU102">
        <v>-2.272</v>
      </c>
      <c r="ACV102">
        <v>34.915</v>
      </c>
      <c r="ACW102">
        <v>6.591</v>
      </c>
      <c r="ACX102">
        <v>1.085</v>
      </c>
      <c r="ACY102">
        <v>1.2</v>
      </c>
      <c r="ACZ102">
        <v>-1.542</v>
      </c>
      <c r="ADA102">
        <v>25.27</v>
      </c>
      <c r="ADB102">
        <v>6.387</v>
      </c>
      <c r="ADC102">
        <v>1.163</v>
      </c>
      <c r="ADD102">
        <v>1.075</v>
      </c>
      <c r="ADE102">
        <v>-1.558</v>
      </c>
      <c r="ADF102">
        <v>24.578</v>
      </c>
      <c r="ADG102">
        <v>5.916</v>
      </c>
      <c r="ADH102">
        <v>0.962</v>
      </c>
      <c r="ADI102">
        <v>9.005000000000001</v>
      </c>
      <c r="ADJ102">
        <v>-15.041</v>
      </c>
      <c r="ADK102" t="s">
        <v>1901</v>
      </c>
      <c r="ADL102">
        <v>24.254</v>
      </c>
      <c r="ADM102">
        <v>-1.97</v>
      </c>
      <c r="ADN102">
        <v>99.57899999999999</v>
      </c>
      <c r="ADO102">
        <v>99.559</v>
      </c>
      <c r="ADP102">
        <v>99.455</v>
      </c>
      <c r="ADQ102">
        <v>99.337</v>
      </c>
      <c r="ADR102">
        <v>97.477</v>
      </c>
      <c r="ADS102">
        <v>9.374963823</v>
      </c>
      <c r="ADT102">
        <v>-14.528541384</v>
      </c>
      <c r="ADU102">
        <v>-29.569458172</v>
      </c>
      <c r="ADV102">
        <v>-29.596767362</v>
      </c>
      <c r="ADW102">
        <v>-28.965666586</v>
      </c>
      <c r="ADX102">
        <v>15.565</v>
      </c>
      <c r="ADY102">
        <v>-7.476</v>
      </c>
      <c r="ADZ102">
        <v>-23.887</v>
      </c>
      <c r="AEA102">
        <v>-22.787</v>
      </c>
      <c r="AEB102">
        <v>-21.667</v>
      </c>
      <c r="AEC102">
        <v>9.375</v>
      </c>
      <c r="AED102">
        <v>-14.529</v>
      </c>
      <c r="AEE102">
        <v>-29.569</v>
      </c>
      <c r="AEF102">
        <v>-29.597</v>
      </c>
      <c r="AEG102">
        <v>-28.966</v>
      </c>
      <c r="AEH102">
        <v>12.944</v>
      </c>
      <c r="AEI102">
        <v>-4.229</v>
      </c>
      <c r="AEJ102" t="s">
        <v>1901</v>
      </c>
      <c r="AEK102">
        <v>37.857</v>
      </c>
      <c r="AEL102">
        <v>12.749</v>
      </c>
      <c r="AEM102">
        <v>10.344783538</v>
      </c>
      <c r="AEN102">
        <v>-12.685520315</v>
      </c>
      <c r="AEO102">
        <v>-22.821318071</v>
      </c>
      <c r="AEP102">
        <v>-22.837581496</v>
      </c>
      <c r="AEQ102">
        <v>-22.459982841</v>
      </c>
      <c r="AER102">
        <v>1.103931175</v>
      </c>
      <c r="AES102">
        <v>0.872654944</v>
      </c>
      <c r="AET102">
        <v>0.77082323</v>
      </c>
      <c r="AEU102">
        <v>0.770449332</v>
      </c>
      <c r="AEV102">
        <v>0.770918468</v>
      </c>
      <c r="AEW102" t="s">
        <v>1900</v>
      </c>
      <c r="AEX102" t="s">
        <v>1900</v>
      </c>
      <c r="AEY102" t="s">
        <v>1900</v>
      </c>
      <c r="AEZ102" t="s">
        <v>1900</v>
      </c>
      <c r="AFA102" t="s">
        <v>1900</v>
      </c>
      <c r="AFB102" t="s">
        <v>1900</v>
      </c>
      <c r="AFC102" t="s">
        <v>1900</v>
      </c>
      <c r="AFD102" t="s">
        <v>1900</v>
      </c>
      <c r="AFE102" t="s">
        <v>1900</v>
      </c>
      <c r="AFF102" t="s">
        <v>1900</v>
      </c>
      <c r="AFG102">
        <v>0.168</v>
      </c>
      <c r="AFH102">
        <v>0.143</v>
      </c>
      <c r="AFI102">
        <v>0.148</v>
      </c>
      <c r="AFJ102">
        <v>0.204</v>
      </c>
      <c r="AFK102">
        <v>0.188</v>
      </c>
      <c r="AFL102">
        <v>25.335</v>
      </c>
      <c r="AFM102">
        <v>-28.298</v>
      </c>
      <c r="AFN102" t="s">
        <v>1901</v>
      </c>
      <c r="AFO102" t="s">
        <v>1901</v>
      </c>
      <c r="AFP102">
        <v>-40.298</v>
      </c>
      <c r="AFQ102" t="s">
        <v>1901</v>
      </c>
      <c r="AFR102" t="s">
        <v>1901</v>
      </c>
      <c r="AFS102" t="s">
        <v>1901</v>
      </c>
      <c r="AFT102" t="s">
        <v>1901</v>
      </c>
      <c r="AFU102" t="s">
        <v>1901</v>
      </c>
      <c r="AFV102">
        <v>98.977</v>
      </c>
      <c r="AFW102">
        <v>143.15</v>
      </c>
      <c r="AFX102">
        <v>199.691</v>
      </c>
      <c r="AFY102">
        <v>22.146</v>
      </c>
      <c r="AFZ102">
        <v>95.432</v>
      </c>
      <c r="AGA102">
        <v>0.011</v>
      </c>
      <c r="AGB102">
        <v>0.013</v>
      </c>
      <c r="AGC102">
        <v>0.012</v>
      </c>
      <c r="AGD102">
        <v>0.018</v>
      </c>
      <c r="AGE102">
        <v>0.02</v>
      </c>
      <c r="AGF102" t="s">
        <v>1900</v>
      </c>
      <c r="AGG102" t="s">
        <v>1900</v>
      </c>
      <c r="AGH102" t="s">
        <v>1900</v>
      </c>
      <c r="AGI102" t="s">
        <v>1900</v>
      </c>
      <c r="AGJ102" t="s">
        <v>1900</v>
      </c>
      <c r="AGK102" t="s">
        <v>1900</v>
      </c>
      <c r="AGL102" t="s">
        <v>1900</v>
      </c>
      <c r="AGM102" t="s">
        <v>1900</v>
      </c>
      <c r="AGN102" t="s">
        <v>1900</v>
      </c>
      <c r="AGO102" t="s">
        <v>1900</v>
      </c>
      <c r="AGP102" t="s">
        <v>1900</v>
      </c>
      <c r="AGQ102" t="s">
        <v>1900</v>
      </c>
      <c r="AGR102" t="s">
        <v>1900</v>
      </c>
      <c r="AGS102" t="s">
        <v>1900</v>
      </c>
      <c r="AGT102" t="s">
        <v>1900</v>
      </c>
      <c r="AGU102">
        <v>0</v>
      </c>
      <c r="AGV102">
        <v>0</v>
      </c>
      <c r="AGW102">
        <v>0</v>
      </c>
      <c r="AGX102">
        <v>0</v>
      </c>
      <c r="AGY102">
        <v>0</v>
      </c>
      <c r="AGZ102">
        <v>3.016</v>
      </c>
      <c r="AHA102">
        <v>10.071</v>
      </c>
      <c r="AHB102">
        <v>16.575</v>
      </c>
      <c r="AHC102">
        <v>4.582</v>
      </c>
      <c r="AHD102">
        <v>1.001</v>
      </c>
      <c r="AHE102">
        <v>3.016</v>
      </c>
      <c r="AHF102">
        <v>10.071</v>
      </c>
      <c r="AHG102">
        <v>16.575</v>
      </c>
      <c r="AHH102">
        <v>4.582</v>
      </c>
      <c r="AHI102">
        <v>1.001</v>
      </c>
      <c r="AHJ102">
        <v>2.571</v>
      </c>
      <c r="AHK102">
        <v>2.462</v>
      </c>
      <c r="AHL102">
        <v>2.613</v>
      </c>
      <c r="AHM102">
        <v>24.144</v>
      </c>
      <c r="AHN102">
        <v>17.736</v>
      </c>
      <c r="AHO102">
        <v>68.041</v>
      </c>
      <c r="AHP102">
        <v>68.59399999999999</v>
      </c>
      <c r="AHQ102">
        <v>70.39400000000001</v>
      </c>
      <c r="AHR102">
        <v>89.754</v>
      </c>
      <c r="AHS102">
        <v>88.68600000000001</v>
      </c>
      <c r="AHT102" t="s">
        <v>1901</v>
      </c>
      <c r="AHU102" t="s">
        <v>1901</v>
      </c>
      <c r="AHV102" t="s">
        <v>1901</v>
      </c>
      <c r="AHW102" t="s">
        <v>1901</v>
      </c>
      <c r="AHX102" t="s">
        <v>1901</v>
      </c>
      <c r="AHY102">
        <v>39.722</v>
      </c>
      <c r="AHZ102">
        <v>41.43</v>
      </c>
      <c r="AIA102">
        <v>39.002</v>
      </c>
      <c r="AIB102">
        <v>5.285</v>
      </c>
      <c r="AIC102">
        <v>6.85</v>
      </c>
      <c r="AID102">
        <v>5.134934638</v>
      </c>
      <c r="AIE102">
        <v>5.663412323</v>
      </c>
      <c r="AIF102">
        <v>4.941539211</v>
      </c>
      <c r="AIG102">
        <v>18.15521819</v>
      </c>
      <c r="AIH102">
        <v>38.982344117</v>
      </c>
      <c r="AII102">
        <v>12.208599134</v>
      </c>
      <c r="AIJ102">
        <v>30.169146305</v>
      </c>
      <c r="AIK102">
        <v>36.259525348</v>
      </c>
      <c r="AIL102">
        <v>28.743858352</v>
      </c>
      <c r="AIM102">
        <v>1.642349301</v>
      </c>
      <c r="AIN102">
        <v>4.931366178</v>
      </c>
      <c r="AIO102">
        <v>2.987079529</v>
      </c>
      <c r="AIP102">
        <v>2.151221688</v>
      </c>
      <c r="AIQ102">
        <v>5.502227625</v>
      </c>
      <c r="AIR102">
        <v>5.238376953</v>
      </c>
      <c r="AIS102">
        <v>0</v>
      </c>
      <c r="AIT102">
        <v>0</v>
      </c>
      <c r="AIU102">
        <v>0</v>
      </c>
      <c r="AIV102">
        <v>0</v>
      </c>
      <c r="AIW102">
        <v>0</v>
      </c>
      <c r="AIX102">
        <v>9.82673051068163</v>
      </c>
      <c r="AIY102">
        <v>-14.699364126894</v>
      </c>
      <c r="AIZ102">
        <v>170.443150722221</v>
      </c>
      <c r="AJA102">
        <v>22.7671576225519</v>
      </c>
      <c r="AJB102">
        <v>-1.76111450805366</v>
      </c>
      <c r="AJC102">
        <v>109.12600777626</v>
      </c>
      <c r="AJD102">
        <v>97.7262438583374</v>
      </c>
      <c r="AJE102">
        <v>102.643278077387</v>
      </c>
      <c r="AJF102">
        <v>93.8704650590157</v>
      </c>
      <c r="AJG102">
        <v>89.3905492954123</v>
      </c>
      <c r="AJH102">
        <v>57.812</v>
      </c>
      <c r="AJI102">
        <v>72.955</v>
      </c>
      <c r="AJJ102">
        <v>63.627</v>
      </c>
      <c r="AJK102">
        <v>85.45999999999999</v>
      </c>
      <c r="AJL102">
        <v>87.40000000000001</v>
      </c>
      <c r="AJM102">
        <v>63.087673293004</v>
      </c>
      <c r="AJN102">
        <v>71.2958497067013</v>
      </c>
      <c r="AJO102">
        <v>65.30874847844601</v>
      </c>
      <c r="AJP102">
        <v>80.22157916838169</v>
      </c>
      <c r="AJQ102">
        <v>78.1276024232954</v>
      </c>
      <c r="AJR102">
        <v>466.543707440245</v>
      </c>
      <c r="AJS102">
        <v>485.227353664074</v>
      </c>
      <c r="AJT102">
        <v>500.338108175778</v>
      </c>
      <c r="AJU102">
        <v>442.155712842872</v>
      </c>
      <c r="AJV102">
        <v>449.004879854968</v>
      </c>
      <c r="AJW102">
        <v>29.9992111980855</v>
      </c>
      <c r="AJX102">
        <v>38.8561225181503</v>
      </c>
      <c r="AJY102">
        <v>56.9324739140821</v>
      </c>
      <c r="AJZ102">
        <v>5.77004132718086</v>
      </c>
      <c r="AKA102">
        <v>23.69141597372</v>
      </c>
      <c r="AKB102">
        <v>685.680927735586</v>
      </c>
      <c r="AKC102">
        <v>707.391237158495</v>
      </c>
      <c r="AKD102">
        <v>710.772412639524</v>
      </c>
      <c r="AKE102">
        <v>492.631933589745</v>
      </c>
      <c r="AKF102">
        <v>506.286921868103</v>
      </c>
      <c r="AKG102">
        <v>0</v>
      </c>
      <c r="AKH102">
        <v>0</v>
      </c>
      <c r="AKI102">
        <v>0</v>
      </c>
      <c r="AKJ102">
        <v>0</v>
      </c>
      <c r="AKK102">
        <v>0</v>
      </c>
      <c r="AKL102">
        <v>0</v>
      </c>
      <c r="AKM102">
        <v>0</v>
      </c>
      <c r="AKN102">
        <v>0</v>
      </c>
      <c r="AKO102">
        <v>0</v>
      </c>
      <c r="AKP102">
        <v>0</v>
      </c>
      <c r="AKQ102">
        <v>0</v>
      </c>
      <c r="AKR102">
        <v>0</v>
      </c>
      <c r="AKS102">
        <v>0</v>
      </c>
      <c r="AKT102">
        <v>0</v>
      </c>
      <c r="AKU102">
        <v>0</v>
      </c>
      <c r="AKV102">
        <v>2.057665651</v>
      </c>
      <c r="AKW102">
        <v>0</v>
      </c>
      <c r="AKX102">
        <v>0.296676437</v>
      </c>
      <c r="AKY102">
        <v>1.614589929</v>
      </c>
      <c r="AKZ102">
        <v>3.18404163</v>
      </c>
      <c r="ALA102">
        <v>0.327477153</v>
      </c>
      <c r="ALB102">
        <v>0</v>
      </c>
      <c r="ALC102">
        <v>0.042843309</v>
      </c>
      <c r="ALD102">
        <v>0.30765831</v>
      </c>
      <c r="ALE102">
        <v>0.562177722</v>
      </c>
      <c r="ALF102">
        <v>489.811367098</v>
      </c>
      <c r="ALG102">
        <v>424.712062415</v>
      </c>
      <c r="ALH102">
        <v>351.39773586</v>
      </c>
      <c r="ALI102">
        <v>270.907194142</v>
      </c>
      <c r="ALJ102">
        <v>306.594808334</v>
      </c>
      <c r="ALK102">
        <v>77.953399158</v>
      </c>
      <c r="ALL102">
        <v>58.674058146</v>
      </c>
      <c r="ALM102">
        <v>50.745660462</v>
      </c>
      <c r="ALN102">
        <v>51.621063607</v>
      </c>
      <c r="ALO102">
        <v>54.132700233</v>
      </c>
      <c r="ALP102">
        <v>27.493524372</v>
      </c>
      <c r="ALQ102">
        <v>39.763844414</v>
      </c>
      <c r="ALR102">
        <v>55.469719299</v>
      </c>
      <c r="ALS102">
        <v>6.151710335</v>
      </c>
      <c r="ALT102">
        <v>26.508840528</v>
      </c>
      <c r="ALU102">
        <v>0.011246157</v>
      </c>
      <c r="ALV102">
        <v>0.009235325000000001</v>
      </c>
      <c r="ALW102">
        <v>0.00608421</v>
      </c>
      <c r="ALX102">
        <v>0.07962530700000001</v>
      </c>
      <c r="ALY102">
        <v>0.021023095</v>
      </c>
      <c r="ALZ102">
        <v>99.578541507997</v>
      </c>
      <c r="AMA102">
        <v>99.55944821347811</v>
      </c>
      <c r="AMB102">
        <v>99.4552159631841</v>
      </c>
      <c r="AMC102">
        <v>99.33671661661231</v>
      </c>
      <c r="AMD102">
        <v>97.47694269653729</v>
      </c>
      <c r="AME102" t="s">
        <v>1901</v>
      </c>
      <c r="AMF102" t="s">
        <v>1901</v>
      </c>
      <c r="AMG102" t="s">
        <v>1901</v>
      </c>
      <c r="AMH102" t="s">
        <v>1901</v>
      </c>
      <c r="AMI102" t="s">
        <v>1901</v>
      </c>
      <c r="AMJ102">
        <v>23627.1289812514</v>
      </c>
      <c r="AMK102">
        <v>22598.8070550069</v>
      </c>
      <c r="AML102">
        <v>18255.9045755224</v>
      </c>
      <c r="AMM102">
        <v>14976.5121672814</v>
      </c>
      <c r="AMN102">
        <v>3863.44545416213</v>
      </c>
      <c r="AMO102">
        <v>1.10393117505911</v>
      </c>
      <c r="AMP102">
        <v>0.872654944352603</v>
      </c>
      <c r="AMQ102">
        <v>0.770823227958995</v>
      </c>
      <c r="AMR102">
        <v>0.770449330296358</v>
      </c>
      <c r="AMS102">
        <v>0.770918470555457</v>
      </c>
      <c r="AMT102">
        <v>1.10393117505911</v>
      </c>
      <c r="AMU102">
        <v>0.872654944352603</v>
      </c>
      <c r="AMV102">
        <v>0.770823229569745</v>
      </c>
      <c r="AMW102">
        <v>0.770449332635852</v>
      </c>
      <c r="AMX102">
        <v>0.770918467841302</v>
      </c>
      <c r="AMY102">
        <v>1.10393117505911</v>
      </c>
      <c r="AMZ102">
        <v>0.872654944352603</v>
      </c>
      <c r="ANA102">
        <v>0.770823229569745</v>
      </c>
      <c r="ANB102">
        <v>0.77044933209882</v>
      </c>
      <c r="ANC102">
        <v>0.770918468463065</v>
      </c>
      <c r="AND102">
        <v>9.374963823305411</v>
      </c>
      <c r="ANE102">
        <v>-14.5285413839891</v>
      </c>
      <c r="ANF102">
        <v>-29.5694581716712</v>
      </c>
      <c r="ANG102">
        <v>-29.5967673621513</v>
      </c>
      <c r="ANH102">
        <v>-28.965666585961</v>
      </c>
      <c r="ANI102">
        <v>12.8222161458333</v>
      </c>
      <c r="ANJ102">
        <v>-16.7305234375</v>
      </c>
      <c r="ANK102">
        <v>-30.999706364679</v>
      </c>
      <c r="ANL102">
        <v>-32.1314226599147</v>
      </c>
      <c r="ANM102">
        <v>-31.3544708413056</v>
      </c>
      <c r="ANN102">
        <v>10.34478353755</v>
      </c>
      <c r="ANO102">
        <v>-12.6855203152183</v>
      </c>
      <c r="ANP102">
        <v>-22.82131807057</v>
      </c>
      <c r="ANQ102">
        <v>-22.8375814957211</v>
      </c>
      <c r="ANR102">
        <v>-22.459982840979</v>
      </c>
      <c r="ANS102">
        <v>1.5788310490856</v>
      </c>
      <c r="ANT102">
        <v>-2.08080287758697</v>
      </c>
      <c r="ANU102">
        <v>-4.38733028097792</v>
      </c>
      <c r="ANV102">
        <v>-6.03354727447081</v>
      </c>
      <c r="ANW102">
        <v>-5.45887815978278</v>
      </c>
      <c r="ANX102">
        <v>99.578541507997</v>
      </c>
      <c r="ANY102">
        <v>99.55944821347811</v>
      </c>
      <c r="ANZ102">
        <v>99.4552161710106</v>
      </c>
      <c r="AOA102">
        <v>99.33671661661231</v>
      </c>
      <c r="AOB102">
        <v>97.47694269653719</v>
      </c>
      <c r="AOC102">
        <v>109.879726076849</v>
      </c>
      <c r="AOD102">
        <v>86.929814184638</v>
      </c>
      <c r="AOE102">
        <v>76.7582247904536</v>
      </c>
      <c r="AOF102">
        <v>76.65061300412</v>
      </c>
      <c r="AOG102">
        <v>75.5836380929841</v>
      </c>
      <c r="AOH102">
        <v>15.8479086341756</v>
      </c>
      <c r="AOI102">
        <v>13.7541581001122</v>
      </c>
      <c r="AOJ102">
        <v>14.362416445576</v>
      </c>
      <c r="AOK102">
        <v>18.9285005265813</v>
      </c>
      <c r="AOL102">
        <v>17.2106310190323</v>
      </c>
      <c r="AOM102">
        <v>2224.40975830133</v>
      </c>
      <c r="AON102">
        <v>-3297.80557665852</v>
      </c>
      <c r="AOO102">
        <v>-5427.74153677127</v>
      </c>
      <c r="AOP102">
        <v>-4462.1602324767</v>
      </c>
      <c r="AOQ102">
        <v>-1148.03839556903</v>
      </c>
      <c r="AOR102">
        <v>10.3931175059107</v>
      </c>
      <c r="AOS102">
        <v>-12.7345055647397</v>
      </c>
      <c r="AOT102">
        <v>-22.9176770430255</v>
      </c>
      <c r="AOU102">
        <v>-22.9550667364148</v>
      </c>
      <c r="AOV102">
        <v>-22.9081532158698</v>
      </c>
      <c r="AOW102">
        <v>1.49202396289882</v>
      </c>
      <c r="AOX102">
        <v>-2.0071209588359</v>
      </c>
      <c r="AOY102">
        <v>-4.27015182882708</v>
      </c>
      <c r="AOZ102">
        <v>-5.63963100131195</v>
      </c>
      <c r="APA102">
        <v>-5.11420840704102</v>
      </c>
      <c r="APB102">
        <v>6.75370335110434</v>
      </c>
      <c r="APC102">
        <v>-11.281026458616</v>
      </c>
      <c r="APD102">
        <v>170.193879232082</v>
      </c>
      <c r="APE102">
        <v>31.0475461158682</v>
      </c>
      <c r="APF102">
        <v>5.45095914161231</v>
      </c>
      <c r="APG102">
        <v>9.23709635416667</v>
      </c>
      <c r="APH102">
        <v>-12.99080703125</v>
      </c>
      <c r="API102">
        <v>178.426004650798</v>
      </c>
      <c r="APJ102">
        <v>33.7064455247872</v>
      </c>
      <c r="APK102">
        <v>5.90050082070849</v>
      </c>
      <c r="APL102">
        <v>1602.45990512763</v>
      </c>
      <c r="APM102">
        <v>-2560.65842966552</v>
      </c>
      <c r="APN102">
        <v>31240.6261301472</v>
      </c>
      <c r="APO102">
        <v>4680.88706780116</v>
      </c>
      <c r="APP102">
        <v>216.045792306468</v>
      </c>
      <c r="APQ102">
        <v>7.48717902821111</v>
      </c>
      <c r="APR102">
        <v>-9.888005300486469</v>
      </c>
      <c r="APS102">
        <v>131.908009145644</v>
      </c>
      <c r="APT102">
        <v>24.0802816189675</v>
      </c>
      <c r="APU102">
        <v>4.31101444943177</v>
      </c>
      <c r="APV102">
        <v>7.45235934354434</v>
      </c>
      <c r="APW102">
        <v>-9.849969555443121</v>
      </c>
      <c r="APX102">
        <v>131.353392715887</v>
      </c>
      <c r="APY102">
        <v>23.9570374692352</v>
      </c>
      <c r="APZ102">
        <v>4.22667465373741</v>
      </c>
      <c r="AQA102">
        <v>1.07485078642201</v>
      </c>
      <c r="AQB102">
        <v>-1.55847610877325</v>
      </c>
      <c r="AQC102">
        <v>24.5778499030568</v>
      </c>
      <c r="AQD102">
        <v>5.91607527427567</v>
      </c>
      <c r="AQE102">
        <v>0.962427050858284</v>
      </c>
      <c r="AQF102">
        <v>0.103931175059107</v>
      </c>
      <c r="AQG102">
        <v>-0.127345055647397</v>
      </c>
      <c r="AQH102">
        <v>-0.229176770430255</v>
      </c>
      <c r="AQI102">
        <v>-0.22955066790118</v>
      </c>
      <c r="AQJ102">
        <v>-0.229081531536935</v>
      </c>
      <c r="AQK102">
        <v>5</v>
      </c>
      <c r="AQO102" t="s">
        <v>1903</v>
      </c>
      <c r="AQP102">
        <v>8</v>
      </c>
      <c r="AQQ102">
        <v>0</v>
      </c>
      <c r="AQS102" t="s">
        <v>1905</v>
      </c>
      <c r="AQU102" t="s">
        <v>1906</v>
      </c>
      <c r="AQV102">
        <v>545630.038881302</v>
      </c>
      <c r="AQW102">
        <v>488631.219291687</v>
      </c>
      <c r="AQX102">
        <v>513216.390386933</v>
      </c>
      <c r="AQY102">
        <v>51152.6187542093</v>
      </c>
      <c r="AQZ102">
        <v>-70990.9889098835</v>
      </c>
      <c r="ARA102">
        <v>-151755.305885625</v>
      </c>
      <c r="ARB102">
        <v>1547477.648559922</v>
      </c>
      <c r="ARC102">
        <v>-171593.6760412992</v>
      </c>
      <c r="ARD102">
        <v>-0.0998176594453429</v>
      </c>
      <c r="ARE102">
        <v>-0.0998176594453429</v>
      </c>
      <c r="ARF102">
        <v>-0.0998176594453429</v>
      </c>
      <c r="ARG102" t="s">
        <v>1907</v>
      </c>
      <c r="ARH102" t="s">
        <v>1907</v>
      </c>
      <c r="ARI102" t="s">
        <v>1907</v>
      </c>
      <c r="ARJ102" t="s">
        <v>1263</v>
      </c>
      <c r="ARK102" t="s">
        <v>1601</v>
      </c>
      <c r="ARL102" t="s">
        <v>1908</v>
      </c>
      <c r="ARM102" t="s">
        <v>1908</v>
      </c>
      <c r="ARN102" t="s">
        <v>1909</v>
      </c>
      <c r="ARO102" t="s">
        <v>1908</v>
      </c>
      <c r="ARP102" t="s">
        <v>1907</v>
      </c>
      <c r="ARQ102" t="s">
        <v>1995</v>
      </c>
      <c r="ARR102">
        <f>HYPERLINK("C:\Users\Usuario\Documents\Proyectos\llmthon\evidence\clinicassanmiguel_com_235913.png", "Ver Evidencia")</f>
        <v>0</v>
      </c>
      <c r="ARS102">
        <v>100</v>
      </c>
    </row>
    <row r="103" spans="1:1163">
      <c r="A103">
        <v>257</v>
      </c>
      <c r="B103" t="s">
        <v>1264</v>
      </c>
      <c r="C103" t="s">
        <v>1387</v>
      </c>
      <c r="E103" s="2">
        <v>32701</v>
      </c>
      <c r="F103" t="s">
        <v>1431</v>
      </c>
      <c r="G103" t="s">
        <v>1433</v>
      </c>
      <c r="H103" t="s">
        <v>1434</v>
      </c>
      <c r="I103" t="s">
        <v>1442</v>
      </c>
      <c r="J103" t="s">
        <v>1493</v>
      </c>
      <c r="L103" t="s">
        <v>1602</v>
      </c>
      <c r="N103" t="s">
        <v>1640</v>
      </c>
      <c r="O103" t="s">
        <v>1664</v>
      </c>
      <c r="P103">
        <v>8299</v>
      </c>
      <c r="Q103">
        <v>8299</v>
      </c>
      <c r="R103" t="s">
        <v>1770</v>
      </c>
      <c r="Z103" t="s">
        <v>1899</v>
      </c>
      <c r="AA103" s="2">
        <v>45291</v>
      </c>
      <c r="AB103">
        <v>2023</v>
      </c>
      <c r="AC103" t="s">
        <v>1900</v>
      </c>
      <c r="AD103">
        <v>2986700.74634459</v>
      </c>
      <c r="AE103">
        <v>2897292.84570565</v>
      </c>
      <c r="AF103">
        <v>2599605.06898127</v>
      </c>
      <c r="AG103">
        <v>2354995.3512283</v>
      </c>
      <c r="AH103" t="s">
        <v>1900</v>
      </c>
      <c r="AI103">
        <v>2986700.74634459</v>
      </c>
      <c r="AJ103">
        <v>2897292.84570565</v>
      </c>
      <c r="AK103">
        <v>2599605.06898127</v>
      </c>
      <c r="AL103">
        <v>2354990.38147613</v>
      </c>
      <c r="AM103" t="s">
        <v>1900</v>
      </c>
      <c r="AN103">
        <v>452688.149910879</v>
      </c>
      <c r="AO103">
        <v>442992.493349516</v>
      </c>
      <c r="AP103">
        <v>485065.382041669</v>
      </c>
      <c r="AQ103">
        <v>480162.458806145</v>
      </c>
      <c r="AR103" t="s">
        <v>1900</v>
      </c>
      <c r="AS103">
        <v>2534012.59643372</v>
      </c>
      <c r="AT103">
        <v>2454300.35235614</v>
      </c>
      <c r="AU103">
        <v>2114539.6869396</v>
      </c>
      <c r="AV103">
        <v>1874832.89242215</v>
      </c>
      <c r="AW103" t="s">
        <v>1900</v>
      </c>
      <c r="AX103">
        <v>1692657.66064396</v>
      </c>
      <c r="AY103">
        <v>1691126.88386361</v>
      </c>
      <c r="AZ103">
        <v>1536973.56927495</v>
      </c>
      <c r="BA103">
        <v>1601546.12282761</v>
      </c>
      <c r="BB103" t="s">
        <v>1900</v>
      </c>
      <c r="BC103">
        <v>841354.9357897569</v>
      </c>
      <c r="BD103">
        <v>763173.468492526</v>
      </c>
      <c r="BE103">
        <v>577566.1176646471</v>
      </c>
      <c r="BF103">
        <v>273286.769594538</v>
      </c>
      <c r="BG103" t="s">
        <v>1900</v>
      </c>
      <c r="BH103">
        <v>-3017.23700409889</v>
      </c>
      <c r="BI103">
        <v>-10765.9992506027</v>
      </c>
      <c r="BJ103">
        <v>-9547.0051197052</v>
      </c>
      <c r="BK103">
        <v>-16646.2511323088</v>
      </c>
      <c r="BL103" t="s">
        <v>1900</v>
      </c>
      <c r="BM103" t="s">
        <v>1900</v>
      </c>
      <c r="BN103">
        <v>15.4656925797462</v>
      </c>
      <c r="BO103">
        <v>3433.38722405434</v>
      </c>
      <c r="BP103">
        <v>23.2289897382259</v>
      </c>
      <c r="BQ103" t="s">
        <v>1900</v>
      </c>
      <c r="BR103">
        <v>3017.23700409889</v>
      </c>
      <c r="BS103">
        <v>10781.4649431825</v>
      </c>
      <c r="BT103">
        <v>12980.3923437595</v>
      </c>
      <c r="BU103">
        <v>16669.4813491464</v>
      </c>
      <c r="BV103" t="s">
        <v>1900</v>
      </c>
      <c r="BW103">
        <v>838337.698785658</v>
      </c>
      <c r="BX103">
        <v>752407.469241923</v>
      </c>
      <c r="BY103">
        <v>568019.1125449419</v>
      </c>
      <c r="BZ103">
        <v>256640.51723513</v>
      </c>
      <c r="CA103" t="s">
        <v>1900</v>
      </c>
      <c r="CB103">
        <v>220011.366838398</v>
      </c>
      <c r="CC103">
        <v>193172.355952221</v>
      </c>
      <c r="CD103">
        <v>145813.387347651</v>
      </c>
      <c r="CE103">
        <v>67071.7015617728</v>
      </c>
      <c r="CF103" t="s">
        <v>1900</v>
      </c>
      <c r="CG103">
        <v>618326.33194726</v>
      </c>
      <c r="CH103">
        <v>559235.113289702</v>
      </c>
      <c r="CI103">
        <v>422205.725197291</v>
      </c>
      <c r="CJ103">
        <v>189568.815673357</v>
      </c>
      <c r="CK103" t="s">
        <v>1900</v>
      </c>
      <c r="CL103" t="s">
        <v>1900</v>
      </c>
      <c r="CM103" t="s">
        <v>1900</v>
      </c>
      <c r="CN103" t="s">
        <v>1900</v>
      </c>
      <c r="CO103" t="s">
        <v>1900</v>
      </c>
      <c r="CP103" t="s">
        <v>1900</v>
      </c>
      <c r="CQ103" t="s">
        <v>1900</v>
      </c>
      <c r="CR103" t="s">
        <v>1900</v>
      </c>
      <c r="CS103" t="s">
        <v>1900</v>
      </c>
      <c r="CT103" t="s">
        <v>1900</v>
      </c>
      <c r="CU103" t="s">
        <v>1900</v>
      </c>
      <c r="CV103" t="s">
        <v>1900</v>
      </c>
      <c r="CW103" t="s">
        <v>1900</v>
      </c>
      <c r="CX103" t="s">
        <v>1900</v>
      </c>
      <c r="CY103" t="s">
        <v>1900</v>
      </c>
      <c r="CZ103" t="s">
        <v>1900</v>
      </c>
      <c r="DA103">
        <v>618326.33194726</v>
      </c>
      <c r="DB103">
        <v>559235.113289702</v>
      </c>
      <c r="DC103">
        <v>422205.725197291</v>
      </c>
      <c r="DD103">
        <v>189568.815673357</v>
      </c>
      <c r="DE103" t="s">
        <v>1900</v>
      </c>
      <c r="DF103" t="s">
        <v>1900</v>
      </c>
      <c r="DG103" t="s">
        <v>1900</v>
      </c>
      <c r="DH103" t="s">
        <v>1900</v>
      </c>
      <c r="DI103" t="s">
        <v>1900</v>
      </c>
      <c r="DJ103" t="s">
        <v>1900</v>
      </c>
      <c r="DK103">
        <v>452688.149910879</v>
      </c>
      <c r="DL103">
        <v>442992.493349516</v>
      </c>
      <c r="DM103">
        <v>485065.382041669</v>
      </c>
      <c r="DN103">
        <v>480162.458806145</v>
      </c>
      <c r="DO103" t="s">
        <v>1900</v>
      </c>
      <c r="DP103">
        <v>577791.5766557599</v>
      </c>
      <c r="DQ103">
        <v>579278.821528971</v>
      </c>
      <c r="DR103">
        <v>545232.2590030429</v>
      </c>
      <c r="DS103">
        <v>519008.373198438</v>
      </c>
      <c r="DT103" t="s">
        <v>1900</v>
      </c>
      <c r="DU103">
        <v>248887.538147669</v>
      </c>
      <c r="DV103">
        <v>247804.275030482</v>
      </c>
      <c r="DW103">
        <v>262226.82652216</v>
      </c>
      <c r="DX103">
        <v>288337.596528798</v>
      </c>
      <c r="DY103" t="s">
        <v>1900</v>
      </c>
      <c r="DZ103">
        <v>865978.54584053</v>
      </c>
      <c r="EA103">
        <v>864043.787304157</v>
      </c>
      <c r="EB103">
        <v>729514.483749747</v>
      </c>
      <c r="EC103">
        <v>794200.1531003769</v>
      </c>
      <c r="ED103" t="s">
        <v>1900</v>
      </c>
      <c r="EE103">
        <v>3017.23700409889</v>
      </c>
      <c r="EF103">
        <v>6947.67974258661</v>
      </c>
      <c r="EG103">
        <v>12980.3923437595</v>
      </c>
      <c r="EH103">
        <v>16669.4813491464</v>
      </c>
      <c r="EI103" t="s">
        <v>1900</v>
      </c>
      <c r="EJ103" t="s">
        <v>1900</v>
      </c>
      <c r="EK103" t="s">
        <v>1900</v>
      </c>
      <c r="EL103" t="s">
        <v>1900</v>
      </c>
      <c r="EM103" t="s">
        <v>1900</v>
      </c>
      <c r="EN103" t="s">
        <v>1900</v>
      </c>
      <c r="EO103">
        <v>867213.870094929</v>
      </c>
      <c r="EP103">
        <v>807039.388320184</v>
      </c>
      <c r="EQ103">
        <v>684432.550586851</v>
      </c>
      <c r="ER103">
        <v>477906.412202156</v>
      </c>
      <c r="ES103" t="s">
        <v>1900</v>
      </c>
      <c r="ET103">
        <v>1668034.05059319</v>
      </c>
      <c r="EU103">
        <v>1586438.24554396</v>
      </c>
      <c r="EV103">
        <v>1388458.5904139</v>
      </c>
      <c r="EW103">
        <v>1080655.96831151</v>
      </c>
      <c r="EX103" t="s">
        <v>1900</v>
      </c>
      <c r="EY103">
        <v>1090242.47393743</v>
      </c>
      <c r="EZ103">
        <v>1010977.74352301</v>
      </c>
      <c r="FA103">
        <v>839792.944186807</v>
      </c>
      <c r="FB103">
        <v>561624.3661233369</v>
      </c>
      <c r="FC103" t="s">
        <v>1900</v>
      </c>
      <c r="FD103">
        <v>456004.786799345</v>
      </c>
      <c r="FE103">
        <v>680369.905102682</v>
      </c>
      <c r="FF103">
        <v>1002370.77548347</v>
      </c>
      <c r="FG103">
        <v>1416212.14954652</v>
      </c>
      <c r="FH103" t="s">
        <v>1900</v>
      </c>
      <c r="FI103">
        <v>4768.37548998833</v>
      </c>
      <c r="FJ103">
        <v>17219.8114321411</v>
      </c>
      <c r="FK103">
        <v>33942.7853543758</v>
      </c>
      <c r="FL103">
        <v>50044.1526370525</v>
      </c>
      <c r="FM103" t="s">
        <v>1900</v>
      </c>
      <c r="FN103">
        <v>451132.629662781</v>
      </c>
      <c r="FO103">
        <v>663074.119788992</v>
      </c>
      <c r="FP103">
        <v>954531.244854569</v>
      </c>
      <c r="FQ103">
        <v>1292844.76434079</v>
      </c>
      <c r="FR103" t="s">
        <v>1900</v>
      </c>
      <c r="FS103">
        <v>103.781646575928</v>
      </c>
      <c r="FT103">
        <v>75.97388154864311</v>
      </c>
      <c r="FU103">
        <v>13896.7452745199</v>
      </c>
      <c r="FV103">
        <v>73323.23134158189</v>
      </c>
      <c r="FW103" t="s">
        <v>1900</v>
      </c>
      <c r="FX103">
        <v>4768.37548998833</v>
      </c>
      <c r="FY103">
        <v>17219.8114321411</v>
      </c>
      <c r="FZ103">
        <v>33942.7853543758</v>
      </c>
      <c r="GA103">
        <v>50044.1526370525</v>
      </c>
      <c r="GB103" t="s">
        <v>1900</v>
      </c>
      <c r="GC103">
        <v>451132.629662781</v>
      </c>
      <c r="GD103">
        <v>663074.119788992</v>
      </c>
      <c r="GE103">
        <v>954531.244854569</v>
      </c>
      <c r="GF103">
        <v>1292844.76434079</v>
      </c>
      <c r="GG103" t="s">
        <v>1900</v>
      </c>
      <c r="GH103">
        <v>103.781646575928</v>
      </c>
      <c r="GI103">
        <v>75.97388154864311</v>
      </c>
      <c r="GJ103">
        <v>13896.7452745199</v>
      </c>
      <c r="GK103">
        <v>73323.23134158189</v>
      </c>
      <c r="GL103" t="s">
        <v>1900</v>
      </c>
      <c r="GM103">
        <v>2225167.95237803</v>
      </c>
      <c r="GN103">
        <v>2072921.48235114</v>
      </c>
      <c r="GO103">
        <v>1998139.03482256</v>
      </c>
      <c r="GP103">
        <v>1987381.6425514</v>
      </c>
      <c r="GQ103" t="s">
        <v>1900</v>
      </c>
      <c r="GR103">
        <v>7566.78924588203</v>
      </c>
      <c r="GS103">
        <v>7741.90171952844</v>
      </c>
      <c r="GT103">
        <v>6764.14953424931</v>
      </c>
      <c r="GU103">
        <v>10152.0600118387</v>
      </c>
      <c r="GV103" t="s">
        <v>1900</v>
      </c>
      <c r="GW103">
        <v>331768.078243437</v>
      </c>
      <c r="GX103">
        <v>238344.582837129</v>
      </c>
      <c r="GY103">
        <v>296600.203861427</v>
      </c>
      <c r="GZ103">
        <v>420426.60227623</v>
      </c>
      <c r="HA103" t="s">
        <v>1900</v>
      </c>
      <c r="HB103">
        <v>1885833.08488872</v>
      </c>
      <c r="HC103">
        <v>1826834.99672789</v>
      </c>
      <c r="HD103">
        <v>1694774.68142688</v>
      </c>
      <c r="HE103">
        <v>1556802.97780914</v>
      </c>
      <c r="HF103" t="s">
        <v>1900</v>
      </c>
      <c r="HG103">
        <v>1275879.50744905</v>
      </c>
      <c r="HH103">
        <v>1234834.10821541</v>
      </c>
      <c r="HI103">
        <v>1691192.88958454</v>
      </c>
      <c r="HJ103">
        <v>1423668.90067235</v>
      </c>
      <c r="HK103" t="s">
        <v>1900</v>
      </c>
      <c r="HL103">
        <v>2681172.73917738</v>
      </c>
      <c r="HM103">
        <v>2753291.38745382</v>
      </c>
      <c r="HN103">
        <v>3000509.81030602</v>
      </c>
      <c r="HO103">
        <v>3403593.79209793</v>
      </c>
      <c r="HP103" t="s">
        <v>1900</v>
      </c>
      <c r="HQ103">
        <v>2202069.80656187</v>
      </c>
      <c r="HR103">
        <v>2104794.06689706</v>
      </c>
      <c r="HS103">
        <v>2026823.6213155</v>
      </c>
      <c r="HT103">
        <v>1927473.16996304</v>
      </c>
      <c r="HU103" t="s">
        <v>1900</v>
      </c>
      <c r="HV103">
        <v>132823.73370966</v>
      </c>
      <c r="HW103">
        <v>128207.839659417</v>
      </c>
      <c r="HX103">
        <v>136141.297849989</v>
      </c>
      <c r="HY103">
        <v>147500.305371892</v>
      </c>
      <c r="HZ103" t="s">
        <v>1900</v>
      </c>
      <c r="IA103">
        <v>2069246.07285221</v>
      </c>
      <c r="IB103">
        <v>1976586.22617104</v>
      </c>
      <c r="IC103">
        <v>1890682.32346551</v>
      </c>
      <c r="ID103">
        <v>1779972.86459115</v>
      </c>
      <c r="IE103" t="s">
        <v>1900</v>
      </c>
      <c r="IF103">
        <v>101149.667994728</v>
      </c>
      <c r="IG103">
        <v>125988.406114274</v>
      </c>
      <c r="IH103">
        <v>325143.339901972</v>
      </c>
      <c r="II103">
        <v>888544.615160728</v>
      </c>
      <c r="IJ103" t="s">
        <v>1900</v>
      </c>
      <c r="IK103">
        <v>75126.9063160324</v>
      </c>
      <c r="IL103">
        <v>125988.406114274</v>
      </c>
      <c r="IM103">
        <v>325143.339901972</v>
      </c>
      <c r="IN103">
        <v>888544.615160728</v>
      </c>
      <c r="IO103" t="s">
        <v>1900</v>
      </c>
      <c r="IP103">
        <v>26022.7616786957</v>
      </c>
      <c r="IQ103">
        <v>0</v>
      </c>
      <c r="IR103">
        <v>0</v>
      </c>
      <c r="IS103">
        <v>0</v>
      </c>
      <c r="IT103" t="s">
        <v>1900</v>
      </c>
      <c r="IU103">
        <v>26022.7616786957</v>
      </c>
      <c r="IV103">
        <v>0</v>
      </c>
      <c r="IW103">
        <v>0</v>
      </c>
      <c r="IX103">
        <v>0</v>
      </c>
      <c r="IY103" t="s">
        <v>1900</v>
      </c>
      <c r="IZ103">
        <v>377953.264620781</v>
      </c>
      <c r="JA103">
        <v>522508.914442492</v>
      </c>
      <c r="JB103">
        <v>648542.84908855</v>
      </c>
      <c r="JC103">
        <v>587576.006974161</v>
      </c>
      <c r="JD103" t="s">
        <v>1900</v>
      </c>
      <c r="JE103">
        <v>55380.4811540794</v>
      </c>
      <c r="JF103">
        <v>180218.259849441</v>
      </c>
      <c r="JG103">
        <v>342118.163225491</v>
      </c>
      <c r="JH103">
        <v>427712.860225397</v>
      </c>
      <c r="JI103" t="s">
        <v>1900</v>
      </c>
      <c r="JJ103">
        <v>0</v>
      </c>
      <c r="JK103">
        <v>0</v>
      </c>
      <c r="JL103" t="s">
        <v>1900</v>
      </c>
      <c r="JM103" t="s">
        <v>1900</v>
      </c>
      <c r="JN103" t="s">
        <v>1900</v>
      </c>
      <c r="JO103">
        <v>322572.783466702</v>
      </c>
      <c r="JP103">
        <v>342290.65459305</v>
      </c>
      <c r="JQ103">
        <v>306424.683597858</v>
      </c>
      <c r="JR103">
        <v>159863.146748763</v>
      </c>
      <c r="JS103" t="s">
        <v>1900</v>
      </c>
      <c r="JT103">
        <v>2681172.73917738</v>
      </c>
      <c r="JU103">
        <v>2753291.38745382</v>
      </c>
      <c r="JV103">
        <v>3000509.81030602</v>
      </c>
      <c r="JW103">
        <v>3403593.79209793</v>
      </c>
      <c r="JX103" t="s">
        <v>1900</v>
      </c>
      <c r="JY103">
        <v>339334.867489319</v>
      </c>
      <c r="JZ103">
        <v>246086.484556657</v>
      </c>
      <c r="KA103">
        <v>303364.352263076</v>
      </c>
      <c r="KB103">
        <v>430578.662288069</v>
      </c>
      <c r="KC103" t="s">
        <v>1900</v>
      </c>
      <c r="KD103" t="s">
        <v>1900</v>
      </c>
      <c r="KE103" t="s">
        <v>1900</v>
      </c>
      <c r="KF103" t="s">
        <v>1900</v>
      </c>
      <c r="KG103" t="s">
        <v>1900</v>
      </c>
      <c r="KH103" t="s">
        <v>1900</v>
      </c>
      <c r="KI103" t="s">
        <v>1900</v>
      </c>
      <c r="KJ103" t="s">
        <v>1900</v>
      </c>
      <c r="KK103" t="s">
        <v>1900</v>
      </c>
      <c r="KL103" t="s">
        <v>1900</v>
      </c>
      <c r="KM103" t="s">
        <v>1900</v>
      </c>
      <c r="KN103">
        <v>15</v>
      </c>
      <c r="KO103">
        <v>14</v>
      </c>
      <c r="KP103">
        <v>14</v>
      </c>
      <c r="KQ103">
        <v>14</v>
      </c>
      <c r="KR103" t="s">
        <v>1900</v>
      </c>
      <c r="KS103" t="s">
        <v>1900</v>
      </c>
      <c r="KT103" t="s">
        <v>1900</v>
      </c>
      <c r="KU103" t="s">
        <v>1900</v>
      </c>
      <c r="KV103" t="s">
        <v>1900</v>
      </c>
      <c r="KW103" t="s">
        <v>1900</v>
      </c>
      <c r="KX103" t="s">
        <v>1900</v>
      </c>
      <c r="KY103" t="s">
        <v>1900</v>
      </c>
      <c r="KZ103" t="s">
        <v>1900</v>
      </c>
      <c r="LA103" t="s">
        <v>1900</v>
      </c>
      <c r="LB103" t="s">
        <v>1900</v>
      </c>
      <c r="LC103" t="s">
        <v>1900</v>
      </c>
      <c r="LD103" t="s">
        <v>1900</v>
      </c>
      <c r="LE103" t="s">
        <v>1900</v>
      </c>
      <c r="LF103" t="s">
        <v>1900</v>
      </c>
      <c r="LG103" t="s">
        <v>1900</v>
      </c>
      <c r="LH103" t="s">
        <v>1900</v>
      </c>
      <c r="LI103" t="s">
        <v>1900</v>
      </c>
      <c r="LJ103" t="s">
        <v>1900</v>
      </c>
      <c r="LK103" t="s">
        <v>1900</v>
      </c>
      <c r="LL103" t="s">
        <v>1900</v>
      </c>
      <c r="LM103" t="s">
        <v>1900</v>
      </c>
      <c r="LN103" t="s">
        <v>1900</v>
      </c>
      <c r="LO103" t="s">
        <v>1900</v>
      </c>
      <c r="LP103" t="s">
        <v>1900</v>
      </c>
      <c r="LQ103" t="s">
        <v>1900</v>
      </c>
      <c r="LR103" t="s">
        <v>1900</v>
      </c>
      <c r="LS103" t="s">
        <v>1900</v>
      </c>
      <c r="LT103" t="s">
        <v>1900</v>
      </c>
      <c r="LU103" t="s">
        <v>1900</v>
      </c>
      <c r="LV103" t="s">
        <v>1900</v>
      </c>
      <c r="LW103" t="s">
        <v>1900</v>
      </c>
      <c r="LX103" t="s">
        <v>1900</v>
      </c>
      <c r="LY103" t="s">
        <v>1900</v>
      </c>
      <c r="LZ103" t="s">
        <v>1900</v>
      </c>
      <c r="MA103" t="s">
        <v>1900</v>
      </c>
      <c r="MB103" t="s">
        <v>1900</v>
      </c>
      <c r="MC103" t="s">
        <v>1900</v>
      </c>
      <c r="MD103" t="s">
        <v>1900</v>
      </c>
      <c r="ME103" t="s">
        <v>1900</v>
      </c>
      <c r="MF103" t="s">
        <v>1900</v>
      </c>
      <c r="MG103" t="s">
        <v>1900</v>
      </c>
      <c r="MH103" t="s">
        <v>1900</v>
      </c>
      <c r="MI103" t="s">
        <v>1900</v>
      </c>
      <c r="MJ103" t="s">
        <v>1900</v>
      </c>
      <c r="MK103" t="s">
        <v>1900</v>
      </c>
      <c r="ML103" t="s">
        <v>1900</v>
      </c>
      <c r="MM103" t="s">
        <v>1900</v>
      </c>
      <c r="MN103" t="s">
        <v>1900</v>
      </c>
      <c r="MO103" t="s">
        <v>1900</v>
      </c>
      <c r="MP103" t="s">
        <v>1900</v>
      </c>
      <c r="MQ103">
        <v>1885833.08488872</v>
      </c>
      <c r="MR103">
        <v>1826834.99672789</v>
      </c>
      <c r="MS103">
        <v>1694774.68142688</v>
      </c>
      <c r="MT103">
        <v>1556802.97780914</v>
      </c>
      <c r="MU103" t="s">
        <v>1900</v>
      </c>
      <c r="MV103" t="s">
        <v>1900</v>
      </c>
      <c r="MW103" t="s">
        <v>1900</v>
      </c>
      <c r="MX103" t="s">
        <v>1900</v>
      </c>
      <c r="MY103" t="s">
        <v>1900</v>
      </c>
      <c r="MZ103" t="s">
        <v>1900</v>
      </c>
      <c r="NA103" t="s">
        <v>1900</v>
      </c>
      <c r="NB103" t="s">
        <v>1900</v>
      </c>
      <c r="NC103" t="s">
        <v>1900</v>
      </c>
      <c r="ND103" t="s">
        <v>1900</v>
      </c>
      <c r="NE103" t="s">
        <v>1900</v>
      </c>
      <c r="NF103" t="s">
        <v>1900</v>
      </c>
      <c r="NG103" t="s">
        <v>1900</v>
      </c>
      <c r="NH103" t="s">
        <v>1900</v>
      </c>
      <c r="NI103" t="s">
        <v>1900</v>
      </c>
      <c r="NJ103" t="s">
        <v>1900</v>
      </c>
      <c r="NK103" t="s">
        <v>1900</v>
      </c>
      <c r="NL103" t="s">
        <v>1900</v>
      </c>
      <c r="NM103" t="s">
        <v>1900</v>
      </c>
      <c r="NN103" t="s">
        <v>1900</v>
      </c>
      <c r="NO103" t="s">
        <v>1900</v>
      </c>
      <c r="NP103" t="s">
        <v>1900</v>
      </c>
      <c r="NQ103" t="s">
        <v>1900</v>
      </c>
      <c r="NR103" t="s">
        <v>1900</v>
      </c>
      <c r="NS103" t="s">
        <v>1900</v>
      </c>
      <c r="NT103" t="s">
        <v>1900</v>
      </c>
      <c r="NU103">
        <v>456004.786799345</v>
      </c>
      <c r="NV103">
        <v>680369.905102682</v>
      </c>
      <c r="NW103">
        <v>1002370.77548347</v>
      </c>
      <c r="NX103">
        <v>1416212.14954652</v>
      </c>
      <c r="NY103" t="s">
        <v>1900</v>
      </c>
      <c r="NZ103" t="s">
        <v>1900</v>
      </c>
      <c r="OA103" t="s">
        <v>1900</v>
      </c>
      <c r="OB103" t="s">
        <v>1900</v>
      </c>
      <c r="OC103" t="s">
        <v>1900</v>
      </c>
      <c r="OD103" t="s">
        <v>1900</v>
      </c>
      <c r="OE103" t="s">
        <v>1900</v>
      </c>
      <c r="OF103" t="s">
        <v>1900</v>
      </c>
      <c r="OG103" t="s">
        <v>1900</v>
      </c>
      <c r="OH103" t="s">
        <v>1900</v>
      </c>
      <c r="OI103" t="s">
        <v>1900</v>
      </c>
      <c r="OJ103" t="s">
        <v>1900</v>
      </c>
      <c r="OK103" t="s">
        <v>1900</v>
      </c>
      <c r="OL103" t="s">
        <v>1900</v>
      </c>
      <c r="OM103" t="s">
        <v>1900</v>
      </c>
      <c r="ON103" t="s">
        <v>1900</v>
      </c>
      <c r="OO103" t="s">
        <v>1900</v>
      </c>
      <c r="OP103" t="s">
        <v>1900</v>
      </c>
      <c r="OQ103" t="s">
        <v>1900</v>
      </c>
      <c r="OR103" t="s">
        <v>1900</v>
      </c>
      <c r="OS103" t="s">
        <v>1900</v>
      </c>
      <c r="OT103" t="s">
        <v>1900</v>
      </c>
      <c r="OU103" t="s">
        <v>1900</v>
      </c>
      <c r="OV103" t="s">
        <v>1900</v>
      </c>
      <c r="OW103" t="s">
        <v>1900</v>
      </c>
      <c r="OX103" t="s">
        <v>1900</v>
      </c>
      <c r="OY103" t="s">
        <v>1900</v>
      </c>
      <c r="OZ103" t="s">
        <v>1900</v>
      </c>
      <c r="PA103" t="s">
        <v>1900</v>
      </c>
      <c r="PB103" t="s">
        <v>1900</v>
      </c>
      <c r="PC103" t="s">
        <v>1900</v>
      </c>
      <c r="PD103" t="s">
        <v>1900</v>
      </c>
      <c r="PE103" t="s">
        <v>1900</v>
      </c>
      <c r="PF103" t="s">
        <v>1900</v>
      </c>
      <c r="PG103" t="s">
        <v>1900</v>
      </c>
      <c r="PH103" t="s">
        <v>1900</v>
      </c>
      <c r="PI103" t="s">
        <v>1900</v>
      </c>
      <c r="PJ103" t="s">
        <v>1900</v>
      </c>
      <c r="PK103" t="s">
        <v>1900</v>
      </c>
      <c r="PL103" t="s">
        <v>1900</v>
      </c>
      <c r="PM103" t="s">
        <v>1900</v>
      </c>
      <c r="PN103" t="s">
        <v>1900</v>
      </c>
      <c r="PO103" t="s">
        <v>1900</v>
      </c>
      <c r="PP103" t="s">
        <v>1900</v>
      </c>
      <c r="PQ103" t="s">
        <v>1900</v>
      </c>
      <c r="PR103" t="s">
        <v>1900</v>
      </c>
      <c r="PS103" t="s">
        <v>1900</v>
      </c>
      <c r="PT103" t="s">
        <v>1900</v>
      </c>
      <c r="PU103" t="s">
        <v>1900</v>
      </c>
      <c r="PV103" t="s">
        <v>1900</v>
      </c>
      <c r="PW103" t="s">
        <v>1900</v>
      </c>
      <c r="PX103" t="s">
        <v>1900</v>
      </c>
      <c r="PY103" t="s">
        <v>1900</v>
      </c>
      <c r="PZ103" t="s">
        <v>1900</v>
      </c>
      <c r="QA103" t="s">
        <v>1900</v>
      </c>
      <c r="QB103" t="s">
        <v>1900</v>
      </c>
      <c r="QC103" t="s">
        <v>1900</v>
      </c>
      <c r="QD103" t="s">
        <v>1900</v>
      </c>
      <c r="QE103" t="s">
        <v>1900</v>
      </c>
      <c r="QF103" t="s">
        <v>1900</v>
      </c>
      <c r="QG103" t="s">
        <v>1900</v>
      </c>
      <c r="QH103" t="s">
        <v>1900</v>
      </c>
      <c r="QI103" t="s">
        <v>1900</v>
      </c>
      <c r="QJ103" t="s">
        <v>1900</v>
      </c>
      <c r="QK103" t="s">
        <v>1900</v>
      </c>
      <c r="QL103" t="s">
        <v>1900</v>
      </c>
      <c r="QM103" t="s">
        <v>1900</v>
      </c>
      <c r="QN103" t="s">
        <v>1900</v>
      </c>
      <c r="QO103" t="s">
        <v>1900</v>
      </c>
      <c r="QP103" t="s">
        <v>1900</v>
      </c>
      <c r="QQ103" t="s">
        <v>1900</v>
      </c>
      <c r="QR103" t="s">
        <v>1900</v>
      </c>
      <c r="QS103" t="s">
        <v>1900</v>
      </c>
      <c r="QT103" t="s">
        <v>1900</v>
      </c>
      <c r="QU103" t="s">
        <v>1900</v>
      </c>
      <c r="QV103" t="s">
        <v>1900</v>
      </c>
      <c r="QW103" t="s">
        <v>1900</v>
      </c>
      <c r="QX103" t="s">
        <v>1900</v>
      </c>
      <c r="QY103" t="s">
        <v>1900</v>
      </c>
      <c r="QZ103" t="s">
        <v>1900</v>
      </c>
      <c r="RA103" t="s">
        <v>1900</v>
      </c>
      <c r="RB103" t="s">
        <v>1900</v>
      </c>
      <c r="RC103" t="s">
        <v>1900</v>
      </c>
      <c r="RD103" t="s">
        <v>1900</v>
      </c>
      <c r="RE103" t="s">
        <v>1900</v>
      </c>
      <c r="RF103" t="s">
        <v>1900</v>
      </c>
      <c r="RG103" t="s">
        <v>1900</v>
      </c>
      <c r="RH103" t="s">
        <v>1900</v>
      </c>
      <c r="RI103" t="s">
        <v>1900</v>
      </c>
      <c r="RJ103" t="s">
        <v>1900</v>
      </c>
      <c r="RK103" t="s">
        <v>1900</v>
      </c>
      <c r="RL103" t="s">
        <v>1900</v>
      </c>
      <c r="RM103" t="s">
        <v>1900</v>
      </c>
      <c r="RN103" t="s">
        <v>1900</v>
      </c>
      <c r="RO103" t="s">
        <v>1900</v>
      </c>
      <c r="RP103" t="s">
        <v>1900</v>
      </c>
      <c r="RQ103" t="s">
        <v>1900</v>
      </c>
      <c r="RR103" t="s">
        <v>1900</v>
      </c>
      <c r="RS103" t="s">
        <v>1900</v>
      </c>
      <c r="RT103" t="s">
        <v>1900</v>
      </c>
      <c r="RU103" t="s">
        <v>1900</v>
      </c>
      <c r="RV103" t="s">
        <v>1900</v>
      </c>
      <c r="RW103" t="s">
        <v>1900</v>
      </c>
      <c r="RX103" t="s">
        <v>1900</v>
      </c>
      <c r="RY103" t="s">
        <v>1900</v>
      </c>
      <c r="RZ103" t="s">
        <v>1900</v>
      </c>
      <c r="SA103" t="s">
        <v>1900</v>
      </c>
      <c r="SB103" t="s">
        <v>1900</v>
      </c>
      <c r="SC103" t="s">
        <v>1900</v>
      </c>
      <c r="SD103" t="s">
        <v>1900</v>
      </c>
      <c r="SE103" t="s">
        <v>1900</v>
      </c>
      <c r="SF103" t="s">
        <v>1900</v>
      </c>
      <c r="SG103" t="s">
        <v>1900</v>
      </c>
      <c r="SH103" t="s">
        <v>1900</v>
      </c>
      <c r="SI103" t="s">
        <v>1900</v>
      </c>
      <c r="SJ103" t="s">
        <v>1900</v>
      </c>
      <c r="SK103">
        <v>103.781646575928</v>
      </c>
      <c r="SL103">
        <v>75.97388154864311</v>
      </c>
      <c r="SM103">
        <v>13896.7452745199</v>
      </c>
      <c r="SN103">
        <v>73323.23134158189</v>
      </c>
      <c r="SO103" t="s">
        <v>1900</v>
      </c>
      <c r="SP103" t="s">
        <v>1900</v>
      </c>
      <c r="SQ103" t="s">
        <v>1900</v>
      </c>
      <c r="SR103" t="s">
        <v>1900</v>
      </c>
      <c r="SS103" t="s">
        <v>1900</v>
      </c>
      <c r="ST103" t="s">
        <v>1900</v>
      </c>
      <c r="SU103" t="s">
        <v>1900</v>
      </c>
      <c r="SV103" t="s">
        <v>1900</v>
      </c>
      <c r="SW103" t="s">
        <v>1900</v>
      </c>
      <c r="SX103" t="s">
        <v>1900</v>
      </c>
      <c r="SY103" t="s">
        <v>1900</v>
      </c>
      <c r="SZ103" t="s">
        <v>1900</v>
      </c>
      <c r="TA103" t="s">
        <v>1900</v>
      </c>
      <c r="TB103" t="s">
        <v>1900</v>
      </c>
      <c r="TC103" t="s">
        <v>1900</v>
      </c>
      <c r="TD103" t="s">
        <v>1900</v>
      </c>
      <c r="TE103" t="s">
        <v>1900</v>
      </c>
      <c r="TF103" t="s">
        <v>1900</v>
      </c>
      <c r="TG103" t="s">
        <v>1900</v>
      </c>
      <c r="TH103" t="s">
        <v>1900</v>
      </c>
      <c r="TI103" t="s">
        <v>1900</v>
      </c>
      <c r="TJ103" t="s">
        <v>1900</v>
      </c>
      <c r="TK103" t="s">
        <v>1900</v>
      </c>
      <c r="TL103" t="s">
        <v>1900</v>
      </c>
      <c r="TM103" t="s">
        <v>1900</v>
      </c>
      <c r="TN103" t="s">
        <v>1900</v>
      </c>
      <c r="TO103" t="s">
        <v>1900</v>
      </c>
      <c r="TP103" t="s">
        <v>1900</v>
      </c>
      <c r="TQ103" t="s">
        <v>1900</v>
      </c>
      <c r="TR103" t="s">
        <v>1900</v>
      </c>
      <c r="TS103" t="s">
        <v>1900</v>
      </c>
      <c r="TT103">
        <v>2681172.73917738</v>
      </c>
      <c r="TU103">
        <v>2753291.38745382</v>
      </c>
      <c r="TV103">
        <v>3000509.81030602</v>
      </c>
      <c r="TW103">
        <v>3403593.79209793</v>
      </c>
      <c r="TX103" t="s">
        <v>1900</v>
      </c>
      <c r="TY103" t="s">
        <v>1900</v>
      </c>
      <c r="TZ103" t="s">
        <v>1900</v>
      </c>
      <c r="UA103" t="s">
        <v>1900</v>
      </c>
      <c r="UB103" t="s">
        <v>1900</v>
      </c>
      <c r="UC103" t="s">
        <v>1900</v>
      </c>
      <c r="UD103">
        <v>55380.4811540794</v>
      </c>
      <c r="UE103">
        <v>180218.259849441</v>
      </c>
      <c r="UF103">
        <v>342118.163225491</v>
      </c>
      <c r="UG103">
        <v>427712.860225397</v>
      </c>
      <c r="UH103" t="s">
        <v>1900</v>
      </c>
      <c r="UI103" t="s">
        <v>1900</v>
      </c>
      <c r="UJ103" t="s">
        <v>1900</v>
      </c>
      <c r="UK103" t="s">
        <v>1900</v>
      </c>
      <c r="UL103" t="s">
        <v>1900</v>
      </c>
      <c r="UM103" t="s">
        <v>1900</v>
      </c>
      <c r="UN103" t="s">
        <v>1900</v>
      </c>
      <c r="UO103" t="s">
        <v>1900</v>
      </c>
      <c r="UP103" t="s">
        <v>1900</v>
      </c>
      <c r="UQ103" t="s">
        <v>1900</v>
      </c>
      <c r="UR103" t="s">
        <v>1900</v>
      </c>
      <c r="US103" t="s">
        <v>1900</v>
      </c>
      <c r="UT103" t="s">
        <v>1900</v>
      </c>
      <c r="UU103" t="s">
        <v>1900</v>
      </c>
      <c r="UV103" t="s">
        <v>1900</v>
      </c>
      <c r="UW103" t="s">
        <v>1900</v>
      </c>
      <c r="UX103" t="s">
        <v>1900</v>
      </c>
      <c r="UY103" t="s">
        <v>1900</v>
      </c>
      <c r="UZ103" t="s">
        <v>1900</v>
      </c>
      <c r="VA103" t="s">
        <v>1900</v>
      </c>
      <c r="VB103" t="s">
        <v>1900</v>
      </c>
      <c r="VC103" t="s">
        <v>1900</v>
      </c>
      <c r="VD103" t="s">
        <v>1900</v>
      </c>
      <c r="VE103" t="s">
        <v>1900</v>
      </c>
      <c r="VF103" t="s">
        <v>1900</v>
      </c>
      <c r="VG103" t="s">
        <v>1900</v>
      </c>
      <c r="VH103" t="s">
        <v>1900</v>
      </c>
      <c r="VI103" t="s">
        <v>1900</v>
      </c>
      <c r="VJ103" t="s">
        <v>1900</v>
      </c>
      <c r="VK103" t="s">
        <v>1900</v>
      </c>
      <c r="VL103" t="s">
        <v>1900</v>
      </c>
      <c r="VM103" t="s">
        <v>1900</v>
      </c>
      <c r="VN103" t="s">
        <v>1900</v>
      </c>
      <c r="VO103" t="s">
        <v>1900</v>
      </c>
      <c r="VP103" t="s">
        <v>1900</v>
      </c>
      <c r="VQ103" t="s">
        <v>1900</v>
      </c>
      <c r="VR103" t="s">
        <v>1900</v>
      </c>
      <c r="VS103" t="s">
        <v>1900</v>
      </c>
      <c r="VT103" t="s">
        <v>1900</v>
      </c>
      <c r="VU103" t="s">
        <v>1900</v>
      </c>
      <c r="VV103" t="s">
        <v>1900</v>
      </c>
      <c r="VW103" t="s">
        <v>1900</v>
      </c>
      <c r="VX103" t="s">
        <v>1900</v>
      </c>
      <c r="VY103" t="s">
        <v>1900</v>
      </c>
      <c r="VZ103" t="s">
        <v>1900</v>
      </c>
      <c r="WA103" t="s">
        <v>1900</v>
      </c>
      <c r="WB103">
        <v>322572.783466702</v>
      </c>
      <c r="WC103">
        <v>342290.65459305</v>
      </c>
      <c r="WD103">
        <v>306424.683597858</v>
      </c>
      <c r="WE103">
        <v>159863.146748763</v>
      </c>
      <c r="WF103" t="s">
        <v>1900</v>
      </c>
      <c r="WG103" t="s">
        <v>1900</v>
      </c>
      <c r="WH103" t="s">
        <v>1900</v>
      </c>
      <c r="WI103" t="s">
        <v>1900</v>
      </c>
      <c r="WJ103" t="s">
        <v>1900</v>
      </c>
      <c r="WK103" t="s">
        <v>1900</v>
      </c>
      <c r="WL103" t="s">
        <v>1900</v>
      </c>
      <c r="WM103" t="s">
        <v>1900</v>
      </c>
      <c r="WN103" t="s">
        <v>1900</v>
      </c>
      <c r="WO103" t="s">
        <v>1900</v>
      </c>
      <c r="WP103" t="s">
        <v>1900</v>
      </c>
      <c r="WQ103" t="s">
        <v>1900</v>
      </c>
      <c r="WR103" t="s">
        <v>1900</v>
      </c>
      <c r="WS103" t="s">
        <v>1900</v>
      </c>
      <c r="WT103" t="s">
        <v>1900</v>
      </c>
      <c r="WU103" t="s">
        <v>1900</v>
      </c>
      <c r="WV103" t="s">
        <v>1900</v>
      </c>
      <c r="WW103" t="s">
        <v>1900</v>
      </c>
      <c r="WX103" t="s">
        <v>1900</v>
      </c>
      <c r="WY103" t="s">
        <v>1900</v>
      </c>
      <c r="WZ103" t="s">
        <v>1900</v>
      </c>
      <c r="XA103" t="s">
        <v>1900</v>
      </c>
      <c r="XB103" t="s">
        <v>1900</v>
      </c>
      <c r="XC103" t="s">
        <v>1900</v>
      </c>
      <c r="XD103" t="s">
        <v>1900</v>
      </c>
      <c r="XE103" t="s">
        <v>1900</v>
      </c>
      <c r="XF103" t="s">
        <v>1900</v>
      </c>
      <c r="XG103" t="s">
        <v>1900</v>
      </c>
      <c r="XH103" t="s">
        <v>1900</v>
      </c>
      <c r="XI103" t="s">
        <v>1900</v>
      </c>
      <c r="XJ103" t="s">
        <v>1900</v>
      </c>
      <c r="XK103">
        <v>26022.7616786957</v>
      </c>
      <c r="XL103">
        <v>0</v>
      </c>
      <c r="XM103">
        <v>0</v>
      </c>
      <c r="XN103">
        <v>0</v>
      </c>
      <c r="XO103" t="s">
        <v>1900</v>
      </c>
      <c r="XP103" t="s">
        <v>1900</v>
      </c>
      <c r="XQ103" t="s">
        <v>1900</v>
      </c>
      <c r="XR103" t="s">
        <v>1900</v>
      </c>
      <c r="XS103" t="s">
        <v>1900</v>
      </c>
      <c r="XT103" t="s">
        <v>1900</v>
      </c>
      <c r="XU103" t="s">
        <v>1900</v>
      </c>
      <c r="XV103" t="s">
        <v>1900</v>
      </c>
      <c r="XW103" t="s">
        <v>1900</v>
      </c>
      <c r="XX103" t="s">
        <v>1900</v>
      </c>
      <c r="XY103" t="s">
        <v>1900</v>
      </c>
      <c r="XZ103">
        <v>26022.7616786957</v>
      </c>
      <c r="YA103">
        <v>0</v>
      </c>
      <c r="YB103">
        <v>0</v>
      </c>
      <c r="YC103">
        <v>0</v>
      </c>
      <c r="YD103" t="s">
        <v>1900</v>
      </c>
      <c r="YE103" t="s">
        <v>1900</v>
      </c>
      <c r="YF103" t="s">
        <v>1900</v>
      </c>
      <c r="YG103" t="s">
        <v>1900</v>
      </c>
      <c r="YH103" t="s">
        <v>1900</v>
      </c>
      <c r="YI103" t="s">
        <v>1900</v>
      </c>
      <c r="YJ103" t="s">
        <v>1900</v>
      </c>
      <c r="YK103" t="s">
        <v>1900</v>
      </c>
      <c r="YL103" t="s">
        <v>1900</v>
      </c>
      <c r="YM103" t="s">
        <v>1900</v>
      </c>
      <c r="YN103" t="s">
        <v>1900</v>
      </c>
      <c r="YO103" t="s">
        <v>1900</v>
      </c>
      <c r="YP103" t="s">
        <v>1900</v>
      </c>
      <c r="YQ103" t="s">
        <v>1900</v>
      </c>
      <c r="YR103" t="s">
        <v>1900</v>
      </c>
      <c r="YS103" t="s">
        <v>1900</v>
      </c>
      <c r="YT103" t="s">
        <v>1900</v>
      </c>
      <c r="YU103" t="s">
        <v>1900</v>
      </c>
      <c r="YV103" t="s">
        <v>1900</v>
      </c>
      <c r="YW103" t="s">
        <v>1900</v>
      </c>
      <c r="YX103" t="s">
        <v>1900</v>
      </c>
      <c r="YY103" t="s">
        <v>1900</v>
      </c>
      <c r="YZ103" t="s">
        <v>1900</v>
      </c>
      <c r="ZA103" t="s">
        <v>1900</v>
      </c>
      <c r="ZB103" t="s">
        <v>1900</v>
      </c>
      <c r="ZC103" t="s">
        <v>1900</v>
      </c>
      <c r="ZD103" t="s">
        <v>1900</v>
      </c>
      <c r="ZE103" t="s">
        <v>1900</v>
      </c>
      <c r="ZF103" t="s">
        <v>1900</v>
      </c>
      <c r="ZG103" t="s">
        <v>1900</v>
      </c>
      <c r="ZH103" t="s">
        <v>1900</v>
      </c>
      <c r="ZI103" t="s">
        <v>1900</v>
      </c>
      <c r="ZJ103" t="s">
        <v>1900</v>
      </c>
      <c r="ZK103" t="s">
        <v>1900</v>
      </c>
      <c r="ZL103" t="s">
        <v>1900</v>
      </c>
      <c r="ZM103" t="s">
        <v>1900</v>
      </c>
      <c r="ZN103" t="s">
        <v>1900</v>
      </c>
      <c r="ZO103" t="s">
        <v>1900</v>
      </c>
      <c r="ZP103" t="s">
        <v>1900</v>
      </c>
      <c r="ZQ103" t="s">
        <v>1900</v>
      </c>
      <c r="ZR103" t="s">
        <v>1900</v>
      </c>
      <c r="ZS103" t="s">
        <v>1900</v>
      </c>
      <c r="ZT103" t="s">
        <v>1900</v>
      </c>
      <c r="ZU103" t="s">
        <v>1900</v>
      </c>
      <c r="ZV103" t="s">
        <v>1900</v>
      </c>
      <c r="ZW103" t="s">
        <v>1900</v>
      </c>
      <c r="ZX103" t="s">
        <v>1900</v>
      </c>
      <c r="ZY103" t="s">
        <v>1900</v>
      </c>
      <c r="ZZ103" t="s">
        <v>1900</v>
      </c>
      <c r="AAA103" t="s">
        <v>1900</v>
      </c>
      <c r="AAB103" t="s">
        <v>1900</v>
      </c>
      <c r="AAC103" t="s">
        <v>1900</v>
      </c>
      <c r="AAD103" t="s">
        <v>1900</v>
      </c>
      <c r="AAE103" t="s">
        <v>1900</v>
      </c>
      <c r="AAF103" t="s">
        <v>1900</v>
      </c>
      <c r="AAG103" t="s">
        <v>1900</v>
      </c>
      <c r="AAH103" t="s">
        <v>1900</v>
      </c>
      <c r="AAI103" t="s">
        <v>1900</v>
      </c>
      <c r="AAJ103" t="s">
        <v>1900</v>
      </c>
      <c r="AAK103" t="s">
        <v>1900</v>
      </c>
      <c r="AAL103" t="s">
        <v>1900</v>
      </c>
      <c r="AAM103" t="s">
        <v>1900</v>
      </c>
      <c r="AAN103" t="s">
        <v>1900</v>
      </c>
      <c r="AAO103" t="s">
        <v>1900</v>
      </c>
      <c r="AAP103" t="s">
        <v>1900</v>
      </c>
      <c r="AAQ103" t="s">
        <v>1900</v>
      </c>
      <c r="AAR103" t="s">
        <v>1900</v>
      </c>
      <c r="AAS103" t="s">
        <v>1900</v>
      </c>
      <c r="AAT103" t="s">
        <v>1900</v>
      </c>
      <c r="AAU103" t="s">
        <v>1900</v>
      </c>
      <c r="AAV103" t="s">
        <v>1900</v>
      </c>
      <c r="AAW103" t="s">
        <v>1900</v>
      </c>
      <c r="AAX103" t="s">
        <v>1900</v>
      </c>
      <c r="AAY103" t="s">
        <v>1900</v>
      </c>
      <c r="AAZ103" t="s">
        <v>1900</v>
      </c>
      <c r="ABA103" t="s">
        <v>1900</v>
      </c>
      <c r="ABB103" t="s">
        <v>1900</v>
      </c>
      <c r="ABC103" t="s">
        <v>1900</v>
      </c>
      <c r="ABD103" t="s">
        <v>1900</v>
      </c>
      <c r="ABE103" t="s">
        <v>1900</v>
      </c>
      <c r="ABF103" t="s">
        <v>1900</v>
      </c>
      <c r="ABG103" t="s">
        <v>1900</v>
      </c>
      <c r="ABH103" t="s">
        <v>1900</v>
      </c>
      <c r="ABI103" t="s">
        <v>1900</v>
      </c>
      <c r="ABJ103" t="s">
        <v>1900</v>
      </c>
      <c r="ABK103" t="s">
        <v>1900</v>
      </c>
      <c r="ABL103" t="s">
        <v>1900</v>
      </c>
      <c r="ABM103" t="s">
        <v>1900</v>
      </c>
      <c r="ABN103" t="s">
        <v>1900</v>
      </c>
      <c r="ABO103" t="s">
        <v>1900</v>
      </c>
      <c r="ABP103" t="s">
        <v>1900</v>
      </c>
      <c r="ABQ103" t="s">
        <v>1900</v>
      </c>
      <c r="ABR103" t="s">
        <v>1900</v>
      </c>
      <c r="ABS103" t="s">
        <v>1900</v>
      </c>
      <c r="ABT103" t="s">
        <v>1900</v>
      </c>
      <c r="ABU103" t="s">
        <v>1900</v>
      </c>
      <c r="ABV103" t="s">
        <v>1900</v>
      </c>
      <c r="ABW103" t="s">
        <v>1900</v>
      </c>
      <c r="ABX103" t="s">
        <v>1900</v>
      </c>
      <c r="ABY103" t="s">
        <v>1900</v>
      </c>
      <c r="ABZ103" t="s">
        <v>1900</v>
      </c>
      <c r="ACA103" t="s">
        <v>1900</v>
      </c>
      <c r="ACB103" t="s">
        <v>1900</v>
      </c>
      <c r="ACC103" t="s">
        <v>1900</v>
      </c>
      <c r="ACD103" t="s">
        <v>1900</v>
      </c>
      <c r="ACE103" t="s">
        <v>1900</v>
      </c>
      <c r="ACF103">
        <v>38.07</v>
      </c>
      <c r="ACG103">
        <v>35.747</v>
      </c>
      <c r="ACH103">
        <v>28.025</v>
      </c>
      <c r="ACI103">
        <v>13.315</v>
      </c>
      <c r="ACJ103" t="s">
        <v>1900</v>
      </c>
      <c r="ACK103">
        <v>36.53</v>
      </c>
      <c r="ACL103">
        <v>34.04</v>
      </c>
      <c r="ACM103">
        <v>24.703</v>
      </c>
      <c r="ACN103">
        <v>9.706</v>
      </c>
      <c r="ACO103" t="s">
        <v>1900</v>
      </c>
      <c r="ACP103">
        <v>31.268</v>
      </c>
      <c r="ACQ103">
        <v>27.328</v>
      </c>
      <c r="ACR103">
        <v>18.931</v>
      </c>
      <c r="ACS103">
        <v>7.54</v>
      </c>
      <c r="ACT103" t="s">
        <v>1900</v>
      </c>
      <c r="ACU103">
        <v>28.079</v>
      </c>
      <c r="ACV103">
        <v>26.57</v>
      </c>
      <c r="ACW103">
        <v>20.831</v>
      </c>
      <c r="ACX103">
        <v>9.835000000000001</v>
      </c>
      <c r="ACY103" t="s">
        <v>1900</v>
      </c>
      <c r="ACZ103">
        <v>26.977</v>
      </c>
      <c r="ADA103">
        <v>25.38</v>
      </c>
      <c r="ADB103">
        <v>18.503</v>
      </c>
      <c r="ADC103">
        <v>7.324</v>
      </c>
      <c r="ADD103" t="s">
        <v>1900</v>
      </c>
      <c r="ADE103">
        <v>23.062</v>
      </c>
      <c r="ADF103">
        <v>20.312</v>
      </c>
      <c r="ADG103">
        <v>14.071</v>
      </c>
      <c r="ADH103">
        <v>5.57</v>
      </c>
      <c r="ADI103" t="s">
        <v>1900</v>
      </c>
      <c r="ADJ103">
        <v>28.069</v>
      </c>
      <c r="ADK103">
        <v>25.969</v>
      </c>
      <c r="ADL103">
        <v>21.85</v>
      </c>
      <c r="ADM103">
        <v>10.898</v>
      </c>
      <c r="ADN103" t="s">
        <v>1900</v>
      </c>
      <c r="ADO103">
        <v>84.843</v>
      </c>
      <c r="ADP103">
        <v>84.70999999999999</v>
      </c>
      <c r="ADQ103">
        <v>81.34099999999999</v>
      </c>
      <c r="ADR103">
        <v>79.611</v>
      </c>
      <c r="ADS103" t="s">
        <v>1900</v>
      </c>
      <c r="ADT103">
        <v>28.170044716</v>
      </c>
      <c r="ADU103">
        <v>26.340915784</v>
      </c>
      <c r="ADV103">
        <v>22.217456203</v>
      </c>
      <c r="ADW103">
        <v>11.604556648</v>
      </c>
      <c r="ADX103" t="s">
        <v>1900</v>
      </c>
      <c r="ADY103">
        <v>36.503</v>
      </c>
      <c r="ADZ103">
        <v>34.894</v>
      </c>
      <c r="AEA103">
        <v>32.305</v>
      </c>
      <c r="AEB103">
        <v>23.848</v>
      </c>
      <c r="AEC103" t="s">
        <v>1900</v>
      </c>
      <c r="AED103">
        <v>28.17</v>
      </c>
      <c r="AEE103">
        <v>26.341</v>
      </c>
      <c r="AEF103">
        <v>22.217</v>
      </c>
      <c r="AEG103">
        <v>11.605</v>
      </c>
      <c r="AEH103" t="s">
        <v>1900</v>
      </c>
      <c r="AEI103">
        <v>29.036</v>
      </c>
      <c r="AEJ103">
        <v>27.855</v>
      </c>
      <c r="AEK103">
        <v>26.328</v>
      </c>
      <c r="AEL103">
        <v>20.293</v>
      </c>
      <c r="AEM103" t="s">
        <v>1900</v>
      </c>
      <c r="AEN103">
        <v>39.217683772</v>
      </c>
      <c r="AEO103">
        <v>35.760580061</v>
      </c>
      <c r="AEP103">
        <v>28.563550533</v>
      </c>
      <c r="AEQ103">
        <v>13.128003218</v>
      </c>
      <c r="AER103" t="s">
        <v>1900</v>
      </c>
      <c r="AES103">
        <v>1.497061488</v>
      </c>
      <c r="AET103">
        <v>1.451281022</v>
      </c>
      <c r="AEU103">
        <v>1.375781425</v>
      </c>
      <c r="AEV103">
        <v>1.170639338</v>
      </c>
      <c r="AEW103" t="s">
        <v>1900</v>
      </c>
      <c r="AEX103" t="s">
        <v>1900</v>
      </c>
      <c r="AEY103" t="s">
        <v>1900</v>
      </c>
      <c r="AEZ103" t="s">
        <v>1900</v>
      </c>
      <c r="AFA103" t="s">
        <v>1900</v>
      </c>
      <c r="AFB103" t="s">
        <v>1900</v>
      </c>
      <c r="AFC103" t="s">
        <v>1900</v>
      </c>
      <c r="AFD103" t="s">
        <v>1900</v>
      </c>
      <c r="AFE103" t="s">
        <v>1900</v>
      </c>
      <c r="AFF103" t="s">
        <v>1900</v>
      </c>
      <c r="AFG103" t="s">
        <v>1900</v>
      </c>
      <c r="AFH103">
        <v>1.297</v>
      </c>
      <c r="AFI103">
        <v>1.299</v>
      </c>
      <c r="AFJ103">
        <v>1.105</v>
      </c>
      <c r="AFK103">
        <v>0.836</v>
      </c>
      <c r="AFL103" t="s">
        <v>1900</v>
      </c>
      <c r="AFM103">
        <v>278.849</v>
      </c>
      <c r="AFN103">
        <v>109.846</v>
      </c>
      <c r="AFO103">
        <v>44.495</v>
      </c>
      <c r="AFP103">
        <v>16.394</v>
      </c>
      <c r="AFQ103" t="s">
        <v>1900</v>
      </c>
      <c r="AFR103">
        <v>394.712</v>
      </c>
      <c r="AFS103">
        <v>374.235</v>
      </c>
      <c r="AFT103">
        <v>384.321</v>
      </c>
      <c r="AFU103">
        <v>231.972</v>
      </c>
      <c r="AFV103" t="s">
        <v>1900</v>
      </c>
      <c r="AFW103">
        <v>39.989</v>
      </c>
      <c r="AFX103">
        <v>29.615</v>
      </c>
      <c r="AFY103">
        <v>41.074</v>
      </c>
      <c r="AFZ103">
        <v>64.26900000000001</v>
      </c>
      <c r="AGA103" t="s">
        <v>1900</v>
      </c>
      <c r="AGB103">
        <v>0</v>
      </c>
      <c r="AGC103">
        <v>0</v>
      </c>
      <c r="AGD103" t="s">
        <v>1900</v>
      </c>
      <c r="AGE103" t="s">
        <v>1900</v>
      </c>
      <c r="AGF103" t="s">
        <v>1900</v>
      </c>
      <c r="AGG103" t="s">
        <v>1900</v>
      </c>
      <c r="AGH103" t="s">
        <v>1900</v>
      </c>
      <c r="AGI103" t="s">
        <v>1900</v>
      </c>
      <c r="AGJ103" t="s">
        <v>1900</v>
      </c>
      <c r="AGK103" t="s">
        <v>1900</v>
      </c>
      <c r="AGL103" t="s">
        <v>1900</v>
      </c>
      <c r="AGM103" t="s">
        <v>1900</v>
      </c>
      <c r="AGN103" t="s">
        <v>1900</v>
      </c>
      <c r="AGO103" t="s">
        <v>1900</v>
      </c>
      <c r="AGP103" t="s">
        <v>1900</v>
      </c>
      <c r="AGQ103" t="s">
        <v>1900</v>
      </c>
      <c r="AGR103" t="s">
        <v>1900</v>
      </c>
      <c r="AGS103" t="s">
        <v>1900</v>
      </c>
      <c r="AGT103" t="s">
        <v>1900</v>
      </c>
      <c r="AGU103">
        <v>0</v>
      </c>
      <c r="AGV103">
        <v>0</v>
      </c>
      <c r="AGW103">
        <v>0</v>
      </c>
      <c r="AGX103">
        <v>0</v>
      </c>
      <c r="AGY103">
        <v>0</v>
      </c>
      <c r="AGZ103" t="s">
        <v>1900</v>
      </c>
      <c r="AHA103">
        <v>5.887</v>
      </c>
      <c r="AHB103">
        <v>3.967</v>
      </c>
      <c r="AHC103">
        <v>3.081</v>
      </c>
      <c r="AHD103">
        <v>3.382</v>
      </c>
      <c r="AHE103" t="s">
        <v>1900</v>
      </c>
      <c r="AHF103">
        <v>5.867</v>
      </c>
      <c r="AHG103">
        <v>3.952</v>
      </c>
      <c r="AHH103">
        <v>3.071</v>
      </c>
      <c r="AHI103">
        <v>3.365</v>
      </c>
      <c r="AHJ103" t="s">
        <v>1900</v>
      </c>
      <c r="AHK103">
        <v>21.77</v>
      </c>
      <c r="AHL103">
        <v>16.706</v>
      </c>
      <c r="AHM103">
        <v>6.234</v>
      </c>
      <c r="AHN103">
        <v>2.169</v>
      </c>
      <c r="AHO103" t="s">
        <v>1900</v>
      </c>
      <c r="AHP103">
        <v>82.131</v>
      </c>
      <c r="AHQ103">
        <v>76.446</v>
      </c>
      <c r="AHR103">
        <v>67.54900000000001</v>
      </c>
      <c r="AHS103">
        <v>56.631</v>
      </c>
      <c r="AHT103" t="s">
        <v>1900</v>
      </c>
      <c r="AHU103" t="s">
        <v>1901</v>
      </c>
      <c r="AHV103" t="s">
        <v>1901</v>
      </c>
      <c r="AHW103" t="s">
        <v>1901</v>
      </c>
      <c r="AHX103" t="s">
        <v>1901</v>
      </c>
      <c r="AHY103" t="s">
        <v>1900</v>
      </c>
      <c r="AHZ103">
        <v>7.108</v>
      </c>
      <c r="AIA103">
        <v>14.548</v>
      </c>
      <c r="AIB103">
        <v>32.922</v>
      </c>
      <c r="AIC103">
        <v>68.289</v>
      </c>
      <c r="AID103" t="s">
        <v>1900</v>
      </c>
      <c r="AIE103">
        <v>0.003870756</v>
      </c>
      <c r="AIF103">
        <v>0.002759384</v>
      </c>
      <c r="AIG103">
        <v>0.463146137</v>
      </c>
      <c r="AIH103">
        <v>2.15428855</v>
      </c>
      <c r="AII103" t="s">
        <v>1900</v>
      </c>
      <c r="AIJ103">
        <v>70.336127819</v>
      </c>
      <c r="AIK103">
        <v>66.350950177</v>
      </c>
      <c r="AIL103">
        <v>56.482890861</v>
      </c>
      <c r="AIM103">
        <v>45.739975829</v>
      </c>
      <c r="AIN103" t="s">
        <v>1900</v>
      </c>
      <c r="AIO103">
        <v>12.03103324</v>
      </c>
      <c r="AIP103">
        <v>12.432053365</v>
      </c>
      <c r="AIQ103">
        <v>10.212420654</v>
      </c>
      <c r="AIR103">
        <v>4.696892653</v>
      </c>
      <c r="AIS103" t="s">
        <v>1900</v>
      </c>
      <c r="AIT103">
        <v>1.671523597</v>
      </c>
      <c r="AIU103">
        <v>1.747637225</v>
      </c>
      <c r="AIV103">
        <v>1.394482019</v>
      </c>
      <c r="AIW103">
        <v>2.114296906</v>
      </c>
      <c r="AIX103" t="s">
        <v>1900</v>
      </c>
      <c r="AIY103">
        <v>55.8891802873773</v>
      </c>
      <c r="AIZ103">
        <v>53.743390507766</v>
      </c>
      <c r="AJA103">
        <v>40.5727942386103</v>
      </c>
      <c r="AJB103">
        <v>18.3314658673948</v>
      </c>
      <c r="AJC103" t="s">
        <v>1900</v>
      </c>
      <c r="AJD103">
        <v>199.11338308964</v>
      </c>
      <c r="AJE103">
        <v>206.949489283718</v>
      </c>
      <c r="AJF103">
        <v>185.686076032205</v>
      </c>
      <c r="AJG103">
        <v>168.213953834464</v>
      </c>
      <c r="AJH103" t="s">
        <v>1900</v>
      </c>
      <c r="AJI103">
        <v>19.345</v>
      </c>
      <c r="AJJ103">
        <v>19.994</v>
      </c>
      <c r="AJK103">
        <v>20.974</v>
      </c>
      <c r="AJL103">
        <v>22.039</v>
      </c>
      <c r="AJM103" t="s">
        <v>1900</v>
      </c>
      <c r="AJN103">
        <v>38.5194388120508</v>
      </c>
      <c r="AJO103">
        <v>41.3770589853835</v>
      </c>
      <c r="AJP103">
        <v>38.9451615191603</v>
      </c>
      <c r="AJQ103">
        <v>37.0720270076311</v>
      </c>
      <c r="AJR103" t="s">
        <v>1900</v>
      </c>
      <c r="AJS103">
        <v>146.804654139125</v>
      </c>
      <c r="AJT103">
        <v>150.342433806904</v>
      </c>
      <c r="AJU103">
        <v>144.77311548465</v>
      </c>
      <c r="AJV103">
        <v>137.67665517266</v>
      </c>
      <c r="AJW103" t="s">
        <v>1900</v>
      </c>
      <c r="AJX103">
        <v>22.6223248676214</v>
      </c>
      <c r="AJY103">
        <v>17.5776064968753</v>
      </c>
      <c r="AJZ103">
        <v>21.6688819000053</v>
      </c>
      <c r="AKA103">
        <v>30.7556192607617</v>
      </c>
      <c r="AKB103" t="s">
        <v>1900</v>
      </c>
      <c r="AKC103">
        <v>178.744849278492</v>
      </c>
      <c r="AKD103">
        <v>196.66367098953</v>
      </c>
      <c r="AKE103">
        <v>214.322129469373</v>
      </c>
      <c r="AKF103">
        <v>243.113842117409</v>
      </c>
      <c r="AKG103" t="s">
        <v>1900</v>
      </c>
      <c r="AKH103">
        <v>1.671523597</v>
      </c>
      <c r="AKI103">
        <v>1.747637225</v>
      </c>
      <c r="AKJ103">
        <v>1.394482019</v>
      </c>
      <c r="AKK103">
        <v>2.114296906</v>
      </c>
      <c r="AKL103" t="s">
        <v>1900</v>
      </c>
      <c r="AKM103">
        <v>0.253349428</v>
      </c>
      <c r="AKN103">
        <v>0.267211571</v>
      </c>
      <c r="AKO103">
        <v>0.260199121</v>
      </c>
      <c r="AKP103">
        <v>0.431086202</v>
      </c>
      <c r="AKQ103" t="s">
        <v>1900</v>
      </c>
      <c r="AKR103">
        <v>0.282219386</v>
      </c>
      <c r="AKS103">
        <v>0.281187155</v>
      </c>
      <c r="AKT103">
        <v>0.225433342</v>
      </c>
      <c r="AKU103">
        <v>0.298274725</v>
      </c>
      <c r="AKV103" t="s">
        <v>1900</v>
      </c>
      <c r="AKW103">
        <v>0.159653608</v>
      </c>
      <c r="AKX103">
        <v>0.59434142</v>
      </c>
      <c r="AKY103">
        <v>1.305690074</v>
      </c>
      <c r="AKZ103">
        <v>2.125021292</v>
      </c>
      <c r="ALA103" t="s">
        <v>1900</v>
      </c>
      <c r="ALB103">
        <v>0.177846635</v>
      </c>
      <c r="ALC103">
        <v>0.625426408</v>
      </c>
      <c r="ALD103">
        <v>1.13123394</v>
      </c>
      <c r="ALE103">
        <v>1.470332704</v>
      </c>
      <c r="ALF103" t="s">
        <v>1900</v>
      </c>
      <c r="ALG103">
        <v>15.1047148</v>
      </c>
      <c r="ALH103">
        <v>22.885988925</v>
      </c>
      <c r="ALI103">
        <v>36.718317572</v>
      </c>
      <c r="ALJ103">
        <v>54.89797522</v>
      </c>
      <c r="ALK103" t="s">
        <v>1900</v>
      </c>
      <c r="ALL103">
        <v>16.825944225</v>
      </c>
      <c r="ALM103">
        <v>24.082962044</v>
      </c>
      <c r="ALN103">
        <v>31.812302082</v>
      </c>
      <c r="ALO103">
        <v>37.984696274</v>
      </c>
      <c r="ALP103" t="s">
        <v>1900</v>
      </c>
      <c r="ALQ103">
        <v>11.10817944</v>
      </c>
      <c r="ALR103">
        <v>8.226458128999999</v>
      </c>
      <c r="ALS103">
        <v>11.409433202</v>
      </c>
      <c r="ALT103">
        <v>17.852544892</v>
      </c>
      <c r="ALU103" t="s">
        <v>1900</v>
      </c>
      <c r="ALV103">
        <v>0</v>
      </c>
      <c r="ALW103">
        <v>0</v>
      </c>
      <c r="ALX103" t="s">
        <v>1900</v>
      </c>
      <c r="ALY103" t="s">
        <v>1900</v>
      </c>
      <c r="ALZ103" t="s">
        <v>1900</v>
      </c>
      <c r="AMA103">
        <v>84.8432036431865</v>
      </c>
      <c r="AMB103">
        <v>84.7101236588453</v>
      </c>
      <c r="AMC103">
        <v>81.3408048849606</v>
      </c>
      <c r="AMD103">
        <v>79.61089568369179</v>
      </c>
      <c r="AME103" t="s">
        <v>1900</v>
      </c>
      <c r="AMF103">
        <v>84.8432036431865</v>
      </c>
      <c r="AMG103">
        <v>84.7101236588453</v>
      </c>
      <c r="AMH103">
        <v>81.3408048849606</v>
      </c>
      <c r="AMI103">
        <v>79.6110636871046</v>
      </c>
      <c r="AMJ103" t="s">
        <v>1900</v>
      </c>
      <c r="AMK103">
        <v>559.770030855146</v>
      </c>
      <c r="AML103">
        <v>554.027526245172</v>
      </c>
      <c r="AMM103">
        <v>435.9287974828</v>
      </c>
      <c r="AMN103">
        <v>390.458033117302</v>
      </c>
      <c r="AMO103" t="s">
        <v>1900</v>
      </c>
      <c r="AMP103">
        <v>1.49706148818638</v>
      </c>
      <c r="AMQ103">
        <v>1.45128102200643</v>
      </c>
      <c r="AMR103">
        <v>1.37578142474962</v>
      </c>
      <c r="AMS103">
        <v>1.17063933763708</v>
      </c>
      <c r="AMT103" t="s">
        <v>1900</v>
      </c>
      <c r="AMU103">
        <v>1.49706148818638</v>
      </c>
      <c r="AMV103">
        <v>1.45128102200643</v>
      </c>
      <c r="AMW103">
        <v>1.37578142474962</v>
      </c>
      <c r="AMX103">
        <v>1.17063933763708</v>
      </c>
      <c r="AMY103" t="s">
        <v>1900</v>
      </c>
      <c r="AMZ103">
        <v>1.49706148818638</v>
      </c>
      <c r="ANA103">
        <v>1.45128102200643</v>
      </c>
      <c r="ANB103">
        <v>1.37578142474962</v>
      </c>
      <c r="ANC103">
        <v>1.17063933763708</v>
      </c>
      <c r="AND103" t="s">
        <v>1900</v>
      </c>
      <c r="ANE103">
        <v>28.170044716381</v>
      </c>
      <c r="ANF103">
        <v>26.3409157836322</v>
      </c>
      <c r="ANG103">
        <v>22.2174562034911</v>
      </c>
      <c r="ANH103">
        <v>11.6045566481479</v>
      </c>
      <c r="ANI103" t="s">
        <v>1900</v>
      </c>
      <c r="ANJ103">
        <v>28.170044716381</v>
      </c>
      <c r="ANK103">
        <v>26.3409157836322</v>
      </c>
      <c r="ANL103">
        <v>22.2174562034911</v>
      </c>
      <c r="ANM103">
        <v>11.6045811373225</v>
      </c>
      <c r="ANN103" t="s">
        <v>1900</v>
      </c>
      <c r="ANO103">
        <v>39.2176837715577</v>
      </c>
      <c r="ANP103">
        <v>35.7605800613238</v>
      </c>
      <c r="ANQ103">
        <v>28.5635505334145</v>
      </c>
      <c r="ANR103">
        <v>13.1280032183976</v>
      </c>
      <c r="ANS103" t="s">
        <v>1900</v>
      </c>
      <c r="ANT103">
        <v>36.5295164044985</v>
      </c>
      <c r="ANU103">
        <v>34.2110213669699</v>
      </c>
      <c r="ANV103">
        <v>24.5567275046107</v>
      </c>
      <c r="ANW103">
        <v>9.70472455956194</v>
      </c>
      <c r="ANX103" t="s">
        <v>1900</v>
      </c>
      <c r="ANY103">
        <v>84.8432036431865</v>
      </c>
      <c r="ANZ103">
        <v>84.7101236588453</v>
      </c>
      <c r="AOA103">
        <v>81.3408048849606</v>
      </c>
      <c r="AOB103">
        <v>79.61089568369179</v>
      </c>
      <c r="AOC103" t="s">
        <v>1900</v>
      </c>
      <c r="AOD103">
        <v>118.11674294963</v>
      </c>
      <c r="AOE103">
        <v>115.002955249913</v>
      </c>
      <c r="AOF103">
        <v>104.574626792562</v>
      </c>
      <c r="AOG103">
        <v>90.06221663124199</v>
      </c>
      <c r="AOH103" t="s">
        <v>1900</v>
      </c>
      <c r="AOI103">
        <v>94.51135167110441</v>
      </c>
      <c r="AOJ103">
        <v>89.1405959986608</v>
      </c>
      <c r="AOK103">
        <v>70.4726803317445</v>
      </c>
      <c r="AOL103">
        <v>55.0839203190147</v>
      </c>
      <c r="AOM103" t="s">
        <v>1900</v>
      </c>
      <c r="AON103">
        <v>185.857512717175</v>
      </c>
      <c r="AOO103">
        <v>172.276839890014</v>
      </c>
      <c r="AOP103">
        <v>119.069745862638</v>
      </c>
      <c r="AOQ103">
        <v>56.9154802884895</v>
      </c>
      <c r="AOR103" t="s">
        <v>1900</v>
      </c>
      <c r="AOS103">
        <v>49.7061488186376</v>
      </c>
      <c r="AOT103">
        <v>45.1281022006434</v>
      </c>
      <c r="AOU103">
        <v>37.5781424749618</v>
      </c>
      <c r="AOV103">
        <v>17.063933763708</v>
      </c>
      <c r="AOW103" t="s">
        <v>1900</v>
      </c>
      <c r="AOX103">
        <v>31.3801092893364</v>
      </c>
      <c r="AOY103">
        <v>27.7185869962819</v>
      </c>
      <c r="AOZ103">
        <v>19.2489328207109</v>
      </c>
      <c r="APA103">
        <v>8.029359150584421</v>
      </c>
      <c r="APB103" t="s">
        <v>1900</v>
      </c>
      <c r="APC103">
        <v>20.7026543487501</v>
      </c>
      <c r="APD103">
        <v>19.3019878580309</v>
      </c>
      <c r="APE103">
        <v>16.2411487127445</v>
      </c>
      <c r="APF103">
        <v>8.049647128793</v>
      </c>
      <c r="APG103" t="s">
        <v>1900</v>
      </c>
      <c r="APH103">
        <v>20.7026543487501</v>
      </c>
      <c r="API103">
        <v>19.3019878580309</v>
      </c>
      <c r="APJ103">
        <v>16.2411487127445</v>
      </c>
      <c r="APK103">
        <v>8.04966411601789</v>
      </c>
      <c r="APL103" t="s">
        <v>1900</v>
      </c>
      <c r="APM103">
        <v>136.589908984582</v>
      </c>
      <c r="APN103">
        <v>126.240313704023</v>
      </c>
      <c r="APO103">
        <v>87.0409929936048</v>
      </c>
      <c r="APP103">
        <v>39.4801409807616</v>
      </c>
      <c r="APQ103" t="s">
        <v>1900</v>
      </c>
      <c r="APR103">
        <v>36.529910703386</v>
      </c>
      <c r="APS103">
        <v>33.0687849992694</v>
      </c>
      <c r="APT103">
        <v>27.4699405141015</v>
      </c>
      <c r="APU103">
        <v>11.8366129436637</v>
      </c>
      <c r="APV103" t="s">
        <v>1900</v>
      </c>
      <c r="APW103">
        <v>28.8217558635615</v>
      </c>
      <c r="APX103">
        <v>26.204490679429</v>
      </c>
      <c r="APY103">
        <v>20.8801974325163</v>
      </c>
      <c r="APZ103">
        <v>9.106405062930589</v>
      </c>
      <c r="AQA103" t="s">
        <v>1900</v>
      </c>
      <c r="AQB103">
        <v>23.061786467998</v>
      </c>
      <c r="AQC103">
        <v>20.3115120992286</v>
      </c>
      <c r="AQD103">
        <v>14.0711329703745</v>
      </c>
      <c r="AQE103">
        <v>5.56966627784656</v>
      </c>
      <c r="AQF103" t="s">
        <v>1900</v>
      </c>
      <c r="AQG103">
        <v>0.497061488186377</v>
      </c>
      <c r="AQH103">
        <v>0.451281022006434</v>
      </c>
      <c r="AQI103">
        <v>0.375781424749618</v>
      </c>
      <c r="AQJ103">
        <v>0.17063933763708</v>
      </c>
      <c r="AQK103">
        <v>1</v>
      </c>
      <c r="AQO103" t="s">
        <v>1903</v>
      </c>
      <c r="AQP103">
        <v>10</v>
      </c>
      <c r="AQQ103">
        <v>0</v>
      </c>
      <c r="AQS103" t="s">
        <v>1905</v>
      </c>
      <c r="AQU103" t="s">
        <v>1906</v>
      </c>
      <c r="AQV103" t="s">
        <v>1900</v>
      </c>
      <c r="AQW103">
        <v>2986700.74634459</v>
      </c>
      <c r="AQX103">
        <v>2897292.84570565</v>
      </c>
      <c r="AQY103" t="s">
        <v>1900</v>
      </c>
      <c r="AQZ103">
        <v>841354.9357897569</v>
      </c>
      <c r="ARA103">
        <v>763173.468492526</v>
      </c>
      <c r="ARB103">
        <v>5883993.592050239</v>
      </c>
      <c r="ARC103">
        <v>1604528.404282283</v>
      </c>
      <c r="ARD103">
        <v>0.3749366647188823</v>
      </c>
      <c r="ARE103">
        <v>0.3749366647188823</v>
      </c>
      <c r="ARF103">
        <v>0.3749366647188823</v>
      </c>
      <c r="ARG103">
        <v>0.3749366647188823</v>
      </c>
      <c r="ARH103">
        <v>0.3749366647188823</v>
      </c>
      <c r="ARI103">
        <v>0.3749366647188823</v>
      </c>
      <c r="ARJ103" t="s">
        <v>1264</v>
      </c>
      <c r="ARK103" t="s">
        <v>1602</v>
      </c>
      <c r="ARL103" t="s">
        <v>1909</v>
      </c>
      <c r="ARP103" t="s">
        <v>1907</v>
      </c>
      <c r="ARQ103" t="s">
        <v>1996</v>
      </c>
    </row>
    <row r="104" spans="1:1163">
      <c r="A104">
        <v>499</v>
      </c>
      <c r="B104" t="s">
        <v>1265</v>
      </c>
      <c r="C104" t="s">
        <v>1388</v>
      </c>
      <c r="E104" s="2">
        <v>36738</v>
      </c>
      <c r="F104" t="s">
        <v>1431</v>
      </c>
      <c r="G104" t="s">
        <v>1433</v>
      </c>
      <c r="H104" t="s">
        <v>1434</v>
      </c>
      <c r="I104" t="s">
        <v>1437</v>
      </c>
      <c r="J104" t="s">
        <v>1453</v>
      </c>
      <c r="L104" t="s">
        <v>1603</v>
      </c>
      <c r="N104" t="s">
        <v>1626</v>
      </c>
      <c r="O104" t="s">
        <v>1650</v>
      </c>
      <c r="P104">
        <v>6920</v>
      </c>
      <c r="Q104">
        <v>6920</v>
      </c>
      <c r="R104" t="s">
        <v>1771</v>
      </c>
      <c r="Z104" t="s">
        <v>1899</v>
      </c>
      <c r="AA104" s="2">
        <v>45657</v>
      </c>
      <c r="AB104">
        <v>2024</v>
      </c>
      <c r="AC104">
        <v>1370838.22932457</v>
      </c>
      <c r="AD104">
        <v>1347047.97048858</v>
      </c>
      <c r="AE104">
        <v>1401605.09769069</v>
      </c>
      <c r="AF104">
        <v>1289339.19909217</v>
      </c>
      <c r="AG104">
        <v>1410569.1370822</v>
      </c>
      <c r="AH104">
        <v>1242814.24411749</v>
      </c>
      <c r="AI104">
        <v>1205868.02412875</v>
      </c>
      <c r="AJ104">
        <v>1122931.25760705</v>
      </c>
      <c r="AK104">
        <v>1157844.96030371</v>
      </c>
      <c r="AL104">
        <v>1197813.48253155</v>
      </c>
      <c r="AM104" t="s">
        <v>1900</v>
      </c>
      <c r="AN104" t="s">
        <v>1900</v>
      </c>
      <c r="AO104" t="s">
        <v>1900</v>
      </c>
      <c r="AP104">
        <v>51646.5740203857</v>
      </c>
      <c r="AQ104">
        <v>253027.875542641</v>
      </c>
      <c r="AR104">
        <v>1370838.22932457</v>
      </c>
      <c r="AS104">
        <v>1347047.97048858</v>
      </c>
      <c r="AT104">
        <v>1401605.09769069</v>
      </c>
      <c r="AU104">
        <v>1237692.62507179</v>
      </c>
      <c r="AV104">
        <v>1157541.26153956</v>
      </c>
      <c r="AW104">
        <v>1240127.82651764</v>
      </c>
      <c r="AX104">
        <v>1252400.65581203</v>
      </c>
      <c r="AY104">
        <v>1062226.95299025</v>
      </c>
      <c r="AZ104">
        <v>1016270.37491076</v>
      </c>
      <c r="BA104">
        <v>1013730.61061219</v>
      </c>
      <c r="BB104">
        <v>130710.402806927</v>
      </c>
      <c r="BC104">
        <v>94647.3146765518</v>
      </c>
      <c r="BD104">
        <v>339378.144700438</v>
      </c>
      <c r="BE104">
        <v>221422.250161028</v>
      </c>
      <c r="BF104">
        <v>143810.650927371</v>
      </c>
      <c r="BG104">
        <v>-261.095193719745</v>
      </c>
      <c r="BH104">
        <v>-1778.05519296932</v>
      </c>
      <c r="BI104">
        <v>-5224.972245121</v>
      </c>
      <c r="BJ104">
        <v>-4730.9734183073</v>
      </c>
      <c r="BK104">
        <v>-5743.85548474789</v>
      </c>
      <c r="BL104">
        <v>6470.49489863157</v>
      </c>
      <c r="BM104">
        <v>5211.74588896751</v>
      </c>
      <c r="BN104">
        <v>5.4716553747654</v>
      </c>
      <c r="BO104" t="s">
        <v>1900</v>
      </c>
      <c r="BP104" t="s">
        <v>1900</v>
      </c>
      <c r="BQ104">
        <v>6731.59113125086</v>
      </c>
      <c r="BR104">
        <v>6989.80218693733</v>
      </c>
      <c r="BS104">
        <v>5230.44390049577</v>
      </c>
      <c r="BT104">
        <v>4730.9734183073</v>
      </c>
      <c r="BU104">
        <v>5743.85548474789</v>
      </c>
      <c r="BV104">
        <v>130449.306574308</v>
      </c>
      <c r="BW104">
        <v>92869.258378582</v>
      </c>
      <c r="BX104">
        <v>334153.172455317</v>
      </c>
      <c r="BY104">
        <v>216691.276742721</v>
      </c>
      <c r="BZ104">
        <v>138066.795442623</v>
      </c>
      <c r="CA104">
        <v>32638.2965348506</v>
      </c>
      <c r="CB104">
        <v>23217.320119648</v>
      </c>
      <c r="CC104">
        <v>83674.61252792479</v>
      </c>
      <c r="CD104">
        <v>54228.0306191683</v>
      </c>
      <c r="CE104">
        <v>35584.0267635524</v>
      </c>
      <c r="CF104">
        <v>97811.01003945711</v>
      </c>
      <c r="CG104">
        <v>69651.9371539335</v>
      </c>
      <c r="CH104">
        <v>250478.559927392</v>
      </c>
      <c r="CI104">
        <v>162463.244990952</v>
      </c>
      <c r="CJ104">
        <v>102482.76867907</v>
      </c>
      <c r="CK104" t="s">
        <v>1900</v>
      </c>
      <c r="CL104" t="s">
        <v>1900</v>
      </c>
      <c r="CM104" t="s">
        <v>1900</v>
      </c>
      <c r="CN104" t="s">
        <v>1900</v>
      </c>
      <c r="CO104" t="s">
        <v>1900</v>
      </c>
      <c r="CP104" t="s">
        <v>1900</v>
      </c>
      <c r="CQ104" t="s">
        <v>1900</v>
      </c>
      <c r="CR104" t="s">
        <v>1900</v>
      </c>
      <c r="CS104" t="s">
        <v>1900</v>
      </c>
      <c r="CT104" t="s">
        <v>1900</v>
      </c>
      <c r="CU104" t="s">
        <v>1900</v>
      </c>
      <c r="CV104" t="s">
        <v>1900</v>
      </c>
      <c r="CW104" t="s">
        <v>1900</v>
      </c>
      <c r="CX104" t="s">
        <v>1900</v>
      </c>
      <c r="CY104" t="s">
        <v>1900</v>
      </c>
      <c r="CZ104">
        <v>97811.01003945711</v>
      </c>
      <c r="DA104">
        <v>69651.9371539335</v>
      </c>
      <c r="DB104">
        <v>250478.559927392</v>
      </c>
      <c r="DC104">
        <v>162463.244990952</v>
      </c>
      <c r="DD104">
        <v>102482.76867907</v>
      </c>
      <c r="DE104" t="s">
        <v>1900</v>
      </c>
      <c r="DF104" t="s">
        <v>1900</v>
      </c>
      <c r="DG104" t="s">
        <v>1900</v>
      </c>
      <c r="DH104" t="s">
        <v>1900</v>
      </c>
      <c r="DI104" t="s">
        <v>1900</v>
      </c>
      <c r="DJ104" t="s">
        <v>1900</v>
      </c>
      <c r="DK104" t="s">
        <v>1900</v>
      </c>
      <c r="DL104" t="s">
        <v>1900</v>
      </c>
      <c r="DM104">
        <v>51646.5740203857</v>
      </c>
      <c r="DN104">
        <v>253027.875542641</v>
      </c>
      <c r="DO104">
        <v>1010278.59616803</v>
      </c>
      <c r="DP104">
        <v>991313.680139399</v>
      </c>
      <c r="DQ104">
        <v>813423.818205011</v>
      </c>
      <c r="DR104">
        <v>750896.357936239</v>
      </c>
      <c r="DS104">
        <v>767553.949504089</v>
      </c>
      <c r="DT104">
        <v>19889.7420995486</v>
      </c>
      <c r="DU104">
        <v>19555.4479262447</v>
      </c>
      <c r="DV104">
        <v>23095.0680532634</v>
      </c>
      <c r="DW104">
        <v>21949.9978267193</v>
      </c>
      <c r="DX104">
        <v>20510.3021563649</v>
      </c>
      <c r="DY104">
        <v>209959.488250061</v>
      </c>
      <c r="DZ104">
        <v>241531.527746382</v>
      </c>
      <c r="EA104">
        <v>225708.066731977</v>
      </c>
      <c r="EB104">
        <v>243424.019147801</v>
      </c>
      <c r="EC104">
        <v>225666.358951735</v>
      </c>
      <c r="ED104">
        <v>6731.59113125086</v>
      </c>
      <c r="EE104">
        <v>6989.80218693733</v>
      </c>
      <c r="EF104">
        <v>5230.44390049577</v>
      </c>
      <c r="EG104">
        <v>4730.9734183073</v>
      </c>
      <c r="EH104">
        <v>5743.85548474789</v>
      </c>
      <c r="EI104" t="s">
        <v>1900</v>
      </c>
      <c r="EJ104" t="s">
        <v>1900</v>
      </c>
      <c r="EK104" t="s">
        <v>1900</v>
      </c>
      <c r="EL104" t="s">
        <v>1900</v>
      </c>
      <c r="EM104" t="s">
        <v>1900</v>
      </c>
      <c r="EN104">
        <v>117700.752139006</v>
      </c>
      <c r="EO104">
        <v>89207.3850801783</v>
      </c>
      <c r="EP104">
        <v>273573.627980655</v>
      </c>
      <c r="EQ104">
        <v>184413.242817671</v>
      </c>
      <c r="ER104">
        <v>122993.069608336</v>
      </c>
      <c r="ES104">
        <v>1167349.23597314</v>
      </c>
      <c r="ET104">
        <v>1110728.18863116</v>
      </c>
      <c r="EU104">
        <v>1175902.50261409</v>
      </c>
      <c r="EV104">
        <v>994268.6059239859</v>
      </c>
      <c r="EW104">
        <v>931874.901360726</v>
      </c>
      <c r="EX104">
        <v>150600.144906476</v>
      </c>
      <c r="EY104">
        <v>114202.762602797</v>
      </c>
      <c r="EZ104">
        <v>362473.212753701</v>
      </c>
      <c r="FA104">
        <v>243372.246855147</v>
      </c>
      <c r="FB104">
        <v>164320.953083736</v>
      </c>
      <c r="FC104">
        <v>227354.489715058</v>
      </c>
      <c r="FD104">
        <v>253492.826614466</v>
      </c>
      <c r="FE104">
        <v>130316.84815954</v>
      </c>
      <c r="FF104">
        <v>99821.0825162172</v>
      </c>
      <c r="FG104">
        <v>106461.355924636</v>
      </c>
      <c r="FH104">
        <v>0</v>
      </c>
      <c r="FI104">
        <v>0</v>
      </c>
      <c r="FJ104">
        <v>0</v>
      </c>
      <c r="FK104">
        <v>0</v>
      </c>
      <c r="FL104">
        <v>0</v>
      </c>
      <c r="FM104">
        <v>100783.384737939</v>
      </c>
      <c r="FN104">
        <v>118868.51669673</v>
      </c>
      <c r="FO104">
        <v>107030.954791832</v>
      </c>
      <c r="FP104">
        <v>75094.2658636808</v>
      </c>
      <c r="FQ104">
        <v>96813.5944576859</v>
      </c>
      <c r="FR104">
        <v>126571.104977119</v>
      </c>
      <c r="FS104">
        <v>134624.309917736</v>
      </c>
      <c r="FT104">
        <v>23285.8933677077</v>
      </c>
      <c r="FU104">
        <v>24726.8166525364</v>
      </c>
      <c r="FV104">
        <v>9647.76146695018</v>
      </c>
      <c r="FW104">
        <v>0</v>
      </c>
      <c r="FX104">
        <v>0</v>
      </c>
      <c r="FY104">
        <v>0</v>
      </c>
      <c r="FZ104">
        <v>0</v>
      </c>
      <c r="GA104">
        <v>0</v>
      </c>
      <c r="GB104">
        <v>100783.384737939</v>
      </c>
      <c r="GC104">
        <v>118868.51669673</v>
      </c>
      <c r="GD104">
        <v>107030.954791832</v>
      </c>
      <c r="GE104">
        <v>75094.2658636808</v>
      </c>
      <c r="GF104">
        <v>96813.5944576859</v>
      </c>
      <c r="GG104">
        <v>126571.104977119</v>
      </c>
      <c r="GH104">
        <v>134624.309917736</v>
      </c>
      <c r="GI104">
        <v>23285.8933677077</v>
      </c>
      <c r="GJ104">
        <v>24726.8166525364</v>
      </c>
      <c r="GK104">
        <v>9647.76146695018</v>
      </c>
      <c r="GL104">
        <v>354340.292221918</v>
      </c>
      <c r="GM104">
        <v>381187.181172123</v>
      </c>
      <c r="GN104">
        <v>608578.224143469</v>
      </c>
      <c r="GO104">
        <v>497709.663918185</v>
      </c>
      <c r="GP104">
        <v>310143.114266705</v>
      </c>
      <c r="GQ104">
        <v>0</v>
      </c>
      <c r="GR104">
        <v>0</v>
      </c>
      <c r="GS104">
        <v>0</v>
      </c>
      <c r="GT104">
        <v>0</v>
      </c>
      <c r="GU104">
        <v>0</v>
      </c>
      <c r="GV104">
        <v>56328.7694928229</v>
      </c>
      <c r="GW104">
        <v>48594.5626086426</v>
      </c>
      <c r="GX104">
        <v>52699.0061536491</v>
      </c>
      <c r="GY104">
        <v>33956.9428582191</v>
      </c>
      <c r="GZ104">
        <v>100918.855163932</v>
      </c>
      <c r="HA104">
        <v>298011.522729095</v>
      </c>
      <c r="HB104">
        <v>332592.61856348</v>
      </c>
      <c r="HC104">
        <v>555879.2179898201</v>
      </c>
      <c r="HD104">
        <v>463752.721059966</v>
      </c>
      <c r="HE104">
        <v>209224.259102774</v>
      </c>
      <c r="HF104">
        <v>298011.522729095</v>
      </c>
      <c r="HG104">
        <v>332592.61856348</v>
      </c>
      <c r="HH104">
        <v>555879.2179898201</v>
      </c>
      <c r="HI104">
        <v>463752.721059966</v>
      </c>
      <c r="HJ104">
        <v>209224.259102774</v>
      </c>
      <c r="HK104">
        <v>581694.781936976</v>
      </c>
      <c r="HL104">
        <v>634680.007786589</v>
      </c>
      <c r="HM104">
        <v>738895.072303009</v>
      </c>
      <c r="HN104">
        <v>597530.746434402</v>
      </c>
      <c r="HO104">
        <v>416604.470191342</v>
      </c>
      <c r="HP104">
        <v>284442.123377532</v>
      </c>
      <c r="HQ104">
        <v>312873.243813667</v>
      </c>
      <c r="HR104">
        <v>345161.919083452</v>
      </c>
      <c r="HS104">
        <v>309201.288362217</v>
      </c>
      <c r="HT104">
        <v>158981.193669283</v>
      </c>
      <c r="HU104">
        <v>71684.0683221817</v>
      </c>
      <c r="HV104">
        <v>76245.0342178345</v>
      </c>
      <c r="HW104">
        <v>73595.36468982699</v>
      </c>
      <c r="HX104">
        <v>78149.4212150574</v>
      </c>
      <c r="HY104">
        <v>84669.8516607285</v>
      </c>
      <c r="HZ104">
        <v>212758.05505535</v>
      </c>
      <c r="IA104">
        <v>236628.209595833</v>
      </c>
      <c r="IB104">
        <v>271566.554393625</v>
      </c>
      <c r="IC104">
        <v>231051.86714716</v>
      </c>
      <c r="ID104">
        <v>74311.3407814556</v>
      </c>
      <c r="IE104">
        <v>78138.96933870429</v>
      </c>
      <c r="IF104">
        <v>87306.5201320934</v>
      </c>
      <c r="IG104">
        <v>88970.3003191173</v>
      </c>
      <c r="IH104">
        <v>65921.0641494513</v>
      </c>
      <c r="II104">
        <v>76754.91392748361</v>
      </c>
      <c r="IJ104">
        <v>78138.96933870429</v>
      </c>
      <c r="IK104">
        <v>87306.5201320934</v>
      </c>
      <c r="IL104">
        <v>88970.3003191173</v>
      </c>
      <c r="IM104">
        <v>65921.0641494513</v>
      </c>
      <c r="IN104">
        <v>76754.91392748361</v>
      </c>
      <c r="IO104">
        <v>0</v>
      </c>
      <c r="IP104">
        <v>0</v>
      </c>
      <c r="IQ104">
        <v>0</v>
      </c>
      <c r="IR104">
        <v>0</v>
      </c>
      <c r="IS104">
        <v>0</v>
      </c>
      <c r="IT104">
        <v>0</v>
      </c>
      <c r="IU104">
        <v>0</v>
      </c>
      <c r="IV104">
        <v>0</v>
      </c>
      <c r="IW104">
        <v>0</v>
      </c>
      <c r="IX104">
        <v>0</v>
      </c>
      <c r="IY104">
        <v>219113.68922074</v>
      </c>
      <c r="IZ104">
        <v>234500.243840828</v>
      </c>
      <c r="JA104">
        <v>304762.852900439</v>
      </c>
      <c r="JB104">
        <v>222408.393922734</v>
      </c>
      <c r="JC104">
        <v>180868.362594575</v>
      </c>
      <c r="JD104">
        <v>0</v>
      </c>
      <c r="JE104">
        <v>0</v>
      </c>
      <c r="JF104">
        <v>0</v>
      </c>
      <c r="JG104">
        <v>0</v>
      </c>
      <c r="JH104">
        <v>0</v>
      </c>
      <c r="JI104">
        <v>0</v>
      </c>
      <c r="JJ104">
        <v>0</v>
      </c>
      <c r="JK104">
        <v>0</v>
      </c>
      <c r="JL104">
        <v>0</v>
      </c>
      <c r="JM104">
        <v>0</v>
      </c>
      <c r="JN104">
        <v>219113.68922074</v>
      </c>
      <c r="JO104">
        <v>234500.243840828</v>
      </c>
      <c r="JP104">
        <v>304762.852900439</v>
      </c>
      <c r="JQ104">
        <v>222408.393922734</v>
      </c>
      <c r="JR104">
        <v>180868.362594575</v>
      </c>
      <c r="JS104">
        <v>581694.781936976</v>
      </c>
      <c r="JT104">
        <v>634680.007786589</v>
      </c>
      <c r="JU104">
        <v>738895.072303009</v>
      </c>
      <c r="JV104">
        <v>597530.746434402</v>
      </c>
      <c r="JW104">
        <v>416604.470191342</v>
      </c>
      <c r="JX104">
        <v>56328.7694928229</v>
      </c>
      <c r="JY104">
        <v>48594.5626086426</v>
      </c>
      <c r="JZ104">
        <v>52699.0061536491</v>
      </c>
      <c r="KA104">
        <v>33956.9428582191</v>
      </c>
      <c r="KB104">
        <v>100918.855163932</v>
      </c>
      <c r="KC104" t="s">
        <v>1900</v>
      </c>
      <c r="KD104" t="s">
        <v>1900</v>
      </c>
      <c r="KE104" t="s">
        <v>1900</v>
      </c>
      <c r="KF104" t="s">
        <v>1900</v>
      </c>
      <c r="KG104" t="s">
        <v>1900</v>
      </c>
      <c r="KH104" t="s">
        <v>1900</v>
      </c>
      <c r="KI104" t="s">
        <v>1900</v>
      </c>
      <c r="KJ104" t="s">
        <v>1900</v>
      </c>
      <c r="KK104" t="s">
        <v>1900</v>
      </c>
      <c r="KL104" t="s">
        <v>1900</v>
      </c>
      <c r="KM104">
        <v>9</v>
      </c>
      <c r="KN104">
        <v>9</v>
      </c>
      <c r="KO104">
        <v>9</v>
      </c>
      <c r="KP104">
        <v>8</v>
      </c>
      <c r="KQ104">
        <v>9</v>
      </c>
      <c r="KR104" t="s">
        <v>1900</v>
      </c>
      <c r="KS104" t="s">
        <v>1900</v>
      </c>
      <c r="KT104" t="s">
        <v>1900</v>
      </c>
      <c r="KU104" t="s">
        <v>1900</v>
      </c>
      <c r="KV104" t="s">
        <v>1900</v>
      </c>
      <c r="KW104" t="s">
        <v>1900</v>
      </c>
      <c r="KX104" t="s">
        <v>1900</v>
      </c>
      <c r="KY104" t="s">
        <v>1900</v>
      </c>
      <c r="KZ104" t="s">
        <v>1900</v>
      </c>
      <c r="LA104" t="s">
        <v>1900</v>
      </c>
      <c r="LB104" t="s">
        <v>1900</v>
      </c>
      <c r="LC104" t="s">
        <v>1900</v>
      </c>
      <c r="LD104" t="s">
        <v>1900</v>
      </c>
      <c r="LE104" t="s">
        <v>1900</v>
      </c>
      <c r="LF104" t="s">
        <v>1900</v>
      </c>
      <c r="LG104" t="s">
        <v>1900</v>
      </c>
      <c r="LH104" t="s">
        <v>1900</v>
      </c>
      <c r="LI104" t="s">
        <v>1900</v>
      </c>
      <c r="LJ104" t="s">
        <v>1900</v>
      </c>
      <c r="LK104" t="s">
        <v>1900</v>
      </c>
      <c r="LL104" t="s">
        <v>1900</v>
      </c>
      <c r="LM104" t="s">
        <v>1900</v>
      </c>
      <c r="LN104" t="s">
        <v>1900</v>
      </c>
      <c r="LO104" t="s">
        <v>1900</v>
      </c>
      <c r="LP104" t="s">
        <v>1900</v>
      </c>
      <c r="LQ104" t="s">
        <v>1900</v>
      </c>
      <c r="LR104" t="s">
        <v>1900</v>
      </c>
      <c r="LS104" t="s">
        <v>1900</v>
      </c>
      <c r="LT104" t="s">
        <v>1900</v>
      </c>
      <c r="LU104" t="s">
        <v>1900</v>
      </c>
      <c r="LV104" t="s">
        <v>1900</v>
      </c>
      <c r="LW104" t="s">
        <v>1900</v>
      </c>
      <c r="LX104" t="s">
        <v>1900</v>
      </c>
      <c r="LY104" t="s">
        <v>1900</v>
      </c>
      <c r="LZ104" t="s">
        <v>1900</v>
      </c>
      <c r="MA104" t="s">
        <v>1900</v>
      </c>
      <c r="MB104" t="s">
        <v>1900</v>
      </c>
      <c r="MC104" t="s">
        <v>1900</v>
      </c>
      <c r="MD104" t="s">
        <v>1900</v>
      </c>
      <c r="ME104" t="s">
        <v>1900</v>
      </c>
      <c r="MF104" t="s">
        <v>1900</v>
      </c>
      <c r="MG104" t="s">
        <v>1900</v>
      </c>
      <c r="MH104" t="s">
        <v>1900</v>
      </c>
      <c r="MI104" t="s">
        <v>1900</v>
      </c>
      <c r="MJ104" t="s">
        <v>1900</v>
      </c>
      <c r="MK104" t="s">
        <v>1900</v>
      </c>
      <c r="ML104" t="s">
        <v>1900</v>
      </c>
      <c r="MM104" t="s">
        <v>1900</v>
      </c>
      <c r="MN104" t="s">
        <v>1900</v>
      </c>
      <c r="MO104" t="s">
        <v>1900</v>
      </c>
      <c r="MP104">
        <v>298011.522729095</v>
      </c>
      <c r="MQ104">
        <v>332592.61856348</v>
      </c>
      <c r="MR104">
        <v>555879.2179898201</v>
      </c>
      <c r="MS104">
        <v>463752.721059966</v>
      </c>
      <c r="MT104">
        <v>209224.259102774</v>
      </c>
      <c r="MU104" t="s">
        <v>1900</v>
      </c>
      <c r="MV104" t="s">
        <v>1900</v>
      </c>
      <c r="MW104" t="s">
        <v>1900</v>
      </c>
      <c r="MX104" t="s">
        <v>1900</v>
      </c>
      <c r="MY104" t="s">
        <v>1900</v>
      </c>
      <c r="MZ104" t="s">
        <v>1900</v>
      </c>
      <c r="NA104" t="s">
        <v>1900</v>
      </c>
      <c r="NB104" t="s">
        <v>1900</v>
      </c>
      <c r="NC104" t="s">
        <v>1900</v>
      </c>
      <c r="ND104" t="s">
        <v>1900</v>
      </c>
      <c r="NE104" t="s">
        <v>1900</v>
      </c>
      <c r="NF104" t="s">
        <v>1900</v>
      </c>
      <c r="NG104" t="s">
        <v>1900</v>
      </c>
      <c r="NH104" t="s">
        <v>1900</v>
      </c>
      <c r="NI104" t="s">
        <v>1900</v>
      </c>
      <c r="NJ104" t="s">
        <v>1900</v>
      </c>
      <c r="NK104" t="s">
        <v>1900</v>
      </c>
      <c r="NL104" t="s">
        <v>1900</v>
      </c>
      <c r="NM104" t="s">
        <v>1900</v>
      </c>
      <c r="NN104" t="s">
        <v>1900</v>
      </c>
      <c r="NO104" t="s">
        <v>1900</v>
      </c>
      <c r="NP104" t="s">
        <v>1900</v>
      </c>
      <c r="NQ104" t="s">
        <v>1900</v>
      </c>
      <c r="NR104" t="s">
        <v>1900</v>
      </c>
      <c r="NS104" t="s">
        <v>1900</v>
      </c>
      <c r="NT104">
        <v>227354.489715058</v>
      </c>
      <c r="NU104">
        <v>253492.826614466</v>
      </c>
      <c r="NV104">
        <v>130316.84815954</v>
      </c>
      <c r="NW104">
        <v>99821.0825162172</v>
      </c>
      <c r="NX104">
        <v>106461.355924636</v>
      </c>
      <c r="NY104" t="s">
        <v>1900</v>
      </c>
      <c r="NZ104" t="s">
        <v>1900</v>
      </c>
      <c r="OA104" t="s">
        <v>1900</v>
      </c>
      <c r="OB104" t="s">
        <v>1900</v>
      </c>
      <c r="OC104" t="s">
        <v>1900</v>
      </c>
      <c r="OD104" t="s">
        <v>1900</v>
      </c>
      <c r="OE104" t="s">
        <v>1900</v>
      </c>
      <c r="OF104" t="s">
        <v>1900</v>
      </c>
      <c r="OG104" t="s">
        <v>1900</v>
      </c>
      <c r="OH104" t="s">
        <v>1900</v>
      </c>
      <c r="OI104" t="s">
        <v>1900</v>
      </c>
      <c r="OJ104" t="s">
        <v>1900</v>
      </c>
      <c r="OK104" t="s">
        <v>1900</v>
      </c>
      <c r="OL104" t="s">
        <v>1900</v>
      </c>
      <c r="OM104" t="s">
        <v>1900</v>
      </c>
      <c r="ON104" t="s">
        <v>1900</v>
      </c>
      <c r="OO104" t="s">
        <v>1900</v>
      </c>
      <c r="OP104" t="s">
        <v>1900</v>
      </c>
      <c r="OQ104" t="s">
        <v>1900</v>
      </c>
      <c r="OR104" t="s">
        <v>1900</v>
      </c>
      <c r="OS104" t="s">
        <v>1900</v>
      </c>
      <c r="OT104" t="s">
        <v>1900</v>
      </c>
      <c r="OU104" t="s">
        <v>1900</v>
      </c>
      <c r="OV104" t="s">
        <v>1900</v>
      </c>
      <c r="OW104" t="s">
        <v>1900</v>
      </c>
      <c r="OX104" t="s">
        <v>1900</v>
      </c>
      <c r="OY104" t="s">
        <v>1900</v>
      </c>
      <c r="OZ104" t="s">
        <v>1900</v>
      </c>
      <c r="PA104" t="s">
        <v>1900</v>
      </c>
      <c r="PB104" t="s">
        <v>1900</v>
      </c>
      <c r="PC104" t="s">
        <v>1900</v>
      </c>
      <c r="PD104" t="s">
        <v>1900</v>
      </c>
      <c r="PE104" t="s">
        <v>1900</v>
      </c>
      <c r="PF104" t="s">
        <v>1900</v>
      </c>
      <c r="PG104" t="s">
        <v>1900</v>
      </c>
      <c r="PH104" t="s">
        <v>1900</v>
      </c>
      <c r="PI104" t="s">
        <v>1900</v>
      </c>
      <c r="PJ104" t="s">
        <v>1900</v>
      </c>
      <c r="PK104" t="s">
        <v>1900</v>
      </c>
      <c r="PL104" t="s">
        <v>1900</v>
      </c>
      <c r="PM104" t="s">
        <v>1900</v>
      </c>
      <c r="PN104" t="s">
        <v>1900</v>
      </c>
      <c r="PO104" t="s">
        <v>1900</v>
      </c>
      <c r="PP104" t="s">
        <v>1900</v>
      </c>
      <c r="PQ104" t="s">
        <v>1900</v>
      </c>
      <c r="PR104" t="s">
        <v>1900</v>
      </c>
      <c r="PS104" t="s">
        <v>1900</v>
      </c>
      <c r="PT104" t="s">
        <v>1900</v>
      </c>
      <c r="PU104" t="s">
        <v>1900</v>
      </c>
      <c r="PV104" t="s">
        <v>1900</v>
      </c>
      <c r="PW104" t="s">
        <v>1900</v>
      </c>
      <c r="PX104" t="s">
        <v>1900</v>
      </c>
      <c r="PY104" t="s">
        <v>1900</v>
      </c>
      <c r="PZ104" t="s">
        <v>1900</v>
      </c>
      <c r="QA104" t="s">
        <v>1900</v>
      </c>
      <c r="QB104" t="s">
        <v>1900</v>
      </c>
      <c r="QC104" t="s">
        <v>1900</v>
      </c>
      <c r="QD104" t="s">
        <v>1900</v>
      </c>
      <c r="QE104" t="s">
        <v>1900</v>
      </c>
      <c r="QF104" t="s">
        <v>1900</v>
      </c>
      <c r="QG104" t="s">
        <v>1900</v>
      </c>
      <c r="QH104" t="s">
        <v>1900</v>
      </c>
      <c r="QI104" t="s">
        <v>1900</v>
      </c>
      <c r="QJ104" t="s">
        <v>1900</v>
      </c>
      <c r="QK104" t="s">
        <v>1900</v>
      </c>
      <c r="QL104" t="s">
        <v>1900</v>
      </c>
      <c r="QM104" t="s">
        <v>1900</v>
      </c>
      <c r="QN104" t="s">
        <v>1900</v>
      </c>
      <c r="QO104" t="s">
        <v>1900</v>
      </c>
      <c r="QP104" t="s">
        <v>1900</v>
      </c>
      <c r="QQ104" t="s">
        <v>1900</v>
      </c>
      <c r="QR104" t="s">
        <v>1900</v>
      </c>
      <c r="QS104" t="s">
        <v>1900</v>
      </c>
      <c r="QT104" t="s">
        <v>1900</v>
      </c>
      <c r="QU104" t="s">
        <v>1900</v>
      </c>
      <c r="QV104" t="s">
        <v>1900</v>
      </c>
      <c r="QW104" t="s">
        <v>1900</v>
      </c>
      <c r="QX104" t="s">
        <v>1900</v>
      </c>
      <c r="QY104" t="s">
        <v>1900</v>
      </c>
      <c r="QZ104" t="s">
        <v>1900</v>
      </c>
      <c r="RA104" t="s">
        <v>1900</v>
      </c>
      <c r="RB104" t="s">
        <v>1900</v>
      </c>
      <c r="RC104" t="s">
        <v>1900</v>
      </c>
      <c r="RD104" t="s">
        <v>1900</v>
      </c>
      <c r="RE104" t="s">
        <v>1900</v>
      </c>
      <c r="RF104" t="s">
        <v>1900</v>
      </c>
      <c r="RG104" t="s">
        <v>1900</v>
      </c>
      <c r="RH104" t="s">
        <v>1900</v>
      </c>
      <c r="RI104" t="s">
        <v>1900</v>
      </c>
      <c r="RJ104" t="s">
        <v>1900</v>
      </c>
      <c r="RK104" t="s">
        <v>1900</v>
      </c>
      <c r="RL104" t="s">
        <v>1900</v>
      </c>
      <c r="RM104" t="s">
        <v>1900</v>
      </c>
      <c r="RN104" t="s">
        <v>1900</v>
      </c>
      <c r="RO104" t="s">
        <v>1900</v>
      </c>
      <c r="RP104" t="s">
        <v>1900</v>
      </c>
      <c r="RQ104" t="s">
        <v>1900</v>
      </c>
      <c r="RR104" t="s">
        <v>1900</v>
      </c>
      <c r="RS104" t="s">
        <v>1900</v>
      </c>
      <c r="RT104" t="s">
        <v>1900</v>
      </c>
      <c r="RU104" t="s">
        <v>1900</v>
      </c>
      <c r="RV104" t="s">
        <v>1900</v>
      </c>
      <c r="RW104" t="s">
        <v>1900</v>
      </c>
      <c r="RX104" t="s">
        <v>1900</v>
      </c>
      <c r="RY104" t="s">
        <v>1900</v>
      </c>
      <c r="RZ104" t="s">
        <v>1900</v>
      </c>
      <c r="SA104" t="s">
        <v>1900</v>
      </c>
      <c r="SB104" t="s">
        <v>1900</v>
      </c>
      <c r="SC104" t="s">
        <v>1900</v>
      </c>
      <c r="SD104" t="s">
        <v>1900</v>
      </c>
      <c r="SE104" t="s">
        <v>1900</v>
      </c>
      <c r="SF104" t="s">
        <v>1900</v>
      </c>
      <c r="SG104" t="s">
        <v>1900</v>
      </c>
      <c r="SH104" t="s">
        <v>1900</v>
      </c>
      <c r="SI104" t="s">
        <v>1900</v>
      </c>
      <c r="SJ104">
        <v>126571.104977119</v>
      </c>
      <c r="SK104">
        <v>134624.309917736</v>
      </c>
      <c r="SL104">
        <v>23285.8933677077</v>
      </c>
      <c r="SM104">
        <v>24726.8166525364</v>
      </c>
      <c r="SN104">
        <v>9647.76146695018</v>
      </c>
      <c r="SO104" t="s">
        <v>1900</v>
      </c>
      <c r="SP104" t="s">
        <v>1900</v>
      </c>
      <c r="SQ104" t="s">
        <v>1900</v>
      </c>
      <c r="SR104" t="s">
        <v>1900</v>
      </c>
      <c r="SS104" t="s">
        <v>1900</v>
      </c>
      <c r="ST104" t="s">
        <v>1900</v>
      </c>
      <c r="SU104" t="s">
        <v>1900</v>
      </c>
      <c r="SV104" t="s">
        <v>1900</v>
      </c>
      <c r="SW104" t="s">
        <v>1900</v>
      </c>
      <c r="SX104" t="s">
        <v>1900</v>
      </c>
      <c r="SY104" t="s">
        <v>1900</v>
      </c>
      <c r="SZ104" t="s">
        <v>1900</v>
      </c>
      <c r="TA104" t="s">
        <v>1900</v>
      </c>
      <c r="TB104" t="s">
        <v>1900</v>
      </c>
      <c r="TC104" t="s">
        <v>1900</v>
      </c>
      <c r="TD104" t="s">
        <v>1900</v>
      </c>
      <c r="TE104" t="s">
        <v>1900</v>
      </c>
      <c r="TF104" t="s">
        <v>1900</v>
      </c>
      <c r="TG104" t="s">
        <v>1900</v>
      </c>
      <c r="TH104" t="s">
        <v>1900</v>
      </c>
      <c r="TI104" t="s">
        <v>1900</v>
      </c>
      <c r="TJ104" t="s">
        <v>1900</v>
      </c>
      <c r="TK104" t="s">
        <v>1900</v>
      </c>
      <c r="TL104" t="s">
        <v>1900</v>
      </c>
      <c r="TM104" t="s">
        <v>1900</v>
      </c>
      <c r="TN104" t="s">
        <v>1900</v>
      </c>
      <c r="TO104" t="s">
        <v>1900</v>
      </c>
      <c r="TP104" t="s">
        <v>1900</v>
      </c>
      <c r="TQ104" t="s">
        <v>1900</v>
      </c>
      <c r="TR104" t="s">
        <v>1900</v>
      </c>
      <c r="TS104">
        <v>581694.781936976</v>
      </c>
      <c r="TT104">
        <v>634680.007786589</v>
      </c>
      <c r="TU104">
        <v>738895.072303009</v>
      </c>
      <c r="TV104">
        <v>597530.746434402</v>
      </c>
      <c r="TW104">
        <v>416604.470191342</v>
      </c>
      <c r="TX104" t="s">
        <v>1900</v>
      </c>
      <c r="TY104" t="s">
        <v>1900</v>
      </c>
      <c r="TZ104" t="s">
        <v>1900</v>
      </c>
      <c r="UA104" t="s">
        <v>1900</v>
      </c>
      <c r="UB104" t="s">
        <v>1900</v>
      </c>
      <c r="UC104">
        <v>0</v>
      </c>
      <c r="UD104">
        <v>0</v>
      </c>
      <c r="UE104">
        <v>0</v>
      </c>
      <c r="UF104">
        <v>0</v>
      </c>
      <c r="UG104">
        <v>0</v>
      </c>
      <c r="UH104" t="s">
        <v>1900</v>
      </c>
      <c r="UI104" t="s">
        <v>1900</v>
      </c>
      <c r="UJ104" t="s">
        <v>1900</v>
      </c>
      <c r="UK104" t="s">
        <v>1900</v>
      </c>
      <c r="UL104" t="s">
        <v>1900</v>
      </c>
      <c r="UM104" t="s">
        <v>1900</v>
      </c>
      <c r="UN104" t="s">
        <v>1900</v>
      </c>
      <c r="UO104" t="s">
        <v>1900</v>
      </c>
      <c r="UP104" t="s">
        <v>1900</v>
      </c>
      <c r="UQ104" t="s">
        <v>1900</v>
      </c>
      <c r="UR104" t="s">
        <v>1900</v>
      </c>
      <c r="US104" t="s">
        <v>1900</v>
      </c>
      <c r="UT104" t="s">
        <v>1900</v>
      </c>
      <c r="UU104" t="s">
        <v>1900</v>
      </c>
      <c r="UV104" t="s">
        <v>1900</v>
      </c>
      <c r="UW104" t="s">
        <v>1900</v>
      </c>
      <c r="UX104" t="s">
        <v>1900</v>
      </c>
      <c r="UY104" t="s">
        <v>1900</v>
      </c>
      <c r="UZ104" t="s">
        <v>1900</v>
      </c>
      <c r="VA104" t="s">
        <v>1900</v>
      </c>
      <c r="VB104" t="s">
        <v>1900</v>
      </c>
      <c r="VC104" t="s">
        <v>1900</v>
      </c>
      <c r="VD104" t="s">
        <v>1900</v>
      </c>
      <c r="VE104" t="s">
        <v>1900</v>
      </c>
      <c r="VF104" t="s">
        <v>1900</v>
      </c>
      <c r="VG104" t="s">
        <v>1900</v>
      </c>
      <c r="VH104" t="s">
        <v>1900</v>
      </c>
      <c r="VI104" t="s">
        <v>1900</v>
      </c>
      <c r="VJ104" t="s">
        <v>1900</v>
      </c>
      <c r="VK104" t="s">
        <v>1900</v>
      </c>
      <c r="VL104" t="s">
        <v>1900</v>
      </c>
      <c r="VM104" t="s">
        <v>1900</v>
      </c>
      <c r="VN104" t="s">
        <v>1900</v>
      </c>
      <c r="VO104" t="s">
        <v>1900</v>
      </c>
      <c r="VP104" t="s">
        <v>1900</v>
      </c>
      <c r="VQ104" t="s">
        <v>1900</v>
      </c>
      <c r="VR104" t="s">
        <v>1900</v>
      </c>
      <c r="VS104" t="s">
        <v>1900</v>
      </c>
      <c r="VT104" t="s">
        <v>1900</v>
      </c>
      <c r="VU104" t="s">
        <v>1900</v>
      </c>
      <c r="VV104" t="s">
        <v>1900</v>
      </c>
      <c r="VW104" t="s">
        <v>1900</v>
      </c>
      <c r="VX104" t="s">
        <v>1900</v>
      </c>
      <c r="VY104" t="s">
        <v>1900</v>
      </c>
      <c r="VZ104" t="s">
        <v>1900</v>
      </c>
      <c r="WA104">
        <v>219113.68922074</v>
      </c>
      <c r="WB104">
        <v>234500.243840828</v>
      </c>
      <c r="WC104">
        <v>304762.852900439</v>
      </c>
      <c r="WD104">
        <v>222408.393922734</v>
      </c>
      <c r="WE104">
        <v>180868.362594575</v>
      </c>
      <c r="WF104" t="s">
        <v>1900</v>
      </c>
      <c r="WG104" t="s">
        <v>1900</v>
      </c>
      <c r="WH104" t="s">
        <v>1900</v>
      </c>
      <c r="WI104" t="s">
        <v>1900</v>
      </c>
      <c r="WJ104" t="s">
        <v>1900</v>
      </c>
      <c r="WK104" t="s">
        <v>1900</v>
      </c>
      <c r="WL104" t="s">
        <v>1900</v>
      </c>
      <c r="WM104" t="s">
        <v>1900</v>
      </c>
      <c r="WN104" t="s">
        <v>1900</v>
      </c>
      <c r="WO104" t="s">
        <v>1900</v>
      </c>
      <c r="WP104" t="s">
        <v>1900</v>
      </c>
      <c r="WQ104" t="s">
        <v>1900</v>
      </c>
      <c r="WR104" t="s">
        <v>1900</v>
      </c>
      <c r="WS104" t="s">
        <v>1900</v>
      </c>
      <c r="WT104" t="s">
        <v>1900</v>
      </c>
      <c r="WU104" t="s">
        <v>1900</v>
      </c>
      <c r="WV104" t="s">
        <v>1900</v>
      </c>
      <c r="WW104" t="s">
        <v>1900</v>
      </c>
      <c r="WX104" t="s">
        <v>1900</v>
      </c>
      <c r="WY104" t="s">
        <v>1900</v>
      </c>
      <c r="WZ104" t="s">
        <v>1900</v>
      </c>
      <c r="XA104" t="s">
        <v>1900</v>
      </c>
      <c r="XB104" t="s">
        <v>1900</v>
      </c>
      <c r="XC104" t="s">
        <v>1900</v>
      </c>
      <c r="XD104" t="s">
        <v>1900</v>
      </c>
      <c r="XE104" t="s">
        <v>1900</v>
      </c>
      <c r="XF104" t="s">
        <v>1900</v>
      </c>
      <c r="XG104" t="s">
        <v>1900</v>
      </c>
      <c r="XH104" t="s">
        <v>1900</v>
      </c>
      <c r="XI104" t="s">
        <v>1900</v>
      </c>
      <c r="XJ104">
        <v>0</v>
      </c>
      <c r="XK104">
        <v>0</v>
      </c>
      <c r="XL104">
        <v>0</v>
      </c>
      <c r="XM104">
        <v>0</v>
      </c>
      <c r="XN104">
        <v>0</v>
      </c>
      <c r="XO104" t="s">
        <v>1900</v>
      </c>
      <c r="XP104" t="s">
        <v>1900</v>
      </c>
      <c r="XQ104" t="s">
        <v>1900</v>
      </c>
      <c r="XR104" t="s">
        <v>1900</v>
      </c>
      <c r="XS104" t="s">
        <v>1900</v>
      </c>
      <c r="XT104" t="s">
        <v>1900</v>
      </c>
      <c r="XU104" t="s">
        <v>1900</v>
      </c>
      <c r="XV104" t="s">
        <v>1900</v>
      </c>
      <c r="XW104" t="s">
        <v>1900</v>
      </c>
      <c r="XX104" t="s">
        <v>1900</v>
      </c>
      <c r="XY104">
        <v>0</v>
      </c>
      <c r="XZ104">
        <v>0</v>
      </c>
      <c r="YA104">
        <v>0</v>
      </c>
      <c r="YB104">
        <v>0</v>
      </c>
      <c r="YC104">
        <v>0</v>
      </c>
      <c r="YD104" t="s">
        <v>1900</v>
      </c>
      <c r="YE104" t="s">
        <v>1900</v>
      </c>
      <c r="YF104" t="s">
        <v>1900</v>
      </c>
      <c r="YG104" t="s">
        <v>1900</v>
      </c>
      <c r="YH104" t="s">
        <v>1900</v>
      </c>
      <c r="YI104" t="s">
        <v>1900</v>
      </c>
      <c r="YJ104" t="s">
        <v>1900</v>
      </c>
      <c r="YK104" t="s">
        <v>1900</v>
      </c>
      <c r="YL104" t="s">
        <v>1900</v>
      </c>
      <c r="YM104" t="s">
        <v>1900</v>
      </c>
      <c r="YN104" t="s">
        <v>1900</v>
      </c>
      <c r="YO104" t="s">
        <v>1900</v>
      </c>
      <c r="YP104" t="s">
        <v>1900</v>
      </c>
      <c r="YQ104" t="s">
        <v>1900</v>
      </c>
      <c r="YR104" t="s">
        <v>1900</v>
      </c>
      <c r="YS104" t="s">
        <v>1900</v>
      </c>
      <c r="YT104" t="s">
        <v>1900</v>
      </c>
      <c r="YU104" t="s">
        <v>1900</v>
      </c>
      <c r="YV104" t="s">
        <v>1900</v>
      </c>
      <c r="YW104" t="s">
        <v>1900</v>
      </c>
      <c r="YX104" t="s">
        <v>1900</v>
      </c>
      <c r="YY104" t="s">
        <v>1900</v>
      </c>
      <c r="YZ104" t="s">
        <v>1900</v>
      </c>
      <c r="ZA104" t="s">
        <v>1900</v>
      </c>
      <c r="ZB104" t="s">
        <v>1900</v>
      </c>
      <c r="ZC104" t="s">
        <v>1900</v>
      </c>
      <c r="ZD104" t="s">
        <v>1900</v>
      </c>
      <c r="ZE104" t="s">
        <v>1900</v>
      </c>
      <c r="ZF104" t="s">
        <v>1900</v>
      </c>
      <c r="ZG104" t="s">
        <v>1900</v>
      </c>
      <c r="ZH104" t="s">
        <v>1900</v>
      </c>
      <c r="ZI104" t="s">
        <v>1900</v>
      </c>
      <c r="ZJ104" t="s">
        <v>1900</v>
      </c>
      <c r="ZK104" t="s">
        <v>1900</v>
      </c>
      <c r="ZL104" t="s">
        <v>1900</v>
      </c>
      <c r="ZM104" t="s">
        <v>1900</v>
      </c>
      <c r="ZN104" t="s">
        <v>1900</v>
      </c>
      <c r="ZO104" t="s">
        <v>1900</v>
      </c>
      <c r="ZP104" t="s">
        <v>1900</v>
      </c>
      <c r="ZQ104" t="s">
        <v>1900</v>
      </c>
      <c r="ZR104" t="s">
        <v>1900</v>
      </c>
      <c r="ZS104" t="s">
        <v>1900</v>
      </c>
      <c r="ZT104" t="s">
        <v>1900</v>
      </c>
      <c r="ZU104" t="s">
        <v>1900</v>
      </c>
      <c r="ZV104" t="s">
        <v>1900</v>
      </c>
      <c r="ZW104" t="s">
        <v>1900</v>
      </c>
      <c r="ZX104" t="s">
        <v>1900</v>
      </c>
      <c r="ZY104" t="s">
        <v>1900</v>
      </c>
      <c r="ZZ104" t="s">
        <v>1900</v>
      </c>
      <c r="AAA104" t="s">
        <v>1900</v>
      </c>
      <c r="AAB104" t="s">
        <v>1900</v>
      </c>
      <c r="AAC104" t="s">
        <v>1900</v>
      </c>
      <c r="AAD104" t="s">
        <v>1900</v>
      </c>
      <c r="AAE104" t="s">
        <v>1900</v>
      </c>
      <c r="AAF104" t="s">
        <v>1900</v>
      </c>
      <c r="AAG104" t="s">
        <v>1900</v>
      </c>
      <c r="AAH104" t="s">
        <v>1900</v>
      </c>
      <c r="AAI104" t="s">
        <v>1900</v>
      </c>
      <c r="AAJ104" t="s">
        <v>1900</v>
      </c>
      <c r="AAK104" t="s">
        <v>1900</v>
      </c>
      <c r="AAL104" t="s">
        <v>1900</v>
      </c>
      <c r="AAM104" t="s">
        <v>1900</v>
      </c>
      <c r="AAN104" t="s">
        <v>1900</v>
      </c>
      <c r="AAO104" t="s">
        <v>1900</v>
      </c>
      <c r="AAP104" t="s">
        <v>1900</v>
      </c>
      <c r="AAQ104" t="s">
        <v>1900</v>
      </c>
      <c r="AAR104" t="s">
        <v>1900</v>
      </c>
      <c r="AAS104" t="s">
        <v>1900</v>
      </c>
      <c r="AAT104" t="s">
        <v>1900</v>
      </c>
      <c r="AAU104" t="s">
        <v>1900</v>
      </c>
      <c r="AAV104" t="s">
        <v>1900</v>
      </c>
      <c r="AAW104" t="s">
        <v>1900</v>
      </c>
      <c r="AAX104" t="s">
        <v>1900</v>
      </c>
      <c r="AAY104" t="s">
        <v>1900</v>
      </c>
      <c r="AAZ104" t="s">
        <v>1900</v>
      </c>
      <c r="ABA104" t="s">
        <v>1900</v>
      </c>
      <c r="ABB104" t="s">
        <v>1900</v>
      </c>
      <c r="ABC104" t="s">
        <v>1900</v>
      </c>
      <c r="ABD104" t="s">
        <v>1900</v>
      </c>
      <c r="ABE104" t="s">
        <v>1900</v>
      </c>
      <c r="ABF104" t="s">
        <v>1900</v>
      </c>
      <c r="ABG104" t="s">
        <v>1900</v>
      </c>
      <c r="ABH104" t="s">
        <v>1900</v>
      </c>
      <c r="ABI104" t="s">
        <v>1900</v>
      </c>
      <c r="ABJ104" t="s">
        <v>1900</v>
      </c>
      <c r="ABK104" t="s">
        <v>1900</v>
      </c>
      <c r="ABL104" t="s">
        <v>1900</v>
      </c>
      <c r="ABM104" t="s">
        <v>1900</v>
      </c>
      <c r="ABN104" t="s">
        <v>1900</v>
      </c>
      <c r="ABO104" t="s">
        <v>1900</v>
      </c>
      <c r="ABP104" t="s">
        <v>1900</v>
      </c>
      <c r="ABQ104" t="s">
        <v>1900</v>
      </c>
      <c r="ABR104" t="s">
        <v>1900</v>
      </c>
      <c r="ABS104" t="s">
        <v>1900</v>
      </c>
      <c r="ABT104" t="s">
        <v>1900</v>
      </c>
      <c r="ABU104" t="s">
        <v>1900</v>
      </c>
      <c r="ABV104" t="s">
        <v>1900</v>
      </c>
      <c r="ABW104" t="s">
        <v>1900</v>
      </c>
      <c r="ABX104" t="s">
        <v>1900</v>
      </c>
      <c r="ABY104" t="s">
        <v>1900</v>
      </c>
      <c r="ABZ104" t="s">
        <v>1900</v>
      </c>
      <c r="ACA104" t="s">
        <v>1900</v>
      </c>
      <c r="ACB104" t="s">
        <v>1900</v>
      </c>
      <c r="ACC104" t="s">
        <v>1900</v>
      </c>
      <c r="ACD104" t="s">
        <v>1900</v>
      </c>
      <c r="ACE104">
        <v>45.861</v>
      </c>
      <c r="ACF104">
        <v>29.683</v>
      </c>
      <c r="ACG104">
        <v>96.81100000000001</v>
      </c>
      <c r="ACH104">
        <v>70.081</v>
      </c>
      <c r="ACI104">
        <v>86.845</v>
      </c>
      <c r="ACJ104">
        <v>37.835</v>
      </c>
      <c r="ACK104">
        <v>24.954</v>
      </c>
      <c r="ACL104">
        <v>78.175</v>
      </c>
      <c r="ACM104">
        <v>59.027</v>
      </c>
      <c r="ACN104">
        <v>61.005</v>
      </c>
      <c r="ACO104">
        <v>22.426</v>
      </c>
      <c r="ACP104">
        <v>14.632</v>
      </c>
      <c r="ACQ104">
        <v>45.223</v>
      </c>
      <c r="ACR104">
        <v>36.264</v>
      </c>
      <c r="ACS104">
        <v>33.141</v>
      </c>
      <c r="ACT104">
        <v>34.387</v>
      </c>
      <c r="ACU104">
        <v>22.262</v>
      </c>
      <c r="ACV104">
        <v>72.568</v>
      </c>
      <c r="ACW104">
        <v>52.543</v>
      </c>
      <c r="ACX104">
        <v>64.462</v>
      </c>
      <c r="ACY104">
        <v>28.833</v>
      </c>
      <c r="ACZ104">
        <v>19.152</v>
      </c>
      <c r="ADA104">
        <v>58.901</v>
      </c>
      <c r="ADB104">
        <v>44.571</v>
      </c>
      <c r="ADC104">
        <v>45.91</v>
      </c>
      <c r="ADD104">
        <v>16.815</v>
      </c>
      <c r="ADE104">
        <v>10.974</v>
      </c>
      <c r="ADF104">
        <v>33.899</v>
      </c>
      <c r="ADG104">
        <v>27.189</v>
      </c>
      <c r="ADH104">
        <v>24.6</v>
      </c>
      <c r="ADI104">
        <v>9.516</v>
      </c>
      <c r="ADJ104">
        <v>6.894</v>
      </c>
      <c r="ADK104">
        <v>23.841</v>
      </c>
      <c r="ADL104">
        <v>16.806</v>
      </c>
      <c r="ADM104">
        <v>9.788</v>
      </c>
      <c r="ADN104">
        <v>100</v>
      </c>
      <c r="ADO104">
        <v>100</v>
      </c>
      <c r="ADP104">
        <v>100</v>
      </c>
      <c r="ADQ104">
        <v>95.994</v>
      </c>
      <c r="ADR104">
        <v>82.062</v>
      </c>
      <c r="ADS104">
        <v>9.535071317</v>
      </c>
      <c r="ADT104">
        <v>7.026276476</v>
      </c>
      <c r="ADU104">
        <v>24.213535272</v>
      </c>
      <c r="ADV104">
        <v>17.173312525</v>
      </c>
      <c r="ADW104">
        <v>10.195221712</v>
      </c>
      <c r="ADX104">
        <v>10.986</v>
      </c>
      <c r="ADY104">
        <v>8.478</v>
      </c>
      <c r="ADZ104">
        <v>25.861</v>
      </c>
      <c r="AEA104">
        <v>18.876</v>
      </c>
      <c r="AEB104">
        <v>11.649</v>
      </c>
      <c r="AEC104">
        <v>9.535</v>
      </c>
      <c r="AED104">
        <v>7.026</v>
      </c>
      <c r="AEE104">
        <v>24.214</v>
      </c>
      <c r="AEF104">
        <v>17.173</v>
      </c>
      <c r="AEG104">
        <v>10.195</v>
      </c>
      <c r="AEH104">
        <v>8.586</v>
      </c>
      <c r="AEI104">
        <v>6.622</v>
      </c>
      <c r="AEJ104">
        <v>19.519</v>
      </c>
      <c r="AEK104">
        <v>14.303</v>
      </c>
      <c r="AEL104">
        <v>8.718999999999999</v>
      </c>
      <c r="AEM104">
        <v>10.540074984</v>
      </c>
      <c r="AEN104">
        <v>7.557271248</v>
      </c>
      <c r="AEO104">
        <v>31.949683045</v>
      </c>
      <c r="AEP104">
        <v>20.734032771</v>
      </c>
      <c r="AEQ104">
        <v>11.352649499</v>
      </c>
      <c r="AER104" t="s">
        <v>1900</v>
      </c>
      <c r="AES104" t="s">
        <v>1900</v>
      </c>
      <c r="AET104" t="s">
        <v>1900</v>
      </c>
      <c r="AEU104">
        <v>1.217877305</v>
      </c>
      <c r="AEV104">
        <v>1.141862788</v>
      </c>
      <c r="AEW104" t="s">
        <v>1900</v>
      </c>
      <c r="AEX104" t="s">
        <v>1900</v>
      </c>
      <c r="AEY104" t="s">
        <v>1900</v>
      </c>
      <c r="AEZ104" t="s">
        <v>1900</v>
      </c>
      <c r="AFA104" t="s">
        <v>1900</v>
      </c>
      <c r="AFB104" t="s">
        <v>1900</v>
      </c>
      <c r="AFC104" t="s">
        <v>1900</v>
      </c>
      <c r="AFD104" t="s">
        <v>1900</v>
      </c>
      <c r="AFE104" t="s">
        <v>1900</v>
      </c>
      <c r="AFF104" t="s">
        <v>1900</v>
      </c>
      <c r="AFG104">
        <v>3.781</v>
      </c>
      <c r="AFH104">
        <v>3.366</v>
      </c>
      <c r="AFI104">
        <v>3.229</v>
      </c>
      <c r="AFJ104">
        <v>3.437</v>
      </c>
      <c r="AFK104">
        <v>5.984</v>
      </c>
      <c r="AFL104">
        <v>19.417</v>
      </c>
      <c r="AFM104">
        <v>13.541</v>
      </c>
      <c r="AFN104">
        <v>64.88500000000001</v>
      </c>
      <c r="AFO104">
        <v>46.803</v>
      </c>
      <c r="AFP104">
        <v>25.037</v>
      </c>
      <c r="AFQ104" t="s">
        <v>1901</v>
      </c>
      <c r="AFR104" t="s">
        <v>1901</v>
      </c>
      <c r="AFS104" t="s">
        <v>1901</v>
      </c>
      <c r="AFT104" t="s">
        <v>1901</v>
      </c>
      <c r="AFU104" t="s">
        <v>1901</v>
      </c>
      <c r="AFV104">
        <v>14.793</v>
      </c>
      <c r="AFW104">
        <v>12.987</v>
      </c>
      <c r="AFX104">
        <v>13.536</v>
      </c>
      <c r="AFY104">
        <v>9.481</v>
      </c>
      <c r="AFZ104">
        <v>25.756</v>
      </c>
      <c r="AGA104">
        <v>0</v>
      </c>
      <c r="AGB104">
        <v>0</v>
      </c>
      <c r="AGC104">
        <v>0</v>
      </c>
      <c r="AGD104">
        <v>0</v>
      </c>
      <c r="AGE104">
        <v>0</v>
      </c>
      <c r="AGF104" t="s">
        <v>1900</v>
      </c>
      <c r="AGG104" t="s">
        <v>1900</v>
      </c>
      <c r="AGH104" t="s">
        <v>1900</v>
      </c>
      <c r="AGI104" t="s">
        <v>1900</v>
      </c>
      <c r="AGJ104" t="s">
        <v>1900</v>
      </c>
      <c r="AGK104" t="s">
        <v>1900</v>
      </c>
      <c r="AGL104" t="s">
        <v>1900</v>
      </c>
      <c r="AGM104" t="s">
        <v>1900</v>
      </c>
      <c r="AGN104" t="s">
        <v>1900</v>
      </c>
      <c r="AGO104" t="s">
        <v>1900</v>
      </c>
      <c r="AGP104" t="s">
        <v>1900</v>
      </c>
      <c r="AGQ104" t="s">
        <v>1900</v>
      </c>
      <c r="AGR104" t="s">
        <v>1900</v>
      </c>
      <c r="AGS104" t="s">
        <v>1900</v>
      </c>
      <c r="AGT104" t="s">
        <v>1900</v>
      </c>
      <c r="AGU104">
        <v>0</v>
      </c>
      <c r="AGV104">
        <v>0</v>
      </c>
      <c r="AGW104">
        <v>0</v>
      </c>
      <c r="AGX104">
        <v>0</v>
      </c>
      <c r="AGY104">
        <v>0</v>
      </c>
      <c r="AGZ104">
        <v>1.617</v>
      </c>
      <c r="AHA104">
        <v>1.626</v>
      </c>
      <c r="AHB104">
        <v>1.997</v>
      </c>
      <c r="AHC104">
        <v>2.238</v>
      </c>
      <c r="AHD104">
        <v>1.715</v>
      </c>
      <c r="AHE104">
        <v>1.617</v>
      </c>
      <c r="AHF104">
        <v>1.626</v>
      </c>
      <c r="AHG104">
        <v>1.997</v>
      </c>
      <c r="AHH104">
        <v>2.238</v>
      </c>
      <c r="AHI104">
        <v>1.715</v>
      </c>
      <c r="AHJ104">
        <v>3.64</v>
      </c>
      <c r="AHK104">
        <v>3.584</v>
      </c>
      <c r="AHL104">
        <v>3.88</v>
      </c>
      <c r="AHM104">
        <v>4.69</v>
      </c>
      <c r="AHN104">
        <v>2.071</v>
      </c>
      <c r="AHO104">
        <v>48.899</v>
      </c>
      <c r="AHP104">
        <v>49.296</v>
      </c>
      <c r="AHQ104">
        <v>46.713</v>
      </c>
      <c r="AHR104">
        <v>51.747</v>
      </c>
      <c r="AHS104">
        <v>38.161</v>
      </c>
      <c r="AHT104">
        <v>95.69</v>
      </c>
      <c r="AHU104">
        <v>97.224</v>
      </c>
      <c r="AHV104">
        <v>87.664</v>
      </c>
      <c r="AHW104" t="s">
        <v>1901</v>
      </c>
      <c r="AHX104">
        <v>61.711</v>
      </c>
      <c r="AHY104">
        <v>27.471</v>
      </c>
      <c r="AHZ104">
        <v>27.905</v>
      </c>
      <c r="AIA104">
        <v>25.776</v>
      </c>
      <c r="AIB104">
        <v>21.32</v>
      </c>
      <c r="AIC104">
        <v>48.279</v>
      </c>
      <c r="AID104">
        <v>21.759023616</v>
      </c>
      <c r="AIE104">
        <v>21.21136766</v>
      </c>
      <c r="AIF104">
        <v>3.151447917</v>
      </c>
      <c r="AIG104">
        <v>4.138166412</v>
      </c>
      <c r="AIH104">
        <v>2.315808436</v>
      </c>
      <c r="AII104">
        <v>51.23159636</v>
      </c>
      <c r="AIJ104">
        <v>52.403197593</v>
      </c>
      <c r="AIK104">
        <v>75.231144289</v>
      </c>
      <c r="AIL104">
        <v>77.611524399</v>
      </c>
      <c r="AIM104">
        <v>50.221318798</v>
      </c>
      <c r="AIN104">
        <v>37.668154507</v>
      </c>
      <c r="AIO104">
        <v>36.947791165</v>
      </c>
      <c r="AIP104">
        <v>41.245755226</v>
      </c>
      <c r="AIQ104">
        <v>37.221246814</v>
      </c>
      <c r="AIR104">
        <v>43.41488763</v>
      </c>
      <c r="AIS104" t="s">
        <v>1900</v>
      </c>
      <c r="AIT104" t="s">
        <v>1900</v>
      </c>
      <c r="AIU104" t="s">
        <v>1900</v>
      </c>
      <c r="AIV104">
        <v>0</v>
      </c>
      <c r="AIW104">
        <v>0</v>
      </c>
      <c r="AIX104">
        <v>14.4943669354122</v>
      </c>
      <c r="AIY104">
        <v>10.3188062409534</v>
      </c>
      <c r="AIZ104">
        <v>37.1281297987688</v>
      </c>
      <c r="AJA104">
        <v>27.08640930969</v>
      </c>
      <c r="AJB104">
        <v>15.340754912836</v>
      </c>
      <c r="AJC104">
        <v>152.315358698408</v>
      </c>
      <c r="AJD104">
        <v>149.671996720953</v>
      </c>
      <c r="AJE104">
        <v>155.733900098943</v>
      </c>
      <c r="AJF104">
        <v>161.167399603372</v>
      </c>
      <c r="AJG104">
        <v>156.729904529278</v>
      </c>
      <c r="AJH104">
        <v>73.69799999999999</v>
      </c>
      <c r="AJI104">
        <v>73.592</v>
      </c>
      <c r="AJJ104">
        <v>58.035</v>
      </c>
      <c r="AJK104">
        <v>58.239</v>
      </c>
      <c r="AJL104">
        <v>54.414</v>
      </c>
      <c r="AJM104">
        <v>112.253177467437</v>
      </c>
      <c r="AJN104">
        <v>110.145964337155</v>
      </c>
      <c r="AJO104">
        <v>90.38042377095699</v>
      </c>
      <c r="AJP104">
        <v>93.8620453083301</v>
      </c>
      <c r="AJQ104">
        <v>85.28377189443231</v>
      </c>
      <c r="AJR104">
        <v>31.6046808370144</v>
      </c>
      <c r="AJS104">
        <v>34.7636935115185</v>
      </c>
      <c r="AJT104">
        <v>38.3513242240947</v>
      </c>
      <c r="AJU104">
        <v>38.6501610452771</v>
      </c>
      <c r="AJV104">
        <v>17.6645766653317</v>
      </c>
      <c r="AJW104">
        <v>6.25875262760234</v>
      </c>
      <c r="AJX104">
        <v>5.39939596818256</v>
      </c>
      <c r="AJY104">
        <v>5.85544560222745</v>
      </c>
      <c r="AJZ104">
        <v>4.24461785727739</v>
      </c>
      <c r="AKA104">
        <v>11.2132064020145</v>
      </c>
      <c r="AKB104">
        <v>64.6327537794194</v>
      </c>
      <c r="AKC104">
        <v>70.52000123351</v>
      </c>
      <c r="AKD104">
        <v>82.0994520040679</v>
      </c>
      <c r="AKE104">
        <v>74.6913433043003</v>
      </c>
      <c r="AKF104">
        <v>46.2893858495045</v>
      </c>
      <c r="AKG104" t="s">
        <v>1900</v>
      </c>
      <c r="AKH104" t="s">
        <v>1900</v>
      </c>
      <c r="AKI104" t="s">
        <v>1900</v>
      </c>
      <c r="AKJ104">
        <v>0</v>
      </c>
      <c r="AKK104">
        <v>0</v>
      </c>
      <c r="AKL104">
        <v>0</v>
      </c>
      <c r="AKM104">
        <v>0</v>
      </c>
      <c r="AKN104">
        <v>0</v>
      </c>
      <c r="AKO104">
        <v>0</v>
      </c>
      <c r="AKP104">
        <v>0</v>
      </c>
      <c r="AKQ104">
        <v>0</v>
      </c>
      <c r="AKR104">
        <v>0</v>
      </c>
      <c r="AKS104">
        <v>0</v>
      </c>
      <c r="AKT104">
        <v>0</v>
      </c>
      <c r="AKU104">
        <v>0</v>
      </c>
      <c r="AKV104">
        <v>0</v>
      </c>
      <c r="AKW104">
        <v>0</v>
      </c>
      <c r="AKX104">
        <v>0</v>
      </c>
      <c r="AKY104">
        <v>0</v>
      </c>
      <c r="AKZ104">
        <v>0</v>
      </c>
      <c r="ALA104">
        <v>0</v>
      </c>
      <c r="ALB104">
        <v>0</v>
      </c>
      <c r="ALC104">
        <v>0</v>
      </c>
      <c r="ALD104">
        <v>0</v>
      </c>
      <c r="ALE104">
        <v>0</v>
      </c>
      <c r="ALF104">
        <v>7.351953176</v>
      </c>
      <c r="ALG104">
        <v>8.824371463</v>
      </c>
      <c r="ALH104">
        <v>7.636313179</v>
      </c>
      <c r="ALI104">
        <v>5.824244382</v>
      </c>
      <c r="ALJ104">
        <v>6.86344199</v>
      </c>
      <c r="ALK104">
        <v>17.325818946</v>
      </c>
      <c r="ALL104">
        <v>18.728889399</v>
      </c>
      <c r="ALM104">
        <v>14.485271157</v>
      </c>
      <c r="ALN104">
        <v>12.567431268</v>
      </c>
      <c r="ALO104">
        <v>23.238731551</v>
      </c>
      <c r="ALP104">
        <v>4.109074892</v>
      </c>
      <c r="ALQ104">
        <v>3.607485678</v>
      </c>
      <c r="ALR104">
        <v>3.759904002</v>
      </c>
      <c r="ALS104">
        <v>2.633670246</v>
      </c>
      <c r="ALT104">
        <v>7.154477757</v>
      </c>
      <c r="ALU104">
        <v>0</v>
      </c>
      <c r="ALV104">
        <v>0</v>
      </c>
      <c r="ALW104">
        <v>0</v>
      </c>
      <c r="ALX104">
        <v>0</v>
      </c>
      <c r="ALY104">
        <v>0</v>
      </c>
      <c r="ALZ104">
        <v>100</v>
      </c>
      <c r="AMA104">
        <v>100</v>
      </c>
      <c r="AMB104">
        <v>100</v>
      </c>
      <c r="AMC104">
        <v>95.99433771526139</v>
      </c>
      <c r="AMD104">
        <v>82.06200115323411</v>
      </c>
      <c r="AME104" t="s">
        <v>1901</v>
      </c>
      <c r="AMF104" t="s">
        <v>1901</v>
      </c>
      <c r="AMG104" t="s">
        <v>1901</v>
      </c>
      <c r="AMH104" t="s">
        <v>1901</v>
      </c>
      <c r="AMI104">
        <v>96.6378554274678</v>
      </c>
      <c r="AMJ104" t="s">
        <v>1900</v>
      </c>
      <c r="AMK104" t="s">
        <v>1900</v>
      </c>
      <c r="AML104" t="s">
        <v>1900</v>
      </c>
      <c r="AMM104">
        <v>2396.4660745614</v>
      </c>
      <c r="AMN104">
        <v>457.475785645005</v>
      </c>
      <c r="AMO104">
        <v>1.10540074983558</v>
      </c>
      <c r="AMP104">
        <v>1.07557271248408</v>
      </c>
      <c r="AMQ104">
        <v>1.3194968304514</v>
      </c>
      <c r="AMR104">
        <v>1.21787730472855</v>
      </c>
      <c r="AMS104">
        <v>1.14186278822194</v>
      </c>
      <c r="AMT104">
        <v>1.10540074983558</v>
      </c>
      <c r="AMU104">
        <v>1.07557271248408</v>
      </c>
      <c r="AMV104">
        <v>1.3194968304514</v>
      </c>
      <c r="AMW104">
        <v>1.21787730472855</v>
      </c>
      <c r="AMX104">
        <v>1.14186278822194</v>
      </c>
      <c r="AMY104" t="s">
        <v>1900</v>
      </c>
      <c r="AMZ104" t="s">
        <v>1900</v>
      </c>
      <c r="ANA104" t="s">
        <v>1900</v>
      </c>
      <c r="ANB104">
        <v>1.21787730472855</v>
      </c>
      <c r="ANC104">
        <v>1.14186278822194</v>
      </c>
      <c r="AND104">
        <v>9.535071317009439</v>
      </c>
      <c r="ANE104">
        <v>7.02627647642148</v>
      </c>
      <c r="ANF104">
        <v>24.2135352717826</v>
      </c>
      <c r="ANG104">
        <v>17.1733125245034</v>
      </c>
      <c r="ANH104">
        <v>10.1952217120564</v>
      </c>
      <c r="ANI104">
        <v>10.5172919787175</v>
      </c>
      <c r="ANJ104">
        <v>7.84889496882838</v>
      </c>
      <c r="ANK104">
        <v>30.2225218508608</v>
      </c>
      <c r="ANL104">
        <v>19.1236527991578</v>
      </c>
      <c r="ANM104">
        <v>12.0060971949848</v>
      </c>
      <c r="ANN104">
        <v>10.540074983558</v>
      </c>
      <c r="ANO104">
        <v>7.55727124840771</v>
      </c>
      <c r="ANP104">
        <v>31.9496830451404</v>
      </c>
      <c r="ANQ104">
        <v>20.7340327712417</v>
      </c>
      <c r="ANR104">
        <v>11.3526494986349</v>
      </c>
      <c r="ANS104">
        <v>36.0499776278251</v>
      </c>
      <c r="ANT104">
        <v>23.6511995867387</v>
      </c>
      <c r="ANU104">
        <v>78.1739132763453</v>
      </c>
      <c r="ANV104">
        <v>59.0266745445782</v>
      </c>
      <c r="ANW104">
        <v>61.0049314860848</v>
      </c>
      <c r="ANX104" t="s">
        <v>1900</v>
      </c>
      <c r="ANY104" t="s">
        <v>1900</v>
      </c>
      <c r="ANZ104" t="s">
        <v>1900</v>
      </c>
      <c r="AOA104">
        <v>95.99433771526139</v>
      </c>
      <c r="AOB104">
        <v>82.06200115323411</v>
      </c>
      <c r="AOC104">
        <v>110.540074983558</v>
      </c>
      <c r="AOD104">
        <v>107.557271248408</v>
      </c>
      <c r="AOE104">
        <v>131.94968304514</v>
      </c>
      <c r="AOF104">
        <v>115.89783515568</v>
      </c>
      <c r="AOG104">
        <v>91.3782125157265</v>
      </c>
      <c r="AOH104" t="s">
        <v>1901</v>
      </c>
      <c r="AOI104" t="s">
        <v>1901</v>
      </c>
      <c r="AOJ104" t="s">
        <v>1901</v>
      </c>
      <c r="AOK104" t="s">
        <v>1901</v>
      </c>
      <c r="AOL104" t="s">
        <v>1901</v>
      </c>
      <c r="AOM104" t="s">
        <v>1900</v>
      </c>
      <c r="AON104" t="s">
        <v>1900</v>
      </c>
      <c r="AOO104" t="s">
        <v>1900</v>
      </c>
      <c r="AOP104">
        <v>428.725921052632</v>
      </c>
      <c r="AOQ104">
        <v>56.8358923375364</v>
      </c>
      <c r="AOR104">
        <v>10.540074983558</v>
      </c>
      <c r="AOS104">
        <v>7.55727124840771</v>
      </c>
      <c r="AOT104">
        <v>31.9496830451404</v>
      </c>
      <c r="AOU104">
        <v>21.7877304728549</v>
      </c>
      <c r="AOV104">
        <v>14.1862788221936</v>
      </c>
      <c r="AOW104">
        <v>22.4706163551402</v>
      </c>
      <c r="AOX104">
        <v>14.9126037554939</v>
      </c>
      <c r="AOY104">
        <v>45.930492355654</v>
      </c>
      <c r="AOZ104">
        <v>37.0562103259628</v>
      </c>
      <c r="APA104">
        <v>34.5197090327236</v>
      </c>
      <c r="APB104">
        <v>7.13512418512358</v>
      </c>
      <c r="APC104">
        <v>5.17070948324659</v>
      </c>
      <c r="APD104">
        <v>17.8708368241586</v>
      </c>
      <c r="APE104">
        <v>12.6005045922239</v>
      </c>
      <c r="APF104">
        <v>7.26534885706196</v>
      </c>
      <c r="APG104">
        <v>7.87012302944048</v>
      </c>
      <c r="APH104">
        <v>5.77608293447017</v>
      </c>
      <c r="API104">
        <v>22.3057785799958</v>
      </c>
      <c r="APJ104">
        <v>14.0315198114553</v>
      </c>
      <c r="APK104">
        <v>8.5558202653117</v>
      </c>
      <c r="APL104" t="s">
        <v>1900</v>
      </c>
      <c r="APM104" t="s">
        <v>1900</v>
      </c>
      <c r="APN104" t="s">
        <v>1900</v>
      </c>
      <c r="APO104">
        <v>314.567322368421</v>
      </c>
      <c r="APP104">
        <v>40.5025606207565</v>
      </c>
      <c r="APQ104">
        <v>7.88717162440559</v>
      </c>
      <c r="APR104">
        <v>5.56147402436267</v>
      </c>
      <c r="APS104">
        <v>23.5805125469915</v>
      </c>
      <c r="APT104">
        <v>15.9862226629619</v>
      </c>
      <c r="APU104">
        <v>10.1094677033755</v>
      </c>
      <c r="APV104">
        <v>7.88717162440559</v>
      </c>
      <c r="APW104">
        <v>5.56147402436267</v>
      </c>
      <c r="APX104">
        <v>23.5805125469915</v>
      </c>
      <c r="APY104">
        <v>15.2130973437174</v>
      </c>
      <c r="APZ104">
        <v>8.090158447657281</v>
      </c>
      <c r="AQA104">
        <v>16.8148336682268</v>
      </c>
      <c r="AQB104">
        <v>10.9743392417292</v>
      </c>
      <c r="AQC104">
        <v>33.8990702897359</v>
      </c>
      <c r="AQD104">
        <v>27.1891021441835</v>
      </c>
      <c r="AQE104">
        <v>24.5995364936918</v>
      </c>
      <c r="AQF104" t="s">
        <v>1900</v>
      </c>
      <c r="AQG104" t="s">
        <v>1900</v>
      </c>
      <c r="AQH104" t="s">
        <v>1900</v>
      </c>
      <c r="AQI104">
        <v>0.217877304728549</v>
      </c>
      <c r="AQJ104">
        <v>0.141862788221936</v>
      </c>
      <c r="AQK104">
        <v>1</v>
      </c>
      <c r="AQO104" t="s">
        <v>1902</v>
      </c>
      <c r="AQP104">
        <v>5</v>
      </c>
      <c r="AQQ104">
        <v>0</v>
      </c>
      <c r="AQS104" t="s">
        <v>1905</v>
      </c>
      <c r="AQU104" t="s">
        <v>1906</v>
      </c>
      <c r="AQV104">
        <v>1370838.22932457</v>
      </c>
      <c r="AQW104">
        <v>1347047.97048858</v>
      </c>
      <c r="AQX104">
        <v>1401605.09769069</v>
      </c>
      <c r="AQY104">
        <v>130710.402806927</v>
      </c>
      <c r="AQZ104">
        <v>94647.3146765518</v>
      </c>
      <c r="ARA104">
        <v>339378.144700438</v>
      </c>
      <c r="ARB104">
        <v>4119491.29750384</v>
      </c>
      <c r="ARC104">
        <v>564735.8621839168</v>
      </c>
      <c r="ARD104">
        <v>0.1588677118467058</v>
      </c>
      <c r="ARE104">
        <v>0.1588677118467058</v>
      </c>
      <c r="ARF104">
        <v>0.1588677118467058</v>
      </c>
      <c r="ARG104">
        <v>0.1588677118467058</v>
      </c>
      <c r="ARH104">
        <v>0.1588677118467058</v>
      </c>
      <c r="ARI104">
        <v>0.1588677118467058</v>
      </c>
      <c r="ARJ104" t="s">
        <v>1265</v>
      </c>
      <c r="ARK104" t="s">
        <v>1603</v>
      </c>
      <c r="ARL104" t="s">
        <v>1908</v>
      </c>
      <c r="ARM104" t="s">
        <v>1908</v>
      </c>
      <c r="ARN104" t="s">
        <v>1908</v>
      </c>
      <c r="ARO104" t="s">
        <v>1908</v>
      </c>
      <c r="ARP104" t="s">
        <v>1904</v>
      </c>
      <c r="ARQ104" t="s">
        <v>1997</v>
      </c>
      <c r="ARR104">
        <f>HYPERLINK("C:\Users\Usuario\Documents\Proyectos\llmthon\evidence\seconsa_net_235932.png", "Ver Evidencia")</f>
        <v>0</v>
      </c>
      <c r="ARS104">
        <v>90</v>
      </c>
    </row>
    <row r="105" spans="1:1163">
      <c r="A105">
        <v>452</v>
      </c>
      <c r="B105" t="s">
        <v>1266</v>
      </c>
      <c r="C105" t="s">
        <v>1389</v>
      </c>
      <c r="E105" s="2">
        <v>44134</v>
      </c>
      <c r="F105" t="s">
        <v>1431</v>
      </c>
      <c r="G105" t="s">
        <v>1433</v>
      </c>
      <c r="H105" t="s">
        <v>1434</v>
      </c>
      <c r="I105" t="s">
        <v>1437</v>
      </c>
      <c r="J105" t="s">
        <v>1453</v>
      </c>
      <c r="L105" t="s">
        <v>1604</v>
      </c>
      <c r="N105" t="s">
        <v>1647</v>
      </c>
      <c r="O105" t="s">
        <v>1671</v>
      </c>
      <c r="P105">
        <v>7810</v>
      </c>
      <c r="Q105">
        <v>7810</v>
      </c>
      <c r="R105" t="s">
        <v>1772</v>
      </c>
      <c r="S105" t="s">
        <v>1834</v>
      </c>
      <c r="Z105" t="s">
        <v>1899</v>
      </c>
      <c r="AA105" s="2">
        <v>45291</v>
      </c>
      <c r="AB105">
        <v>2023</v>
      </c>
      <c r="AC105" t="s">
        <v>1900</v>
      </c>
      <c r="AD105">
        <v>1553375.35373577</v>
      </c>
      <c r="AE105">
        <v>1284250.61177996</v>
      </c>
      <c r="AF105">
        <v>491902.958053851</v>
      </c>
      <c r="AG105" t="s">
        <v>1900</v>
      </c>
      <c r="AH105" t="s">
        <v>1900</v>
      </c>
      <c r="AI105">
        <v>1551485.50453763</v>
      </c>
      <c r="AJ105">
        <v>1282931.28154296</v>
      </c>
      <c r="AK105">
        <v>491902.958053851</v>
      </c>
      <c r="AL105" t="s">
        <v>1900</v>
      </c>
      <c r="AM105" t="s">
        <v>1900</v>
      </c>
      <c r="AN105">
        <v>212894.82109458</v>
      </c>
      <c r="AO105">
        <v>84.1440336287022</v>
      </c>
      <c r="AP105">
        <v>140.329178094864</v>
      </c>
      <c r="AQ105" t="s">
        <v>1900</v>
      </c>
      <c r="AR105" t="s">
        <v>1900</v>
      </c>
      <c r="AS105">
        <v>1340480.53264119</v>
      </c>
      <c r="AT105">
        <v>1284166.46774634</v>
      </c>
      <c r="AU105">
        <v>491762.627743156</v>
      </c>
      <c r="AV105" t="s">
        <v>1900</v>
      </c>
      <c r="AW105" t="s">
        <v>1900</v>
      </c>
      <c r="AX105">
        <v>3522085.17751855</v>
      </c>
      <c r="AY105">
        <v>2977032.89004734</v>
      </c>
      <c r="AZ105">
        <v>1068068.35494025</v>
      </c>
      <c r="BA105" t="s">
        <v>1900</v>
      </c>
      <c r="BB105" t="s">
        <v>1900</v>
      </c>
      <c r="BC105">
        <v>-2181604.64487736</v>
      </c>
      <c r="BD105">
        <v>-1692866.422301</v>
      </c>
      <c r="BE105">
        <v>-576305.726064491</v>
      </c>
      <c r="BF105" t="s">
        <v>1900</v>
      </c>
      <c r="BG105" t="s">
        <v>1900</v>
      </c>
      <c r="BH105">
        <v>-97789.8808368969</v>
      </c>
      <c r="BI105">
        <v>-56668.3988131821</v>
      </c>
      <c r="BJ105">
        <v>-2501.05330295563</v>
      </c>
      <c r="BK105" t="s">
        <v>1900</v>
      </c>
      <c r="BL105" t="s">
        <v>1900</v>
      </c>
      <c r="BM105" t="s">
        <v>1900</v>
      </c>
      <c r="BN105" t="s">
        <v>1900</v>
      </c>
      <c r="BO105" t="s">
        <v>1900</v>
      </c>
      <c r="BP105" t="s">
        <v>1900</v>
      </c>
      <c r="BQ105" t="s">
        <v>1900</v>
      </c>
      <c r="BR105">
        <v>97789.8808368969</v>
      </c>
      <c r="BS105">
        <v>56668.3988131821</v>
      </c>
      <c r="BT105">
        <v>2501.05330295563</v>
      </c>
      <c r="BU105" t="s">
        <v>1900</v>
      </c>
      <c r="BV105" t="s">
        <v>1900</v>
      </c>
      <c r="BW105">
        <v>-2279394.52571425</v>
      </c>
      <c r="BX105">
        <v>-1749534.82111418</v>
      </c>
      <c r="BY105">
        <v>-578806.779367447</v>
      </c>
      <c r="BZ105" t="s">
        <v>1900</v>
      </c>
      <c r="CA105" t="s">
        <v>1900</v>
      </c>
      <c r="CB105">
        <v>-569848.634191065</v>
      </c>
      <c r="CC105">
        <v>-408676.724017811</v>
      </c>
      <c r="CD105">
        <v>-123334.884239459</v>
      </c>
      <c r="CE105" t="s">
        <v>1900</v>
      </c>
      <c r="CF105" t="s">
        <v>1900</v>
      </c>
      <c r="CG105">
        <v>-1709545.89152319</v>
      </c>
      <c r="CH105">
        <v>-1340858.09709637</v>
      </c>
      <c r="CI105">
        <v>-455471.895127988</v>
      </c>
      <c r="CJ105" t="s">
        <v>1900</v>
      </c>
      <c r="CK105" t="s">
        <v>1900</v>
      </c>
      <c r="CL105" t="s">
        <v>1900</v>
      </c>
      <c r="CM105" t="s">
        <v>1900</v>
      </c>
      <c r="CN105" t="s">
        <v>1900</v>
      </c>
      <c r="CO105" t="s">
        <v>1900</v>
      </c>
      <c r="CP105" t="s">
        <v>1900</v>
      </c>
      <c r="CQ105" t="s">
        <v>1900</v>
      </c>
      <c r="CR105" t="s">
        <v>1900</v>
      </c>
      <c r="CS105" t="s">
        <v>1900</v>
      </c>
      <c r="CT105" t="s">
        <v>1900</v>
      </c>
      <c r="CU105" t="s">
        <v>1900</v>
      </c>
      <c r="CV105" t="s">
        <v>1900</v>
      </c>
      <c r="CW105" t="s">
        <v>1900</v>
      </c>
      <c r="CX105" t="s">
        <v>1900</v>
      </c>
      <c r="CY105" t="s">
        <v>1900</v>
      </c>
      <c r="CZ105" t="s">
        <v>1900</v>
      </c>
      <c r="DA105">
        <v>-1709545.89152319</v>
      </c>
      <c r="DB105">
        <v>-1340858.09709637</v>
      </c>
      <c r="DC105">
        <v>-455471.895127988</v>
      </c>
      <c r="DD105" t="s">
        <v>1900</v>
      </c>
      <c r="DE105" t="s">
        <v>1900</v>
      </c>
      <c r="DF105" t="s">
        <v>1900</v>
      </c>
      <c r="DG105" t="s">
        <v>1900</v>
      </c>
      <c r="DH105" t="s">
        <v>1900</v>
      </c>
      <c r="DI105" t="s">
        <v>1900</v>
      </c>
      <c r="DJ105" t="s">
        <v>1900</v>
      </c>
      <c r="DK105">
        <v>212894.82109458</v>
      </c>
      <c r="DL105">
        <v>84.1440336287022</v>
      </c>
      <c r="DM105">
        <v>140.329178094864</v>
      </c>
      <c r="DN105" t="s">
        <v>1900</v>
      </c>
      <c r="DO105" t="s">
        <v>1900</v>
      </c>
      <c r="DP105">
        <v>2159594.82509962</v>
      </c>
      <c r="DQ105">
        <v>1585399.74028623</v>
      </c>
      <c r="DR105">
        <v>633607.815134168</v>
      </c>
      <c r="DS105" t="s">
        <v>1900</v>
      </c>
      <c r="DT105" t="s">
        <v>1900</v>
      </c>
      <c r="DU105">
        <v>55390.4924585724</v>
      </c>
      <c r="DV105">
        <v>16549.6456416786</v>
      </c>
      <c r="DW105">
        <v>14274.8412351608</v>
      </c>
      <c r="DX105" t="s">
        <v>1900</v>
      </c>
      <c r="DY105" t="s">
        <v>1900</v>
      </c>
      <c r="DZ105">
        <v>1307099.85996036</v>
      </c>
      <c r="EA105">
        <v>1375083.50411943</v>
      </c>
      <c r="EB105">
        <v>420185.698570919</v>
      </c>
      <c r="EC105" t="s">
        <v>1900</v>
      </c>
      <c r="ED105" t="s">
        <v>1900</v>
      </c>
      <c r="EE105">
        <v>97789.8808368969</v>
      </c>
      <c r="EF105">
        <v>56668.3988131821</v>
      </c>
      <c r="EG105">
        <v>2501.05330295563</v>
      </c>
      <c r="EH105" t="s">
        <v>1900</v>
      </c>
      <c r="EI105" t="s">
        <v>1900</v>
      </c>
      <c r="EJ105" t="s">
        <v>1900</v>
      </c>
      <c r="EK105" t="s">
        <v>1900</v>
      </c>
      <c r="EL105" t="s">
        <v>1900</v>
      </c>
      <c r="EM105" t="s">
        <v>1900</v>
      </c>
      <c r="EN105" t="s">
        <v>1900</v>
      </c>
      <c r="EO105">
        <v>-1654155.39906462</v>
      </c>
      <c r="EP105">
        <v>-1324308.45038809</v>
      </c>
      <c r="EQ105">
        <v>-441197.053892827</v>
      </c>
      <c r="ER105" t="s">
        <v>1900</v>
      </c>
      <c r="ES105" t="s">
        <v>1900</v>
      </c>
      <c r="ET105">
        <v>33380.6715758352</v>
      </c>
      <c r="EU105">
        <v>-90917.0353064972</v>
      </c>
      <c r="EV105">
        <v>71576.93030483719</v>
      </c>
      <c r="EW105" t="s">
        <v>1900</v>
      </c>
      <c r="EX105" t="s">
        <v>1900</v>
      </c>
      <c r="EY105">
        <v>-2126214.15131378</v>
      </c>
      <c r="EZ105">
        <v>-1676316.77665932</v>
      </c>
      <c r="FA105">
        <v>-562030.88482933</v>
      </c>
      <c r="FB105" t="s">
        <v>1900</v>
      </c>
      <c r="FC105" t="s">
        <v>1900</v>
      </c>
      <c r="FD105">
        <v>4612903.42301437</v>
      </c>
      <c r="FE105">
        <v>1620859.36290712</v>
      </c>
      <c r="FF105">
        <v>580541.832430458</v>
      </c>
      <c r="FG105" t="s">
        <v>1900</v>
      </c>
      <c r="FH105" t="s">
        <v>1900</v>
      </c>
      <c r="FI105">
        <v>3432473.84735209</v>
      </c>
      <c r="FJ105">
        <v>1075896.48136578</v>
      </c>
      <c r="FK105">
        <v>427320.446251774</v>
      </c>
      <c r="FL105" t="s">
        <v>1900</v>
      </c>
      <c r="FM105" t="s">
        <v>1900</v>
      </c>
      <c r="FN105">
        <v>45203.4044867325</v>
      </c>
      <c r="FO105">
        <v>-2833.70952242017</v>
      </c>
      <c r="FP105">
        <v>5579.0645285368</v>
      </c>
      <c r="FQ105" t="s">
        <v>1900</v>
      </c>
      <c r="FR105" t="s">
        <v>1900</v>
      </c>
      <c r="FS105">
        <v>1135226.17117556</v>
      </c>
      <c r="FT105">
        <v>547796.591063768</v>
      </c>
      <c r="FU105">
        <v>147642.321650147</v>
      </c>
      <c r="FV105" t="s">
        <v>1900</v>
      </c>
      <c r="FW105" t="s">
        <v>1900</v>
      </c>
      <c r="FX105">
        <v>3432473.84735209</v>
      </c>
      <c r="FY105">
        <v>1075896.48136578</v>
      </c>
      <c r="FZ105">
        <v>427320.446251774</v>
      </c>
      <c r="GA105" t="s">
        <v>1900</v>
      </c>
      <c r="GB105" t="s">
        <v>1900</v>
      </c>
      <c r="GC105">
        <v>45203.4044867325</v>
      </c>
      <c r="GD105">
        <v>-2833.70952242017</v>
      </c>
      <c r="GE105">
        <v>5579.0645285368</v>
      </c>
      <c r="GF105" t="s">
        <v>1900</v>
      </c>
      <c r="GG105" t="s">
        <v>1900</v>
      </c>
      <c r="GH105">
        <v>1135226.17117556</v>
      </c>
      <c r="GI105">
        <v>547796.591063768</v>
      </c>
      <c r="GJ105">
        <v>147642.321650147</v>
      </c>
      <c r="GK105" t="s">
        <v>1900</v>
      </c>
      <c r="GL105" t="s">
        <v>1900</v>
      </c>
      <c r="GM105">
        <v>296397.675369635</v>
      </c>
      <c r="GN105">
        <v>1862336.92175109</v>
      </c>
      <c r="GO105">
        <v>82429.56308097841</v>
      </c>
      <c r="GP105" t="s">
        <v>1900</v>
      </c>
      <c r="GQ105" t="s">
        <v>1900</v>
      </c>
      <c r="GR105">
        <v>0</v>
      </c>
      <c r="GS105">
        <v>0</v>
      </c>
      <c r="GT105">
        <v>0</v>
      </c>
      <c r="GU105" t="s">
        <v>1900</v>
      </c>
      <c r="GV105" t="s">
        <v>1900</v>
      </c>
      <c r="GW105">
        <v>0</v>
      </c>
      <c r="GX105">
        <v>92.79415547847751</v>
      </c>
      <c r="GY105">
        <v>107.030729055405</v>
      </c>
      <c r="GZ105" t="s">
        <v>1900</v>
      </c>
      <c r="HA105" t="s">
        <v>1900</v>
      </c>
      <c r="HB105">
        <v>296397.675369635</v>
      </c>
      <c r="HC105">
        <v>1862244.12759561</v>
      </c>
      <c r="HD105">
        <v>82322.532351923</v>
      </c>
      <c r="HE105" t="s">
        <v>1900</v>
      </c>
      <c r="HF105" t="s">
        <v>1900</v>
      </c>
      <c r="HG105">
        <v>261653.907227058</v>
      </c>
      <c r="HH105">
        <v>1618783.41899114</v>
      </c>
      <c r="HI105">
        <v>60759.9744383812</v>
      </c>
      <c r="HJ105" t="s">
        <v>1900</v>
      </c>
      <c r="HK105" t="s">
        <v>1900</v>
      </c>
      <c r="HL105">
        <v>4909301.09838401</v>
      </c>
      <c r="HM105">
        <v>3483196.28465821</v>
      </c>
      <c r="HN105">
        <v>662971.395511437</v>
      </c>
      <c r="HO105" t="s">
        <v>1900</v>
      </c>
      <c r="HP105" t="s">
        <v>1900</v>
      </c>
      <c r="HQ105">
        <v>2738218.69917891</v>
      </c>
      <c r="HR105">
        <v>2362062.87648257</v>
      </c>
      <c r="HS105">
        <v>278287.891702223</v>
      </c>
      <c r="HT105" t="s">
        <v>1900</v>
      </c>
      <c r="HU105" t="s">
        <v>1900</v>
      </c>
      <c r="HV105">
        <v>286940.605975418</v>
      </c>
      <c r="HW105">
        <v>196394.883652091</v>
      </c>
      <c r="HX105">
        <v>208547.73329401</v>
      </c>
      <c r="HY105" t="s">
        <v>1900</v>
      </c>
      <c r="HZ105" t="s">
        <v>1900</v>
      </c>
      <c r="IA105">
        <v>2451278.09209849</v>
      </c>
      <c r="IB105">
        <v>2165667.99176388</v>
      </c>
      <c r="IC105">
        <v>69740.15840821269</v>
      </c>
      <c r="ID105" t="s">
        <v>1900</v>
      </c>
      <c r="IE105" t="s">
        <v>1900</v>
      </c>
      <c r="IF105">
        <v>1922425.08791076</v>
      </c>
      <c r="IG105">
        <v>919965.310491681</v>
      </c>
      <c r="IH105">
        <v>274841.309684587</v>
      </c>
      <c r="II105" t="s">
        <v>1900</v>
      </c>
      <c r="IJ105" t="s">
        <v>1900</v>
      </c>
      <c r="IK105">
        <v>1922288.28884936</v>
      </c>
      <c r="IL105">
        <v>917766.19566679</v>
      </c>
      <c r="IM105">
        <v>272592.350558066</v>
      </c>
      <c r="IN105" t="s">
        <v>1900</v>
      </c>
      <c r="IO105" t="s">
        <v>1900</v>
      </c>
      <c r="IP105">
        <v>136.799061393738</v>
      </c>
      <c r="IQ105">
        <v>2199.11482489109</v>
      </c>
      <c r="IR105">
        <v>2248.95912652016</v>
      </c>
      <c r="IS105" t="s">
        <v>1900</v>
      </c>
      <c r="IT105" t="s">
        <v>1900</v>
      </c>
      <c r="IU105" t="s">
        <v>1900</v>
      </c>
      <c r="IV105" t="s">
        <v>1900</v>
      </c>
      <c r="IW105" t="s">
        <v>1900</v>
      </c>
      <c r="IX105" t="s">
        <v>1900</v>
      </c>
      <c r="IY105" t="s">
        <v>1900</v>
      </c>
      <c r="IZ105">
        <v>248657.311294346</v>
      </c>
      <c r="JA105">
        <v>201168.09768396</v>
      </c>
      <c r="JB105">
        <v>109842.194124627</v>
      </c>
      <c r="JC105" t="s">
        <v>1900</v>
      </c>
      <c r="JD105" t="s">
        <v>1900</v>
      </c>
      <c r="JE105">
        <v>0</v>
      </c>
      <c r="JF105">
        <v>0</v>
      </c>
      <c r="JG105">
        <v>0</v>
      </c>
      <c r="JH105" t="s">
        <v>1900</v>
      </c>
      <c r="JI105" t="s">
        <v>1900</v>
      </c>
      <c r="JJ105">
        <v>0</v>
      </c>
      <c r="JK105">
        <v>45.9384399592876</v>
      </c>
      <c r="JL105">
        <v>349.712996935844</v>
      </c>
      <c r="JM105" t="s">
        <v>1900</v>
      </c>
      <c r="JN105" t="s">
        <v>1900</v>
      </c>
      <c r="JO105">
        <v>248657.311294346</v>
      </c>
      <c r="JP105">
        <v>201122.159244001</v>
      </c>
      <c r="JQ105">
        <v>109492.481127691</v>
      </c>
      <c r="JR105" t="s">
        <v>1900</v>
      </c>
      <c r="JS105" t="s">
        <v>1900</v>
      </c>
      <c r="JT105">
        <v>4909301.09838401</v>
      </c>
      <c r="JU105">
        <v>3483196.28465821</v>
      </c>
      <c r="JV105">
        <v>662971.395511437</v>
      </c>
      <c r="JW105" t="s">
        <v>1900</v>
      </c>
      <c r="JX105" t="s">
        <v>1900</v>
      </c>
      <c r="JY105" t="s">
        <v>1900</v>
      </c>
      <c r="JZ105">
        <v>46.8557155191898</v>
      </c>
      <c r="KA105">
        <v>-242.681135280132</v>
      </c>
      <c r="KB105" t="s">
        <v>1900</v>
      </c>
      <c r="KC105" t="s">
        <v>1900</v>
      </c>
      <c r="KD105" t="s">
        <v>1900</v>
      </c>
      <c r="KE105" t="s">
        <v>1900</v>
      </c>
      <c r="KF105" t="s">
        <v>1900</v>
      </c>
      <c r="KG105" t="s">
        <v>1900</v>
      </c>
      <c r="KH105" t="s">
        <v>1900</v>
      </c>
      <c r="KI105" t="s">
        <v>1900</v>
      </c>
      <c r="KJ105" t="s">
        <v>1900</v>
      </c>
      <c r="KK105" t="s">
        <v>1900</v>
      </c>
      <c r="KL105" t="s">
        <v>1900</v>
      </c>
      <c r="KM105" t="s">
        <v>1900</v>
      </c>
      <c r="KN105">
        <v>68</v>
      </c>
      <c r="KO105">
        <v>43</v>
      </c>
      <c r="KP105">
        <v>19</v>
      </c>
      <c r="KQ105" t="s">
        <v>1900</v>
      </c>
      <c r="KR105" t="s">
        <v>1900</v>
      </c>
      <c r="KS105" t="s">
        <v>1900</v>
      </c>
      <c r="KT105" t="s">
        <v>1900</v>
      </c>
      <c r="KU105" t="s">
        <v>1900</v>
      </c>
      <c r="KV105" t="s">
        <v>1900</v>
      </c>
      <c r="KW105" t="s">
        <v>1900</v>
      </c>
      <c r="KX105" t="s">
        <v>1900</v>
      </c>
      <c r="KY105" t="s">
        <v>1900</v>
      </c>
      <c r="KZ105" t="s">
        <v>1900</v>
      </c>
      <c r="LA105" t="s">
        <v>1900</v>
      </c>
      <c r="LB105" t="s">
        <v>1900</v>
      </c>
      <c r="LC105" t="s">
        <v>1900</v>
      </c>
      <c r="LD105" t="s">
        <v>1900</v>
      </c>
      <c r="LE105" t="s">
        <v>1900</v>
      </c>
      <c r="LF105" t="s">
        <v>1900</v>
      </c>
      <c r="LG105" t="s">
        <v>1900</v>
      </c>
      <c r="LH105" t="s">
        <v>1900</v>
      </c>
      <c r="LI105" t="s">
        <v>1900</v>
      </c>
      <c r="LJ105" t="s">
        <v>1900</v>
      </c>
      <c r="LK105" t="s">
        <v>1900</v>
      </c>
      <c r="LL105" t="s">
        <v>1900</v>
      </c>
      <c r="LM105" t="s">
        <v>1900</v>
      </c>
      <c r="LN105" t="s">
        <v>1900</v>
      </c>
      <c r="LO105" t="s">
        <v>1900</v>
      </c>
      <c r="LP105" t="s">
        <v>1900</v>
      </c>
      <c r="LQ105" t="s">
        <v>1900</v>
      </c>
      <c r="LR105" t="s">
        <v>1900</v>
      </c>
      <c r="LS105" t="s">
        <v>1900</v>
      </c>
      <c r="LT105" t="s">
        <v>1900</v>
      </c>
      <c r="LU105" t="s">
        <v>1900</v>
      </c>
      <c r="LV105" t="s">
        <v>1900</v>
      </c>
      <c r="LW105" t="s">
        <v>1900</v>
      </c>
      <c r="LX105" t="s">
        <v>1900</v>
      </c>
      <c r="LY105" t="s">
        <v>1900</v>
      </c>
      <c r="LZ105" t="s">
        <v>1900</v>
      </c>
      <c r="MA105" t="s">
        <v>1900</v>
      </c>
      <c r="MB105" t="s">
        <v>1900</v>
      </c>
      <c r="MC105" t="s">
        <v>1900</v>
      </c>
      <c r="MD105" t="s">
        <v>1900</v>
      </c>
      <c r="ME105" t="s">
        <v>1900</v>
      </c>
      <c r="MF105" t="s">
        <v>1900</v>
      </c>
      <c r="MG105" t="s">
        <v>1900</v>
      </c>
      <c r="MH105" t="s">
        <v>1900</v>
      </c>
      <c r="MI105" t="s">
        <v>1900</v>
      </c>
      <c r="MJ105" t="s">
        <v>1900</v>
      </c>
      <c r="MK105" t="s">
        <v>1900</v>
      </c>
      <c r="ML105" t="s">
        <v>1900</v>
      </c>
      <c r="MM105" t="s">
        <v>1900</v>
      </c>
      <c r="MN105" t="s">
        <v>1900</v>
      </c>
      <c r="MO105" t="s">
        <v>1900</v>
      </c>
      <c r="MP105" t="s">
        <v>1900</v>
      </c>
      <c r="MQ105">
        <v>296397.675369635</v>
      </c>
      <c r="MR105">
        <v>1862244.12759561</v>
      </c>
      <c r="MS105">
        <v>82322.532351923</v>
      </c>
      <c r="MT105" t="s">
        <v>1900</v>
      </c>
      <c r="MU105" t="s">
        <v>1900</v>
      </c>
      <c r="MV105" t="s">
        <v>1900</v>
      </c>
      <c r="MW105" t="s">
        <v>1900</v>
      </c>
      <c r="MX105" t="s">
        <v>1900</v>
      </c>
      <c r="MY105" t="s">
        <v>1900</v>
      </c>
      <c r="MZ105" t="s">
        <v>1900</v>
      </c>
      <c r="NA105" t="s">
        <v>1900</v>
      </c>
      <c r="NB105" t="s">
        <v>1900</v>
      </c>
      <c r="NC105" t="s">
        <v>1900</v>
      </c>
      <c r="ND105" t="s">
        <v>1900</v>
      </c>
      <c r="NE105" t="s">
        <v>1900</v>
      </c>
      <c r="NF105" t="s">
        <v>1900</v>
      </c>
      <c r="NG105" t="s">
        <v>1900</v>
      </c>
      <c r="NH105" t="s">
        <v>1900</v>
      </c>
      <c r="NI105" t="s">
        <v>1900</v>
      </c>
      <c r="NJ105" t="s">
        <v>1900</v>
      </c>
      <c r="NK105" t="s">
        <v>1900</v>
      </c>
      <c r="NL105" t="s">
        <v>1900</v>
      </c>
      <c r="NM105" t="s">
        <v>1900</v>
      </c>
      <c r="NN105" t="s">
        <v>1900</v>
      </c>
      <c r="NO105" t="s">
        <v>1900</v>
      </c>
      <c r="NP105" t="s">
        <v>1900</v>
      </c>
      <c r="NQ105" t="s">
        <v>1900</v>
      </c>
      <c r="NR105" t="s">
        <v>1900</v>
      </c>
      <c r="NS105" t="s">
        <v>1900</v>
      </c>
      <c r="NT105" t="s">
        <v>1900</v>
      </c>
      <c r="NU105">
        <v>4612903.42301437</v>
      </c>
      <c r="NV105">
        <v>1620859.36290712</v>
      </c>
      <c r="NW105">
        <v>580541.832430458</v>
      </c>
      <c r="NX105" t="s">
        <v>1900</v>
      </c>
      <c r="NY105" t="s">
        <v>1900</v>
      </c>
      <c r="NZ105" t="s">
        <v>1900</v>
      </c>
      <c r="OA105" t="s">
        <v>1900</v>
      </c>
      <c r="OB105" t="s">
        <v>1900</v>
      </c>
      <c r="OC105" t="s">
        <v>1900</v>
      </c>
      <c r="OD105" t="s">
        <v>1900</v>
      </c>
      <c r="OE105" t="s">
        <v>1900</v>
      </c>
      <c r="OF105" t="s">
        <v>1900</v>
      </c>
      <c r="OG105" t="s">
        <v>1900</v>
      </c>
      <c r="OH105" t="s">
        <v>1900</v>
      </c>
      <c r="OI105" t="s">
        <v>1900</v>
      </c>
      <c r="OJ105" t="s">
        <v>1900</v>
      </c>
      <c r="OK105" t="s">
        <v>1900</v>
      </c>
      <c r="OL105" t="s">
        <v>1900</v>
      </c>
      <c r="OM105" t="s">
        <v>1900</v>
      </c>
      <c r="ON105" t="s">
        <v>1900</v>
      </c>
      <c r="OO105" t="s">
        <v>1900</v>
      </c>
      <c r="OP105" t="s">
        <v>1900</v>
      </c>
      <c r="OQ105" t="s">
        <v>1900</v>
      </c>
      <c r="OR105" t="s">
        <v>1900</v>
      </c>
      <c r="OS105" t="s">
        <v>1900</v>
      </c>
      <c r="OT105" t="s">
        <v>1900</v>
      </c>
      <c r="OU105" t="s">
        <v>1900</v>
      </c>
      <c r="OV105" t="s">
        <v>1900</v>
      </c>
      <c r="OW105" t="s">
        <v>1900</v>
      </c>
      <c r="OX105" t="s">
        <v>1900</v>
      </c>
      <c r="OY105" t="s">
        <v>1900</v>
      </c>
      <c r="OZ105" t="s">
        <v>1900</v>
      </c>
      <c r="PA105" t="s">
        <v>1900</v>
      </c>
      <c r="PB105" t="s">
        <v>1900</v>
      </c>
      <c r="PC105" t="s">
        <v>1900</v>
      </c>
      <c r="PD105" t="s">
        <v>1900</v>
      </c>
      <c r="PE105" t="s">
        <v>1900</v>
      </c>
      <c r="PF105" t="s">
        <v>1900</v>
      </c>
      <c r="PG105" t="s">
        <v>1900</v>
      </c>
      <c r="PH105" t="s">
        <v>1900</v>
      </c>
      <c r="PI105" t="s">
        <v>1900</v>
      </c>
      <c r="PJ105" t="s">
        <v>1900</v>
      </c>
      <c r="PK105" t="s">
        <v>1900</v>
      </c>
      <c r="PL105" t="s">
        <v>1900</v>
      </c>
      <c r="PM105" t="s">
        <v>1900</v>
      </c>
      <c r="PN105" t="s">
        <v>1900</v>
      </c>
      <c r="PO105" t="s">
        <v>1900</v>
      </c>
      <c r="PP105" t="s">
        <v>1900</v>
      </c>
      <c r="PQ105" t="s">
        <v>1900</v>
      </c>
      <c r="PR105" t="s">
        <v>1900</v>
      </c>
      <c r="PS105" t="s">
        <v>1900</v>
      </c>
      <c r="PT105" t="s">
        <v>1900</v>
      </c>
      <c r="PU105" t="s">
        <v>1900</v>
      </c>
      <c r="PV105" t="s">
        <v>1900</v>
      </c>
      <c r="PW105" t="s">
        <v>1900</v>
      </c>
      <c r="PX105" t="s">
        <v>1900</v>
      </c>
      <c r="PY105" t="s">
        <v>1900</v>
      </c>
      <c r="PZ105" t="s">
        <v>1900</v>
      </c>
      <c r="QA105" t="s">
        <v>1900</v>
      </c>
      <c r="QB105" t="s">
        <v>1900</v>
      </c>
      <c r="QC105" t="s">
        <v>1900</v>
      </c>
      <c r="QD105" t="s">
        <v>1900</v>
      </c>
      <c r="QE105" t="s">
        <v>1900</v>
      </c>
      <c r="QF105" t="s">
        <v>1900</v>
      </c>
      <c r="QG105" t="s">
        <v>1900</v>
      </c>
      <c r="QH105" t="s">
        <v>1900</v>
      </c>
      <c r="QI105" t="s">
        <v>1900</v>
      </c>
      <c r="QJ105" t="s">
        <v>1900</v>
      </c>
      <c r="QK105" t="s">
        <v>1900</v>
      </c>
      <c r="QL105" t="s">
        <v>1900</v>
      </c>
      <c r="QM105" t="s">
        <v>1900</v>
      </c>
      <c r="QN105" t="s">
        <v>1900</v>
      </c>
      <c r="QO105" t="s">
        <v>1900</v>
      </c>
      <c r="QP105" t="s">
        <v>1900</v>
      </c>
      <c r="QQ105" t="s">
        <v>1900</v>
      </c>
      <c r="QR105" t="s">
        <v>1900</v>
      </c>
      <c r="QS105" t="s">
        <v>1900</v>
      </c>
      <c r="QT105" t="s">
        <v>1900</v>
      </c>
      <c r="QU105" t="s">
        <v>1900</v>
      </c>
      <c r="QV105" t="s">
        <v>1900</v>
      </c>
      <c r="QW105" t="s">
        <v>1900</v>
      </c>
      <c r="QX105" t="s">
        <v>1900</v>
      </c>
      <c r="QY105" t="s">
        <v>1900</v>
      </c>
      <c r="QZ105" t="s">
        <v>1900</v>
      </c>
      <c r="RA105" t="s">
        <v>1900</v>
      </c>
      <c r="RB105" t="s">
        <v>1900</v>
      </c>
      <c r="RC105" t="s">
        <v>1900</v>
      </c>
      <c r="RD105" t="s">
        <v>1900</v>
      </c>
      <c r="RE105" t="s">
        <v>1900</v>
      </c>
      <c r="RF105" t="s">
        <v>1900</v>
      </c>
      <c r="RG105" t="s">
        <v>1900</v>
      </c>
      <c r="RH105" t="s">
        <v>1900</v>
      </c>
      <c r="RI105" t="s">
        <v>1900</v>
      </c>
      <c r="RJ105" t="s">
        <v>1900</v>
      </c>
      <c r="RK105" t="s">
        <v>1900</v>
      </c>
      <c r="RL105" t="s">
        <v>1900</v>
      </c>
      <c r="RM105" t="s">
        <v>1900</v>
      </c>
      <c r="RN105" t="s">
        <v>1900</v>
      </c>
      <c r="RO105" t="s">
        <v>1900</v>
      </c>
      <c r="RP105" t="s">
        <v>1900</v>
      </c>
      <c r="RQ105" t="s">
        <v>1900</v>
      </c>
      <c r="RR105" t="s">
        <v>1900</v>
      </c>
      <c r="RS105" t="s">
        <v>1900</v>
      </c>
      <c r="RT105" t="s">
        <v>1900</v>
      </c>
      <c r="RU105" t="s">
        <v>1900</v>
      </c>
      <c r="RV105" t="s">
        <v>1900</v>
      </c>
      <c r="RW105" t="s">
        <v>1900</v>
      </c>
      <c r="RX105" t="s">
        <v>1900</v>
      </c>
      <c r="RY105" t="s">
        <v>1900</v>
      </c>
      <c r="RZ105" t="s">
        <v>1900</v>
      </c>
      <c r="SA105" t="s">
        <v>1900</v>
      </c>
      <c r="SB105" t="s">
        <v>1900</v>
      </c>
      <c r="SC105" t="s">
        <v>1900</v>
      </c>
      <c r="SD105" t="s">
        <v>1900</v>
      </c>
      <c r="SE105" t="s">
        <v>1900</v>
      </c>
      <c r="SF105" t="s">
        <v>1900</v>
      </c>
      <c r="SG105" t="s">
        <v>1900</v>
      </c>
      <c r="SH105" t="s">
        <v>1900</v>
      </c>
      <c r="SI105" t="s">
        <v>1900</v>
      </c>
      <c r="SJ105" t="s">
        <v>1900</v>
      </c>
      <c r="SK105">
        <v>1135226.17117556</v>
      </c>
      <c r="SL105">
        <v>547796.591063768</v>
      </c>
      <c r="SM105">
        <v>147642.321650147</v>
      </c>
      <c r="SN105" t="s">
        <v>1900</v>
      </c>
      <c r="SO105" t="s">
        <v>1900</v>
      </c>
      <c r="SP105" t="s">
        <v>1900</v>
      </c>
      <c r="SQ105" t="s">
        <v>1900</v>
      </c>
      <c r="SR105" t="s">
        <v>1900</v>
      </c>
      <c r="SS105" t="s">
        <v>1900</v>
      </c>
      <c r="ST105" t="s">
        <v>1900</v>
      </c>
      <c r="SU105" t="s">
        <v>1900</v>
      </c>
      <c r="SV105" t="s">
        <v>1900</v>
      </c>
      <c r="SW105" t="s">
        <v>1900</v>
      </c>
      <c r="SX105" t="s">
        <v>1900</v>
      </c>
      <c r="SY105" t="s">
        <v>1900</v>
      </c>
      <c r="SZ105" t="s">
        <v>1900</v>
      </c>
      <c r="TA105" t="s">
        <v>1900</v>
      </c>
      <c r="TB105" t="s">
        <v>1900</v>
      </c>
      <c r="TC105" t="s">
        <v>1900</v>
      </c>
      <c r="TD105" t="s">
        <v>1900</v>
      </c>
      <c r="TE105" t="s">
        <v>1900</v>
      </c>
      <c r="TF105" t="s">
        <v>1900</v>
      </c>
      <c r="TG105" t="s">
        <v>1900</v>
      </c>
      <c r="TH105" t="s">
        <v>1900</v>
      </c>
      <c r="TI105" t="s">
        <v>1900</v>
      </c>
      <c r="TJ105" t="s">
        <v>1900</v>
      </c>
      <c r="TK105" t="s">
        <v>1900</v>
      </c>
      <c r="TL105" t="s">
        <v>1900</v>
      </c>
      <c r="TM105" t="s">
        <v>1900</v>
      </c>
      <c r="TN105" t="s">
        <v>1900</v>
      </c>
      <c r="TO105" t="s">
        <v>1900</v>
      </c>
      <c r="TP105" t="s">
        <v>1900</v>
      </c>
      <c r="TQ105" t="s">
        <v>1900</v>
      </c>
      <c r="TR105" t="s">
        <v>1900</v>
      </c>
      <c r="TS105" t="s">
        <v>1900</v>
      </c>
      <c r="TT105">
        <v>4909301.09838401</v>
      </c>
      <c r="TU105">
        <v>3483196.28465821</v>
      </c>
      <c r="TV105">
        <v>662971.395511437</v>
      </c>
      <c r="TW105" t="s">
        <v>1900</v>
      </c>
      <c r="TX105" t="s">
        <v>1900</v>
      </c>
      <c r="TY105" t="s">
        <v>1900</v>
      </c>
      <c r="TZ105" t="s">
        <v>1900</v>
      </c>
      <c r="UA105" t="s">
        <v>1900</v>
      </c>
      <c r="UB105" t="s">
        <v>1900</v>
      </c>
      <c r="UC105" t="s">
        <v>1900</v>
      </c>
      <c r="UD105">
        <v>0</v>
      </c>
      <c r="UE105">
        <v>0</v>
      </c>
      <c r="UF105">
        <v>0</v>
      </c>
      <c r="UG105" t="s">
        <v>1900</v>
      </c>
      <c r="UH105" t="s">
        <v>1900</v>
      </c>
      <c r="UI105" t="s">
        <v>1900</v>
      </c>
      <c r="UJ105" t="s">
        <v>1900</v>
      </c>
      <c r="UK105" t="s">
        <v>1900</v>
      </c>
      <c r="UL105" t="s">
        <v>1900</v>
      </c>
      <c r="UM105" t="s">
        <v>1900</v>
      </c>
      <c r="UN105" t="s">
        <v>1900</v>
      </c>
      <c r="UO105" t="s">
        <v>1900</v>
      </c>
      <c r="UP105" t="s">
        <v>1900</v>
      </c>
      <c r="UQ105" t="s">
        <v>1900</v>
      </c>
      <c r="UR105" t="s">
        <v>1900</v>
      </c>
      <c r="US105" t="s">
        <v>1900</v>
      </c>
      <c r="UT105" t="s">
        <v>1900</v>
      </c>
      <c r="UU105" t="s">
        <v>1900</v>
      </c>
      <c r="UV105" t="s">
        <v>1900</v>
      </c>
      <c r="UW105" t="s">
        <v>1900</v>
      </c>
      <c r="UX105" t="s">
        <v>1900</v>
      </c>
      <c r="UY105" t="s">
        <v>1900</v>
      </c>
      <c r="UZ105" t="s">
        <v>1900</v>
      </c>
      <c r="VA105" t="s">
        <v>1900</v>
      </c>
      <c r="VB105" t="s">
        <v>1900</v>
      </c>
      <c r="VC105" t="s">
        <v>1900</v>
      </c>
      <c r="VD105" t="s">
        <v>1900</v>
      </c>
      <c r="VE105" t="s">
        <v>1900</v>
      </c>
      <c r="VF105" t="s">
        <v>1900</v>
      </c>
      <c r="VG105" t="s">
        <v>1900</v>
      </c>
      <c r="VH105" t="s">
        <v>1900</v>
      </c>
      <c r="VI105" t="s">
        <v>1900</v>
      </c>
      <c r="VJ105" t="s">
        <v>1900</v>
      </c>
      <c r="VK105" t="s">
        <v>1900</v>
      </c>
      <c r="VL105" t="s">
        <v>1900</v>
      </c>
      <c r="VM105" t="s">
        <v>1900</v>
      </c>
      <c r="VN105" t="s">
        <v>1900</v>
      </c>
      <c r="VO105" t="s">
        <v>1900</v>
      </c>
      <c r="VP105" t="s">
        <v>1900</v>
      </c>
      <c r="VQ105" t="s">
        <v>1900</v>
      </c>
      <c r="VR105" t="s">
        <v>1900</v>
      </c>
      <c r="VS105" t="s">
        <v>1900</v>
      </c>
      <c r="VT105" t="s">
        <v>1900</v>
      </c>
      <c r="VU105" t="s">
        <v>1900</v>
      </c>
      <c r="VV105" t="s">
        <v>1900</v>
      </c>
      <c r="VW105" t="s">
        <v>1900</v>
      </c>
      <c r="VX105" t="s">
        <v>1900</v>
      </c>
      <c r="VY105" t="s">
        <v>1900</v>
      </c>
      <c r="VZ105" t="s">
        <v>1900</v>
      </c>
      <c r="WA105" t="s">
        <v>1900</v>
      </c>
      <c r="WB105">
        <v>248657.311294346</v>
      </c>
      <c r="WC105">
        <v>201122.159244001</v>
      </c>
      <c r="WD105">
        <v>109492.481127691</v>
      </c>
      <c r="WE105" t="s">
        <v>1900</v>
      </c>
      <c r="WF105" t="s">
        <v>1900</v>
      </c>
      <c r="WG105" t="s">
        <v>1900</v>
      </c>
      <c r="WH105" t="s">
        <v>1900</v>
      </c>
      <c r="WI105" t="s">
        <v>1900</v>
      </c>
      <c r="WJ105" t="s">
        <v>1900</v>
      </c>
      <c r="WK105" t="s">
        <v>1900</v>
      </c>
      <c r="WL105" t="s">
        <v>1900</v>
      </c>
      <c r="WM105" t="s">
        <v>1900</v>
      </c>
      <c r="WN105" t="s">
        <v>1900</v>
      </c>
      <c r="WO105" t="s">
        <v>1900</v>
      </c>
      <c r="WP105" t="s">
        <v>1900</v>
      </c>
      <c r="WQ105" t="s">
        <v>1900</v>
      </c>
      <c r="WR105" t="s">
        <v>1900</v>
      </c>
      <c r="WS105" t="s">
        <v>1900</v>
      </c>
      <c r="WT105" t="s">
        <v>1900</v>
      </c>
      <c r="WU105" t="s">
        <v>1900</v>
      </c>
      <c r="WV105" t="s">
        <v>1900</v>
      </c>
      <c r="WW105" t="s">
        <v>1900</v>
      </c>
      <c r="WX105" t="s">
        <v>1900</v>
      </c>
      <c r="WY105" t="s">
        <v>1900</v>
      </c>
      <c r="WZ105" t="s">
        <v>1900</v>
      </c>
      <c r="XA105" t="s">
        <v>1900</v>
      </c>
      <c r="XB105" t="s">
        <v>1900</v>
      </c>
      <c r="XC105" t="s">
        <v>1900</v>
      </c>
      <c r="XD105" t="s">
        <v>1900</v>
      </c>
      <c r="XE105" t="s">
        <v>1900</v>
      </c>
      <c r="XF105" t="s">
        <v>1900</v>
      </c>
      <c r="XG105" t="s">
        <v>1900</v>
      </c>
      <c r="XH105" t="s">
        <v>1900</v>
      </c>
      <c r="XI105" t="s">
        <v>1900</v>
      </c>
      <c r="XJ105" t="s">
        <v>1900</v>
      </c>
      <c r="XK105">
        <v>136.799061393738</v>
      </c>
      <c r="XL105">
        <v>2199.11482489109</v>
      </c>
      <c r="XM105">
        <v>2248.95912652016</v>
      </c>
      <c r="XN105" t="s">
        <v>1900</v>
      </c>
      <c r="XO105" t="s">
        <v>1900</v>
      </c>
      <c r="XP105" t="s">
        <v>1900</v>
      </c>
      <c r="XQ105" t="s">
        <v>1900</v>
      </c>
      <c r="XR105" t="s">
        <v>1900</v>
      </c>
      <c r="XS105" t="s">
        <v>1900</v>
      </c>
      <c r="XT105" t="s">
        <v>1900</v>
      </c>
      <c r="XU105" t="s">
        <v>1900</v>
      </c>
      <c r="XV105" t="s">
        <v>1900</v>
      </c>
      <c r="XW105" t="s">
        <v>1900</v>
      </c>
      <c r="XX105" t="s">
        <v>1900</v>
      </c>
      <c r="XY105" t="s">
        <v>1900</v>
      </c>
      <c r="XZ105" t="s">
        <v>1900</v>
      </c>
      <c r="YA105" t="s">
        <v>1900</v>
      </c>
      <c r="YB105" t="s">
        <v>1900</v>
      </c>
      <c r="YC105" t="s">
        <v>1900</v>
      </c>
      <c r="YD105" t="s">
        <v>1900</v>
      </c>
      <c r="YE105" t="s">
        <v>1900</v>
      </c>
      <c r="YF105" t="s">
        <v>1900</v>
      </c>
      <c r="YG105" t="s">
        <v>1900</v>
      </c>
      <c r="YH105" t="s">
        <v>1900</v>
      </c>
      <c r="YI105" t="s">
        <v>1900</v>
      </c>
      <c r="YJ105" t="s">
        <v>1900</v>
      </c>
      <c r="YK105" t="s">
        <v>1900</v>
      </c>
      <c r="YL105" t="s">
        <v>1900</v>
      </c>
      <c r="YM105" t="s">
        <v>1900</v>
      </c>
      <c r="YN105" t="s">
        <v>1900</v>
      </c>
      <c r="YO105" t="s">
        <v>1900</v>
      </c>
      <c r="YP105" t="s">
        <v>1900</v>
      </c>
      <c r="YQ105" t="s">
        <v>1900</v>
      </c>
      <c r="YR105" t="s">
        <v>1900</v>
      </c>
      <c r="YS105" t="s">
        <v>1900</v>
      </c>
      <c r="YT105" t="s">
        <v>1900</v>
      </c>
      <c r="YU105" t="s">
        <v>1900</v>
      </c>
      <c r="YV105" t="s">
        <v>1900</v>
      </c>
      <c r="YW105" t="s">
        <v>1900</v>
      </c>
      <c r="YX105" t="s">
        <v>1900</v>
      </c>
      <c r="YY105" t="s">
        <v>1900</v>
      </c>
      <c r="YZ105" t="s">
        <v>1900</v>
      </c>
      <c r="ZA105" t="s">
        <v>1900</v>
      </c>
      <c r="ZB105" t="s">
        <v>1900</v>
      </c>
      <c r="ZC105" t="s">
        <v>1900</v>
      </c>
      <c r="ZD105" t="s">
        <v>1900</v>
      </c>
      <c r="ZE105" t="s">
        <v>1900</v>
      </c>
      <c r="ZF105" t="s">
        <v>1900</v>
      </c>
      <c r="ZG105" t="s">
        <v>1900</v>
      </c>
      <c r="ZH105" t="s">
        <v>1900</v>
      </c>
      <c r="ZI105" t="s">
        <v>1900</v>
      </c>
      <c r="ZJ105" t="s">
        <v>1900</v>
      </c>
      <c r="ZK105" t="s">
        <v>1900</v>
      </c>
      <c r="ZL105" t="s">
        <v>1900</v>
      </c>
      <c r="ZM105" t="s">
        <v>1900</v>
      </c>
      <c r="ZN105" t="s">
        <v>1900</v>
      </c>
      <c r="ZO105" t="s">
        <v>1900</v>
      </c>
      <c r="ZP105" t="s">
        <v>1900</v>
      </c>
      <c r="ZQ105" t="s">
        <v>1900</v>
      </c>
      <c r="ZR105" t="s">
        <v>1900</v>
      </c>
      <c r="ZS105" t="s">
        <v>1900</v>
      </c>
      <c r="ZT105" t="s">
        <v>1900</v>
      </c>
      <c r="ZU105" t="s">
        <v>1900</v>
      </c>
      <c r="ZV105" t="s">
        <v>1900</v>
      </c>
      <c r="ZW105" t="s">
        <v>1900</v>
      </c>
      <c r="ZX105" t="s">
        <v>1900</v>
      </c>
      <c r="ZY105" t="s">
        <v>1900</v>
      </c>
      <c r="ZZ105" t="s">
        <v>1900</v>
      </c>
      <c r="AAA105" t="s">
        <v>1900</v>
      </c>
      <c r="AAB105" t="s">
        <v>1900</v>
      </c>
      <c r="AAC105" t="s">
        <v>1900</v>
      </c>
      <c r="AAD105" t="s">
        <v>1900</v>
      </c>
      <c r="AAE105" t="s">
        <v>1900</v>
      </c>
      <c r="AAF105" t="s">
        <v>1900</v>
      </c>
      <c r="AAG105" t="s">
        <v>1900</v>
      </c>
      <c r="AAH105" t="s">
        <v>1900</v>
      </c>
      <c r="AAI105" t="s">
        <v>1900</v>
      </c>
      <c r="AAJ105" t="s">
        <v>1900</v>
      </c>
      <c r="AAK105" t="s">
        <v>1900</v>
      </c>
      <c r="AAL105" t="s">
        <v>1900</v>
      </c>
      <c r="AAM105" t="s">
        <v>1900</v>
      </c>
      <c r="AAN105" t="s">
        <v>1900</v>
      </c>
      <c r="AAO105" t="s">
        <v>1900</v>
      </c>
      <c r="AAP105" t="s">
        <v>1900</v>
      </c>
      <c r="AAQ105" t="s">
        <v>1900</v>
      </c>
      <c r="AAR105" t="s">
        <v>1900</v>
      </c>
      <c r="AAS105" t="s">
        <v>1900</v>
      </c>
      <c r="AAT105" t="s">
        <v>1900</v>
      </c>
      <c r="AAU105" t="s">
        <v>1900</v>
      </c>
      <c r="AAV105" t="s">
        <v>1900</v>
      </c>
      <c r="AAW105" t="s">
        <v>1900</v>
      </c>
      <c r="AAX105" t="s">
        <v>1900</v>
      </c>
      <c r="AAY105" t="s">
        <v>1900</v>
      </c>
      <c r="AAZ105" t="s">
        <v>1900</v>
      </c>
      <c r="ABA105" t="s">
        <v>1900</v>
      </c>
      <c r="ABB105" t="s">
        <v>1900</v>
      </c>
      <c r="ABC105" t="s">
        <v>1900</v>
      </c>
      <c r="ABD105" t="s">
        <v>1900</v>
      </c>
      <c r="ABE105" t="s">
        <v>1900</v>
      </c>
      <c r="ABF105" t="s">
        <v>1900</v>
      </c>
      <c r="ABG105" t="s">
        <v>1900</v>
      </c>
      <c r="ABH105" t="s">
        <v>1900</v>
      </c>
      <c r="ABI105" t="s">
        <v>1900</v>
      </c>
      <c r="ABJ105" t="s">
        <v>1900</v>
      </c>
      <c r="ABK105" t="s">
        <v>1900</v>
      </c>
      <c r="ABL105" t="s">
        <v>1900</v>
      </c>
      <c r="ABM105" t="s">
        <v>1900</v>
      </c>
      <c r="ABN105" t="s">
        <v>1900</v>
      </c>
      <c r="ABO105" t="s">
        <v>1900</v>
      </c>
      <c r="ABP105" t="s">
        <v>1900</v>
      </c>
      <c r="ABQ105" t="s">
        <v>1900</v>
      </c>
      <c r="ABR105" t="s">
        <v>1900</v>
      </c>
      <c r="ABS105" t="s">
        <v>1900</v>
      </c>
      <c r="ABT105" t="s">
        <v>1900</v>
      </c>
      <c r="ABU105" t="s">
        <v>1900</v>
      </c>
      <c r="ABV105" t="s">
        <v>1900</v>
      </c>
      <c r="ABW105" t="s">
        <v>1900</v>
      </c>
      <c r="ABX105" t="s">
        <v>1900</v>
      </c>
      <c r="ABY105" t="s">
        <v>1900</v>
      </c>
      <c r="ABZ105" t="s">
        <v>1900</v>
      </c>
      <c r="ACA105" t="s">
        <v>1900</v>
      </c>
      <c r="ACB105" t="s">
        <v>1900</v>
      </c>
      <c r="ACC105" t="s">
        <v>1900</v>
      </c>
      <c r="ACD105" t="s">
        <v>1900</v>
      </c>
      <c r="ACE105" t="s">
        <v>1900</v>
      </c>
      <c r="ACF105">
        <v>-83.244</v>
      </c>
      <c r="ACG105">
        <v>-74.068</v>
      </c>
      <c r="ACH105">
        <v>-207.988</v>
      </c>
      <c r="ACI105" t="s">
        <v>1900</v>
      </c>
      <c r="ACJ105" t="s">
        <v>1900</v>
      </c>
      <c r="ACK105">
        <v>-46.809</v>
      </c>
      <c r="ACL105">
        <v>-51.58</v>
      </c>
      <c r="ACM105">
        <v>-104.19</v>
      </c>
      <c r="ACN105" t="s">
        <v>1900</v>
      </c>
      <c r="ACO105" t="s">
        <v>1900</v>
      </c>
      <c r="ACP105">
        <v>-46.43</v>
      </c>
      <c r="ACQ105">
        <v>-50.228</v>
      </c>
      <c r="ACR105">
        <v>-87.30500000000001</v>
      </c>
      <c r="ACS105" t="s">
        <v>1900</v>
      </c>
      <c r="ACT105" t="s">
        <v>1900</v>
      </c>
      <c r="ACU105">
        <v>-62.433</v>
      </c>
      <c r="ACV105">
        <v>-56.766</v>
      </c>
      <c r="ACW105">
        <v>-163.669</v>
      </c>
      <c r="ACX105" t="s">
        <v>1900</v>
      </c>
      <c r="ACY105" t="s">
        <v>1900</v>
      </c>
      <c r="ACZ105">
        <v>-34.582</v>
      </c>
      <c r="ADA105">
        <v>-39.128</v>
      </c>
      <c r="ADB105">
        <v>-81.892</v>
      </c>
      <c r="ADC105" t="s">
        <v>1900</v>
      </c>
      <c r="ADD105" t="s">
        <v>1900</v>
      </c>
      <c r="ADE105">
        <v>-34.823</v>
      </c>
      <c r="ADF105">
        <v>-38.495</v>
      </c>
      <c r="ADG105">
        <v>-68.702</v>
      </c>
      <c r="ADH105" t="s">
        <v>1900</v>
      </c>
      <c r="ADI105" t="s">
        <v>1900</v>
      </c>
      <c r="ADJ105" t="s">
        <v>1901</v>
      </c>
      <c r="ADK105" t="s">
        <v>1901</v>
      </c>
      <c r="ADL105" t="s">
        <v>1901</v>
      </c>
      <c r="ADM105" t="s">
        <v>1900</v>
      </c>
      <c r="ADN105" t="s">
        <v>1900</v>
      </c>
      <c r="ADO105">
        <v>86.295</v>
      </c>
      <c r="ADP105">
        <v>99.99299999999999</v>
      </c>
      <c r="ADQ105">
        <v>99.971</v>
      </c>
      <c r="ADR105" t="s">
        <v>1900</v>
      </c>
      <c r="ADS105" t="s">
        <v>1900</v>
      </c>
      <c r="ADT105">
        <v>-140.442851731</v>
      </c>
      <c r="ADU105">
        <v>-131.817451109</v>
      </c>
      <c r="ADV105">
        <v>-117.15841847</v>
      </c>
      <c r="ADW105" t="s">
        <v>1900</v>
      </c>
      <c r="ADX105" t="s">
        <v>1900</v>
      </c>
      <c r="ADY105" t="s">
        <v>1901</v>
      </c>
      <c r="ADZ105" t="s">
        <v>1901</v>
      </c>
      <c r="AEA105" t="s">
        <v>1901</v>
      </c>
      <c r="AEB105" t="s">
        <v>1900</v>
      </c>
      <c r="AEC105" t="s">
        <v>1900</v>
      </c>
      <c r="AED105" t="s">
        <v>1901</v>
      </c>
      <c r="AEE105" t="s">
        <v>1901</v>
      </c>
      <c r="AEF105" t="s">
        <v>1901</v>
      </c>
      <c r="AEG105" t="s">
        <v>1900</v>
      </c>
      <c r="AEH105" t="s">
        <v>1900</v>
      </c>
      <c r="AEI105" t="s">
        <v>1901</v>
      </c>
      <c r="AEJ105" t="s">
        <v>1901</v>
      </c>
      <c r="AEK105">
        <v>-89.69199999999999</v>
      </c>
      <c r="AEL105" t="s">
        <v>1900</v>
      </c>
      <c r="AEM105" t="s">
        <v>1900</v>
      </c>
      <c r="AEN105">
        <v>-58.410075708</v>
      </c>
      <c r="AEO105">
        <v>-56.862609126</v>
      </c>
      <c r="AEP105">
        <v>-53.950668501</v>
      </c>
      <c r="AEQ105" t="s">
        <v>1900</v>
      </c>
      <c r="AER105" t="s">
        <v>1900</v>
      </c>
      <c r="AES105">
        <v>0.380592878</v>
      </c>
      <c r="AET105">
        <v>0.431357837</v>
      </c>
      <c r="AEU105">
        <v>0.460422431</v>
      </c>
      <c r="AEV105" t="s">
        <v>1900</v>
      </c>
      <c r="AEW105" t="s">
        <v>1900</v>
      </c>
      <c r="AEX105" t="s">
        <v>1900</v>
      </c>
      <c r="AEY105" t="s">
        <v>1900</v>
      </c>
      <c r="AEZ105" t="s">
        <v>1900</v>
      </c>
      <c r="AFA105" t="s">
        <v>1900</v>
      </c>
      <c r="AFB105" t="s">
        <v>1900</v>
      </c>
      <c r="AFC105" t="s">
        <v>1900</v>
      </c>
      <c r="AFD105" t="s">
        <v>1900</v>
      </c>
      <c r="AFE105" t="s">
        <v>1900</v>
      </c>
      <c r="AFF105" t="s">
        <v>1900</v>
      </c>
      <c r="AFG105" t="s">
        <v>1900</v>
      </c>
      <c r="AFH105">
        <v>0.333</v>
      </c>
      <c r="AFI105">
        <v>0.391</v>
      </c>
      <c r="AFJ105">
        <v>0.889</v>
      </c>
      <c r="AFK105" t="s">
        <v>1900</v>
      </c>
      <c r="AFL105" t="s">
        <v>1900</v>
      </c>
      <c r="AFM105">
        <v>-22.309</v>
      </c>
      <c r="AFN105">
        <v>-29.873</v>
      </c>
      <c r="AFO105" t="s">
        <v>1901</v>
      </c>
      <c r="AFP105" t="s">
        <v>1900</v>
      </c>
      <c r="AFQ105" t="s">
        <v>1900</v>
      </c>
      <c r="AFR105" t="s">
        <v>1901</v>
      </c>
      <c r="AFS105" t="s">
        <v>1901</v>
      </c>
      <c r="AFT105" t="s">
        <v>1901</v>
      </c>
      <c r="AFU105" t="s">
        <v>1900</v>
      </c>
      <c r="AFV105" t="s">
        <v>1900</v>
      </c>
      <c r="AFW105">
        <v>0</v>
      </c>
      <c r="AFX105">
        <v>0.026</v>
      </c>
      <c r="AFY105">
        <v>0.078</v>
      </c>
      <c r="AFZ105" t="s">
        <v>1900</v>
      </c>
      <c r="AGA105" t="s">
        <v>1900</v>
      </c>
      <c r="AGB105">
        <v>0</v>
      </c>
      <c r="AGC105">
        <v>0.013</v>
      </c>
      <c r="AGD105">
        <v>0.256</v>
      </c>
      <c r="AGE105" t="s">
        <v>1900</v>
      </c>
      <c r="AGF105" t="s">
        <v>1900</v>
      </c>
      <c r="AGG105" t="s">
        <v>1900</v>
      </c>
      <c r="AGH105" t="s">
        <v>1900</v>
      </c>
      <c r="AGI105" t="s">
        <v>1900</v>
      </c>
      <c r="AGJ105" t="s">
        <v>1900</v>
      </c>
      <c r="AGK105" t="s">
        <v>1900</v>
      </c>
      <c r="AGL105" t="s">
        <v>1900</v>
      </c>
      <c r="AGM105" t="s">
        <v>1900</v>
      </c>
      <c r="AGN105" t="s">
        <v>1900</v>
      </c>
      <c r="AGO105" t="s">
        <v>1900</v>
      </c>
      <c r="AGP105" t="s">
        <v>1900</v>
      </c>
      <c r="AGQ105" t="s">
        <v>1900</v>
      </c>
      <c r="AGR105" t="s">
        <v>1900</v>
      </c>
      <c r="AGS105" t="s">
        <v>1900</v>
      </c>
      <c r="AGT105" t="s">
        <v>1900</v>
      </c>
      <c r="AGU105">
        <v>0</v>
      </c>
      <c r="AGV105">
        <v>0</v>
      </c>
      <c r="AGW105">
        <v>0</v>
      </c>
      <c r="AGX105">
        <v>0</v>
      </c>
      <c r="AGY105">
        <v>0</v>
      </c>
      <c r="AGZ105" t="s">
        <v>1900</v>
      </c>
      <c r="AHA105">
        <v>1.192</v>
      </c>
      <c r="AHB105">
        <v>9.257999999999999</v>
      </c>
      <c r="AHC105">
        <v>0.75</v>
      </c>
      <c r="AHD105" t="s">
        <v>1900</v>
      </c>
      <c r="AHE105" t="s">
        <v>1900</v>
      </c>
      <c r="AHF105">
        <v>1.192</v>
      </c>
      <c r="AHG105">
        <v>9.257999999999999</v>
      </c>
      <c r="AHH105">
        <v>0.75</v>
      </c>
      <c r="AHI105" t="s">
        <v>1900</v>
      </c>
      <c r="AHJ105" t="s">
        <v>1900</v>
      </c>
      <c r="AHK105">
        <v>1.424</v>
      </c>
      <c r="AHL105">
        <v>2.568</v>
      </c>
      <c r="AHM105">
        <v>1.013</v>
      </c>
      <c r="AHN105" t="s">
        <v>1900</v>
      </c>
      <c r="AHO105" t="s">
        <v>1900</v>
      </c>
      <c r="AHP105">
        <v>55.776</v>
      </c>
      <c r="AHQ105">
        <v>67.813</v>
      </c>
      <c r="AHR105">
        <v>41.976</v>
      </c>
      <c r="AHS105" t="s">
        <v>1900</v>
      </c>
      <c r="AHT105" t="s">
        <v>1900</v>
      </c>
      <c r="AHU105" t="s">
        <v>1901</v>
      </c>
      <c r="AHV105" t="s">
        <v>1901</v>
      </c>
      <c r="AHW105">
        <v>72.342</v>
      </c>
      <c r="AHX105" t="s">
        <v>1900</v>
      </c>
      <c r="AHY105" t="s">
        <v>1900</v>
      </c>
      <c r="AHZ105">
        <v>70.20699999999999</v>
      </c>
      <c r="AIA105">
        <v>38.948</v>
      </c>
      <c r="AIB105">
        <v>98.762</v>
      </c>
      <c r="AIC105" t="s">
        <v>1900</v>
      </c>
      <c r="AID105" t="s">
        <v>1900</v>
      </c>
      <c r="AIE105">
        <v>23.123987477</v>
      </c>
      <c r="AIF105">
        <v>15.726836684</v>
      </c>
      <c r="AIG105">
        <v>22.269787603</v>
      </c>
      <c r="AIH105" t="s">
        <v>1900</v>
      </c>
      <c r="AII105" t="s">
        <v>1900</v>
      </c>
      <c r="AIJ105">
        <v>6.037471922</v>
      </c>
      <c r="AIK105">
        <v>53.463657383</v>
      </c>
      <c r="AIL105">
        <v>12.417207275</v>
      </c>
      <c r="AIM105" t="s">
        <v>1900</v>
      </c>
      <c r="AIN105" t="s">
        <v>1900</v>
      </c>
      <c r="AIO105">
        <v>5.065024661</v>
      </c>
      <c r="AIP105">
        <v>5.774069068</v>
      </c>
      <c r="AIQ105">
        <v>16.515415577</v>
      </c>
      <c r="AIR105" t="s">
        <v>1900</v>
      </c>
      <c r="AIS105" t="s">
        <v>1900</v>
      </c>
      <c r="AIT105">
        <v>0</v>
      </c>
      <c r="AIU105">
        <v>0</v>
      </c>
      <c r="AIV105">
        <v>0</v>
      </c>
      <c r="AIW105" t="s">
        <v>1900</v>
      </c>
      <c r="AIX105" t="s">
        <v>1900</v>
      </c>
      <c r="AIY105">
        <v>-33.5205071785917</v>
      </c>
      <c r="AIZ105">
        <v>-40.6868560569346</v>
      </c>
      <c r="AJA105">
        <v>-30.4635142266655</v>
      </c>
      <c r="AJB105" t="s">
        <v>1900</v>
      </c>
      <c r="AJC105" t="s">
        <v>1900</v>
      </c>
      <c r="AJD105">
        <v>22.8437548119965</v>
      </c>
      <c r="AJE105">
        <v>29.866292776311</v>
      </c>
      <c r="AJF105">
        <v>25.8896290732026</v>
      </c>
      <c r="AJG105" t="s">
        <v>1900</v>
      </c>
      <c r="AJH105" t="s">
        <v>1900</v>
      </c>
      <c r="AJI105" t="s">
        <v>1901</v>
      </c>
      <c r="AJJ105" t="s">
        <v>1901</v>
      </c>
      <c r="AJK105" t="s">
        <v>1901</v>
      </c>
      <c r="AJL105" t="s">
        <v>1900</v>
      </c>
      <c r="AJM105" t="s">
        <v>1900</v>
      </c>
      <c r="AJN105">
        <v>31.7587474279356</v>
      </c>
      <c r="AJO105">
        <v>36.869761005131</v>
      </c>
      <c r="AJP105">
        <v>33.3477794458509</v>
      </c>
      <c r="AJQ105" t="s">
        <v>1900</v>
      </c>
      <c r="AJR105" t="s">
        <v>1900</v>
      </c>
      <c r="AJS105">
        <v>40.2679219817486</v>
      </c>
      <c r="AJT105">
        <v>54.9316943306321</v>
      </c>
      <c r="AJU105">
        <v>14.6467316787171</v>
      </c>
      <c r="AJV105" t="s">
        <v>1900</v>
      </c>
      <c r="AJW105" t="s">
        <v>1900</v>
      </c>
      <c r="AJX105" t="s">
        <v>1900</v>
      </c>
      <c r="AJY105">
        <v>0.00109006467700005</v>
      </c>
      <c r="AJZ105">
        <v>-0.0127723336672783</v>
      </c>
      <c r="AKA105" t="s">
        <v>1900</v>
      </c>
      <c r="AKB105" t="s">
        <v>1900</v>
      </c>
      <c r="AKC105">
        <v>72.1956040955</v>
      </c>
      <c r="AKD105">
        <v>81.0045652307814</v>
      </c>
      <c r="AKE105">
        <v>34.8932318195915</v>
      </c>
      <c r="AKF105" t="s">
        <v>1900</v>
      </c>
      <c r="AKG105" t="s">
        <v>1900</v>
      </c>
      <c r="AKH105">
        <v>0</v>
      </c>
      <c r="AKI105">
        <v>0</v>
      </c>
      <c r="AKJ105">
        <v>0</v>
      </c>
      <c r="AKK105" t="s">
        <v>1900</v>
      </c>
      <c r="AKL105" t="s">
        <v>1900</v>
      </c>
      <c r="AKM105">
        <v>0</v>
      </c>
      <c r="AKN105">
        <v>0</v>
      </c>
      <c r="AKO105">
        <v>0</v>
      </c>
      <c r="AKP105" t="s">
        <v>1900</v>
      </c>
      <c r="AKQ105" t="s">
        <v>1900</v>
      </c>
      <c r="AKR105">
        <v>0</v>
      </c>
      <c r="AKS105">
        <v>0</v>
      </c>
      <c r="AKT105">
        <v>0</v>
      </c>
      <c r="AKU105" t="s">
        <v>1900</v>
      </c>
      <c r="AKV105" t="s">
        <v>1900</v>
      </c>
      <c r="AKW105">
        <v>220.96873361</v>
      </c>
      <c r="AKX105">
        <v>83.77620937</v>
      </c>
      <c r="AKY105">
        <v>86.870883628</v>
      </c>
      <c r="AKZ105" t="s">
        <v>1900</v>
      </c>
      <c r="ALA105" t="s">
        <v>1900</v>
      </c>
      <c r="ALB105">
        <v>69.91776993400001</v>
      </c>
      <c r="ALC105">
        <v>30.888195595</v>
      </c>
      <c r="ALD105">
        <v>64.455336858</v>
      </c>
      <c r="ALE105" t="s">
        <v>1900</v>
      </c>
      <c r="ALF105" t="s">
        <v>1900</v>
      </c>
      <c r="ALG105">
        <v>2.910011697</v>
      </c>
      <c r="ALH105">
        <v>-0.220650821</v>
      </c>
      <c r="ALI105">
        <v>1.13417991</v>
      </c>
      <c r="ALJ105" t="s">
        <v>1900</v>
      </c>
      <c r="ALK105" t="s">
        <v>1900</v>
      </c>
      <c r="ALL105">
        <v>0.920770667</v>
      </c>
      <c r="ALM105">
        <v>-0.08135371299999999</v>
      </c>
      <c r="ALN105">
        <v>0.841524169</v>
      </c>
      <c r="ALO105" t="s">
        <v>1900</v>
      </c>
      <c r="ALP105" t="s">
        <v>1900</v>
      </c>
      <c r="ALQ105">
        <v>0</v>
      </c>
      <c r="ALR105">
        <v>0.007225549</v>
      </c>
      <c r="ALS105">
        <v>0.021758505</v>
      </c>
      <c r="ALT105" t="s">
        <v>1900</v>
      </c>
      <c r="ALU105" t="s">
        <v>1900</v>
      </c>
      <c r="ALV105" t="s">
        <v>1900</v>
      </c>
      <c r="ALW105">
        <v>49.505747126</v>
      </c>
      <c r="ALX105">
        <v>326.740740741</v>
      </c>
      <c r="ALY105" t="s">
        <v>1900</v>
      </c>
      <c r="ALZ105" t="s">
        <v>1900</v>
      </c>
      <c r="AMA105">
        <v>86.2946955748602</v>
      </c>
      <c r="AMB105">
        <v>99.9934480051746</v>
      </c>
      <c r="AMC105">
        <v>99.9714719522626</v>
      </c>
      <c r="AMD105" t="s">
        <v>1900</v>
      </c>
      <c r="AME105" t="s">
        <v>1900</v>
      </c>
      <c r="AMF105">
        <v>86.39981029282499</v>
      </c>
      <c r="AMG105" t="s">
        <v>1901</v>
      </c>
      <c r="AMH105">
        <v>99.9714719522626</v>
      </c>
      <c r="AMI105" t="s">
        <v>1900</v>
      </c>
      <c r="AMJ105" t="s">
        <v>1900</v>
      </c>
      <c r="AMK105">
        <v>629.644500391898</v>
      </c>
      <c r="AML105">
        <v>1526152.73165167</v>
      </c>
      <c r="AMM105">
        <v>350435.05165456</v>
      </c>
      <c r="AMN105" t="s">
        <v>1900</v>
      </c>
      <c r="AMO105" t="s">
        <v>1900</v>
      </c>
      <c r="AMP105">
        <v>0.380592877536714</v>
      </c>
      <c r="AMQ105">
        <v>0.431357836871569</v>
      </c>
      <c r="AMR105">
        <v>0.460422430332811</v>
      </c>
      <c r="AMS105" t="s">
        <v>1900</v>
      </c>
      <c r="AMT105" t="s">
        <v>1900</v>
      </c>
      <c r="AMU105">
        <v>0.380592877536714</v>
      </c>
      <c r="AMV105">
        <v>0.431357836871569</v>
      </c>
      <c r="AMW105">
        <v>0.46042243139323</v>
      </c>
      <c r="AMX105" t="s">
        <v>1900</v>
      </c>
      <c r="AMY105" t="s">
        <v>1900</v>
      </c>
      <c r="AMZ105">
        <v>0.380592877536714</v>
      </c>
      <c r="ANA105">
        <v>0.431357836871569</v>
      </c>
      <c r="ANB105">
        <v>0.46042243139323</v>
      </c>
      <c r="ANC105" t="s">
        <v>1900</v>
      </c>
      <c r="AND105" t="s">
        <v>1900</v>
      </c>
      <c r="ANE105" t="s">
        <v>1901</v>
      </c>
      <c r="ANF105" t="s">
        <v>1901</v>
      </c>
      <c r="ANG105" t="s">
        <v>1901</v>
      </c>
      <c r="ANH105" t="s">
        <v>1900</v>
      </c>
      <c r="ANI105" t="s">
        <v>1900</v>
      </c>
      <c r="ANJ105" t="s">
        <v>1901</v>
      </c>
      <c r="ANK105" t="s">
        <v>1901</v>
      </c>
      <c r="ANL105" t="s">
        <v>1901</v>
      </c>
      <c r="ANM105" t="s">
        <v>1900</v>
      </c>
      <c r="ANN105" t="s">
        <v>1900</v>
      </c>
      <c r="ANO105">
        <v>-58.4100757082349</v>
      </c>
      <c r="ANP105">
        <v>-56.8626091255962</v>
      </c>
      <c r="ANQ105">
        <v>-53.9506685007107</v>
      </c>
      <c r="ANR105" t="s">
        <v>1900</v>
      </c>
      <c r="ANS105" t="s">
        <v>1900</v>
      </c>
      <c r="ANT105">
        <v>-46.8090835631028</v>
      </c>
      <c r="ANU105">
        <v>-51.5798867608653</v>
      </c>
      <c r="ANV105">
        <v>-104.190074329754</v>
      </c>
      <c r="ANW105" t="s">
        <v>1900</v>
      </c>
      <c r="ANX105" t="s">
        <v>1900</v>
      </c>
      <c r="ANY105">
        <v>86.2946955748602</v>
      </c>
      <c r="ANZ105">
        <v>99.9934480051746</v>
      </c>
      <c r="AOA105">
        <v>99.97147218251131</v>
      </c>
      <c r="AOB105" t="s">
        <v>1900</v>
      </c>
      <c r="AOC105" t="s">
        <v>1900</v>
      </c>
      <c r="AOD105">
        <v>35.8898985573936</v>
      </c>
      <c r="AOE105">
        <v>43.1345645147859</v>
      </c>
      <c r="AOF105">
        <v>46.0361945240164</v>
      </c>
      <c r="AOG105" t="s">
        <v>1900</v>
      </c>
      <c r="AOH105" t="s">
        <v>1900</v>
      </c>
      <c r="AOI105">
        <v>27.3049158276814</v>
      </c>
      <c r="AOJ105">
        <v>36.8674735157035</v>
      </c>
      <c r="AOK105">
        <v>74.17554227415729</v>
      </c>
      <c r="AOL105" t="s">
        <v>1900</v>
      </c>
      <c r="AOM105" t="s">
        <v>1900</v>
      </c>
      <c r="AON105">
        <v>-1024.73354385082</v>
      </c>
      <c r="AOO105">
        <v>-2011867.4483458</v>
      </c>
      <c r="AOP105">
        <v>-410681.323648103</v>
      </c>
      <c r="AOQ105" t="s">
        <v>1900</v>
      </c>
      <c r="AOR105" t="s">
        <v>1900</v>
      </c>
      <c r="AOS105">
        <v>-61.9407122463286</v>
      </c>
      <c r="AOT105">
        <v>-56.8642163128431</v>
      </c>
      <c r="AOU105">
        <v>-53.957756860677</v>
      </c>
      <c r="AOV105" t="s">
        <v>1900</v>
      </c>
      <c r="AOW105" t="s">
        <v>1900</v>
      </c>
      <c r="AOX105">
        <v>-44.438191937249</v>
      </c>
      <c r="AOY105">
        <v>-48.6009482083239</v>
      </c>
      <c r="AOZ105">
        <v>-86.9276909933514</v>
      </c>
      <c r="APA105" t="s">
        <v>1900</v>
      </c>
      <c r="APB105" t="s">
        <v>1900</v>
      </c>
      <c r="APC105">
        <v>-110.05362531418</v>
      </c>
      <c r="APD105">
        <v>-104.407822336012</v>
      </c>
      <c r="APE105">
        <v>-92.5938516267522</v>
      </c>
      <c r="APF105" t="s">
        <v>1900</v>
      </c>
      <c r="APG105" t="s">
        <v>1900</v>
      </c>
      <c r="APH105">
        <v>-110.187680550239</v>
      </c>
      <c r="API105">
        <v>-104.515192386902</v>
      </c>
      <c r="APJ105">
        <v>-92.5938516267522</v>
      </c>
      <c r="APK105" t="s">
        <v>1900</v>
      </c>
      <c r="APL105" t="s">
        <v>1900</v>
      </c>
      <c r="APM105">
        <v>-803.000224586823</v>
      </c>
      <c r="APN105">
        <v>-1593527.2404614</v>
      </c>
      <c r="APO105">
        <v>-324573.90637611</v>
      </c>
      <c r="APP105" t="s">
        <v>1900</v>
      </c>
      <c r="APQ105" t="s">
        <v>1900</v>
      </c>
      <c r="APR105">
        <v>-48.5378917703414</v>
      </c>
      <c r="APS105">
        <v>-45.0400834192682</v>
      </c>
      <c r="APT105">
        <v>-42.6444518294402</v>
      </c>
      <c r="APU105" t="s">
        <v>1900</v>
      </c>
      <c r="APV105" t="s">
        <v>1900</v>
      </c>
      <c r="APW105">
        <v>-45.7712194485105</v>
      </c>
      <c r="APX105">
        <v>-45.0388104245386</v>
      </c>
      <c r="APY105">
        <v>-42.6388496835631</v>
      </c>
      <c r="APZ105" t="s">
        <v>1900</v>
      </c>
      <c r="AQA105" t="s">
        <v>1900</v>
      </c>
      <c r="AQB105">
        <v>-34.8225919996213</v>
      </c>
      <c r="AQC105">
        <v>-38.4950484416339</v>
      </c>
      <c r="AQD105">
        <v>-68.70159077928589</v>
      </c>
      <c r="AQE105" t="s">
        <v>1900</v>
      </c>
      <c r="AQF105" t="s">
        <v>1900</v>
      </c>
      <c r="AQG105">
        <v>-0.619407122463286</v>
      </c>
      <c r="AQH105">
        <v>-0.568642163128431</v>
      </c>
      <c r="AQI105">
        <v>-0.53957756860677</v>
      </c>
      <c r="AQJ105" t="s">
        <v>1900</v>
      </c>
      <c r="AQK105">
        <v>4</v>
      </c>
      <c r="AQO105" t="s">
        <v>1902</v>
      </c>
      <c r="AQP105">
        <v>7</v>
      </c>
      <c r="AQQ105">
        <v>0</v>
      </c>
      <c r="AQS105" t="s">
        <v>1905</v>
      </c>
      <c r="AQU105" t="s">
        <v>1906</v>
      </c>
      <c r="AQV105" t="s">
        <v>1900</v>
      </c>
      <c r="AQW105">
        <v>1553375.35373577</v>
      </c>
      <c r="AQX105">
        <v>1284250.61177996</v>
      </c>
      <c r="AQY105" t="s">
        <v>1900</v>
      </c>
      <c r="AQZ105">
        <v>-2181604.64487736</v>
      </c>
      <c r="ARA105">
        <v>-1692866.422301</v>
      </c>
      <c r="ARB105">
        <v>2837625.96551573</v>
      </c>
      <c r="ARC105">
        <v>-3874471.06717836</v>
      </c>
      <c r="ARD105">
        <v>-0.5772370465304837</v>
      </c>
      <c r="ARE105">
        <v>-0.5772370465304837</v>
      </c>
      <c r="ARF105">
        <v>-0.5772370465304837</v>
      </c>
      <c r="ARG105" t="s">
        <v>1907</v>
      </c>
      <c r="ARH105" t="s">
        <v>1907</v>
      </c>
      <c r="ARI105" t="s">
        <v>1907</v>
      </c>
      <c r="ARJ105" t="s">
        <v>1266</v>
      </c>
      <c r="ARK105" t="s">
        <v>1604</v>
      </c>
      <c r="ARL105" t="s">
        <v>1908</v>
      </c>
      <c r="ARM105" t="s">
        <v>1908</v>
      </c>
      <c r="ARN105" t="s">
        <v>1909</v>
      </c>
      <c r="ARO105" t="s">
        <v>1908</v>
      </c>
      <c r="ARP105" t="s">
        <v>1907</v>
      </c>
      <c r="ARQ105" t="s">
        <v>1998</v>
      </c>
      <c r="ARR105">
        <f>HYPERLINK("C:\Users\Usuario\Documents\Proyectos\llmthon\evidence\senniors_com_235947.png", "Ver Evidencia")</f>
        <v>0</v>
      </c>
      <c r="ARS105">
        <v>100</v>
      </c>
    </row>
    <row r="106" spans="1:1163">
      <c r="A106">
        <v>342</v>
      </c>
      <c r="B106" t="s">
        <v>1267</v>
      </c>
      <c r="C106" t="s">
        <v>1390</v>
      </c>
      <c r="E106" s="2">
        <v>39526</v>
      </c>
      <c r="F106" t="s">
        <v>1431</v>
      </c>
      <c r="G106" t="s">
        <v>1433</v>
      </c>
      <c r="H106" t="s">
        <v>1434</v>
      </c>
      <c r="I106" t="s">
        <v>1435</v>
      </c>
      <c r="J106" t="s">
        <v>1451</v>
      </c>
      <c r="L106" t="s">
        <v>1605</v>
      </c>
      <c r="N106" t="s">
        <v>1631</v>
      </c>
      <c r="O106" t="s">
        <v>1655</v>
      </c>
      <c r="P106">
        <v>6202</v>
      </c>
      <c r="Q106">
        <v>6202</v>
      </c>
      <c r="R106" t="s">
        <v>1773</v>
      </c>
      <c r="Z106" t="s">
        <v>1899</v>
      </c>
      <c r="AA106" s="2">
        <v>45291</v>
      </c>
      <c r="AB106">
        <v>2023</v>
      </c>
      <c r="AC106" t="s">
        <v>1900</v>
      </c>
      <c r="AD106">
        <v>2105608.18052108</v>
      </c>
      <c r="AE106">
        <v>1908699.56965885</v>
      </c>
      <c r="AF106">
        <v>1687458.83095686</v>
      </c>
      <c r="AG106">
        <v>2053059.50656094</v>
      </c>
      <c r="AH106" t="s">
        <v>1900</v>
      </c>
      <c r="AI106">
        <v>2105608.18052108</v>
      </c>
      <c r="AJ106">
        <v>1908699.56965885</v>
      </c>
      <c r="AK106">
        <v>1687458.83095686</v>
      </c>
      <c r="AL106">
        <v>2053059.50656094</v>
      </c>
      <c r="AM106" t="s">
        <v>1900</v>
      </c>
      <c r="AN106">
        <v>640430.717667437</v>
      </c>
      <c r="AO106">
        <v>468769.216502154</v>
      </c>
      <c r="AP106">
        <v>379447.469935799</v>
      </c>
      <c r="AQ106">
        <v>559264.875048405</v>
      </c>
      <c r="AR106" t="s">
        <v>1900</v>
      </c>
      <c r="AS106">
        <v>1465177.46174864</v>
      </c>
      <c r="AT106">
        <v>1439930.35315669</v>
      </c>
      <c r="AU106">
        <v>1308011.36102107</v>
      </c>
      <c r="AV106">
        <v>1493794.63151253</v>
      </c>
      <c r="AW106" t="s">
        <v>1900</v>
      </c>
      <c r="AX106">
        <v>950311.2665380189</v>
      </c>
      <c r="AY106">
        <v>904217.726333183</v>
      </c>
      <c r="AZ106">
        <v>854029.560161591</v>
      </c>
      <c r="BA106">
        <v>886884.178014696</v>
      </c>
      <c r="BB106" t="s">
        <v>1900</v>
      </c>
      <c r="BC106">
        <v>514866.196315622</v>
      </c>
      <c r="BD106">
        <v>535712.626823509</v>
      </c>
      <c r="BE106">
        <v>453981.800859475</v>
      </c>
      <c r="BF106">
        <v>606910.453497839</v>
      </c>
      <c r="BG106" t="s">
        <v>1900</v>
      </c>
      <c r="BH106">
        <v>0</v>
      </c>
      <c r="BI106">
        <v>-7217.11343931556</v>
      </c>
      <c r="BJ106">
        <v>-1427.0763874054</v>
      </c>
      <c r="BK106">
        <v>-2102.7573595047</v>
      </c>
      <c r="BL106" t="s">
        <v>1900</v>
      </c>
      <c r="BM106" t="s">
        <v>1900</v>
      </c>
      <c r="BN106" t="s">
        <v>1900</v>
      </c>
      <c r="BO106">
        <v>288.813078403473</v>
      </c>
      <c r="BP106">
        <v>49.0839719772339</v>
      </c>
      <c r="BQ106" t="s">
        <v>1900</v>
      </c>
      <c r="BR106" t="s">
        <v>1900</v>
      </c>
      <c r="BS106">
        <v>7217.11343931556</v>
      </c>
      <c r="BT106">
        <v>1715.88946580887</v>
      </c>
      <c r="BU106">
        <v>2151.84133148193</v>
      </c>
      <c r="BV106" t="s">
        <v>1900</v>
      </c>
      <c r="BW106">
        <v>514866.196315622</v>
      </c>
      <c r="BX106">
        <v>528495.5133841929</v>
      </c>
      <c r="BY106">
        <v>452554.72447207</v>
      </c>
      <c r="BZ106">
        <v>604807.696138334</v>
      </c>
      <c r="CA106" t="s">
        <v>1900</v>
      </c>
      <c r="CB106">
        <v>128716.546316404</v>
      </c>
      <c r="CC106">
        <v>132123.881012547</v>
      </c>
      <c r="CD106">
        <v>113138.683949518</v>
      </c>
      <c r="CE106">
        <v>143744.191229314</v>
      </c>
      <c r="CF106" t="s">
        <v>1900</v>
      </c>
      <c r="CG106">
        <v>386149.649999218</v>
      </c>
      <c r="CH106">
        <v>396371.632371646</v>
      </c>
      <c r="CI106">
        <v>339416.040522552</v>
      </c>
      <c r="CJ106">
        <v>461063.504909021</v>
      </c>
      <c r="CK106" t="s">
        <v>1900</v>
      </c>
      <c r="CL106" t="s">
        <v>1900</v>
      </c>
      <c r="CM106" t="s">
        <v>1900</v>
      </c>
      <c r="CN106" t="s">
        <v>1900</v>
      </c>
      <c r="CO106" t="s">
        <v>1900</v>
      </c>
      <c r="CP106" t="s">
        <v>1900</v>
      </c>
      <c r="CQ106" t="s">
        <v>1900</v>
      </c>
      <c r="CR106" t="s">
        <v>1900</v>
      </c>
      <c r="CS106" t="s">
        <v>1900</v>
      </c>
      <c r="CT106" t="s">
        <v>1900</v>
      </c>
      <c r="CU106" t="s">
        <v>1900</v>
      </c>
      <c r="CV106" t="s">
        <v>1900</v>
      </c>
      <c r="CW106" t="s">
        <v>1900</v>
      </c>
      <c r="CX106" t="s">
        <v>1900</v>
      </c>
      <c r="CY106" t="s">
        <v>1900</v>
      </c>
      <c r="CZ106" t="s">
        <v>1900</v>
      </c>
      <c r="DA106">
        <v>386149.649999218</v>
      </c>
      <c r="DB106">
        <v>396371.632371646</v>
      </c>
      <c r="DC106">
        <v>339416.040522552</v>
      </c>
      <c r="DD106">
        <v>461063.504909021</v>
      </c>
      <c r="DE106" t="s">
        <v>1900</v>
      </c>
      <c r="DF106" t="s">
        <v>1900</v>
      </c>
      <c r="DG106" t="s">
        <v>1900</v>
      </c>
      <c r="DH106" t="s">
        <v>1900</v>
      </c>
      <c r="DI106" t="s">
        <v>1900</v>
      </c>
      <c r="DJ106" t="s">
        <v>1900</v>
      </c>
      <c r="DK106">
        <v>640430.717667437</v>
      </c>
      <c r="DL106">
        <v>468769.216502154</v>
      </c>
      <c r="DM106">
        <v>379447.469935799</v>
      </c>
      <c r="DN106">
        <v>559264.875048405</v>
      </c>
      <c r="DO106" t="s">
        <v>1900</v>
      </c>
      <c r="DP106">
        <v>701868.822590103</v>
      </c>
      <c r="DQ106">
        <v>636329.5749267041</v>
      </c>
      <c r="DR106">
        <v>681699.99491365</v>
      </c>
      <c r="DS106">
        <v>701566.328818399</v>
      </c>
      <c r="DT106" t="s">
        <v>1900</v>
      </c>
      <c r="DU106">
        <v>25395.7070472813</v>
      </c>
      <c r="DV106">
        <v>25818.9818243623</v>
      </c>
      <c r="DW106">
        <v>28271.311966753</v>
      </c>
      <c r="DX106">
        <v>31145.4613455951</v>
      </c>
      <c r="DY106" t="s">
        <v>1900</v>
      </c>
      <c r="DZ106">
        <v>223046.736900635</v>
      </c>
      <c r="EA106">
        <v>242069.169582117</v>
      </c>
      <c r="EB106">
        <v>144058.253281188</v>
      </c>
      <c r="EC106">
        <v>154172.387850702</v>
      </c>
      <c r="ED106" t="s">
        <v>1900</v>
      </c>
      <c r="EE106" t="s">
        <v>1900</v>
      </c>
      <c r="EF106">
        <v>7217.11343931556</v>
      </c>
      <c r="EG106">
        <v>1715.88946580887</v>
      </c>
      <c r="EH106">
        <v>2151.84133148193</v>
      </c>
      <c r="EI106" t="s">
        <v>1900</v>
      </c>
      <c r="EJ106" t="s">
        <v>1900</v>
      </c>
      <c r="EK106" t="s">
        <v>1900</v>
      </c>
      <c r="EL106" t="s">
        <v>1900</v>
      </c>
      <c r="EM106" t="s">
        <v>1900</v>
      </c>
      <c r="EN106" t="s">
        <v>1900</v>
      </c>
      <c r="EO106">
        <v>411545.355941499</v>
      </c>
      <c r="EP106">
        <v>422190.614196008</v>
      </c>
      <c r="EQ106">
        <v>367687.352489305</v>
      </c>
      <c r="ER106">
        <v>492208.965027517</v>
      </c>
      <c r="ES106" t="s">
        <v>1900</v>
      </c>
      <c r="ET106">
        <v>1242130.72595301</v>
      </c>
      <c r="EU106">
        <v>1197861.18357458</v>
      </c>
      <c r="EV106">
        <v>1164241.92081828</v>
      </c>
      <c r="EW106">
        <v>1339671.32763381</v>
      </c>
      <c r="EX106" t="s">
        <v>1900</v>
      </c>
      <c r="EY106">
        <v>540261.902257903</v>
      </c>
      <c r="EZ106">
        <v>561531.607581272</v>
      </c>
      <c r="FA106">
        <v>482253.112826228</v>
      </c>
      <c r="FB106">
        <v>638055.914843434</v>
      </c>
      <c r="FC106" t="s">
        <v>1900</v>
      </c>
      <c r="FD106">
        <v>990913.371609745</v>
      </c>
      <c r="FE106">
        <v>976388.786064374</v>
      </c>
      <c r="FF106">
        <v>1056820.77311089</v>
      </c>
      <c r="FG106">
        <v>1163670.53664327</v>
      </c>
      <c r="FH106" t="s">
        <v>1900</v>
      </c>
      <c r="FI106">
        <v>0</v>
      </c>
      <c r="FJ106">
        <v>0</v>
      </c>
      <c r="FK106">
        <v>0</v>
      </c>
      <c r="FL106">
        <v>0</v>
      </c>
      <c r="FM106" t="s">
        <v>1900</v>
      </c>
      <c r="FN106">
        <v>988781.8477531431</v>
      </c>
      <c r="FO106">
        <v>974331.336983514</v>
      </c>
      <c r="FP106">
        <v>1054697.1701864</v>
      </c>
      <c r="FQ106">
        <v>1161369.74999882</v>
      </c>
      <c r="FR106" t="s">
        <v>1900</v>
      </c>
      <c r="FS106">
        <v>2131.52385660172</v>
      </c>
      <c r="FT106">
        <v>2057.44908086061</v>
      </c>
      <c r="FU106">
        <v>2123.60292448998</v>
      </c>
      <c r="FV106">
        <v>2300.78664444685</v>
      </c>
      <c r="FW106" t="s">
        <v>1900</v>
      </c>
      <c r="FX106">
        <v>0</v>
      </c>
      <c r="FY106">
        <v>0</v>
      </c>
      <c r="FZ106">
        <v>0</v>
      </c>
      <c r="GA106">
        <v>0</v>
      </c>
      <c r="GB106" t="s">
        <v>1900</v>
      </c>
      <c r="GC106">
        <v>988781.8477531431</v>
      </c>
      <c r="GD106">
        <v>974331.336983514</v>
      </c>
      <c r="GE106">
        <v>1054697.1701864</v>
      </c>
      <c r="GF106">
        <v>1161369.74999882</v>
      </c>
      <c r="GG106" t="s">
        <v>1900</v>
      </c>
      <c r="GH106">
        <v>2131.52385660172</v>
      </c>
      <c r="GI106">
        <v>2057.44908086061</v>
      </c>
      <c r="GJ106">
        <v>2123.60292448998</v>
      </c>
      <c r="GK106">
        <v>2300.78664444685</v>
      </c>
      <c r="GL106" t="s">
        <v>1900</v>
      </c>
      <c r="GM106">
        <v>845876.675169058</v>
      </c>
      <c r="GN106">
        <v>839271.811535454</v>
      </c>
      <c r="GO106">
        <v>1014324.87338462</v>
      </c>
      <c r="GP106">
        <v>1082267.32148557</v>
      </c>
      <c r="GQ106" t="s">
        <v>1900</v>
      </c>
      <c r="GR106">
        <v>16865.0479688263</v>
      </c>
      <c r="GS106">
        <v>13620.230147177</v>
      </c>
      <c r="GT106">
        <v>7072.22814388275</v>
      </c>
      <c r="GU106">
        <v>9311.91665968895</v>
      </c>
      <c r="GV106" t="s">
        <v>1900</v>
      </c>
      <c r="GW106">
        <v>466447.505585909</v>
      </c>
      <c r="GX106">
        <v>503279.064276743</v>
      </c>
      <c r="GY106">
        <v>620954.076045084</v>
      </c>
      <c r="GZ106">
        <v>774518.9528566659</v>
      </c>
      <c r="HA106" t="s">
        <v>1900</v>
      </c>
      <c r="HB106">
        <v>362564.121614323</v>
      </c>
      <c r="HC106">
        <v>322372.517111534</v>
      </c>
      <c r="HD106">
        <v>386298.569195652</v>
      </c>
      <c r="HE106">
        <v>298436.451969212</v>
      </c>
      <c r="HF106" t="s">
        <v>1900</v>
      </c>
      <c r="HG106">
        <v>362564.121614323</v>
      </c>
      <c r="HH106">
        <v>322372.517111534</v>
      </c>
      <c r="HI106">
        <v>386298.557869649</v>
      </c>
      <c r="HJ106">
        <v>298436.439698219</v>
      </c>
      <c r="HK106" t="s">
        <v>1900</v>
      </c>
      <c r="HL106">
        <v>1836790.0467788</v>
      </c>
      <c r="HM106">
        <v>1815660.59759983</v>
      </c>
      <c r="HN106">
        <v>2071145.64649551</v>
      </c>
      <c r="HO106">
        <v>2245937.85812883</v>
      </c>
      <c r="HP106" t="s">
        <v>1900</v>
      </c>
      <c r="HQ106">
        <v>1415674.88818749</v>
      </c>
      <c r="HR106">
        <v>1527046.89289922</v>
      </c>
      <c r="HS106">
        <v>1539741.54249237</v>
      </c>
      <c r="HT106">
        <v>1484540.0694741</v>
      </c>
      <c r="HU106" t="s">
        <v>1900</v>
      </c>
      <c r="HV106">
        <v>198900.089263916</v>
      </c>
      <c r="HW106">
        <v>191987.907886505</v>
      </c>
      <c r="HX106">
        <v>203868.055343628</v>
      </c>
      <c r="HY106">
        <v>220877.873897552</v>
      </c>
      <c r="HZ106" t="s">
        <v>1900</v>
      </c>
      <c r="IA106">
        <v>1216774.79892358</v>
      </c>
      <c r="IB106">
        <v>1335058.98501272</v>
      </c>
      <c r="IC106">
        <v>1335873.48714874</v>
      </c>
      <c r="ID106">
        <v>1263662.19557655</v>
      </c>
      <c r="IE106" t="s">
        <v>1900</v>
      </c>
      <c r="IF106">
        <v>5234.38734912872</v>
      </c>
      <c r="IG106">
        <v>3366.18798494339</v>
      </c>
      <c r="IH106">
        <v>339780.09223938</v>
      </c>
      <c r="II106">
        <v>429484.754800797</v>
      </c>
      <c r="IJ106" t="s">
        <v>1900</v>
      </c>
      <c r="IK106">
        <v>0</v>
      </c>
      <c r="IL106">
        <v>0</v>
      </c>
      <c r="IM106">
        <v>339780.09223938</v>
      </c>
      <c r="IN106">
        <v>429484.754800797</v>
      </c>
      <c r="IO106" t="s">
        <v>1900</v>
      </c>
      <c r="IP106">
        <v>5234.38734912872</v>
      </c>
      <c r="IQ106">
        <v>3366.18798494339</v>
      </c>
      <c r="IR106">
        <v>0</v>
      </c>
      <c r="IS106">
        <v>0</v>
      </c>
      <c r="IT106" t="s">
        <v>1900</v>
      </c>
      <c r="IU106">
        <v>5234.38734912872</v>
      </c>
      <c r="IV106">
        <v>3366.18798494339</v>
      </c>
      <c r="IW106">
        <v>0</v>
      </c>
      <c r="IX106">
        <v>0</v>
      </c>
      <c r="IY106" t="s">
        <v>1900</v>
      </c>
      <c r="IZ106">
        <v>415880.77124218</v>
      </c>
      <c r="JA106">
        <v>285247.516715664</v>
      </c>
      <c r="JB106">
        <v>191624.011763763</v>
      </c>
      <c r="JC106">
        <v>331913.033853936</v>
      </c>
      <c r="JD106" t="s">
        <v>1900</v>
      </c>
      <c r="JE106">
        <v>0</v>
      </c>
      <c r="JF106">
        <v>0</v>
      </c>
      <c r="JG106">
        <v>0</v>
      </c>
      <c r="JH106">
        <v>0</v>
      </c>
      <c r="JI106" t="s">
        <v>1900</v>
      </c>
      <c r="JJ106">
        <v>167764.015140429</v>
      </c>
      <c r="JK106">
        <v>97982.27671127921</v>
      </c>
      <c r="JL106">
        <v>28649.6457734585</v>
      </c>
      <c r="JM106">
        <v>154393.35162155</v>
      </c>
      <c r="JN106" t="s">
        <v>1900</v>
      </c>
      <c r="JO106">
        <v>248116.756101751</v>
      </c>
      <c r="JP106">
        <v>187265.240004385</v>
      </c>
      <c r="JQ106">
        <v>162974.365990305</v>
      </c>
      <c r="JR106">
        <v>177519.682232386</v>
      </c>
      <c r="JS106" t="s">
        <v>1900</v>
      </c>
      <c r="JT106">
        <v>1836790.0467788</v>
      </c>
      <c r="JU106">
        <v>1815660.59759983</v>
      </c>
      <c r="JV106">
        <v>2071145.64649551</v>
      </c>
      <c r="JW106">
        <v>2245937.85812883</v>
      </c>
      <c r="JX106" t="s">
        <v>1900</v>
      </c>
      <c r="JY106">
        <v>315548.538414307</v>
      </c>
      <c r="JZ106">
        <v>418917.017712641</v>
      </c>
      <c r="KA106">
        <v>599376.658415508</v>
      </c>
      <c r="KB106">
        <v>629437.517894804</v>
      </c>
      <c r="KC106" t="s">
        <v>1900</v>
      </c>
      <c r="KD106" t="s">
        <v>1900</v>
      </c>
      <c r="KE106" t="s">
        <v>1900</v>
      </c>
      <c r="KF106" t="s">
        <v>1900</v>
      </c>
      <c r="KG106" t="s">
        <v>1900</v>
      </c>
      <c r="KH106" t="s">
        <v>1900</v>
      </c>
      <c r="KI106" t="s">
        <v>1900</v>
      </c>
      <c r="KJ106" t="s">
        <v>1900</v>
      </c>
      <c r="KK106" t="s">
        <v>1900</v>
      </c>
      <c r="KL106" t="s">
        <v>1900</v>
      </c>
      <c r="KM106" t="s">
        <v>1900</v>
      </c>
      <c r="KN106">
        <v>11</v>
      </c>
      <c r="KO106">
        <v>11</v>
      </c>
      <c r="KP106">
        <v>12</v>
      </c>
      <c r="KQ106">
        <v>13</v>
      </c>
      <c r="KR106" t="s">
        <v>1900</v>
      </c>
      <c r="KS106" t="s">
        <v>1900</v>
      </c>
      <c r="KT106" t="s">
        <v>1900</v>
      </c>
      <c r="KU106" t="s">
        <v>1900</v>
      </c>
      <c r="KV106" t="s">
        <v>1900</v>
      </c>
      <c r="KW106" t="s">
        <v>1900</v>
      </c>
      <c r="KX106" t="s">
        <v>1900</v>
      </c>
      <c r="KY106" t="s">
        <v>1900</v>
      </c>
      <c r="KZ106" t="s">
        <v>1900</v>
      </c>
      <c r="LA106" t="s">
        <v>1900</v>
      </c>
      <c r="LB106" t="s">
        <v>1900</v>
      </c>
      <c r="LC106" t="s">
        <v>1900</v>
      </c>
      <c r="LD106" t="s">
        <v>1900</v>
      </c>
      <c r="LE106" t="s">
        <v>1900</v>
      </c>
      <c r="LF106" t="s">
        <v>1900</v>
      </c>
      <c r="LG106" t="s">
        <v>1900</v>
      </c>
      <c r="LH106" t="s">
        <v>1900</v>
      </c>
      <c r="LI106" t="s">
        <v>1900</v>
      </c>
      <c r="LJ106" t="s">
        <v>1900</v>
      </c>
      <c r="LK106" t="s">
        <v>1900</v>
      </c>
      <c r="LL106" t="s">
        <v>1900</v>
      </c>
      <c r="LM106" t="s">
        <v>1900</v>
      </c>
      <c r="LN106" t="s">
        <v>1900</v>
      </c>
      <c r="LO106" t="s">
        <v>1900</v>
      </c>
      <c r="LP106" t="s">
        <v>1900</v>
      </c>
      <c r="LQ106" t="s">
        <v>1900</v>
      </c>
      <c r="LR106" t="s">
        <v>1900</v>
      </c>
      <c r="LS106" t="s">
        <v>1900</v>
      </c>
      <c r="LT106" t="s">
        <v>1900</v>
      </c>
      <c r="LU106" t="s">
        <v>1900</v>
      </c>
      <c r="LV106" t="s">
        <v>1900</v>
      </c>
      <c r="LW106" t="s">
        <v>1900</v>
      </c>
      <c r="LX106" t="s">
        <v>1900</v>
      </c>
      <c r="LY106" t="s">
        <v>1900</v>
      </c>
      <c r="LZ106" t="s">
        <v>1900</v>
      </c>
      <c r="MA106" t="s">
        <v>1900</v>
      </c>
      <c r="MB106" t="s">
        <v>1900</v>
      </c>
      <c r="MC106" t="s">
        <v>1900</v>
      </c>
      <c r="MD106" t="s">
        <v>1900</v>
      </c>
      <c r="ME106" t="s">
        <v>1900</v>
      </c>
      <c r="MF106" t="s">
        <v>1900</v>
      </c>
      <c r="MG106" t="s">
        <v>1900</v>
      </c>
      <c r="MH106" t="s">
        <v>1900</v>
      </c>
      <c r="MI106" t="s">
        <v>1900</v>
      </c>
      <c r="MJ106" t="s">
        <v>1900</v>
      </c>
      <c r="MK106" t="s">
        <v>1900</v>
      </c>
      <c r="ML106" t="s">
        <v>1900</v>
      </c>
      <c r="MM106" t="s">
        <v>1900</v>
      </c>
      <c r="MN106" t="s">
        <v>1900</v>
      </c>
      <c r="MO106" t="s">
        <v>1900</v>
      </c>
      <c r="MP106" t="s">
        <v>1900</v>
      </c>
      <c r="MQ106">
        <v>362564.121614323</v>
      </c>
      <c r="MR106">
        <v>322372.517111534</v>
      </c>
      <c r="MS106">
        <v>386298.569195652</v>
      </c>
      <c r="MT106">
        <v>298436.451969212</v>
      </c>
      <c r="MU106" t="s">
        <v>1900</v>
      </c>
      <c r="MV106" t="s">
        <v>1900</v>
      </c>
      <c r="MW106" t="s">
        <v>1900</v>
      </c>
      <c r="MX106" t="s">
        <v>1900</v>
      </c>
      <c r="MY106" t="s">
        <v>1900</v>
      </c>
      <c r="MZ106" t="s">
        <v>1900</v>
      </c>
      <c r="NA106" t="s">
        <v>1900</v>
      </c>
      <c r="NB106" t="s">
        <v>1900</v>
      </c>
      <c r="NC106" t="s">
        <v>1900</v>
      </c>
      <c r="ND106" t="s">
        <v>1900</v>
      </c>
      <c r="NE106" t="s">
        <v>1900</v>
      </c>
      <c r="NF106" t="s">
        <v>1900</v>
      </c>
      <c r="NG106" t="s">
        <v>1900</v>
      </c>
      <c r="NH106" t="s">
        <v>1900</v>
      </c>
      <c r="NI106" t="s">
        <v>1900</v>
      </c>
      <c r="NJ106" t="s">
        <v>1900</v>
      </c>
      <c r="NK106" t="s">
        <v>1900</v>
      </c>
      <c r="NL106" t="s">
        <v>1900</v>
      </c>
      <c r="NM106" t="s">
        <v>1900</v>
      </c>
      <c r="NN106" t="s">
        <v>1900</v>
      </c>
      <c r="NO106" t="s">
        <v>1900</v>
      </c>
      <c r="NP106" t="s">
        <v>1900</v>
      </c>
      <c r="NQ106" t="s">
        <v>1900</v>
      </c>
      <c r="NR106" t="s">
        <v>1900</v>
      </c>
      <c r="NS106" t="s">
        <v>1900</v>
      </c>
      <c r="NT106" t="s">
        <v>1900</v>
      </c>
      <c r="NU106">
        <v>990913.371609745</v>
      </c>
      <c r="NV106">
        <v>976388.786064374</v>
      </c>
      <c r="NW106">
        <v>1056820.77311089</v>
      </c>
      <c r="NX106">
        <v>1163670.53664327</v>
      </c>
      <c r="NY106" t="s">
        <v>1900</v>
      </c>
      <c r="NZ106" t="s">
        <v>1900</v>
      </c>
      <c r="OA106" t="s">
        <v>1900</v>
      </c>
      <c r="OB106" t="s">
        <v>1900</v>
      </c>
      <c r="OC106" t="s">
        <v>1900</v>
      </c>
      <c r="OD106" t="s">
        <v>1900</v>
      </c>
      <c r="OE106" t="s">
        <v>1900</v>
      </c>
      <c r="OF106" t="s">
        <v>1900</v>
      </c>
      <c r="OG106" t="s">
        <v>1900</v>
      </c>
      <c r="OH106" t="s">
        <v>1900</v>
      </c>
      <c r="OI106" t="s">
        <v>1900</v>
      </c>
      <c r="OJ106" t="s">
        <v>1900</v>
      </c>
      <c r="OK106" t="s">
        <v>1900</v>
      </c>
      <c r="OL106" t="s">
        <v>1900</v>
      </c>
      <c r="OM106" t="s">
        <v>1900</v>
      </c>
      <c r="ON106" t="s">
        <v>1900</v>
      </c>
      <c r="OO106" t="s">
        <v>1900</v>
      </c>
      <c r="OP106" t="s">
        <v>1900</v>
      </c>
      <c r="OQ106" t="s">
        <v>1900</v>
      </c>
      <c r="OR106" t="s">
        <v>1900</v>
      </c>
      <c r="OS106" t="s">
        <v>1900</v>
      </c>
      <c r="OT106" t="s">
        <v>1900</v>
      </c>
      <c r="OU106" t="s">
        <v>1900</v>
      </c>
      <c r="OV106" t="s">
        <v>1900</v>
      </c>
      <c r="OW106" t="s">
        <v>1900</v>
      </c>
      <c r="OX106" t="s">
        <v>1900</v>
      </c>
      <c r="OY106" t="s">
        <v>1900</v>
      </c>
      <c r="OZ106" t="s">
        <v>1900</v>
      </c>
      <c r="PA106" t="s">
        <v>1900</v>
      </c>
      <c r="PB106" t="s">
        <v>1900</v>
      </c>
      <c r="PC106" t="s">
        <v>1900</v>
      </c>
      <c r="PD106" t="s">
        <v>1900</v>
      </c>
      <c r="PE106" t="s">
        <v>1900</v>
      </c>
      <c r="PF106" t="s">
        <v>1900</v>
      </c>
      <c r="PG106" t="s">
        <v>1900</v>
      </c>
      <c r="PH106" t="s">
        <v>1900</v>
      </c>
      <c r="PI106" t="s">
        <v>1900</v>
      </c>
      <c r="PJ106" t="s">
        <v>1900</v>
      </c>
      <c r="PK106" t="s">
        <v>1900</v>
      </c>
      <c r="PL106" t="s">
        <v>1900</v>
      </c>
      <c r="PM106" t="s">
        <v>1900</v>
      </c>
      <c r="PN106" t="s">
        <v>1900</v>
      </c>
      <c r="PO106" t="s">
        <v>1900</v>
      </c>
      <c r="PP106" t="s">
        <v>1900</v>
      </c>
      <c r="PQ106" t="s">
        <v>1900</v>
      </c>
      <c r="PR106" t="s">
        <v>1900</v>
      </c>
      <c r="PS106" t="s">
        <v>1900</v>
      </c>
      <c r="PT106" t="s">
        <v>1900</v>
      </c>
      <c r="PU106" t="s">
        <v>1900</v>
      </c>
      <c r="PV106" t="s">
        <v>1900</v>
      </c>
      <c r="PW106" t="s">
        <v>1900</v>
      </c>
      <c r="PX106" t="s">
        <v>1900</v>
      </c>
      <c r="PY106" t="s">
        <v>1900</v>
      </c>
      <c r="PZ106" t="s">
        <v>1900</v>
      </c>
      <c r="QA106" t="s">
        <v>1900</v>
      </c>
      <c r="QB106" t="s">
        <v>1900</v>
      </c>
      <c r="QC106" t="s">
        <v>1900</v>
      </c>
      <c r="QD106" t="s">
        <v>1900</v>
      </c>
      <c r="QE106" t="s">
        <v>1900</v>
      </c>
      <c r="QF106" t="s">
        <v>1900</v>
      </c>
      <c r="QG106" t="s">
        <v>1900</v>
      </c>
      <c r="QH106" t="s">
        <v>1900</v>
      </c>
      <c r="QI106" t="s">
        <v>1900</v>
      </c>
      <c r="QJ106" t="s">
        <v>1900</v>
      </c>
      <c r="QK106" t="s">
        <v>1900</v>
      </c>
      <c r="QL106" t="s">
        <v>1900</v>
      </c>
      <c r="QM106" t="s">
        <v>1900</v>
      </c>
      <c r="QN106" t="s">
        <v>1900</v>
      </c>
      <c r="QO106" t="s">
        <v>1900</v>
      </c>
      <c r="QP106" t="s">
        <v>1900</v>
      </c>
      <c r="QQ106" t="s">
        <v>1900</v>
      </c>
      <c r="QR106" t="s">
        <v>1900</v>
      </c>
      <c r="QS106" t="s">
        <v>1900</v>
      </c>
      <c r="QT106" t="s">
        <v>1900</v>
      </c>
      <c r="QU106" t="s">
        <v>1900</v>
      </c>
      <c r="QV106" t="s">
        <v>1900</v>
      </c>
      <c r="QW106" t="s">
        <v>1900</v>
      </c>
      <c r="QX106" t="s">
        <v>1900</v>
      </c>
      <c r="QY106" t="s">
        <v>1900</v>
      </c>
      <c r="QZ106" t="s">
        <v>1900</v>
      </c>
      <c r="RA106" t="s">
        <v>1900</v>
      </c>
      <c r="RB106" t="s">
        <v>1900</v>
      </c>
      <c r="RC106" t="s">
        <v>1900</v>
      </c>
      <c r="RD106" t="s">
        <v>1900</v>
      </c>
      <c r="RE106" t="s">
        <v>1900</v>
      </c>
      <c r="RF106" t="s">
        <v>1900</v>
      </c>
      <c r="RG106" t="s">
        <v>1900</v>
      </c>
      <c r="RH106" t="s">
        <v>1900</v>
      </c>
      <c r="RI106" t="s">
        <v>1900</v>
      </c>
      <c r="RJ106" t="s">
        <v>1900</v>
      </c>
      <c r="RK106" t="s">
        <v>1900</v>
      </c>
      <c r="RL106" t="s">
        <v>1900</v>
      </c>
      <c r="RM106" t="s">
        <v>1900</v>
      </c>
      <c r="RN106" t="s">
        <v>1900</v>
      </c>
      <c r="RO106" t="s">
        <v>1900</v>
      </c>
      <c r="RP106" t="s">
        <v>1900</v>
      </c>
      <c r="RQ106" t="s">
        <v>1900</v>
      </c>
      <c r="RR106" t="s">
        <v>1900</v>
      </c>
      <c r="RS106" t="s">
        <v>1900</v>
      </c>
      <c r="RT106" t="s">
        <v>1900</v>
      </c>
      <c r="RU106" t="s">
        <v>1900</v>
      </c>
      <c r="RV106" t="s">
        <v>1900</v>
      </c>
      <c r="RW106" t="s">
        <v>1900</v>
      </c>
      <c r="RX106" t="s">
        <v>1900</v>
      </c>
      <c r="RY106" t="s">
        <v>1900</v>
      </c>
      <c r="RZ106" t="s">
        <v>1900</v>
      </c>
      <c r="SA106" t="s">
        <v>1900</v>
      </c>
      <c r="SB106" t="s">
        <v>1900</v>
      </c>
      <c r="SC106" t="s">
        <v>1900</v>
      </c>
      <c r="SD106" t="s">
        <v>1900</v>
      </c>
      <c r="SE106" t="s">
        <v>1900</v>
      </c>
      <c r="SF106" t="s">
        <v>1900</v>
      </c>
      <c r="SG106" t="s">
        <v>1900</v>
      </c>
      <c r="SH106" t="s">
        <v>1900</v>
      </c>
      <c r="SI106" t="s">
        <v>1900</v>
      </c>
      <c r="SJ106" t="s">
        <v>1900</v>
      </c>
      <c r="SK106">
        <v>2131.52385660172</v>
      </c>
      <c r="SL106">
        <v>2057.44908086061</v>
      </c>
      <c r="SM106">
        <v>2123.60292448998</v>
      </c>
      <c r="SN106">
        <v>2300.78664444685</v>
      </c>
      <c r="SO106" t="s">
        <v>1900</v>
      </c>
      <c r="SP106" t="s">
        <v>1900</v>
      </c>
      <c r="SQ106" t="s">
        <v>1900</v>
      </c>
      <c r="SR106" t="s">
        <v>1900</v>
      </c>
      <c r="SS106" t="s">
        <v>1900</v>
      </c>
      <c r="ST106" t="s">
        <v>1900</v>
      </c>
      <c r="SU106" t="s">
        <v>1900</v>
      </c>
      <c r="SV106" t="s">
        <v>1900</v>
      </c>
      <c r="SW106" t="s">
        <v>1900</v>
      </c>
      <c r="SX106" t="s">
        <v>1900</v>
      </c>
      <c r="SY106" t="s">
        <v>1900</v>
      </c>
      <c r="SZ106" t="s">
        <v>1900</v>
      </c>
      <c r="TA106" t="s">
        <v>1900</v>
      </c>
      <c r="TB106" t="s">
        <v>1900</v>
      </c>
      <c r="TC106" t="s">
        <v>1900</v>
      </c>
      <c r="TD106" t="s">
        <v>1900</v>
      </c>
      <c r="TE106" t="s">
        <v>1900</v>
      </c>
      <c r="TF106" t="s">
        <v>1900</v>
      </c>
      <c r="TG106" t="s">
        <v>1900</v>
      </c>
      <c r="TH106" t="s">
        <v>1900</v>
      </c>
      <c r="TI106" t="s">
        <v>1900</v>
      </c>
      <c r="TJ106" t="s">
        <v>1900</v>
      </c>
      <c r="TK106" t="s">
        <v>1900</v>
      </c>
      <c r="TL106" t="s">
        <v>1900</v>
      </c>
      <c r="TM106" t="s">
        <v>1900</v>
      </c>
      <c r="TN106" t="s">
        <v>1900</v>
      </c>
      <c r="TO106" t="s">
        <v>1900</v>
      </c>
      <c r="TP106" t="s">
        <v>1900</v>
      </c>
      <c r="TQ106" t="s">
        <v>1900</v>
      </c>
      <c r="TR106" t="s">
        <v>1900</v>
      </c>
      <c r="TS106" t="s">
        <v>1900</v>
      </c>
      <c r="TT106">
        <v>1836790.0467788</v>
      </c>
      <c r="TU106">
        <v>1815660.59759983</v>
      </c>
      <c r="TV106">
        <v>2071145.64649551</v>
      </c>
      <c r="TW106">
        <v>2245937.85812883</v>
      </c>
      <c r="TX106" t="s">
        <v>1900</v>
      </c>
      <c r="TY106" t="s">
        <v>1900</v>
      </c>
      <c r="TZ106" t="s">
        <v>1900</v>
      </c>
      <c r="UA106" t="s">
        <v>1900</v>
      </c>
      <c r="UB106" t="s">
        <v>1900</v>
      </c>
      <c r="UC106" t="s">
        <v>1900</v>
      </c>
      <c r="UD106">
        <v>0</v>
      </c>
      <c r="UE106">
        <v>0</v>
      </c>
      <c r="UF106">
        <v>0</v>
      </c>
      <c r="UG106">
        <v>0</v>
      </c>
      <c r="UH106" t="s">
        <v>1900</v>
      </c>
      <c r="UI106" t="s">
        <v>1900</v>
      </c>
      <c r="UJ106" t="s">
        <v>1900</v>
      </c>
      <c r="UK106" t="s">
        <v>1900</v>
      </c>
      <c r="UL106" t="s">
        <v>1900</v>
      </c>
      <c r="UM106" t="s">
        <v>1900</v>
      </c>
      <c r="UN106" t="s">
        <v>1900</v>
      </c>
      <c r="UO106" t="s">
        <v>1900</v>
      </c>
      <c r="UP106" t="s">
        <v>1900</v>
      </c>
      <c r="UQ106" t="s">
        <v>1900</v>
      </c>
      <c r="UR106" t="s">
        <v>1900</v>
      </c>
      <c r="US106" t="s">
        <v>1900</v>
      </c>
      <c r="UT106" t="s">
        <v>1900</v>
      </c>
      <c r="UU106" t="s">
        <v>1900</v>
      </c>
      <c r="UV106" t="s">
        <v>1900</v>
      </c>
      <c r="UW106" t="s">
        <v>1900</v>
      </c>
      <c r="UX106" t="s">
        <v>1900</v>
      </c>
      <c r="UY106" t="s">
        <v>1900</v>
      </c>
      <c r="UZ106" t="s">
        <v>1900</v>
      </c>
      <c r="VA106" t="s">
        <v>1900</v>
      </c>
      <c r="VB106" t="s">
        <v>1900</v>
      </c>
      <c r="VC106" t="s">
        <v>1900</v>
      </c>
      <c r="VD106" t="s">
        <v>1900</v>
      </c>
      <c r="VE106" t="s">
        <v>1900</v>
      </c>
      <c r="VF106" t="s">
        <v>1900</v>
      </c>
      <c r="VG106" t="s">
        <v>1900</v>
      </c>
      <c r="VH106" t="s">
        <v>1900</v>
      </c>
      <c r="VI106" t="s">
        <v>1900</v>
      </c>
      <c r="VJ106" t="s">
        <v>1900</v>
      </c>
      <c r="VK106" t="s">
        <v>1900</v>
      </c>
      <c r="VL106" t="s">
        <v>1900</v>
      </c>
      <c r="VM106" t="s">
        <v>1900</v>
      </c>
      <c r="VN106" t="s">
        <v>1900</v>
      </c>
      <c r="VO106" t="s">
        <v>1900</v>
      </c>
      <c r="VP106" t="s">
        <v>1900</v>
      </c>
      <c r="VQ106" t="s">
        <v>1900</v>
      </c>
      <c r="VR106" t="s">
        <v>1900</v>
      </c>
      <c r="VS106" t="s">
        <v>1900</v>
      </c>
      <c r="VT106" t="s">
        <v>1900</v>
      </c>
      <c r="VU106" t="s">
        <v>1900</v>
      </c>
      <c r="VV106" t="s">
        <v>1900</v>
      </c>
      <c r="VW106" t="s">
        <v>1900</v>
      </c>
      <c r="VX106" t="s">
        <v>1900</v>
      </c>
      <c r="VY106" t="s">
        <v>1900</v>
      </c>
      <c r="VZ106" t="s">
        <v>1900</v>
      </c>
      <c r="WA106" t="s">
        <v>1900</v>
      </c>
      <c r="WB106">
        <v>248116.756101751</v>
      </c>
      <c r="WC106">
        <v>187265.240004385</v>
      </c>
      <c r="WD106">
        <v>162974.365990305</v>
      </c>
      <c r="WE106">
        <v>177519.682232386</v>
      </c>
      <c r="WF106" t="s">
        <v>1900</v>
      </c>
      <c r="WG106" t="s">
        <v>1900</v>
      </c>
      <c r="WH106" t="s">
        <v>1900</v>
      </c>
      <c r="WI106" t="s">
        <v>1900</v>
      </c>
      <c r="WJ106" t="s">
        <v>1900</v>
      </c>
      <c r="WK106" t="s">
        <v>1900</v>
      </c>
      <c r="WL106" t="s">
        <v>1900</v>
      </c>
      <c r="WM106" t="s">
        <v>1900</v>
      </c>
      <c r="WN106" t="s">
        <v>1900</v>
      </c>
      <c r="WO106" t="s">
        <v>1900</v>
      </c>
      <c r="WP106" t="s">
        <v>1900</v>
      </c>
      <c r="WQ106" t="s">
        <v>1900</v>
      </c>
      <c r="WR106" t="s">
        <v>1900</v>
      </c>
      <c r="WS106" t="s">
        <v>1900</v>
      </c>
      <c r="WT106" t="s">
        <v>1900</v>
      </c>
      <c r="WU106" t="s">
        <v>1900</v>
      </c>
      <c r="WV106" t="s">
        <v>1900</v>
      </c>
      <c r="WW106" t="s">
        <v>1900</v>
      </c>
      <c r="WX106" t="s">
        <v>1900</v>
      </c>
      <c r="WY106" t="s">
        <v>1900</v>
      </c>
      <c r="WZ106" t="s">
        <v>1900</v>
      </c>
      <c r="XA106" t="s">
        <v>1900</v>
      </c>
      <c r="XB106" t="s">
        <v>1900</v>
      </c>
      <c r="XC106" t="s">
        <v>1900</v>
      </c>
      <c r="XD106" t="s">
        <v>1900</v>
      </c>
      <c r="XE106" t="s">
        <v>1900</v>
      </c>
      <c r="XF106" t="s">
        <v>1900</v>
      </c>
      <c r="XG106" t="s">
        <v>1900</v>
      </c>
      <c r="XH106" t="s">
        <v>1900</v>
      </c>
      <c r="XI106" t="s">
        <v>1900</v>
      </c>
      <c r="XJ106" t="s">
        <v>1900</v>
      </c>
      <c r="XK106">
        <v>5234.38734912872</v>
      </c>
      <c r="XL106">
        <v>3366.18798494339</v>
      </c>
      <c r="XM106">
        <v>0</v>
      </c>
      <c r="XN106">
        <v>0</v>
      </c>
      <c r="XO106" t="s">
        <v>1900</v>
      </c>
      <c r="XP106" t="s">
        <v>1900</v>
      </c>
      <c r="XQ106" t="s">
        <v>1900</v>
      </c>
      <c r="XR106" t="s">
        <v>1900</v>
      </c>
      <c r="XS106" t="s">
        <v>1900</v>
      </c>
      <c r="XT106" t="s">
        <v>1900</v>
      </c>
      <c r="XU106" t="s">
        <v>1900</v>
      </c>
      <c r="XV106" t="s">
        <v>1900</v>
      </c>
      <c r="XW106" t="s">
        <v>1900</v>
      </c>
      <c r="XX106" t="s">
        <v>1900</v>
      </c>
      <c r="XY106" t="s">
        <v>1900</v>
      </c>
      <c r="XZ106">
        <v>5234.38734912872</v>
      </c>
      <c r="YA106">
        <v>3366.18798494339</v>
      </c>
      <c r="YB106">
        <v>0</v>
      </c>
      <c r="YC106">
        <v>0</v>
      </c>
      <c r="YD106" t="s">
        <v>1900</v>
      </c>
      <c r="YE106" t="s">
        <v>1900</v>
      </c>
      <c r="YF106" t="s">
        <v>1900</v>
      </c>
      <c r="YG106" t="s">
        <v>1900</v>
      </c>
      <c r="YH106" t="s">
        <v>1900</v>
      </c>
      <c r="YI106" t="s">
        <v>1900</v>
      </c>
      <c r="YJ106" t="s">
        <v>1900</v>
      </c>
      <c r="YK106" t="s">
        <v>1900</v>
      </c>
      <c r="YL106" t="s">
        <v>1900</v>
      </c>
      <c r="YM106" t="s">
        <v>1900</v>
      </c>
      <c r="YN106" t="s">
        <v>1900</v>
      </c>
      <c r="YO106" t="s">
        <v>1900</v>
      </c>
      <c r="YP106" t="s">
        <v>1900</v>
      </c>
      <c r="YQ106" t="s">
        <v>1900</v>
      </c>
      <c r="YR106" t="s">
        <v>1900</v>
      </c>
      <c r="YS106" t="s">
        <v>1900</v>
      </c>
      <c r="YT106" t="s">
        <v>1900</v>
      </c>
      <c r="YU106" t="s">
        <v>1900</v>
      </c>
      <c r="YV106" t="s">
        <v>1900</v>
      </c>
      <c r="YW106" t="s">
        <v>1900</v>
      </c>
      <c r="YX106" t="s">
        <v>1900</v>
      </c>
      <c r="YY106" t="s">
        <v>1900</v>
      </c>
      <c r="YZ106" t="s">
        <v>1900</v>
      </c>
      <c r="ZA106" t="s">
        <v>1900</v>
      </c>
      <c r="ZB106" t="s">
        <v>1900</v>
      </c>
      <c r="ZC106" t="s">
        <v>1900</v>
      </c>
      <c r="ZD106" t="s">
        <v>1900</v>
      </c>
      <c r="ZE106" t="s">
        <v>1900</v>
      </c>
      <c r="ZF106" t="s">
        <v>1900</v>
      </c>
      <c r="ZG106" t="s">
        <v>1900</v>
      </c>
      <c r="ZH106" t="s">
        <v>1900</v>
      </c>
      <c r="ZI106" t="s">
        <v>1900</v>
      </c>
      <c r="ZJ106" t="s">
        <v>1900</v>
      </c>
      <c r="ZK106" t="s">
        <v>1900</v>
      </c>
      <c r="ZL106" t="s">
        <v>1900</v>
      </c>
      <c r="ZM106" t="s">
        <v>1900</v>
      </c>
      <c r="ZN106" t="s">
        <v>1900</v>
      </c>
      <c r="ZO106" t="s">
        <v>1900</v>
      </c>
      <c r="ZP106" t="s">
        <v>1900</v>
      </c>
      <c r="ZQ106" t="s">
        <v>1900</v>
      </c>
      <c r="ZR106" t="s">
        <v>1900</v>
      </c>
      <c r="ZS106" t="s">
        <v>1900</v>
      </c>
      <c r="ZT106" t="s">
        <v>1900</v>
      </c>
      <c r="ZU106" t="s">
        <v>1900</v>
      </c>
      <c r="ZV106" t="s">
        <v>1900</v>
      </c>
      <c r="ZW106" t="s">
        <v>1900</v>
      </c>
      <c r="ZX106" t="s">
        <v>1900</v>
      </c>
      <c r="ZY106" t="s">
        <v>1900</v>
      </c>
      <c r="ZZ106" t="s">
        <v>1900</v>
      </c>
      <c r="AAA106" t="s">
        <v>1900</v>
      </c>
      <c r="AAB106" t="s">
        <v>1900</v>
      </c>
      <c r="AAC106" t="s">
        <v>1900</v>
      </c>
      <c r="AAD106" t="s">
        <v>1900</v>
      </c>
      <c r="AAE106" t="s">
        <v>1900</v>
      </c>
      <c r="AAF106" t="s">
        <v>1900</v>
      </c>
      <c r="AAG106" t="s">
        <v>1900</v>
      </c>
      <c r="AAH106" t="s">
        <v>1900</v>
      </c>
      <c r="AAI106" t="s">
        <v>1900</v>
      </c>
      <c r="AAJ106" t="s">
        <v>1900</v>
      </c>
      <c r="AAK106" t="s">
        <v>1900</v>
      </c>
      <c r="AAL106" t="s">
        <v>1900</v>
      </c>
      <c r="AAM106" t="s">
        <v>1900</v>
      </c>
      <c r="AAN106" t="s">
        <v>1900</v>
      </c>
      <c r="AAO106" t="s">
        <v>1900</v>
      </c>
      <c r="AAP106" t="s">
        <v>1900</v>
      </c>
      <c r="AAQ106" t="s">
        <v>1900</v>
      </c>
      <c r="AAR106" t="s">
        <v>1900</v>
      </c>
      <c r="AAS106" t="s">
        <v>1900</v>
      </c>
      <c r="AAT106" t="s">
        <v>1900</v>
      </c>
      <c r="AAU106" t="s">
        <v>1900</v>
      </c>
      <c r="AAV106" t="s">
        <v>1900</v>
      </c>
      <c r="AAW106" t="s">
        <v>1900</v>
      </c>
      <c r="AAX106" t="s">
        <v>1900</v>
      </c>
      <c r="AAY106" t="s">
        <v>1900</v>
      </c>
      <c r="AAZ106" t="s">
        <v>1900</v>
      </c>
      <c r="ABA106" t="s">
        <v>1900</v>
      </c>
      <c r="ABB106" t="s">
        <v>1900</v>
      </c>
      <c r="ABC106" t="s">
        <v>1900</v>
      </c>
      <c r="ABD106" t="s">
        <v>1900</v>
      </c>
      <c r="ABE106" t="s">
        <v>1900</v>
      </c>
      <c r="ABF106" t="s">
        <v>1900</v>
      </c>
      <c r="ABG106" t="s">
        <v>1900</v>
      </c>
      <c r="ABH106" t="s">
        <v>1900</v>
      </c>
      <c r="ABI106" t="s">
        <v>1900</v>
      </c>
      <c r="ABJ106" t="s">
        <v>1900</v>
      </c>
      <c r="ABK106" t="s">
        <v>1900</v>
      </c>
      <c r="ABL106" t="s">
        <v>1900</v>
      </c>
      <c r="ABM106" t="s">
        <v>1900</v>
      </c>
      <c r="ABN106" t="s">
        <v>1900</v>
      </c>
      <c r="ABO106" t="s">
        <v>1900</v>
      </c>
      <c r="ABP106" t="s">
        <v>1900</v>
      </c>
      <c r="ABQ106" t="s">
        <v>1900</v>
      </c>
      <c r="ABR106" t="s">
        <v>1900</v>
      </c>
      <c r="ABS106" t="s">
        <v>1900</v>
      </c>
      <c r="ABT106" t="s">
        <v>1900</v>
      </c>
      <c r="ABU106" t="s">
        <v>1900</v>
      </c>
      <c r="ABV106" t="s">
        <v>1900</v>
      </c>
      <c r="ABW106" t="s">
        <v>1900</v>
      </c>
      <c r="ABX106" t="s">
        <v>1900</v>
      </c>
      <c r="ABY106" t="s">
        <v>1900</v>
      </c>
      <c r="ABZ106" t="s">
        <v>1900</v>
      </c>
      <c r="ACA106" t="s">
        <v>1900</v>
      </c>
      <c r="ACB106" t="s">
        <v>1900</v>
      </c>
      <c r="ACC106" t="s">
        <v>1900</v>
      </c>
      <c r="ACD106" t="s">
        <v>1900</v>
      </c>
      <c r="ACE106" t="s">
        <v>1900</v>
      </c>
      <c r="ACF106">
        <v>36.369</v>
      </c>
      <c r="ACG106">
        <v>34.609</v>
      </c>
      <c r="ACH106">
        <v>29.392</v>
      </c>
      <c r="ACI106">
        <v>40.74</v>
      </c>
      <c r="ACJ106" t="s">
        <v>1900</v>
      </c>
      <c r="ACK106" t="s">
        <v>1900</v>
      </c>
      <c r="ACL106">
        <v>35.004</v>
      </c>
      <c r="ACM106">
        <v>24.169</v>
      </c>
      <c r="ACN106">
        <v>31.711</v>
      </c>
      <c r="ACO106" t="s">
        <v>1900</v>
      </c>
      <c r="ACP106">
        <v>28.031</v>
      </c>
      <c r="ACQ106">
        <v>29.108</v>
      </c>
      <c r="ACR106">
        <v>21.85</v>
      </c>
      <c r="ACS106">
        <v>26.929</v>
      </c>
      <c r="ACT106" t="s">
        <v>1900</v>
      </c>
      <c r="ACU106">
        <v>27.277</v>
      </c>
      <c r="ACV106">
        <v>25.957</v>
      </c>
      <c r="ACW106">
        <v>22.044</v>
      </c>
      <c r="ACX106">
        <v>31.058</v>
      </c>
      <c r="ACY106" t="s">
        <v>1900</v>
      </c>
      <c r="ACZ106" t="s">
        <v>1900</v>
      </c>
      <c r="ADA106">
        <v>26.371</v>
      </c>
      <c r="ADB106">
        <v>18.15</v>
      </c>
      <c r="ADC106">
        <v>24.201</v>
      </c>
      <c r="ADD106" t="s">
        <v>1900</v>
      </c>
      <c r="ADE106">
        <v>21.023</v>
      </c>
      <c r="ADF106">
        <v>21.831</v>
      </c>
      <c r="ADG106">
        <v>16.388</v>
      </c>
      <c r="ADH106">
        <v>20.529</v>
      </c>
      <c r="ADI106" t="s">
        <v>1900</v>
      </c>
      <c r="ADJ106">
        <v>24.452</v>
      </c>
      <c r="ADK106">
        <v>27.689</v>
      </c>
      <c r="ADL106">
        <v>26.819</v>
      </c>
      <c r="ADM106">
        <v>29.459</v>
      </c>
      <c r="ADN106" t="s">
        <v>1900</v>
      </c>
      <c r="ADO106">
        <v>69.58499999999999</v>
      </c>
      <c r="ADP106">
        <v>75.44</v>
      </c>
      <c r="ADQ106">
        <v>77.514</v>
      </c>
      <c r="ADR106">
        <v>72.759</v>
      </c>
      <c r="ADS106" t="s">
        <v>1900</v>
      </c>
      <c r="ADT106">
        <v>24.452136968</v>
      </c>
      <c r="ADU106">
        <v>28.066890952</v>
      </c>
      <c r="ADV106">
        <v>26.903281581</v>
      </c>
      <c r="ADW106">
        <v>29.561269489</v>
      </c>
      <c r="ADX106" t="s">
        <v>1900</v>
      </c>
      <c r="ADY106">
        <v>25.658</v>
      </c>
      <c r="ADZ106">
        <v>29.42</v>
      </c>
      <c r="AEA106">
        <v>28.579</v>
      </c>
      <c r="AEB106">
        <v>31.078</v>
      </c>
      <c r="AEC106" t="s">
        <v>1900</v>
      </c>
      <c r="AED106">
        <v>24.452</v>
      </c>
      <c r="AEE106">
        <v>28.067</v>
      </c>
      <c r="AEF106">
        <v>26.903</v>
      </c>
      <c r="AEG106">
        <v>29.561</v>
      </c>
      <c r="AEH106" t="s">
        <v>1900</v>
      </c>
      <c r="AEI106">
        <v>19.545</v>
      </c>
      <c r="AEJ106">
        <v>22.119</v>
      </c>
      <c r="AEK106">
        <v>21.789</v>
      </c>
      <c r="AEL106">
        <v>23.974</v>
      </c>
      <c r="AEM106" t="s">
        <v>1900</v>
      </c>
      <c r="AEN106">
        <v>32.366417774</v>
      </c>
      <c r="AEO106">
        <v>39.018042351</v>
      </c>
      <c r="AEP106">
        <v>36.805047016</v>
      </c>
      <c r="AEQ106">
        <v>41.967351305</v>
      </c>
      <c r="AER106" t="s">
        <v>1900</v>
      </c>
      <c r="AES106">
        <v>1.541786901</v>
      </c>
      <c r="AET106">
        <v>1.592459771</v>
      </c>
      <c r="AEU106">
        <v>1.531576215</v>
      </c>
      <c r="AEV106">
        <v>1.684317601</v>
      </c>
      <c r="AEW106" t="s">
        <v>1900</v>
      </c>
      <c r="AEX106" t="s">
        <v>1900</v>
      </c>
      <c r="AEY106" t="s">
        <v>1900</v>
      </c>
      <c r="AEZ106" t="s">
        <v>1900</v>
      </c>
      <c r="AFA106" t="s">
        <v>1900</v>
      </c>
      <c r="AFB106" t="s">
        <v>1900</v>
      </c>
      <c r="AFC106" t="s">
        <v>1900</v>
      </c>
      <c r="AFD106" t="s">
        <v>1900</v>
      </c>
      <c r="AFE106" t="s">
        <v>1900</v>
      </c>
      <c r="AFF106" t="s">
        <v>1900</v>
      </c>
      <c r="AFG106" t="s">
        <v>1900</v>
      </c>
      <c r="AFH106">
        <v>1.482</v>
      </c>
      <c r="AFI106">
        <v>1.247</v>
      </c>
      <c r="AFJ106">
        <v>0.898</v>
      </c>
      <c r="AFK106">
        <v>1.073</v>
      </c>
      <c r="AFL106" t="s">
        <v>1900</v>
      </c>
      <c r="AFM106" t="s">
        <v>1900</v>
      </c>
      <c r="AFN106">
        <v>74.22799999999999</v>
      </c>
      <c r="AFO106">
        <v>264.575</v>
      </c>
      <c r="AFP106">
        <v>282.042</v>
      </c>
      <c r="AFQ106" t="s">
        <v>1900</v>
      </c>
      <c r="AFR106">
        <v>124.85</v>
      </c>
      <c r="AFS106">
        <v>140.137</v>
      </c>
      <c r="AFT106">
        <v>238.604</v>
      </c>
      <c r="AFU106">
        <v>220.477</v>
      </c>
      <c r="AFV106" t="s">
        <v>1900</v>
      </c>
      <c r="AFW106">
        <v>79.749</v>
      </c>
      <c r="AFX106">
        <v>94.92400000000001</v>
      </c>
      <c r="AFY106">
        <v>132.473</v>
      </c>
      <c r="AFZ106">
        <v>135.81</v>
      </c>
      <c r="AGA106" t="s">
        <v>1900</v>
      </c>
      <c r="AGB106">
        <v>28.683</v>
      </c>
      <c r="AGC106">
        <v>18.48</v>
      </c>
      <c r="AGD106">
        <v>6.112</v>
      </c>
      <c r="AGE106">
        <v>27.073</v>
      </c>
      <c r="AGF106" t="s">
        <v>1900</v>
      </c>
      <c r="AGG106" t="s">
        <v>1900</v>
      </c>
      <c r="AGH106" t="s">
        <v>1900</v>
      </c>
      <c r="AGI106" t="s">
        <v>1900</v>
      </c>
      <c r="AGJ106" t="s">
        <v>1900</v>
      </c>
      <c r="AGK106" t="s">
        <v>1900</v>
      </c>
      <c r="AGL106" t="s">
        <v>1900</v>
      </c>
      <c r="AGM106" t="s">
        <v>1900</v>
      </c>
      <c r="AGN106" t="s">
        <v>1900</v>
      </c>
      <c r="AGO106" t="s">
        <v>1900</v>
      </c>
      <c r="AGP106" t="s">
        <v>1900</v>
      </c>
      <c r="AGQ106" t="s">
        <v>1900</v>
      </c>
      <c r="AGR106" t="s">
        <v>1900</v>
      </c>
      <c r="AGS106" t="s">
        <v>1900</v>
      </c>
      <c r="AGT106" t="s">
        <v>1900</v>
      </c>
      <c r="AGU106">
        <v>0</v>
      </c>
      <c r="AGV106">
        <v>0</v>
      </c>
      <c r="AGW106">
        <v>0</v>
      </c>
      <c r="AGX106">
        <v>0</v>
      </c>
      <c r="AGY106">
        <v>0</v>
      </c>
      <c r="AGZ106" t="s">
        <v>1900</v>
      </c>
      <c r="AHA106">
        <v>2.034</v>
      </c>
      <c r="AHB106">
        <v>2.942</v>
      </c>
      <c r="AHC106">
        <v>5.293</v>
      </c>
      <c r="AHD106">
        <v>3.261</v>
      </c>
      <c r="AHE106" t="s">
        <v>1900</v>
      </c>
      <c r="AHF106">
        <v>1.993</v>
      </c>
      <c r="AHG106">
        <v>2.895</v>
      </c>
      <c r="AHH106">
        <v>5.256</v>
      </c>
      <c r="AHI106">
        <v>3.233</v>
      </c>
      <c r="AHJ106" t="s">
        <v>1900</v>
      </c>
      <c r="AHK106">
        <v>270.457</v>
      </c>
      <c r="AHL106">
        <v>453.643</v>
      </c>
      <c r="AHM106">
        <v>4.532</v>
      </c>
      <c r="AHN106">
        <v>3.457</v>
      </c>
      <c r="AHO106" t="s">
        <v>1900</v>
      </c>
      <c r="AHP106">
        <v>77.07299999999999</v>
      </c>
      <c r="AHQ106">
        <v>84.104</v>
      </c>
      <c r="AHR106">
        <v>74.343</v>
      </c>
      <c r="AHS106">
        <v>66.099</v>
      </c>
      <c r="AHT106" t="s">
        <v>1900</v>
      </c>
      <c r="AHU106" t="s">
        <v>1901</v>
      </c>
      <c r="AHV106" t="s">
        <v>1901</v>
      </c>
      <c r="AHW106" t="s">
        <v>1901</v>
      </c>
      <c r="AHX106" t="s">
        <v>1901</v>
      </c>
      <c r="AHY106" t="s">
        <v>1900</v>
      </c>
      <c r="AHZ106">
        <v>0.37</v>
      </c>
      <c r="AIA106">
        <v>0.22</v>
      </c>
      <c r="AIB106">
        <v>22.067</v>
      </c>
      <c r="AIC106">
        <v>28.93</v>
      </c>
      <c r="AID106" t="s">
        <v>1900</v>
      </c>
      <c r="AIE106">
        <v>0.116046135</v>
      </c>
      <c r="AIF106">
        <v>0.113316833</v>
      </c>
      <c r="AIG106">
        <v>0.102532766</v>
      </c>
      <c r="AIH106">
        <v>0.102442133</v>
      </c>
      <c r="AII106" t="s">
        <v>1900</v>
      </c>
      <c r="AIJ106">
        <v>19.739007311</v>
      </c>
      <c r="AIK106">
        <v>17.755108941</v>
      </c>
      <c r="AIL106">
        <v>18.651443941</v>
      </c>
      <c r="AIM106">
        <v>13.287832114</v>
      </c>
      <c r="AIN106" t="s">
        <v>1900</v>
      </c>
      <c r="AIO106">
        <v>13.508171853</v>
      </c>
      <c r="AIP106">
        <v>10.313890176</v>
      </c>
      <c r="AIQ106">
        <v>7.868802769</v>
      </c>
      <c r="AIR106">
        <v>7.904033568</v>
      </c>
      <c r="AIS106" t="s">
        <v>1900</v>
      </c>
      <c r="AIT106">
        <v>2.633391482</v>
      </c>
      <c r="AIU106">
        <v>2.905529985</v>
      </c>
      <c r="AIV106">
        <v>1.863822717</v>
      </c>
      <c r="AIW106">
        <v>1.665027981</v>
      </c>
      <c r="AIX106" t="s">
        <v>1900</v>
      </c>
      <c r="AIY106">
        <v>46.8060176459656</v>
      </c>
      <c r="AIZ106">
        <v>48.0450464773631</v>
      </c>
      <c r="AJA106">
        <v>37.7128935172391</v>
      </c>
      <c r="AJB106">
        <v>46.523668556149</v>
      </c>
      <c r="AJC106" t="s">
        <v>1900</v>
      </c>
      <c r="AJD106">
        <v>191.418925401462</v>
      </c>
      <c r="AJE106">
        <v>173.518143181077</v>
      </c>
      <c r="AJF106">
        <v>140.621569057639</v>
      </c>
      <c r="AJG106">
        <v>157.927654067665</v>
      </c>
      <c r="AJH106" t="s">
        <v>1900</v>
      </c>
      <c r="AJI106">
        <v>33.333</v>
      </c>
      <c r="AJJ106">
        <v>33.338</v>
      </c>
      <c r="AJK106">
        <v>40.398</v>
      </c>
      <c r="AJL106">
        <v>34.172</v>
      </c>
      <c r="AJM106" t="s">
        <v>1900</v>
      </c>
      <c r="AJN106">
        <v>63.806256900464</v>
      </c>
      <c r="AJO106">
        <v>57.8481431751549</v>
      </c>
      <c r="AJP106">
        <v>56.8083330982375</v>
      </c>
      <c r="AJQ106">
        <v>53.9666405839461</v>
      </c>
      <c r="AJR106" t="s">
        <v>1900</v>
      </c>
      <c r="AJS106">
        <v>128.697717107954</v>
      </c>
      <c r="AJT106">
        <v>138.822444712057</v>
      </c>
      <c r="AJU106">
        <v>128.31179501893</v>
      </c>
      <c r="AJV106">
        <v>114.195389770762</v>
      </c>
      <c r="AJW106" t="s">
        <v>1900</v>
      </c>
      <c r="AJX106">
        <v>28.6862305640278</v>
      </c>
      <c r="AJY106">
        <v>38.0833656344581</v>
      </c>
      <c r="AJZ106">
        <v>49.9480552454925</v>
      </c>
      <c r="AKA106">
        <v>48.4182706072927</v>
      </c>
      <c r="AKB106" t="s">
        <v>1900</v>
      </c>
      <c r="AKC106">
        <v>166.980913443982</v>
      </c>
      <c r="AKD106">
        <v>165.060054036366</v>
      </c>
      <c r="AKE106">
        <v>172.595470352526</v>
      </c>
      <c r="AKF106">
        <v>172.764450342118</v>
      </c>
      <c r="AKG106" t="s">
        <v>1900</v>
      </c>
      <c r="AKH106">
        <v>2.633391482</v>
      </c>
      <c r="AKI106">
        <v>2.905529985</v>
      </c>
      <c r="AKJ106">
        <v>1.863822717</v>
      </c>
      <c r="AKK106">
        <v>1.665027981</v>
      </c>
      <c r="AKL106" t="s">
        <v>1900</v>
      </c>
      <c r="AKM106">
        <v>0.800958513</v>
      </c>
      <c r="AKN106">
        <v>0.7135869030000001</v>
      </c>
      <c r="AKO106">
        <v>0.419105226</v>
      </c>
      <c r="AKP106">
        <v>0.453562921</v>
      </c>
      <c r="AKQ106" t="s">
        <v>1900</v>
      </c>
      <c r="AKR106">
        <v>0.918180496</v>
      </c>
      <c r="AKS106">
        <v>0.750152874</v>
      </c>
      <c r="AKT106">
        <v>0.341464549</v>
      </c>
      <c r="AKU106">
        <v>0.414611501</v>
      </c>
      <c r="AKV106" t="s">
        <v>1900</v>
      </c>
      <c r="AKW106">
        <v>0</v>
      </c>
      <c r="AKX106">
        <v>0</v>
      </c>
      <c r="AKY106">
        <v>0</v>
      </c>
      <c r="AKZ106">
        <v>0</v>
      </c>
      <c r="ALA106" t="s">
        <v>1900</v>
      </c>
      <c r="ALB106">
        <v>0</v>
      </c>
      <c r="ALC106">
        <v>0</v>
      </c>
      <c r="ALD106">
        <v>0</v>
      </c>
      <c r="ALE106">
        <v>0</v>
      </c>
      <c r="ALF106" t="s">
        <v>1900</v>
      </c>
      <c r="ALG106">
        <v>46.959441785</v>
      </c>
      <c r="ALH106">
        <v>51.046867326</v>
      </c>
      <c r="ALI106">
        <v>62.502097879</v>
      </c>
      <c r="ALJ106">
        <v>56.567758815</v>
      </c>
      <c r="ALK106" t="s">
        <v>1900</v>
      </c>
      <c r="ALL106">
        <v>53.832056064</v>
      </c>
      <c r="ALM106">
        <v>53.662635972</v>
      </c>
      <c r="ALN106">
        <v>50.923370453</v>
      </c>
      <c r="ALO106">
        <v>51.709790001</v>
      </c>
      <c r="ALP106" t="s">
        <v>1900</v>
      </c>
      <c r="ALQ106">
        <v>22.152626016</v>
      </c>
      <c r="ALR106">
        <v>26.367641732</v>
      </c>
      <c r="ALS106">
        <v>36.798176326</v>
      </c>
      <c r="ALT106">
        <v>37.725109788</v>
      </c>
      <c r="ALU106" t="s">
        <v>1900</v>
      </c>
      <c r="ALV106">
        <v>35.966322712</v>
      </c>
      <c r="ALW106">
        <v>19.468776603</v>
      </c>
      <c r="ALX106">
        <v>4.613810728</v>
      </c>
      <c r="ALY106">
        <v>19.934096003</v>
      </c>
      <c r="ALZ106" t="s">
        <v>1900</v>
      </c>
      <c r="AMA106">
        <v>69.5845255210802</v>
      </c>
      <c r="AMB106">
        <v>75.44038758357659</v>
      </c>
      <c r="AMC106">
        <v>77.5136754168613</v>
      </c>
      <c r="AMD106">
        <v>72.75944154267479</v>
      </c>
      <c r="AME106" t="s">
        <v>1900</v>
      </c>
      <c r="AMF106">
        <v>69.5845255210802</v>
      </c>
      <c r="AMG106">
        <v>75.44038758357659</v>
      </c>
      <c r="AMH106">
        <v>77.5136754168613</v>
      </c>
      <c r="AMI106">
        <v>72.75944154267479</v>
      </c>
      <c r="AMJ106" t="s">
        <v>1900</v>
      </c>
      <c r="AMK106">
        <v>228.780010285122</v>
      </c>
      <c r="AML106">
        <v>307.172549405252</v>
      </c>
      <c r="AMM106">
        <v>344.714740420427</v>
      </c>
      <c r="AMN106">
        <v>267.099669254795</v>
      </c>
      <c r="AMO106" t="s">
        <v>1900</v>
      </c>
      <c r="AMP106">
        <v>1.54178690008199</v>
      </c>
      <c r="AMQ106">
        <v>1.59245977071911</v>
      </c>
      <c r="AMR106">
        <v>1.53157621473146</v>
      </c>
      <c r="AMS106">
        <v>1.68431760148931</v>
      </c>
      <c r="AMT106" t="s">
        <v>1900</v>
      </c>
      <c r="AMU106">
        <v>1.54178690124477</v>
      </c>
      <c r="AMV106">
        <v>1.59245977071911</v>
      </c>
      <c r="AMW106">
        <v>1.53157621473146</v>
      </c>
      <c r="AMX106">
        <v>1.68431760148931</v>
      </c>
      <c r="AMY106" t="s">
        <v>1900</v>
      </c>
      <c r="AMZ106">
        <v>1.54178690124477</v>
      </c>
      <c r="ANA106">
        <v>1.59245977071911</v>
      </c>
      <c r="ANB106">
        <v>1.53157621473146</v>
      </c>
      <c r="ANC106">
        <v>1.68431760148931</v>
      </c>
      <c r="AND106" t="s">
        <v>1900</v>
      </c>
      <c r="ANE106">
        <v>24.4521369682468</v>
      </c>
      <c r="ANF106">
        <v>28.0668909523179</v>
      </c>
      <c r="ANG106">
        <v>26.9032815812192</v>
      </c>
      <c r="ANH106">
        <v>29.5612694886993</v>
      </c>
      <c r="ANI106" t="s">
        <v>1900</v>
      </c>
      <c r="ANJ106">
        <v>24.4521369682468</v>
      </c>
      <c r="ANK106">
        <v>28.0668909523179</v>
      </c>
      <c r="ANL106">
        <v>26.9032815812192</v>
      </c>
      <c r="ANM106">
        <v>29.5612694886993</v>
      </c>
      <c r="ANN106" t="s">
        <v>1900</v>
      </c>
      <c r="ANO106">
        <v>32.3664177740797</v>
      </c>
      <c r="ANP106">
        <v>39.0180423505861</v>
      </c>
      <c r="ANQ106">
        <v>36.8050470160463</v>
      </c>
      <c r="ANR106">
        <v>41.96735130534</v>
      </c>
      <c r="ANS106" t="s">
        <v>1900</v>
      </c>
      <c r="ANT106">
        <v>36.2349803171759</v>
      </c>
      <c r="ANU106">
        <v>35.004446414821</v>
      </c>
      <c r="ANV106">
        <v>24.1541141357636</v>
      </c>
      <c r="ANW106">
        <v>31.7085988541324</v>
      </c>
      <c r="ANX106" t="s">
        <v>1900</v>
      </c>
      <c r="ANY106">
        <v>69.58452557355911</v>
      </c>
      <c r="ANZ106">
        <v>75.44038758357659</v>
      </c>
      <c r="AOA106">
        <v>77.5136754168613</v>
      </c>
      <c r="AOB106">
        <v>72.75944154267479</v>
      </c>
      <c r="AOC106" t="s">
        <v>1900</v>
      </c>
      <c r="AOD106">
        <v>92.1065437573441</v>
      </c>
      <c r="AOE106">
        <v>104.875749960383</v>
      </c>
      <c r="AOF106">
        <v>106.042620097903</v>
      </c>
      <c r="AOG106">
        <v>103.294651982693</v>
      </c>
      <c r="AOH106" t="s">
        <v>1900</v>
      </c>
      <c r="AOI106">
        <v>79.7683689716273</v>
      </c>
      <c r="AOJ106">
        <v>79.30614097481519</v>
      </c>
      <c r="AOK106">
        <v>63.1540019039362</v>
      </c>
      <c r="AOL106">
        <v>66.5109511425692</v>
      </c>
      <c r="AOM106" t="s">
        <v>1900</v>
      </c>
      <c r="AON106">
        <v>80.3937384813235</v>
      </c>
      <c r="AOO106">
        <v>114.280675429345</v>
      </c>
      <c r="AOP106">
        <v>119.642858848496</v>
      </c>
      <c r="AOQ106">
        <v>108.519322520534</v>
      </c>
      <c r="AOR106" t="s">
        <v>1900</v>
      </c>
      <c r="AOS106">
        <v>54.1786901244766</v>
      </c>
      <c r="AOT106">
        <v>59.2459770719106</v>
      </c>
      <c r="AOU106">
        <v>53.1576214731464</v>
      </c>
      <c r="AOV106">
        <v>68.4317601489315</v>
      </c>
      <c r="AOW106" t="s">
        <v>1900</v>
      </c>
      <c r="AOX106">
        <v>28.0307592704212</v>
      </c>
      <c r="AOY106">
        <v>29.505108362856</v>
      </c>
      <c r="AOZ106">
        <v>21.9193566433938</v>
      </c>
      <c r="APA106">
        <v>27.0225844095026</v>
      </c>
      <c r="APB106" t="s">
        <v>1900</v>
      </c>
      <c r="APC106">
        <v>18.3391028573824</v>
      </c>
      <c r="APD106">
        <v>20.7665804861313</v>
      </c>
      <c r="APE106">
        <v>20.1140338535007</v>
      </c>
      <c r="APF106">
        <v>22.4573863268749</v>
      </c>
      <c r="APG106" t="s">
        <v>1900</v>
      </c>
      <c r="APH106">
        <v>18.3391028573824</v>
      </c>
      <c r="API106">
        <v>20.7665804861313</v>
      </c>
      <c r="APJ106">
        <v>20.1140338535007</v>
      </c>
      <c r="APK106">
        <v>22.4573863268749</v>
      </c>
      <c r="APL106" t="s">
        <v>1900</v>
      </c>
      <c r="APM106">
        <v>60.2953042923431</v>
      </c>
      <c r="APN106">
        <v>84.5558151896745</v>
      </c>
      <c r="APO106">
        <v>89.45007343967259</v>
      </c>
      <c r="APP106">
        <v>82.4409909292292</v>
      </c>
      <c r="APQ106" t="s">
        <v>1900</v>
      </c>
      <c r="APR106">
        <v>40.6340178840518</v>
      </c>
      <c r="APS106">
        <v>43.835861743059</v>
      </c>
      <c r="APT106">
        <v>39.7428913887162</v>
      </c>
      <c r="APU106">
        <v>51.9868903221522</v>
      </c>
      <c r="APV106" t="s">
        <v>1900</v>
      </c>
      <c r="APW106">
        <v>24.2748135042209</v>
      </c>
      <c r="APX106">
        <v>28.8692936549786</v>
      </c>
      <c r="APY106">
        <v>27.5170134701052</v>
      </c>
      <c r="APZ106">
        <v>31.8821565406718</v>
      </c>
      <c r="AQA106" t="s">
        <v>1900</v>
      </c>
      <c r="AQB106">
        <v>21.0230696032142</v>
      </c>
      <c r="AQC106">
        <v>21.8307118023942</v>
      </c>
      <c r="AQD106">
        <v>16.3878402804198</v>
      </c>
      <c r="AQE106">
        <v>20.5287739035286</v>
      </c>
      <c r="AQF106" t="s">
        <v>1900</v>
      </c>
      <c r="AQG106">
        <v>0.541786901244766</v>
      </c>
      <c r="AQH106">
        <v>0.592459770719106</v>
      </c>
      <c r="AQI106">
        <v>0.531576214731464</v>
      </c>
      <c r="AQJ106">
        <v>0.684317601489315</v>
      </c>
      <c r="AQK106">
        <v>3</v>
      </c>
      <c r="AQO106" t="s">
        <v>1902</v>
      </c>
      <c r="AQP106">
        <v>3</v>
      </c>
      <c r="AQQ106">
        <v>0</v>
      </c>
      <c r="AQS106" t="s">
        <v>1905</v>
      </c>
      <c r="AQU106" t="s">
        <v>1906</v>
      </c>
      <c r="AQV106" t="s">
        <v>1900</v>
      </c>
      <c r="AQW106">
        <v>2105608.18052108</v>
      </c>
      <c r="AQX106">
        <v>1908699.56965885</v>
      </c>
      <c r="AQY106" t="s">
        <v>1900</v>
      </c>
      <c r="AQZ106">
        <v>514866.196315622</v>
      </c>
      <c r="ARA106">
        <v>535712.626823509</v>
      </c>
      <c r="ARB106">
        <v>4014307.75017993</v>
      </c>
      <c r="ARC106">
        <v>1050578.823139131</v>
      </c>
      <c r="ARD106">
        <v>0.3544787154971372</v>
      </c>
      <c r="ARE106">
        <v>0.3544787154971372</v>
      </c>
      <c r="ARF106">
        <v>0.3544787154971372</v>
      </c>
      <c r="ARG106">
        <v>0.3544787154971372</v>
      </c>
      <c r="ARH106">
        <v>0.3544787154971372</v>
      </c>
      <c r="ARI106">
        <v>0.3544787154971372</v>
      </c>
      <c r="ARJ106" t="s">
        <v>1267</v>
      </c>
      <c r="ARK106" t="s">
        <v>1605</v>
      </c>
      <c r="ARL106" t="s">
        <v>1908</v>
      </c>
      <c r="ARM106" t="s">
        <v>1908</v>
      </c>
      <c r="ARN106" t="s">
        <v>1909</v>
      </c>
      <c r="ARO106" t="s">
        <v>1908</v>
      </c>
      <c r="ARP106" t="s">
        <v>1907</v>
      </c>
      <c r="ARQ106" t="s">
        <v>1999</v>
      </c>
      <c r="ARR106">
        <f>HYPERLINK("C:\Users\Usuario\Documents\Proyectos\llmthon\evidence\serinf_es_000004.png", "Ver Evidencia")</f>
        <v>0</v>
      </c>
      <c r="ARS106">
        <v>95</v>
      </c>
    </row>
    <row r="107" spans="1:1163">
      <c r="A107">
        <v>174</v>
      </c>
      <c r="B107" t="s">
        <v>1268</v>
      </c>
      <c r="C107" t="s">
        <v>1391</v>
      </c>
      <c r="D107" t="s">
        <v>1425</v>
      </c>
      <c r="E107" s="2">
        <v>34484</v>
      </c>
      <c r="F107" t="s">
        <v>1431</v>
      </c>
      <c r="G107" t="s">
        <v>1433</v>
      </c>
      <c r="H107" t="s">
        <v>1434</v>
      </c>
      <c r="I107" t="s">
        <v>1435</v>
      </c>
      <c r="J107" t="s">
        <v>1494</v>
      </c>
      <c r="L107" t="s">
        <v>1606</v>
      </c>
      <c r="N107" t="s">
        <v>1626</v>
      </c>
      <c r="O107" t="s">
        <v>1650</v>
      </c>
      <c r="P107">
        <v>6920</v>
      </c>
      <c r="Q107">
        <v>6920</v>
      </c>
      <c r="R107" t="s">
        <v>1774</v>
      </c>
      <c r="Z107" t="s">
        <v>1899</v>
      </c>
      <c r="AA107" s="2">
        <v>45657</v>
      </c>
      <c r="AB107">
        <v>2024</v>
      </c>
      <c r="AC107">
        <v>5183938.27762722</v>
      </c>
      <c r="AD107">
        <v>5669929.32789461</v>
      </c>
      <c r="AE107">
        <v>4908036.88955678</v>
      </c>
      <c r="AF107">
        <v>6050680.30457933</v>
      </c>
      <c r="AG107">
        <v>6840770.72615664</v>
      </c>
      <c r="AH107">
        <v>3844305.89976152</v>
      </c>
      <c r="AI107">
        <v>4171551.27429095</v>
      </c>
      <c r="AJ107">
        <v>3488631.93163425</v>
      </c>
      <c r="AK107">
        <v>4425357.1496983</v>
      </c>
      <c r="AL107">
        <v>4868299.48252277</v>
      </c>
      <c r="AM107">
        <v>58136.506638968</v>
      </c>
      <c r="AN107">
        <v>85341.57510025029</v>
      </c>
      <c r="AO107">
        <v>83953.89093793029</v>
      </c>
      <c r="AP107">
        <v>98153.44182350631</v>
      </c>
      <c r="AQ107">
        <v>51063.8107999146</v>
      </c>
      <c r="AR107">
        <v>5125801.77098826</v>
      </c>
      <c r="AS107">
        <v>5584587.75279436</v>
      </c>
      <c r="AT107">
        <v>4824082.99861885</v>
      </c>
      <c r="AU107">
        <v>5952526.86275582</v>
      </c>
      <c r="AV107">
        <v>6789706.91658382</v>
      </c>
      <c r="AW107">
        <v>4349824.86887725</v>
      </c>
      <c r="AX107">
        <v>4687489.13213252</v>
      </c>
      <c r="AY107">
        <v>4248720.8690687</v>
      </c>
      <c r="AZ107">
        <v>4932723.32985992</v>
      </c>
      <c r="BA107">
        <v>5227226.45709104</v>
      </c>
      <c r="BB107">
        <v>775976.9021110029</v>
      </c>
      <c r="BC107">
        <v>897098.619556837</v>
      </c>
      <c r="BD107">
        <v>575362.129550153</v>
      </c>
      <c r="BE107">
        <v>1019803.5328959</v>
      </c>
      <c r="BF107">
        <v>1562480.45949278</v>
      </c>
      <c r="BG107">
        <v>51359.9519355869</v>
      </c>
      <c r="BH107">
        <v>38290.6981843948</v>
      </c>
      <c r="BI107">
        <v>5591.73314515352</v>
      </c>
      <c r="BJ107">
        <v>16532.5780140638</v>
      </c>
      <c r="BK107">
        <v>7533.39574807286</v>
      </c>
      <c r="BL107">
        <v>51359.9519355869</v>
      </c>
      <c r="BM107">
        <v>38290.6981843948</v>
      </c>
      <c r="BN107">
        <v>5591.73314515352</v>
      </c>
      <c r="BO107">
        <v>16532.5780140638</v>
      </c>
      <c r="BP107">
        <v>7533.39574807286</v>
      </c>
      <c r="BQ107" t="s">
        <v>1900</v>
      </c>
      <c r="BR107" t="s">
        <v>1900</v>
      </c>
      <c r="BS107" t="s">
        <v>1900</v>
      </c>
      <c r="BT107" t="s">
        <v>1900</v>
      </c>
      <c r="BU107" t="s">
        <v>1900</v>
      </c>
      <c r="BV107">
        <v>827336.85404659</v>
      </c>
      <c r="BW107">
        <v>935389.317741232</v>
      </c>
      <c r="BX107">
        <v>580953.862695307</v>
      </c>
      <c r="BY107">
        <v>1036336.11090996</v>
      </c>
      <c r="BZ107">
        <v>1570013.85524085</v>
      </c>
      <c r="CA107">
        <v>206834.20831715</v>
      </c>
      <c r="CB107">
        <v>233847.332197809</v>
      </c>
      <c r="CC107">
        <v>145238.468340325</v>
      </c>
      <c r="CD107">
        <v>259264.1932899</v>
      </c>
      <c r="CE107">
        <v>392503.466877961</v>
      </c>
      <c r="CF107">
        <v>620502.64572944</v>
      </c>
      <c r="CG107">
        <v>701541.985543423</v>
      </c>
      <c r="CH107">
        <v>435715.394354981</v>
      </c>
      <c r="CI107">
        <v>777071.9176200629</v>
      </c>
      <c r="CJ107">
        <v>1177510.38836289</v>
      </c>
      <c r="CK107" t="s">
        <v>1900</v>
      </c>
      <c r="CL107" t="s">
        <v>1900</v>
      </c>
      <c r="CM107" t="s">
        <v>1900</v>
      </c>
      <c r="CN107" t="s">
        <v>1900</v>
      </c>
      <c r="CO107" t="s">
        <v>1900</v>
      </c>
      <c r="CP107" t="s">
        <v>1900</v>
      </c>
      <c r="CQ107" t="s">
        <v>1900</v>
      </c>
      <c r="CR107" t="s">
        <v>1900</v>
      </c>
      <c r="CS107" t="s">
        <v>1900</v>
      </c>
      <c r="CT107" t="s">
        <v>1900</v>
      </c>
      <c r="CU107" t="s">
        <v>1900</v>
      </c>
      <c r="CV107" t="s">
        <v>1900</v>
      </c>
      <c r="CW107" t="s">
        <v>1900</v>
      </c>
      <c r="CX107" t="s">
        <v>1900</v>
      </c>
      <c r="CY107" t="s">
        <v>1900</v>
      </c>
      <c r="CZ107">
        <v>620502.64572944</v>
      </c>
      <c r="DA107">
        <v>701541.985543423</v>
      </c>
      <c r="DB107">
        <v>435715.394354981</v>
      </c>
      <c r="DC107">
        <v>777071.9176200629</v>
      </c>
      <c r="DD107">
        <v>1177510.38836289</v>
      </c>
      <c r="DE107" t="s">
        <v>1900</v>
      </c>
      <c r="DF107" t="s">
        <v>1900</v>
      </c>
      <c r="DG107" t="s">
        <v>1900</v>
      </c>
      <c r="DH107" t="s">
        <v>1900</v>
      </c>
      <c r="DI107" t="s">
        <v>1900</v>
      </c>
      <c r="DJ107">
        <v>58136.506638968</v>
      </c>
      <c r="DK107">
        <v>85341.57510025029</v>
      </c>
      <c r="DL107">
        <v>83953.89093793029</v>
      </c>
      <c r="DM107">
        <v>98153.44182350631</v>
      </c>
      <c r="DN107">
        <v>51063.8107999146</v>
      </c>
      <c r="DO107">
        <v>863212.112214999</v>
      </c>
      <c r="DP107">
        <v>910660.423243208</v>
      </c>
      <c r="DQ107">
        <v>884353.004154038</v>
      </c>
      <c r="DR107">
        <v>669437.240776706</v>
      </c>
      <c r="DS107">
        <v>607469.4831256811</v>
      </c>
      <c r="DT107" t="s">
        <v>1900</v>
      </c>
      <c r="DU107" t="s">
        <v>1900</v>
      </c>
      <c r="DV107" t="s">
        <v>1900</v>
      </c>
      <c r="DW107" t="s">
        <v>1900</v>
      </c>
      <c r="DX107" t="s">
        <v>1900</v>
      </c>
      <c r="DY107">
        <v>3486612.75666225</v>
      </c>
      <c r="DZ107">
        <v>3776828.70999432</v>
      </c>
      <c r="EA107">
        <v>3364367.86491466</v>
      </c>
      <c r="EB107">
        <v>4263286.08908322</v>
      </c>
      <c r="EC107">
        <v>4619756.97273827</v>
      </c>
      <c r="ED107" t="s">
        <v>1900</v>
      </c>
      <c r="EE107" t="s">
        <v>1900</v>
      </c>
      <c r="EF107" t="s">
        <v>1900</v>
      </c>
      <c r="EG107" t="s">
        <v>1900</v>
      </c>
      <c r="EH107" t="s">
        <v>1900</v>
      </c>
      <c r="EI107" t="s">
        <v>1900</v>
      </c>
      <c r="EJ107" t="s">
        <v>1900</v>
      </c>
      <c r="EK107" t="s">
        <v>1900</v>
      </c>
      <c r="EL107" t="s">
        <v>1900</v>
      </c>
      <c r="EM107" t="s">
        <v>1900</v>
      </c>
      <c r="EN107" t="s">
        <v>1900</v>
      </c>
      <c r="EO107" t="s">
        <v>1900</v>
      </c>
      <c r="EP107" t="s">
        <v>1900</v>
      </c>
      <c r="EQ107" t="s">
        <v>1900</v>
      </c>
      <c r="ER107" t="s">
        <v>1900</v>
      </c>
      <c r="ES107">
        <v>1690548.96626159</v>
      </c>
      <c r="ET107">
        <v>1846049.74098444</v>
      </c>
      <c r="EU107">
        <v>1465306.86684934</v>
      </c>
      <c r="EV107">
        <v>1705773.35168667</v>
      </c>
      <c r="EW107">
        <v>2177483.33836653</v>
      </c>
      <c r="EX107">
        <v>775976.9021110029</v>
      </c>
      <c r="EY107">
        <v>897098.619556837</v>
      </c>
      <c r="EZ107">
        <v>575362.129550153</v>
      </c>
      <c r="FA107">
        <v>1019803.5328959</v>
      </c>
      <c r="FB107">
        <v>1562480.45949278</v>
      </c>
      <c r="FC107">
        <v>4450.92613609672</v>
      </c>
      <c r="FD107">
        <v>4734.1204746151</v>
      </c>
      <c r="FE107">
        <v>4569.60018956065</v>
      </c>
      <c r="FF107">
        <v>4852.36551926136</v>
      </c>
      <c r="FG107">
        <v>5257.2247155726</v>
      </c>
      <c r="FH107">
        <v>0</v>
      </c>
      <c r="FI107">
        <v>0</v>
      </c>
      <c r="FJ107">
        <v>0</v>
      </c>
      <c r="FK107">
        <v>0</v>
      </c>
      <c r="FL107">
        <v>0</v>
      </c>
      <c r="FM107">
        <v>0</v>
      </c>
      <c r="FN107">
        <v>0</v>
      </c>
      <c r="FO107">
        <v>0</v>
      </c>
      <c r="FP107">
        <v>0</v>
      </c>
      <c r="FQ107">
        <v>0</v>
      </c>
      <c r="FR107">
        <v>4450.92613609672</v>
      </c>
      <c r="FS107">
        <v>4734.1204746151</v>
      </c>
      <c r="FT107">
        <v>4569.60018956065</v>
      </c>
      <c r="FU107">
        <v>4852.36551926136</v>
      </c>
      <c r="FV107">
        <v>5257.2247155726</v>
      </c>
      <c r="FW107">
        <v>0</v>
      </c>
      <c r="FX107">
        <v>0</v>
      </c>
      <c r="FY107">
        <v>0</v>
      </c>
      <c r="FZ107">
        <v>0</v>
      </c>
      <c r="GA107">
        <v>0</v>
      </c>
      <c r="GB107">
        <v>0</v>
      </c>
      <c r="GC107">
        <v>0</v>
      </c>
      <c r="GD107">
        <v>0</v>
      </c>
      <c r="GE107">
        <v>0</v>
      </c>
      <c r="GF107">
        <v>0</v>
      </c>
      <c r="GG107">
        <v>4450.92613609672</v>
      </c>
      <c r="GH107">
        <v>4734.1204746151</v>
      </c>
      <c r="GI107">
        <v>4569.60018956065</v>
      </c>
      <c r="GJ107">
        <v>4852.36551926136</v>
      </c>
      <c r="GK107">
        <v>5257.2247155726</v>
      </c>
      <c r="GL107">
        <v>6462443.81158242</v>
      </c>
      <c r="GM107">
        <v>1815497.84747313</v>
      </c>
      <c r="GN107">
        <v>1307537.15577336</v>
      </c>
      <c r="GO107">
        <v>1900912.55839469</v>
      </c>
      <c r="GP107">
        <v>3241547.88111534</v>
      </c>
      <c r="GQ107">
        <v>0</v>
      </c>
      <c r="GR107">
        <v>0</v>
      </c>
      <c r="GS107">
        <v>0</v>
      </c>
      <c r="GT107">
        <v>0</v>
      </c>
      <c r="GU107">
        <v>36.7148110389709</v>
      </c>
      <c r="GV107">
        <v>1242189.59537953</v>
      </c>
      <c r="GW107">
        <v>960633.661820583</v>
      </c>
      <c r="GX107">
        <v>1092120.99548545</v>
      </c>
      <c r="GY107">
        <v>841659.560101533</v>
      </c>
      <c r="GZ107">
        <v>1252886.21447172</v>
      </c>
      <c r="HA107">
        <v>5220254.21620289</v>
      </c>
      <c r="HB107">
        <v>854864.185652542</v>
      </c>
      <c r="HC107">
        <v>215416.160287911</v>
      </c>
      <c r="HD107">
        <v>1059252.99829316</v>
      </c>
      <c r="HE107">
        <v>1988624.95060548</v>
      </c>
      <c r="HF107">
        <v>5218578.42968744</v>
      </c>
      <c r="HG107">
        <v>826915.098709335</v>
      </c>
      <c r="HH107">
        <v>215416.160287911</v>
      </c>
      <c r="HI107">
        <v>87255.6862511158</v>
      </c>
      <c r="HJ107">
        <v>68930.09436678889</v>
      </c>
      <c r="HK107">
        <v>6466894.73771852</v>
      </c>
      <c r="HL107">
        <v>1820231.96794774</v>
      </c>
      <c r="HM107">
        <v>1312106.75596292</v>
      </c>
      <c r="HN107">
        <v>1905764.92391396</v>
      </c>
      <c r="HO107">
        <v>3246805.10583091</v>
      </c>
      <c r="HP107">
        <v>702237.038599296</v>
      </c>
      <c r="HQ107">
        <v>788476.805608702</v>
      </c>
      <c r="HR107">
        <v>519629.053160214</v>
      </c>
      <c r="HS107">
        <v>866178.125535536</v>
      </c>
      <c r="HT107">
        <v>1274051.21091731</v>
      </c>
      <c r="HU107">
        <v>16007.5095721412</v>
      </c>
      <c r="HV107">
        <v>17026.0023410606</v>
      </c>
      <c r="HW107">
        <v>16434.3142390132</v>
      </c>
      <c r="HX107">
        <v>17451.2641014576</v>
      </c>
      <c r="HY107">
        <v>18907.3177995324</v>
      </c>
      <c r="HZ107">
        <v>686229.529027154</v>
      </c>
      <c r="IA107">
        <v>771450.803267641</v>
      </c>
      <c r="IB107">
        <v>503194.737854602</v>
      </c>
      <c r="IC107">
        <v>848726.861434078</v>
      </c>
      <c r="ID107">
        <v>1255143.89311777</v>
      </c>
      <c r="IE107">
        <v>0</v>
      </c>
      <c r="IF107">
        <v>0</v>
      </c>
      <c r="IG107">
        <v>0</v>
      </c>
      <c r="IH107">
        <v>0</v>
      </c>
      <c r="II107">
        <v>0</v>
      </c>
      <c r="IJ107" t="s">
        <v>1900</v>
      </c>
      <c r="IK107" t="s">
        <v>1900</v>
      </c>
      <c r="IL107" t="s">
        <v>1900</v>
      </c>
      <c r="IM107" t="s">
        <v>1900</v>
      </c>
      <c r="IN107" t="s">
        <v>1900</v>
      </c>
      <c r="IO107" t="s">
        <v>1900</v>
      </c>
      <c r="IP107" t="s">
        <v>1900</v>
      </c>
      <c r="IQ107" t="s">
        <v>1900</v>
      </c>
      <c r="IR107" t="s">
        <v>1900</v>
      </c>
      <c r="IS107" t="s">
        <v>1900</v>
      </c>
      <c r="IT107" t="s">
        <v>1900</v>
      </c>
      <c r="IU107" t="s">
        <v>1900</v>
      </c>
      <c r="IV107" t="s">
        <v>1900</v>
      </c>
      <c r="IW107" t="s">
        <v>1900</v>
      </c>
      <c r="IX107" t="s">
        <v>1900</v>
      </c>
      <c r="IY107">
        <v>5764657.69911922</v>
      </c>
      <c r="IZ107">
        <v>1031755.16233904</v>
      </c>
      <c r="JA107">
        <v>792477.702802706</v>
      </c>
      <c r="JB107">
        <v>1039586.79837842</v>
      </c>
      <c r="JC107">
        <v>1972753.8949136</v>
      </c>
      <c r="JD107">
        <v>0</v>
      </c>
      <c r="JE107">
        <v>2700.51071195602</v>
      </c>
      <c r="JF107">
        <v>0</v>
      </c>
      <c r="JG107">
        <v>0</v>
      </c>
      <c r="JH107">
        <v>351.625304251909</v>
      </c>
      <c r="JI107">
        <v>744046.501334328</v>
      </c>
      <c r="JJ107">
        <v>761812.61324214</v>
      </c>
      <c r="JK107">
        <v>671720.199226707</v>
      </c>
      <c r="JL107">
        <v>764573.6052711729</v>
      </c>
      <c r="JM107">
        <v>1622148.22428257</v>
      </c>
      <c r="JN107">
        <v>5020611.19778489</v>
      </c>
      <c r="JO107">
        <v>267242.038384943</v>
      </c>
      <c r="JP107">
        <v>120757.503575999</v>
      </c>
      <c r="JQ107">
        <v>275013.193107247</v>
      </c>
      <c r="JR107">
        <v>350254.045326781</v>
      </c>
      <c r="JS107">
        <v>6466894.73771852</v>
      </c>
      <c r="JT107">
        <v>1820231.96794774</v>
      </c>
      <c r="JU107">
        <v>1312106.75596292</v>
      </c>
      <c r="JV107">
        <v>1905764.92391396</v>
      </c>
      <c r="JW107">
        <v>3246805.10583091</v>
      </c>
      <c r="JX107">
        <v>498143.094045199</v>
      </c>
      <c r="JY107">
        <v>198821.047473443</v>
      </c>
      <c r="JZ107">
        <v>420400.796258742</v>
      </c>
      <c r="KA107">
        <v>77085.9548303604</v>
      </c>
      <c r="KB107">
        <v>-369225.293772715</v>
      </c>
      <c r="KC107" t="s">
        <v>1900</v>
      </c>
      <c r="KD107" t="s">
        <v>1900</v>
      </c>
      <c r="KE107" t="s">
        <v>1900</v>
      </c>
      <c r="KF107" t="s">
        <v>1900</v>
      </c>
      <c r="KG107" t="s">
        <v>1900</v>
      </c>
      <c r="KH107" t="s">
        <v>1900</v>
      </c>
      <c r="KI107" t="s">
        <v>1900</v>
      </c>
      <c r="KJ107" t="s">
        <v>1900</v>
      </c>
      <c r="KK107" t="s">
        <v>1900</v>
      </c>
      <c r="KL107" t="s">
        <v>1900</v>
      </c>
      <c r="KM107">
        <v>13</v>
      </c>
      <c r="KN107">
        <v>17</v>
      </c>
      <c r="KO107">
        <v>20</v>
      </c>
      <c r="KP107">
        <v>15</v>
      </c>
      <c r="KQ107">
        <v>14</v>
      </c>
      <c r="KR107" t="s">
        <v>1900</v>
      </c>
      <c r="KS107" t="s">
        <v>1900</v>
      </c>
      <c r="KT107" t="s">
        <v>1900</v>
      </c>
      <c r="KU107" t="s">
        <v>1900</v>
      </c>
      <c r="KV107" t="s">
        <v>1900</v>
      </c>
      <c r="KW107" t="s">
        <v>1900</v>
      </c>
      <c r="KX107" t="s">
        <v>1900</v>
      </c>
      <c r="KY107" t="s">
        <v>1900</v>
      </c>
      <c r="KZ107" t="s">
        <v>1900</v>
      </c>
      <c r="LA107" t="s">
        <v>1900</v>
      </c>
      <c r="LB107" t="s">
        <v>1900</v>
      </c>
      <c r="LC107" t="s">
        <v>1900</v>
      </c>
      <c r="LD107" t="s">
        <v>1900</v>
      </c>
      <c r="LE107" t="s">
        <v>1900</v>
      </c>
      <c r="LF107" t="s">
        <v>1900</v>
      </c>
      <c r="LG107" t="s">
        <v>1900</v>
      </c>
      <c r="LH107" t="s">
        <v>1900</v>
      </c>
      <c r="LI107" t="s">
        <v>1900</v>
      </c>
      <c r="LJ107" t="s">
        <v>1900</v>
      </c>
      <c r="LK107" t="s">
        <v>1900</v>
      </c>
      <c r="LL107" t="s">
        <v>1900</v>
      </c>
      <c r="LM107" t="s">
        <v>1900</v>
      </c>
      <c r="LN107" t="s">
        <v>1900</v>
      </c>
      <c r="LO107" t="s">
        <v>1900</v>
      </c>
      <c r="LP107" t="s">
        <v>1900</v>
      </c>
      <c r="LQ107" t="s">
        <v>1900</v>
      </c>
      <c r="LR107" t="s">
        <v>1900</v>
      </c>
      <c r="LS107" t="s">
        <v>1900</v>
      </c>
      <c r="LT107" t="s">
        <v>1900</v>
      </c>
      <c r="LU107" t="s">
        <v>1900</v>
      </c>
      <c r="LV107" t="s">
        <v>1900</v>
      </c>
      <c r="LW107" t="s">
        <v>1900</v>
      </c>
      <c r="LX107" t="s">
        <v>1900</v>
      </c>
      <c r="LY107" t="s">
        <v>1900</v>
      </c>
      <c r="LZ107" t="s">
        <v>1900</v>
      </c>
      <c r="MA107" t="s">
        <v>1900</v>
      </c>
      <c r="MB107" t="s">
        <v>1900</v>
      </c>
      <c r="MC107" t="s">
        <v>1900</v>
      </c>
      <c r="MD107" t="s">
        <v>1900</v>
      </c>
      <c r="ME107" t="s">
        <v>1900</v>
      </c>
      <c r="MF107" t="s">
        <v>1900</v>
      </c>
      <c r="MG107" t="s">
        <v>1900</v>
      </c>
      <c r="MH107" t="s">
        <v>1900</v>
      </c>
      <c r="MI107" t="s">
        <v>1900</v>
      </c>
      <c r="MJ107" t="s">
        <v>1900</v>
      </c>
      <c r="MK107" t="s">
        <v>1900</v>
      </c>
      <c r="ML107" t="s">
        <v>1900</v>
      </c>
      <c r="MM107" t="s">
        <v>1900</v>
      </c>
      <c r="MN107" t="s">
        <v>1900</v>
      </c>
      <c r="MO107" t="s">
        <v>1900</v>
      </c>
      <c r="MP107">
        <v>5220254.21620289</v>
      </c>
      <c r="MQ107">
        <v>854864.185652542</v>
      </c>
      <c r="MR107">
        <v>215416.160287911</v>
      </c>
      <c r="MS107">
        <v>1059252.99829316</v>
      </c>
      <c r="MT107">
        <v>1988624.95060548</v>
      </c>
      <c r="MU107" t="s">
        <v>1900</v>
      </c>
      <c r="MV107" t="s">
        <v>1900</v>
      </c>
      <c r="MW107" t="s">
        <v>1900</v>
      </c>
      <c r="MX107" t="s">
        <v>1900</v>
      </c>
      <c r="MY107" t="s">
        <v>1900</v>
      </c>
      <c r="MZ107" t="s">
        <v>1900</v>
      </c>
      <c r="NA107" t="s">
        <v>1900</v>
      </c>
      <c r="NB107" t="s">
        <v>1900</v>
      </c>
      <c r="NC107" t="s">
        <v>1900</v>
      </c>
      <c r="ND107" t="s">
        <v>1900</v>
      </c>
      <c r="NE107" t="s">
        <v>1900</v>
      </c>
      <c r="NF107" t="s">
        <v>1900</v>
      </c>
      <c r="NG107" t="s">
        <v>1900</v>
      </c>
      <c r="NH107" t="s">
        <v>1900</v>
      </c>
      <c r="NI107" t="s">
        <v>1900</v>
      </c>
      <c r="NJ107" t="s">
        <v>1900</v>
      </c>
      <c r="NK107" t="s">
        <v>1900</v>
      </c>
      <c r="NL107" t="s">
        <v>1900</v>
      </c>
      <c r="NM107" t="s">
        <v>1900</v>
      </c>
      <c r="NN107" t="s">
        <v>1900</v>
      </c>
      <c r="NO107" t="s">
        <v>1900</v>
      </c>
      <c r="NP107" t="s">
        <v>1900</v>
      </c>
      <c r="NQ107" t="s">
        <v>1900</v>
      </c>
      <c r="NR107" t="s">
        <v>1900</v>
      </c>
      <c r="NS107" t="s">
        <v>1900</v>
      </c>
      <c r="NT107">
        <v>4450.92613609672</v>
      </c>
      <c r="NU107">
        <v>4734.1204746151</v>
      </c>
      <c r="NV107">
        <v>4569.60018956065</v>
      </c>
      <c r="NW107">
        <v>4852.36551926136</v>
      </c>
      <c r="NX107">
        <v>5257.2247155726</v>
      </c>
      <c r="NY107" t="s">
        <v>1900</v>
      </c>
      <c r="NZ107" t="s">
        <v>1900</v>
      </c>
      <c r="OA107" t="s">
        <v>1900</v>
      </c>
      <c r="OB107" t="s">
        <v>1900</v>
      </c>
      <c r="OC107" t="s">
        <v>1900</v>
      </c>
      <c r="OD107" t="s">
        <v>1900</v>
      </c>
      <c r="OE107" t="s">
        <v>1900</v>
      </c>
      <c r="OF107" t="s">
        <v>1900</v>
      </c>
      <c r="OG107" t="s">
        <v>1900</v>
      </c>
      <c r="OH107" t="s">
        <v>1900</v>
      </c>
      <c r="OI107" t="s">
        <v>1900</v>
      </c>
      <c r="OJ107" t="s">
        <v>1900</v>
      </c>
      <c r="OK107" t="s">
        <v>1900</v>
      </c>
      <c r="OL107" t="s">
        <v>1900</v>
      </c>
      <c r="OM107" t="s">
        <v>1900</v>
      </c>
      <c r="ON107" t="s">
        <v>1900</v>
      </c>
      <c r="OO107" t="s">
        <v>1900</v>
      </c>
      <c r="OP107" t="s">
        <v>1900</v>
      </c>
      <c r="OQ107" t="s">
        <v>1900</v>
      </c>
      <c r="OR107" t="s">
        <v>1900</v>
      </c>
      <c r="OS107" t="s">
        <v>1900</v>
      </c>
      <c r="OT107" t="s">
        <v>1900</v>
      </c>
      <c r="OU107" t="s">
        <v>1900</v>
      </c>
      <c r="OV107" t="s">
        <v>1900</v>
      </c>
      <c r="OW107" t="s">
        <v>1900</v>
      </c>
      <c r="OX107" t="s">
        <v>1900</v>
      </c>
      <c r="OY107" t="s">
        <v>1900</v>
      </c>
      <c r="OZ107" t="s">
        <v>1900</v>
      </c>
      <c r="PA107" t="s">
        <v>1900</v>
      </c>
      <c r="PB107" t="s">
        <v>1900</v>
      </c>
      <c r="PC107" t="s">
        <v>1900</v>
      </c>
      <c r="PD107" t="s">
        <v>1900</v>
      </c>
      <c r="PE107" t="s">
        <v>1900</v>
      </c>
      <c r="PF107" t="s">
        <v>1900</v>
      </c>
      <c r="PG107" t="s">
        <v>1900</v>
      </c>
      <c r="PH107" t="s">
        <v>1900</v>
      </c>
      <c r="PI107" t="s">
        <v>1900</v>
      </c>
      <c r="PJ107" t="s">
        <v>1900</v>
      </c>
      <c r="PK107" t="s">
        <v>1900</v>
      </c>
      <c r="PL107" t="s">
        <v>1900</v>
      </c>
      <c r="PM107" t="s">
        <v>1900</v>
      </c>
      <c r="PN107" t="s">
        <v>1900</v>
      </c>
      <c r="PO107" t="s">
        <v>1900</v>
      </c>
      <c r="PP107" t="s">
        <v>1900</v>
      </c>
      <c r="PQ107" t="s">
        <v>1900</v>
      </c>
      <c r="PR107" t="s">
        <v>1900</v>
      </c>
      <c r="PS107" t="s">
        <v>1900</v>
      </c>
      <c r="PT107" t="s">
        <v>1900</v>
      </c>
      <c r="PU107" t="s">
        <v>1900</v>
      </c>
      <c r="PV107" t="s">
        <v>1900</v>
      </c>
      <c r="PW107" t="s">
        <v>1900</v>
      </c>
      <c r="PX107" t="s">
        <v>1900</v>
      </c>
      <c r="PY107" t="s">
        <v>1900</v>
      </c>
      <c r="PZ107" t="s">
        <v>1900</v>
      </c>
      <c r="QA107" t="s">
        <v>1900</v>
      </c>
      <c r="QB107" t="s">
        <v>1900</v>
      </c>
      <c r="QC107" t="s">
        <v>1900</v>
      </c>
      <c r="QD107" t="s">
        <v>1900</v>
      </c>
      <c r="QE107" t="s">
        <v>1900</v>
      </c>
      <c r="QF107" t="s">
        <v>1900</v>
      </c>
      <c r="QG107" t="s">
        <v>1900</v>
      </c>
      <c r="QH107" t="s">
        <v>1900</v>
      </c>
      <c r="QI107" t="s">
        <v>1900</v>
      </c>
      <c r="QJ107" t="s">
        <v>1900</v>
      </c>
      <c r="QK107" t="s">
        <v>1900</v>
      </c>
      <c r="QL107" t="s">
        <v>1900</v>
      </c>
      <c r="QM107" t="s">
        <v>1900</v>
      </c>
      <c r="QN107" t="s">
        <v>1900</v>
      </c>
      <c r="QO107" t="s">
        <v>1900</v>
      </c>
      <c r="QP107" t="s">
        <v>1900</v>
      </c>
      <c r="QQ107" t="s">
        <v>1900</v>
      </c>
      <c r="QR107" t="s">
        <v>1900</v>
      </c>
      <c r="QS107" t="s">
        <v>1900</v>
      </c>
      <c r="QT107" t="s">
        <v>1900</v>
      </c>
      <c r="QU107" t="s">
        <v>1900</v>
      </c>
      <c r="QV107" t="s">
        <v>1900</v>
      </c>
      <c r="QW107" t="s">
        <v>1900</v>
      </c>
      <c r="QX107" t="s">
        <v>1900</v>
      </c>
      <c r="QY107" t="s">
        <v>1900</v>
      </c>
      <c r="QZ107" t="s">
        <v>1900</v>
      </c>
      <c r="RA107" t="s">
        <v>1900</v>
      </c>
      <c r="RB107" t="s">
        <v>1900</v>
      </c>
      <c r="RC107" t="s">
        <v>1900</v>
      </c>
      <c r="RD107" t="s">
        <v>1900</v>
      </c>
      <c r="RE107" t="s">
        <v>1900</v>
      </c>
      <c r="RF107" t="s">
        <v>1900</v>
      </c>
      <c r="RG107" t="s">
        <v>1900</v>
      </c>
      <c r="RH107" t="s">
        <v>1900</v>
      </c>
      <c r="RI107" t="s">
        <v>1900</v>
      </c>
      <c r="RJ107" t="s">
        <v>1900</v>
      </c>
      <c r="RK107" t="s">
        <v>1900</v>
      </c>
      <c r="RL107" t="s">
        <v>1900</v>
      </c>
      <c r="RM107" t="s">
        <v>1900</v>
      </c>
      <c r="RN107" t="s">
        <v>1900</v>
      </c>
      <c r="RO107" t="s">
        <v>1900</v>
      </c>
      <c r="RP107" t="s">
        <v>1900</v>
      </c>
      <c r="RQ107" t="s">
        <v>1900</v>
      </c>
      <c r="RR107" t="s">
        <v>1900</v>
      </c>
      <c r="RS107" t="s">
        <v>1900</v>
      </c>
      <c r="RT107" t="s">
        <v>1900</v>
      </c>
      <c r="RU107" t="s">
        <v>1900</v>
      </c>
      <c r="RV107" t="s">
        <v>1900</v>
      </c>
      <c r="RW107" t="s">
        <v>1900</v>
      </c>
      <c r="RX107" t="s">
        <v>1900</v>
      </c>
      <c r="RY107" t="s">
        <v>1900</v>
      </c>
      <c r="RZ107" t="s">
        <v>1900</v>
      </c>
      <c r="SA107" t="s">
        <v>1900</v>
      </c>
      <c r="SB107" t="s">
        <v>1900</v>
      </c>
      <c r="SC107" t="s">
        <v>1900</v>
      </c>
      <c r="SD107" t="s">
        <v>1900</v>
      </c>
      <c r="SE107" t="s">
        <v>1900</v>
      </c>
      <c r="SF107" t="s">
        <v>1900</v>
      </c>
      <c r="SG107" t="s">
        <v>1900</v>
      </c>
      <c r="SH107" t="s">
        <v>1900</v>
      </c>
      <c r="SI107" t="s">
        <v>1900</v>
      </c>
      <c r="SJ107">
        <v>4450.92613609672</v>
      </c>
      <c r="SK107">
        <v>4734.1204746151</v>
      </c>
      <c r="SL107">
        <v>4569.60018956065</v>
      </c>
      <c r="SM107">
        <v>4852.36551926136</v>
      </c>
      <c r="SN107">
        <v>5257.2247155726</v>
      </c>
      <c r="SO107" t="s">
        <v>1900</v>
      </c>
      <c r="SP107" t="s">
        <v>1900</v>
      </c>
      <c r="SQ107" t="s">
        <v>1900</v>
      </c>
      <c r="SR107" t="s">
        <v>1900</v>
      </c>
      <c r="SS107" t="s">
        <v>1900</v>
      </c>
      <c r="ST107" t="s">
        <v>1900</v>
      </c>
      <c r="SU107" t="s">
        <v>1900</v>
      </c>
      <c r="SV107" t="s">
        <v>1900</v>
      </c>
      <c r="SW107" t="s">
        <v>1900</v>
      </c>
      <c r="SX107" t="s">
        <v>1900</v>
      </c>
      <c r="SY107" t="s">
        <v>1900</v>
      </c>
      <c r="SZ107" t="s">
        <v>1900</v>
      </c>
      <c r="TA107" t="s">
        <v>1900</v>
      </c>
      <c r="TB107" t="s">
        <v>1900</v>
      </c>
      <c r="TC107" t="s">
        <v>1900</v>
      </c>
      <c r="TD107" t="s">
        <v>1900</v>
      </c>
      <c r="TE107" t="s">
        <v>1900</v>
      </c>
      <c r="TF107" t="s">
        <v>1900</v>
      </c>
      <c r="TG107" t="s">
        <v>1900</v>
      </c>
      <c r="TH107" t="s">
        <v>1900</v>
      </c>
      <c r="TI107" t="s">
        <v>1900</v>
      </c>
      <c r="TJ107" t="s">
        <v>1900</v>
      </c>
      <c r="TK107" t="s">
        <v>1900</v>
      </c>
      <c r="TL107" t="s">
        <v>1900</v>
      </c>
      <c r="TM107" t="s">
        <v>1900</v>
      </c>
      <c r="TN107" t="s">
        <v>1900</v>
      </c>
      <c r="TO107" t="s">
        <v>1900</v>
      </c>
      <c r="TP107" t="s">
        <v>1900</v>
      </c>
      <c r="TQ107" t="s">
        <v>1900</v>
      </c>
      <c r="TR107" t="s">
        <v>1900</v>
      </c>
      <c r="TS107">
        <v>6466894.73771852</v>
      </c>
      <c r="TT107">
        <v>1820231.96794774</v>
      </c>
      <c r="TU107">
        <v>1312106.75596292</v>
      </c>
      <c r="TV107">
        <v>1905764.92391396</v>
      </c>
      <c r="TW107">
        <v>3246805.10583091</v>
      </c>
      <c r="TX107" t="s">
        <v>1900</v>
      </c>
      <c r="TY107" t="s">
        <v>1900</v>
      </c>
      <c r="TZ107" t="s">
        <v>1900</v>
      </c>
      <c r="UA107" t="s">
        <v>1900</v>
      </c>
      <c r="UB107" t="s">
        <v>1900</v>
      </c>
      <c r="UC107">
        <v>0</v>
      </c>
      <c r="UD107">
        <v>2700.51071195602</v>
      </c>
      <c r="UE107">
        <v>0</v>
      </c>
      <c r="UF107">
        <v>0</v>
      </c>
      <c r="UG107">
        <v>351.625304251909</v>
      </c>
      <c r="UH107" t="s">
        <v>1900</v>
      </c>
      <c r="UI107" t="s">
        <v>1900</v>
      </c>
      <c r="UJ107" t="s">
        <v>1900</v>
      </c>
      <c r="UK107" t="s">
        <v>1900</v>
      </c>
      <c r="UL107" t="s">
        <v>1900</v>
      </c>
      <c r="UM107" t="s">
        <v>1900</v>
      </c>
      <c r="UN107" t="s">
        <v>1900</v>
      </c>
      <c r="UO107" t="s">
        <v>1900</v>
      </c>
      <c r="UP107" t="s">
        <v>1900</v>
      </c>
      <c r="UQ107" t="s">
        <v>1900</v>
      </c>
      <c r="UR107" t="s">
        <v>1900</v>
      </c>
      <c r="US107" t="s">
        <v>1900</v>
      </c>
      <c r="UT107" t="s">
        <v>1900</v>
      </c>
      <c r="UU107" t="s">
        <v>1900</v>
      </c>
      <c r="UV107" t="s">
        <v>1900</v>
      </c>
      <c r="UW107" t="s">
        <v>1900</v>
      </c>
      <c r="UX107" t="s">
        <v>1900</v>
      </c>
      <c r="UY107" t="s">
        <v>1900</v>
      </c>
      <c r="UZ107" t="s">
        <v>1900</v>
      </c>
      <c r="VA107" t="s">
        <v>1900</v>
      </c>
      <c r="VB107" t="s">
        <v>1900</v>
      </c>
      <c r="VC107" t="s">
        <v>1900</v>
      </c>
      <c r="VD107" t="s">
        <v>1900</v>
      </c>
      <c r="VE107" t="s">
        <v>1900</v>
      </c>
      <c r="VF107" t="s">
        <v>1900</v>
      </c>
      <c r="VG107" t="s">
        <v>1900</v>
      </c>
      <c r="VH107" t="s">
        <v>1900</v>
      </c>
      <c r="VI107" t="s">
        <v>1900</v>
      </c>
      <c r="VJ107" t="s">
        <v>1900</v>
      </c>
      <c r="VK107" t="s">
        <v>1900</v>
      </c>
      <c r="VL107" t="s">
        <v>1900</v>
      </c>
      <c r="VM107" t="s">
        <v>1900</v>
      </c>
      <c r="VN107" t="s">
        <v>1900</v>
      </c>
      <c r="VO107" t="s">
        <v>1900</v>
      </c>
      <c r="VP107" t="s">
        <v>1900</v>
      </c>
      <c r="VQ107" t="s">
        <v>1900</v>
      </c>
      <c r="VR107" t="s">
        <v>1900</v>
      </c>
      <c r="VS107" t="s">
        <v>1900</v>
      </c>
      <c r="VT107" t="s">
        <v>1900</v>
      </c>
      <c r="VU107" t="s">
        <v>1900</v>
      </c>
      <c r="VV107" t="s">
        <v>1900</v>
      </c>
      <c r="VW107" t="s">
        <v>1900</v>
      </c>
      <c r="VX107" t="s">
        <v>1900</v>
      </c>
      <c r="VY107" t="s">
        <v>1900</v>
      </c>
      <c r="VZ107" t="s">
        <v>1900</v>
      </c>
      <c r="WA107">
        <v>5020611.19778489</v>
      </c>
      <c r="WB107">
        <v>267242.038384943</v>
      </c>
      <c r="WC107">
        <v>120757.503575999</v>
      </c>
      <c r="WD107">
        <v>275013.193107247</v>
      </c>
      <c r="WE107">
        <v>350254.045326781</v>
      </c>
      <c r="WF107" t="s">
        <v>1900</v>
      </c>
      <c r="WG107" t="s">
        <v>1900</v>
      </c>
      <c r="WH107" t="s">
        <v>1900</v>
      </c>
      <c r="WI107" t="s">
        <v>1900</v>
      </c>
      <c r="WJ107" t="s">
        <v>1900</v>
      </c>
      <c r="WK107" t="s">
        <v>1900</v>
      </c>
      <c r="WL107" t="s">
        <v>1900</v>
      </c>
      <c r="WM107" t="s">
        <v>1900</v>
      </c>
      <c r="WN107" t="s">
        <v>1900</v>
      </c>
      <c r="WO107" t="s">
        <v>1900</v>
      </c>
      <c r="WP107" t="s">
        <v>1900</v>
      </c>
      <c r="WQ107" t="s">
        <v>1900</v>
      </c>
      <c r="WR107" t="s">
        <v>1900</v>
      </c>
      <c r="WS107" t="s">
        <v>1900</v>
      </c>
      <c r="WT107" t="s">
        <v>1900</v>
      </c>
      <c r="WU107" t="s">
        <v>1900</v>
      </c>
      <c r="WV107" t="s">
        <v>1900</v>
      </c>
      <c r="WW107" t="s">
        <v>1900</v>
      </c>
      <c r="WX107" t="s">
        <v>1900</v>
      </c>
      <c r="WY107" t="s">
        <v>1900</v>
      </c>
      <c r="WZ107" t="s">
        <v>1900</v>
      </c>
      <c r="XA107" t="s">
        <v>1900</v>
      </c>
      <c r="XB107" t="s">
        <v>1900</v>
      </c>
      <c r="XC107" t="s">
        <v>1900</v>
      </c>
      <c r="XD107" t="s">
        <v>1900</v>
      </c>
      <c r="XE107" t="s">
        <v>1900</v>
      </c>
      <c r="XF107" t="s">
        <v>1900</v>
      </c>
      <c r="XG107" t="s">
        <v>1900</v>
      </c>
      <c r="XH107" t="s">
        <v>1900</v>
      </c>
      <c r="XI107" t="s">
        <v>1900</v>
      </c>
      <c r="XJ107" t="s">
        <v>1900</v>
      </c>
      <c r="XK107" t="s">
        <v>1900</v>
      </c>
      <c r="XL107" t="s">
        <v>1900</v>
      </c>
      <c r="XM107" t="s">
        <v>1900</v>
      </c>
      <c r="XN107" t="s">
        <v>1900</v>
      </c>
      <c r="XO107" t="s">
        <v>1900</v>
      </c>
      <c r="XP107" t="s">
        <v>1900</v>
      </c>
      <c r="XQ107" t="s">
        <v>1900</v>
      </c>
      <c r="XR107" t="s">
        <v>1900</v>
      </c>
      <c r="XS107" t="s">
        <v>1900</v>
      </c>
      <c r="XT107" t="s">
        <v>1900</v>
      </c>
      <c r="XU107" t="s">
        <v>1900</v>
      </c>
      <c r="XV107" t="s">
        <v>1900</v>
      </c>
      <c r="XW107" t="s">
        <v>1900</v>
      </c>
      <c r="XX107" t="s">
        <v>1900</v>
      </c>
      <c r="XY107" t="s">
        <v>1900</v>
      </c>
      <c r="XZ107" t="s">
        <v>1900</v>
      </c>
      <c r="YA107" t="s">
        <v>1900</v>
      </c>
      <c r="YB107" t="s">
        <v>1900</v>
      </c>
      <c r="YC107" t="s">
        <v>1900</v>
      </c>
      <c r="YD107" t="s">
        <v>1900</v>
      </c>
      <c r="YE107" t="s">
        <v>1900</v>
      </c>
      <c r="YF107" t="s">
        <v>1900</v>
      </c>
      <c r="YG107" t="s">
        <v>1900</v>
      </c>
      <c r="YH107" t="s">
        <v>1900</v>
      </c>
      <c r="YI107" t="s">
        <v>1900</v>
      </c>
      <c r="YJ107" t="s">
        <v>1900</v>
      </c>
      <c r="YK107" t="s">
        <v>1900</v>
      </c>
      <c r="YL107" t="s">
        <v>1900</v>
      </c>
      <c r="YM107" t="s">
        <v>1900</v>
      </c>
      <c r="YN107" t="s">
        <v>1900</v>
      </c>
      <c r="YO107" t="s">
        <v>1900</v>
      </c>
      <c r="YP107" t="s">
        <v>1900</v>
      </c>
      <c r="YQ107" t="s">
        <v>1900</v>
      </c>
      <c r="YR107" t="s">
        <v>1900</v>
      </c>
      <c r="YS107" t="s">
        <v>1900</v>
      </c>
      <c r="YT107" t="s">
        <v>1900</v>
      </c>
      <c r="YU107" t="s">
        <v>1900</v>
      </c>
      <c r="YV107" t="s">
        <v>1900</v>
      </c>
      <c r="YW107" t="s">
        <v>1900</v>
      </c>
      <c r="YX107" t="s">
        <v>1900</v>
      </c>
      <c r="YY107" t="s">
        <v>1900</v>
      </c>
      <c r="YZ107" t="s">
        <v>1900</v>
      </c>
      <c r="ZA107" t="s">
        <v>1900</v>
      </c>
      <c r="ZB107" t="s">
        <v>1900</v>
      </c>
      <c r="ZC107" t="s">
        <v>1900</v>
      </c>
      <c r="ZD107" t="s">
        <v>1900</v>
      </c>
      <c r="ZE107" t="s">
        <v>1900</v>
      </c>
      <c r="ZF107" t="s">
        <v>1900</v>
      </c>
      <c r="ZG107" t="s">
        <v>1900</v>
      </c>
      <c r="ZH107" t="s">
        <v>1900</v>
      </c>
      <c r="ZI107" t="s">
        <v>1900</v>
      </c>
      <c r="ZJ107" t="s">
        <v>1900</v>
      </c>
      <c r="ZK107" t="s">
        <v>1900</v>
      </c>
      <c r="ZL107" t="s">
        <v>1900</v>
      </c>
      <c r="ZM107" t="s">
        <v>1900</v>
      </c>
      <c r="ZN107" t="s">
        <v>1900</v>
      </c>
      <c r="ZO107" t="s">
        <v>1900</v>
      </c>
      <c r="ZP107" t="s">
        <v>1900</v>
      </c>
      <c r="ZQ107" t="s">
        <v>1900</v>
      </c>
      <c r="ZR107" t="s">
        <v>1900</v>
      </c>
      <c r="ZS107" t="s">
        <v>1900</v>
      </c>
      <c r="ZT107" t="s">
        <v>1900</v>
      </c>
      <c r="ZU107" t="s">
        <v>1900</v>
      </c>
      <c r="ZV107" t="s">
        <v>1900</v>
      </c>
      <c r="ZW107" t="s">
        <v>1900</v>
      </c>
      <c r="ZX107" t="s">
        <v>1900</v>
      </c>
      <c r="ZY107" t="s">
        <v>1900</v>
      </c>
      <c r="ZZ107" t="s">
        <v>1900</v>
      </c>
      <c r="AAA107" t="s">
        <v>1900</v>
      </c>
      <c r="AAB107" t="s">
        <v>1900</v>
      </c>
      <c r="AAC107" t="s">
        <v>1900</v>
      </c>
      <c r="AAD107" t="s">
        <v>1900</v>
      </c>
      <c r="AAE107" t="s">
        <v>1900</v>
      </c>
      <c r="AAF107" t="s">
        <v>1900</v>
      </c>
      <c r="AAG107" t="s">
        <v>1900</v>
      </c>
      <c r="AAH107" t="s">
        <v>1900</v>
      </c>
      <c r="AAI107" t="s">
        <v>1900</v>
      </c>
      <c r="AAJ107" t="s">
        <v>1900</v>
      </c>
      <c r="AAK107" t="s">
        <v>1900</v>
      </c>
      <c r="AAL107" t="s">
        <v>1900</v>
      </c>
      <c r="AAM107" t="s">
        <v>1900</v>
      </c>
      <c r="AAN107" t="s">
        <v>1900</v>
      </c>
      <c r="AAO107" t="s">
        <v>1900</v>
      </c>
      <c r="AAP107" t="s">
        <v>1900</v>
      </c>
      <c r="AAQ107" t="s">
        <v>1900</v>
      </c>
      <c r="AAR107" t="s">
        <v>1900</v>
      </c>
      <c r="AAS107" t="s">
        <v>1900</v>
      </c>
      <c r="AAT107" t="s">
        <v>1900</v>
      </c>
      <c r="AAU107" t="s">
        <v>1900</v>
      </c>
      <c r="AAV107" t="s">
        <v>1900</v>
      </c>
      <c r="AAW107" t="s">
        <v>1900</v>
      </c>
      <c r="AAX107" t="s">
        <v>1900</v>
      </c>
      <c r="AAY107" t="s">
        <v>1900</v>
      </c>
      <c r="AAZ107" t="s">
        <v>1900</v>
      </c>
      <c r="ABA107" t="s">
        <v>1900</v>
      </c>
      <c r="ABB107" t="s">
        <v>1900</v>
      </c>
      <c r="ABC107" t="s">
        <v>1900</v>
      </c>
      <c r="ABD107" t="s">
        <v>1900</v>
      </c>
      <c r="ABE107" t="s">
        <v>1900</v>
      </c>
      <c r="ABF107" t="s">
        <v>1900</v>
      </c>
      <c r="ABG107" t="s">
        <v>1900</v>
      </c>
      <c r="ABH107" t="s">
        <v>1900</v>
      </c>
      <c r="ABI107" t="s">
        <v>1900</v>
      </c>
      <c r="ABJ107" t="s">
        <v>1900</v>
      </c>
      <c r="ABK107" t="s">
        <v>1900</v>
      </c>
      <c r="ABL107" t="s">
        <v>1900</v>
      </c>
      <c r="ABM107" t="s">
        <v>1900</v>
      </c>
      <c r="ABN107" t="s">
        <v>1900</v>
      </c>
      <c r="ABO107" t="s">
        <v>1900</v>
      </c>
      <c r="ABP107" t="s">
        <v>1900</v>
      </c>
      <c r="ABQ107" t="s">
        <v>1900</v>
      </c>
      <c r="ABR107" t="s">
        <v>1900</v>
      </c>
      <c r="ABS107" t="s">
        <v>1900</v>
      </c>
      <c r="ABT107" t="s">
        <v>1900</v>
      </c>
      <c r="ABU107" t="s">
        <v>1900</v>
      </c>
      <c r="ABV107" t="s">
        <v>1900</v>
      </c>
      <c r="ABW107" t="s">
        <v>1900</v>
      </c>
      <c r="ABX107" t="s">
        <v>1900</v>
      </c>
      <c r="ABY107" t="s">
        <v>1900</v>
      </c>
      <c r="ABZ107" t="s">
        <v>1900</v>
      </c>
      <c r="ACA107" t="s">
        <v>1900</v>
      </c>
      <c r="ACB107" t="s">
        <v>1900</v>
      </c>
      <c r="ACC107" t="s">
        <v>1900</v>
      </c>
      <c r="ACD107" t="s">
        <v>1900</v>
      </c>
      <c r="ACE107">
        <v>117.814</v>
      </c>
      <c r="ACF107">
        <v>118.632</v>
      </c>
      <c r="ACG107">
        <v>111.802</v>
      </c>
      <c r="ACH107">
        <v>119.645</v>
      </c>
      <c r="ACI107">
        <v>123.23</v>
      </c>
      <c r="ACJ107" t="s">
        <v>1900</v>
      </c>
      <c r="ACK107" t="s">
        <v>1900</v>
      </c>
      <c r="ACL107" t="s">
        <v>1900</v>
      </c>
      <c r="ACM107" t="s">
        <v>1900</v>
      </c>
      <c r="ACN107" t="s">
        <v>1900</v>
      </c>
      <c r="ACO107">
        <v>12.793</v>
      </c>
      <c r="ACP107">
        <v>51.388</v>
      </c>
      <c r="ACQ107">
        <v>44.276</v>
      </c>
      <c r="ACR107">
        <v>54.379</v>
      </c>
      <c r="ACS107">
        <v>48.356</v>
      </c>
      <c r="ACT107">
        <v>88.361</v>
      </c>
      <c r="ACU107">
        <v>88.974</v>
      </c>
      <c r="ACV107">
        <v>83.851</v>
      </c>
      <c r="ACW107">
        <v>89.71299999999999</v>
      </c>
      <c r="ACX107">
        <v>92.423</v>
      </c>
      <c r="ACY107" t="s">
        <v>1900</v>
      </c>
      <c r="ACZ107" t="s">
        <v>1900</v>
      </c>
      <c r="ADA107" t="s">
        <v>1900</v>
      </c>
      <c r="ADB107" t="s">
        <v>1900</v>
      </c>
      <c r="ADC107" t="s">
        <v>1900</v>
      </c>
      <c r="ADD107">
        <v>9.595000000000001</v>
      </c>
      <c r="ADE107">
        <v>38.541</v>
      </c>
      <c r="ADF107">
        <v>33.207</v>
      </c>
      <c r="ADG107">
        <v>40.775</v>
      </c>
      <c r="ADH107">
        <v>36.267</v>
      </c>
      <c r="ADI107">
        <v>15.96</v>
      </c>
      <c r="ADJ107">
        <v>16.497</v>
      </c>
      <c r="ADK107">
        <v>11.837</v>
      </c>
      <c r="ADL107">
        <v>17.128</v>
      </c>
      <c r="ADM107">
        <v>22.951</v>
      </c>
      <c r="ADN107">
        <v>98.879</v>
      </c>
      <c r="ADO107">
        <v>98.495</v>
      </c>
      <c r="ADP107">
        <v>98.289</v>
      </c>
      <c r="ADQ107">
        <v>98.378</v>
      </c>
      <c r="ADR107">
        <v>99.254</v>
      </c>
      <c r="ADS107">
        <v>14.968868466</v>
      </c>
      <c r="ADT107">
        <v>15.822042351</v>
      </c>
      <c r="ADU107">
        <v>11.722856663</v>
      </c>
      <c r="ADV107">
        <v>16.854361519</v>
      </c>
      <c r="ADW107">
        <v>22.840707897</v>
      </c>
      <c r="ADX107">
        <v>14.969</v>
      </c>
      <c r="ADY107">
        <v>15.822</v>
      </c>
      <c r="ADZ107">
        <v>11.723</v>
      </c>
      <c r="AEA107">
        <v>16.854</v>
      </c>
      <c r="AEB107">
        <v>22.841</v>
      </c>
      <c r="AEC107">
        <v>14.969</v>
      </c>
      <c r="AED107">
        <v>15.822</v>
      </c>
      <c r="AEE107">
        <v>11.723</v>
      </c>
      <c r="AEF107">
        <v>16.854</v>
      </c>
      <c r="AEG107">
        <v>22.841</v>
      </c>
      <c r="AEH107" t="s">
        <v>1900</v>
      </c>
      <c r="AEI107" t="s">
        <v>1900</v>
      </c>
      <c r="AEJ107" t="s">
        <v>1900</v>
      </c>
      <c r="AEK107" t="s">
        <v>1900</v>
      </c>
      <c r="AEL107" t="s">
        <v>1900</v>
      </c>
      <c r="AEM107">
        <v>17.60398597</v>
      </c>
      <c r="AEN107">
        <v>18.795944679</v>
      </c>
      <c r="AEO107">
        <v>13.279605819</v>
      </c>
      <c r="AEP107">
        <v>20.270890725</v>
      </c>
      <c r="AEQ107">
        <v>29.602018467</v>
      </c>
      <c r="AER107">
        <v>1.178392677</v>
      </c>
      <c r="AES107">
        <v>1.191381483</v>
      </c>
      <c r="AET107">
        <v>1.135420082</v>
      </c>
      <c r="AEU107">
        <v>1.206742496</v>
      </c>
      <c r="AEV107">
        <v>1.298911951</v>
      </c>
      <c r="AEW107" t="s">
        <v>1900</v>
      </c>
      <c r="AEX107" t="s">
        <v>1900</v>
      </c>
      <c r="AEY107" t="s">
        <v>1900</v>
      </c>
      <c r="AEZ107" t="s">
        <v>1900</v>
      </c>
      <c r="AFA107" t="s">
        <v>1900</v>
      </c>
      <c r="AFB107" t="s">
        <v>1900</v>
      </c>
      <c r="AFC107" t="s">
        <v>1900</v>
      </c>
      <c r="AFD107" t="s">
        <v>1900</v>
      </c>
      <c r="AFE107" t="s">
        <v>1900</v>
      </c>
      <c r="AFF107" t="s">
        <v>1900</v>
      </c>
      <c r="AFG107">
        <v>7.382</v>
      </c>
      <c r="AFH107">
        <v>7.191</v>
      </c>
      <c r="AFI107">
        <v>9.445</v>
      </c>
      <c r="AFJ107">
        <v>6.985</v>
      </c>
      <c r="AFK107">
        <v>5.369</v>
      </c>
      <c r="AFL107" t="s">
        <v>1900</v>
      </c>
      <c r="AFM107" t="s">
        <v>1900</v>
      </c>
      <c r="AFN107" t="s">
        <v>1900</v>
      </c>
      <c r="AFO107" t="s">
        <v>1900</v>
      </c>
      <c r="AFP107" t="s">
        <v>1900</v>
      </c>
      <c r="AFQ107" t="s">
        <v>1901</v>
      </c>
      <c r="AFR107" t="s">
        <v>1901</v>
      </c>
      <c r="AFS107" t="s">
        <v>1901</v>
      </c>
      <c r="AFT107" t="s">
        <v>1901</v>
      </c>
      <c r="AFU107" t="s">
        <v>1901</v>
      </c>
      <c r="AFV107">
        <v>86.264</v>
      </c>
      <c r="AFW107">
        <v>60.993</v>
      </c>
      <c r="AFX107">
        <v>80.10599999999999</v>
      </c>
      <c r="AFY107">
        <v>50.077</v>
      </c>
      <c r="AFZ107">
        <v>65.934</v>
      </c>
      <c r="AGA107">
        <v>51.671</v>
      </c>
      <c r="AGB107">
        <v>48.37</v>
      </c>
      <c r="AGC107">
        <v>49.27</v>
      </c>
      <c r="AGD107">
        <v>45.49</v>
      </c>
      <c r="AGE107">
        <v>85.367</v>
      </c>
      <c r="AGF107" t="s">
        <v>1900</v>
      </c>
      <c r="AGG107" t="s">
        <v>1900</v>
      </c>
      <c r="AGH107" t="s">
        <v>1900</v>
      </c>
      <c r="AGI107" t="s">
        <v>1900</v>
      </c>
      <c r="AGJ107" t="s">
        <v>1900</v>
      </c>
      <c r="AGK107" t="s">
        <v>1900</v>
      </c>
      <c r="AGL107" t="s">
        <v>1900</v>
      </c>
      <c r="AGM107" t="s">
        <v>1900</v>
      </c>
      <c r="AGN107" t="s">
        <v>1900</v>
      </c>
      <c r="AGO107" t="s">
        <v>1900</v>
      </c>
      <c r="AGP107" t="s">
        <v>1900</v>
      </c>
      <c r="AGQ107" t="s">
        <v>1900</v>
      </c>
      <c r="AGR107" t="s">
        <v>1900</v>
      </c>
      <c r="AGS107" t="s">
        <v>1900</v>
      </c>
      <c r="AGT107" t="s">
        <v>1900</v>
      </c>
      <c r="AGU107">
        <v>0</v>
      </c>
      <c r="AGV107">
        <v>0</v>
      </c>
      <c r="AGW107">
        <v>0</v>
      </c>
      <c r="AGX107">
        <v>0</v>
      </c>
      <c r="AGY107">
        <v>0</v>
      </c>
      <c r="AGZ107">
        <v>1.121</v>
      </c>
      <c r="AHA107">
        <v>1.76</v>
      </c>
      <c r="AHB107">
        <v>1.65</v>
      </c>
      <c r="AHC107">
        <v>1.829</v>
      </c>
      <c r="AHD107">
        <v>1.643</v>
      </c>
      <c r="AHE107">
        <v>1.121</v>
      </c>
      <c r="AHF107">
        <v>1.76</v>
      </c>
      <c r="AHG107">
        <v>1.65</v>
      </c>
      <c r="AHH107">
        <v>1.829</v>
      </c>
      <c r="AHI107">
        <v>1.643</v>
      </c>
      <c r="AHJ107" t="s">
        <v>1901</v>
      </c>
      <c r="AHK107" t="s">
        <v>1901</v>
      </c>
      <c r="AHL107" t="s">
        <v>1901</v>
      </c>
      <c r="AHM107" t="s">
        <v>1901</v>
      </c>
      <c r="AHN107" t="s">
        <v>1901</v>
      </c>
      <c r="AHO107">
        <v>10.859</v>
      </c>
      <c r="AHP107">
        <v>43.317</v>
      </c>
      <c r="AHQ107">
        <v>39.603</v>
      </c>
      <c r="AHR107">
        <v>45.45</v>
      </c>
      <c r="AHS107">
        <v>39.24</v>
      </c>
      <c r="AHT107">
        <v>12.182</v>
      </c>
      <c r="AHU107">
        <v>76.42100000000001</v>
      </c>
      <c r="AHV107">
        <v>65.56999999999999</v>
      </c>
      <c r="AHW107">
        <v>83.319</v>
      </c>
      <c r="AHX107">
        <v>64.58199999999999</v>
      </c>
      <c r="AHY107">
        <v>0</v>
      </c>
      <c r="AHZ107">
        <v>0.342</v>
      </c>
      <c r="AIA107">
        <v>0</v>
      </c>
      <c r="AIB107">
        <v>0</v>
      </c>
      <c r="AIC107">
        <v>0.028</v>
      </c>
      <c r="AID107">
        <v>0.06882632700000001</v>
      </c>
      <c r="AIE107">
        <v>0.260083361</v>
      </c>
      <c r="AIF107">
        <v>0.348264359</v>
      </c>
      <c r="AIG107">
        <v>0.254615113</v>
      </c>
      <c r="AIH107">
        <v>0.161919935</v>
      </c>
      <c r="AII107">
        <v>80.722733675</v>
      </c>
      <c r="AIJ107">
        <v>46.964573785</v>
      </c>
      <c r="AIK107">
        <v>16.417578776</v>
      </c>
      <c r="AIL107">
        <v>55.581514016</v>
      </c>
      <c r="AIM107">
        <v>61.248670178</v>
      </c>
      <c r="AIN107">
        <v>77.635579384</v>
      </c>
      <c r="AIO107">
        <v>14.681757221</v>
      </c>
      <c r="AIP107">
        <v>9.203329152</v>
      </c>
      <c r="AIQ107">
        <v>14.430593703</v>
      </c>
      <c r="AIR107">
        <v>10.787652289</v>
      </c>
      <c r="AIS107">
        <v>0</v>
      </c>
      <c r="AIT107">
        <v>0</v>
      </c>
      <c r="AIU107">
        <v>0</v>
      </c>
      <c r="AIV107">
        <v>0</v>
      </c>
      <c r="AIW107">
        <v>0.07189986499999999</v>
      </c>
      <c r="AIX107">
        <v>63.641296624953</v>
      </c>
      <c r="AIY107">
        <v>55.0229007836018</v>
      </c>
      <c r="AIZ107">
        <v>29.0476936680651</v>
      </c>
      <c r="AJA107">
        <v>69.0890740606642</v>
      </c>
      <c r="AJB107">
        <v>112.143846627618</v>
      </c>
      <c r="AJC107">
        <v>398.764483293979</v>
      </c>
      <c r="AJD107">
        <v>333.525254452036</v>
      </c>
      <c r="AJE107">
        <v>245.401843944539</v>
      </c>
      <c r="AJF107">
        <v>403.378686971955</v>
      </c>
      <c r="AJG107">
        <v>488.62648052741</v>
      </c>
      <c r="AJH107">
        <v>16.652</v>
      </c>
      <c r="AJI107">
        <v>16.061</v>
      </c>
      <c r="AJJ107">
        <v>18.018</v>
      </c>
      <c r="AJK107">
        <v>11.064</v>
      </c>
      <c r="AJL107">
        <v>8.880000000000001</v>
      </c>
      <c r="AJM107">
        <v>66.4009317088461</v>
      </c>
      <c r="AJN107">
        <v>53.5682604507771</v>
      </c>
      <c r="AJO107">
        <v>44.2176502077019</v>
      </c>
      <c r="AJP107">
        <v>44.6291490075803</v>
      </c>
      <c r="AJQ107">
        <v>43.3906778920198</v>
      </c>
      <c r="AJR107">
        <v>54.0182340580687</v>
      </c>
      <c r="AJS107">
        <v>46.3809880452175</v>
      </c>
      <c r="AJT107">
        <v>25.9814526580107</v>
      </c>
      <c r="AJU107">
        <v>57.7452087465691</v>
      </c>
      <c r="AJV107">
        <v>91.00365844856439</v>
      </c>
      <c r="AJW107">
        <v>38.3187000214305</v>
      </c>
      <c r="AJX107">
        <v>11.6953561887321</v>
      </c>
      <c r="AJY107">
        <v>21.0200403462368</v>
      </c>
      <c r="AJZ107">
        <v>5.1390640328908</v>
      </c>
      <c r="AKA107">
        <v>-26.3732353571296</v>
      </c>
      <c r="AKB107">
        <v>497.453441362963</v>
      </c>
      <c r="AKC107">
        <v>107.072468442808</v>
      </c>
      <c r="AKD107">
        <v>65.605337798146</v>
      </c>
      <c r="AKE107">
        <v>127.050994550064</v>
      </c>
      <c r="AKF107">
        <v>231.914650416493</v>
      </c>
      <c r="AKG107">
        <v>0</v>
      </c>
      <c r="AKH107">
        <v>0</v>
      </c>
      <c r="AKI107">
        <v>0</v>
      </c>
      <c r="AKJ107">
        <v>0</v>
      </c>
      <c r="AKK107">
        <v>0.07189986499999999</v>
      </c>
      <c r="AKL107">
        <v>0</v>
      </c>
      <c r="AKM107">
        <v>0</v>
      </c>
      <c r="AKN107">
        <v>0</v>
      </c>
      <c r="AKO107">
        <v>0</v>
      </c>
      <c r="AKP107">
        <v>0.000536706</v>
      </c>
      <c r="AKQ107">
        <v>0</v>
      </c>
      <c r="AKR107">
        <v>0</v>
      </c>
      <c r="AKS107">
        <v>0</v>
      </c>
      <c r="AKT107">
        <v>0</v>
      </c>
      <c r="AKU107">
        <v>0.001130798</v>
      </c>
      <c r="AKV107">
        <v>0</v>
      </c>
      <c r="AKW107">
        <v>0</v>
      </c>
      <c r="AKX107">
        <v>0</v>
      </c>
      <c r="AKY107">
        <v>0</v>
      </c>
      <c r="AKZ107">
        <v>0</v>
      </c>
      <c r="ALA107">
        <v>0</v>
      </c>
      <c r="ALB107">
        <v>0</v>
      </c>
      <c r="ALC107">
        <v>0</v>
      </c>
      <c r="ALD107">
        <v>0</v>
      </c>
      <c r="ALE107">
        <v>0</v>
      </c>
      <c r="ALF107">
        <v>0</v>
      </c>
      <c r="ALG107">
        <v>0</v>
      </c>
      <c r="ALH107">
        <v>0</v>
      </c>
      <c r="ALI107">
        <v>0</v>
      </c>
      <c r="ALJ107">
        <v>0</v>
      </c>
      <c r="ALK107">
        <v>0</v>
      </c>
      <c r="ALL107">
        <v>0</v>
      </c>
      <c r="ALM107">
        <v>0</v>
      </c>
      <c r="ALN107">
        <v>0</v>
      </c>
      <c r="ALO107">
        <v>0</v>
      </c>
      <c r="ALP107">
        <v>23.962275954</v>
      </c>
      <c r="ALQ107">
        <v>16.942603801</v>
      </c>
      <c r="ALR107">
        <v>22.251686775</v>
      </c>
      <c r="ALS107">
        <v>13.910164109</v>
      </c>
      <c r="ALT107">
        <v>18.3149862</v>
      </c>
      <c r="ALU107">
        <v>59.897982088</v>
      </c>
      <c r="ALV107">
        <v>79.30313537000001</v>
      </c>
      <c r="ALW107">
        <v>61.506023783</v>
      </c>
      <c r="ALX107">
        <v>90.84119536199999</v>
      </c>
      <c r="ALY107">
        <v>129.472908676</v>
      </c>
      <c r="ALZ107">
        <v>98.8785262569604</v>
      </c>
      <c r="AMA107">
        <v>98.49483882135191</v>
      </c>
      <c r="AMB107">
        <v>98.2894608816701</v>
      </c>
      <c r="AMC107">
        <v>98.3778114710635</v>
      </c>
      <c r="AMD107">
        <v>99.2535371873002</v>
      </c>
      <c r="AME107" t="s">
        <v>1901</v>
      </c>
      <c r="AMF107" t="s">
        <v>1901</v>
      </c>
      <c r="AMG107" t="s">
        <v>1901</v>
      </c>
      <c r="AMH107" t="s">
        <v>1901</v>
      </c>
      <c r="AMI107" t="s">
        <v>1901</v>
      </c>
      <c r="AMJ107">
        <v>8816.838278260961</v>
      </c>
      <c r="AMK107">
        <v>6543.80675097006</v>
      </c>
      <c r="AML107">
        <v>5746.11009057989</v>
      </c>
      <c r="AMM107">
        <v>6064.51159752431</v>
      </c>
      <c r="AMN107">
        <v>13296.5143224195</v>
      </c>
      <c r="AMO107">
        <v>1.17839267683236</v>
      </c>
      <c r="AMP107">
        <v>1.19138148278836</v>
      </c>
      <c r="AMQ107">
        <v>1.13542008225084</v>
      </c>
      <c r="AMR107">
        <v>1.20674249591956</v>
      </c>
      <c r="AMS107">
        <v>1.29891195116928</v>
      </c>
      <c r="AMT107">
        <v>1.17839267683236</v>
      </c>
      <c r="AMU107">
        <v>1.19138148255262</v>
      </c>
      <c r="AMV107">
        <v>1.13542008225084</v>
      </c>
      <c r="AMW107">
        <v>1.20674249591956</v>
      </c>
      <c r="AMX107">
        <v>1.29891195116928</v>
      </c>
      <c r="AMY107">
        <v>1.17839267683236</v>
      </c>
      <c r="AMZ107">
        <v>1.19138148250751</v>
      </c>
      <c r="ANA107">
        <v>1.13542008225084</v>
      </c>
      <c r="ANB107">
        <v>1.20674249591956</v>
      </c>
      <c r="ANC107">
        <v>1.29891195123945</v>
      </c>
      <c r="AND107">
        <v>14.9688684655054</v>
      </c>
      <c r="ANE107">
        <v>15.8220423514512</v>
      </c>
      <c r="ANF107">
        <v>11.7228566634125</v>
      </c>
      <c r="ANG107">
        <v>16.8543615190524</v>
      </c>
      <c r="ANH107">
        <v>22.8407078974072</v>
      </c>
      <c r="ANI107">
        <v>20.1850977092937</v>
      </c>
      <c r="ANJ107">
        <v>21.5051562493216</v>
      </c>
      <c r="ANK107">
        <v>16.4924859035107</v>
      </c>
      <c r="ANL107">
        <v>23.0445475562447</v>
      </c>
      <c r="ANM107">
        <v>32.0949946711803</v>
      </c>
      <c r="ANN107">
        <v>17.6039859700478</v>
      </c>
      <c r="ANO107">
        <v>18.7959446789025</v>
      </c>
      <c r="ANP107">
        <v>13.2796058190454</v>
      </c>
      <c r="ANQ107">
        <v>20.270890724971</v>
      </c>
      <c r="ANR107">
        <v>29.6020184672478</v>
      </c>
      <c r="ANS107">
        <v>110.500708373172</v>
      </c>
      <c r="ANT107">
        <v>113.776158433003</v>
      </c>
      <c r="ANU107">
        <v>110.725550477016</v>
      </c>
      <c r="ANV107">
        <v>117.736006351509</v>
      </c>
      <c r="ANW107">
        <v>122.638748435222</v>
      </c>
      <c r="ANX107">
        <v>98.8785262569604</v>
      </c>
      <c r="ANY107">
        <v>98.49483882135191</v>
      </c>
      <c r="ANZ107">
        <v>98.2894608816701</v>
      </c>
      <c r="AOA107">
        <v>98.3778114710635</v>
      </c>
      <c r="AOB107">
        <v>99.2535371693621</v>
      </c>
      <c r="AOC107">
        <v>116.285088146626</v>
      </c>
      <c r="AOD107">
        <v>117.007874237787</v>
      </c>
      <c r="AOE107">
        <v>111.341913848421</v>
      </c>
      <c r="AOF107">
        <v>118.319870131981</v>
      </c>
      <c r="AOG107">
        <v>128.634587594881</v>
      </c>
      <c r="AOH107">
        <v>79.2621803644296</v>
      </c>
      <c r="AOI107" t="s">
        <v>1901</v>
      </c>
      <c r="AOJ107" t="s">
        <v>1901</v>
      </c>
      <c r="AOK107" t="s">
        <v>1901</v>
      </c>
      <c r="AOL107" t="s">
        <v>1901</v>
      </c>
      <c r="AOM107">
        <v>1334.74979315472</v>
      </c>
      <c r="AON107">
        <v>1051.18591788706</v>
      </c>
      <c r="AOO107">
        <v>685.331106303978</v>
      </c>
      <c r="AOP107">
        <v>1038.98907053066</v>
      </c>
      <c r="AOQ107">
        <v>3059.85870426927</v>
      </c>
      <c r="AOR107">
        <v>17.8392676832365</v>
      </c>
      <c r="AOS107">
        <v>19.1381482552624</v>
      </c>
      <c r="AOT107">
        <v>13.5420082250842</v>
      </c>
      <c r="AOU107">
        <v>20.6742495919563</v>
      </c>
      <c r="AOV107">
        <v>29.8911951169282</v>
      </c>
      <c r="AOW107">
        <v>11.9992196190403</v>
      </c>
      <c r="AOX107">
        <v>49.2848513460782</v>
      </c>
      <c r="AOY107">
        <v>43.8502528041562</v>
      </c>
      <c r="AOZ107">
        <v>53.5115071171256</v>
      </c>
      <c r="APA107">
        <v>48.1236294930895</v>
      </c>
      <c r="APB107">
        <v>11.9697151566676</v>
      </c>
      <c r="APC107">
        <v>12.3730287446797</v>
      </c>
      <c r="APD107">
        <v>8.877590045871241</v>
      </c>
      <c r="APE107">
        <v>12.842719801804</v>
      </c>
      <c r="APF107">
        <v>17.2131245951646</v>
      </c>
      <c r="APG107">
        <v>16.1408239070656</v>
      </c>
      <c r="APH107">
        <v>16.817292642835</v>
      </c>
      <c r="API107">
        <v>12.489577659483</v>
      </c>
      <c r="APJ107">
        <v>17.5595300296393</v>
      </c>
      <c r="APK107">
        <v>24.1873038540493</v>
      </c>
      <c r="APL107">
        <v>1067.32014288854</v>
      </c>
      <c r="APM107">
        <v>822.040119038494</v>
      </c>
      <c r="APN107">
        <v>518.993687471994</v>
      </c>
      <c r="APO107">
        <v>791.690951619758</v>
      </c>
      <c r="APP107">
        <v>2305.95870131349</v>
      </c>
      <c r="APQ107">
        <v>14.2650029468796</v>
      </c>
      <c r="APR107">
        <v>14.9662637238855</v>
      </c>
      <c r="APS107">
        <v>10.2552134579386</v>
      </c>
      <c r="APT107">
        <v>15.7534056880123</v>
      </c>
      <c r="APU107">
        <v>22.5264850878142</v>
      </c>
      <c r="APV107">
        <v>14.0768621335021</v>
      </c>
      <c r="APW107">
        <v>14.6986563826344</v>
      </c>
      <c r="APX107">
        <v>10.0564990101938</v>
      </c>
      <c r="APY107">
        <v>15.4460534989419</v>
      </c>
      <c r="APZ107">
        <v>22.3085569166156</v>
      </c>
      <c r="AQA107">
        <v>9.595063332488239</v>
      </c>
      <c r="AQB107">
        <v>38.5413506573226</v>
      </c>
      <c r="AQC107">
        <v>33.2073127719872</v>
      </c>
      <c r="AQD107">
        <v>40.7748042725099</v>
      </c>
      <c r="AQE107">
        <v>36.2667406875827</v>
      </c>
      <c r="AQF107">
        <v>0.178392676832365</v>
      </c>
      <c r="AQG107">
        <v>0.191381482507509</v>
      </c>
      <c r="AQH107">
        <v>0.135420082250842</v>
      </c>
      <c r="AQI107">
        <v>0.206742495919563</v>
      </c>
      <c r="AQJ107">
        <v>0.298911951239452</v>
      </c>
      <c r="AQK107">
        <v>9</v>
      </c>
      <c r="AQO107" t="s">
        <v>1904</v>
      </c>
      <c r="AQP107">
        <v>11</v>
      </c>
      <c r="AQQ107">
        <v>0</v>
      </c>
      <c r="AQS107" t="s">
        <v>1905</v>
      </c>
      <c r="AQU107" t="s">
        <v>1906</v>
      </c>
      <c r="AQV107">
        <v>5183938.27762722</v>
      </c>
      <c r="AQW107">
        <v>5669929.32789461</v>
      </c>
      <c r="AQX107">
        <v>4908036.88955678</v>
      </c>
      <c r="AQY107">
        <v>775976.9021110029</v>
      </c>
      <c r="AQZ107">
        <v>897098.619556837</v>
      </c>
      <c r="ARA107">
        <v>575362.129550153</v>
      </c>
      <c r="ARB107">
        <v>15761904.49507861</v>
      </c>
      <c r="ARC107">
        <v>2248437.651217993</v>
      </c>
      <c r="ARD107">
        <v>0.1663849608096307</v>
      </c>
      <c r="ARE107">
        <v>0.1663849608096307</v>
      </c>
      <c r="ARF107">
        <v>0.1663849608096307</v>
      </c>
      <c r="ARG107">
        <v>0.1663849608096307</v>
      </c>
      <c r="ARH107">
        <v>0.1663849608096307</v>
      </c>
      <c r="ARI107">
        <v>0.1663849608096307</v>
      </c>
      <c r="ARJ107" t="s">
        <v>1268</v>
      </c>
      <c r="ARK107" t="s">
        <v>1606</v>
      </c>
      <c r="ARL107" t="s">
        <v>1908</v>
      </c>
      <c r="ARM107" t="s">
        <v>1908</v>
      </c>
      <c r="ARN107" t="s">
        <v>1909</v>
      </c>
      <c r="ARO107" t="s">
        <v>1908</v>
      </c>
      <c r="ARP107" t="s">
        <v>1907</v>
      </c>
      <c r="ARQ107" t="s">
        <v>2000</v>
      </c>
      <c r="ARR107">
        <f>HYPERLINK("C:\Users\Usuario\Documents\Proyectos\llmthon\evidence\sermaseguros_es_000020.png", "Ver Evidencia")</f>
        <v>0</v>
      </c>
      <c r="ARS107">
        <v>100</v>
      </c>
    </row>
    <row r="108" spans="1:1163">
      <c r="A108">
        <v>326</v>
      </c>
      <c r="B108" t="s">
        <v>1269</v>
      </c>
      <c r="C108" t="s">
        <v>1392</v>
      </c>
      <c r="E108" s="2">
        <v>32694</v>
      </c>
      <c r="F108" t="s">
        <v>1431</v>
      </c>
      <c r="G108" t="s">
        <v>1433</v>
      </c>
      <c r="H108" t="s">
        <v>1434</v>
      </c>
      <c r="I108" t="s">
        <v>1437</v>
      </c>
      <c r="J108" t="s">
        <v>1495</v>
      </c>
      <c r="L108" t="s">
        <v>1607</v>
      </c>
      <c r="N108" t="s">
        <v>1647</v>
      </c>
      <c r="O108" t="s">
        <v>1671</v>
      </c>
      <c r="P108">
        <v>7810</v>
      </c>
      <c r="Q108">
        <v>7810</v>
      </c>
      <c r="R108" t="s">
        <v>1775</v>
      </c>
      <c r="S108" t="s">
        <v>1835</v>
      </c>
      <c r="T108" t="s">
        <v>1866</v>
      </c>
      <c r="U108" t="s">
        <v>1873</v>
      </c>
      <c r="X108" t="s">
        <v>1892</v>
      </c>
      <c r="Z108" t="s">
        <v>1899</v>
      </c>
      <c r="AA108" s="2">
        <v>45657</v>
      </c>
      <c r="AB108">
        <v>2024</v>
      </c>
      <c r="AC108">
        <v>2246090.63660185</v>
      </c>
      <c r="AD108">
        <v>2117391.74005939</v>
      </c>
      <c r="AE108">
        <v>1484539.69176107</v>
      </c>
      <c r="AF108">
        <v>3591273.79089947</v>
      </c>
      <c r="AG108">
        <v>3933947.14007535</v>
      </c>
      <c r="AH108">
        <v>2164119.14607877</v>
      </c>
      <c r="AI108">
        <v>2029687.40869877</v>
      </c>
      <c r="AJ108">
        <v>1402123.12373015</v>
      </c>
      <c r="AK108">
        <v>3501099.35967801</v>
      </c>
      <c r="AL108">
        <v>3741506.20032373</v>
      </c>
      <c r="AM108">
        <v>226655.164878095</v>
      </c>
      <c r="AN108">
        <v>264583.031491613</v>
      </c>
      <c r="AO108">
        <v>264435.334211099</v>
      </c>
      <c r="AP108" t="s">
        <v>1900</v>
      </c>
      <c r="AQ108" t="s">
        <v>1900</v>
      </c>
      <c r="AR108">
        <v>2019435.47172376</v>
      </c>
      <c r="AS108">
        <v>1852808.70856778</v>
      </c>
      <c r="AT108">
        <v>1220104.35861657</v>
      </c>
      <c r="AU108">
        <v>3591273.79089947</v>
      </c>
      <c r="AV108">
        <v>3933947.14007535</v>
      </c>
      <c r="AW108">
        <v>2048204.94688538</v>
      </c>
      <c r="AX108">
        <v>1955065.98485959</v>
      </c>
      <c r="AY108">
        <v>1535918.37680679</v>
      </c>
      <c r="AZ108">
        <v>3510177.30970638</v>
      </c>
      <c r="BA108">
        <v>4062124.52138599</v>
      </c>
      <c r="BB108">
        <v>-28769.4762005162</v>
      </c>
      <c r="BC108">
        <v>-102257.276291809</v>
      </c>
      <c r="BD108">
        <v>-315814.018190223</v>
      </c>
      <c r="BE108">
        <v>81096.48119308949</v>
      </c>
      <c r="BF108">
        <v>-128177.381310636</v>
      </c>
      <c r="BG108">
        <v>-66851.2115478635</v>
      </c>
      <c r="BH108">
        <v>-94616.54041274069</v>
      </c>
      <c r="BI108">
        <v>-8203.162267621159</v>
      </c>
      <c r="BJ108">
        <v>-18304.2367190123</v>
      </c>
      <c r="BK108">
        <v>-31702.5276145577</v>
      </c>
      <c r="BL108">
        <v>499.81456912756</v>
      </c>
      <c r="BM108">
        <v>30.8958138656616</v>
      </c>
      <c r="BN108">
        <v>12157.8689188004</v>
      </c>
      <c r="BO108">
        <v>5766.24938135147</v>
      </c>
      <c r="BP108">
        <v>2148.39318245053</v>
      </c>
      <c r="BQ108">
        <v>67351.02611699099</v>
      </c>
      <c r="BR108">
        <v>94647.4362266064</v>
      </c>
      <c r="BS108">
        <v>20361.032253021</v>
      </c>
      <c r="BT108">
        <v>24070.4861003637</v>
      </c>
      <c r="BU108">
        <v>33850.9207970083</v>
      </c>
      <c r="BV108">
        <v>-95620.6877483797</v>
      </c>
      <c r="BW108">
        <v>-196873.81670455</v>
      </c>
      <c r="BX108">
        <v>-324017.181524444</v>
      </c>
      <c r="BY108">
        <v>62792.2444740772</v>
      </c>
      <c r="BZ108">
        <v>-159879.908925194</v>
      </c>
      <c r="CA108">
        <v>-51115.8936554384</v>
      </c>
      <c r="CB108">
        <v>-114516.229143476</v>
      </c>
      <c r="CC108" t="s">
        <v>1900</v>
      </c>
      <c r="CD108" t="s">
        <v>1900</v>
      </c>
      <c r="CE108" t="s">
        <v>1900</v>
      </c>
      <c r="CF108">
        <v>-44504.7940929413</v>
      </c>
      <c r="CG108">
        <v>-82357.58645607279</v>
      </c>
      <c r="CH108">
        <v>-324017.181524444</v>
      </c>
      <c r="CI108">
        <v>62792.2444740772</v>
      </c>
      <c r="CJ108">
        <v>-159879.908925194</v>
      </c>
      <c r="CK108" t="s">
        <v>1900</v>
      </c>
      <c r="CL108" t="s">
        <v>1900</v>
      </c>
      <c r="CM108" t="s">
        <v>1900</v>
      </c>
      <c r="CN108" t="s">
        <v>1900</v>
      </c>
      <c r="CO108" t="s">
        <v>1900</v>
      </c>
      <c r="CP108" t="s">
        <v>1900</v>
      </c>
      <c r="CQ108" t="s">
        <v>1900</v>
      </c>
      <c r="CR108" t="s">
        <v>1900</v>
      </c>
      <c r="CS108" t="s">
        <v>1900</v>
      </c>
      <c r="CT108" t="s">
        <v>1900</v>
      </c>
      <c r="CU108" t="s">
        <v>1900</v>
      </c>
      <c r="CV108" t="s">
        <v>1900</v>
      </c>
      <c r="CW108" t="s">
        <v>1900</v>
      </c>
      <c r="CX108" t="s">
        <v>1900</v>
      </c>
      <c r="CY108" t="s">
        <v>1900</v>
      </c>
      <c r="CZ108">
        <v>-44504.7940929413</v>
      </c>
      <c r="DA108">
        <v>-82357.58645607279</v>
      </c>
      <c r="DB108">
        <v>-324017.181524444</v>
      </c>
      <c r="DC108">
        <v>62792.2444740772</v>
      </c>
      <c r="DD108">
        <v>-159879.908925194</v>
      </c>
      <c r="DE108" t="s">
        <v>1900</v>
      </c>
      <c r="DF108" t="s">
        <v>1900</v>
      </c>
      <c r="DG108" t="s">
        <v>1900</v>
      </c>
      <c r="DH108" t="s">
        <v>1900</v>
      </c>
      <c r="DI108" t="s">
        <v>1900</v>
      </c>
      <c r="DJ108">
        <v>226655.164878095</v>
      </c>
      <c r="DK108">
        <v>264583.031491613</v>
      </c>
      <c r="DL108">
        <v>264435.334211099</v>
      </c>
      <c r="DM108" t="s">
        <v>1900</v>
      </c>
      <c r="DN108" t="s">
        <v>1900</v>
      </c>
      <c r="DO108">
        <v>1760573.3614002</v>
      </c>
      <c r="DP108">
        <v>1708730.63320731</v>
      </c>
      <c r="DQ108">
        <v>1198098.65128464</v>
      </c>
      <c r="DR108">
        <v>2402003.35135875</v>
      </c>
      <c r="DS108">
        <v>2696886.08900881</v>
      </c>
      <c r="DT108">
        <v>70647.41280428891</v>
      </c>
      <c r="DU108">
        <v>74957.0677398109</v>
      </c>
      <c r="DV108">
        <v>73230.3103489756</v>
      </c>
      <c r="DW108">
        <v>48906.4401185274</v>
      </c>
      <c r="DX108">
        <v>51522.8072928667</v>
      </c>
      <c r="DY108">
        <v>216984.173719791</v>
      </c>
      <c r="DZ108">
        <v>171378.283912468</v>
      </c>
      <c r="EA108">
        <v>264589.415173173</v>
      </c>
      <c r="EB108">
        <v>1059267.5182291</v>
      </c>
      <c r="EC108">
        <v>1313715.6250843</v>
      </c>
      <c r="ED108">
        <v>40573.3073382997</v>
      </c>
      <c r="EE108">
        <v>33736.5933405685</v>
      </c>
      <c r="EF108">
        <v>20361.032253021</v>
      </c>
      <c r="EG108">
        <v>24070.4861003637</v>
      </c>
      <c r="EH108">
        <v>32800.9410104573</v>
      </c>
      <c r="EI108" t="s">
        <v>1900</v>
      </c>
      <c r="EJ108" t="s">
        <v>1900</v>
      </c>
      <c r="EK108" t="s">
        <v>1900</v>
      </c>
      <c r="EL108" t="s">
        <v>1900</v>
      </c>
      <c r="EM108" t="s">
        <v>1900</v>
      </c>
      <c r="EN108">
        <v>26142.6187113476</v>
      </c>
      <c r="EO108">
        <v>-7400.51871626186</v>
      </c>
      <c r="EP108">
        <v>-250786.871175468</v>
      </c>
      <c r="EQ108">
        <v>111698.684592605</v>
      </c>
      <c r="ER108">
        <v>-108357.100405228</v>
      </c>
      <c r="ES108">
        <v>1776173.3927555</v>
      </c>
      <c r="ET108">
        <v>1620550.47758314</v>
      </c>
      <c r="EU108">
        <v>967672.8123621939</v>
      </c>
      <c r="EV108">
        <v>2537772.52205172</v>
      </c>
      <c r="EW108">
        <v>2621329.92838694</v>
      </c>
      <c r="EX108">
        <v>41877.9366037726</v>
      </c>
      <c r="EY108">
        <v>-27300.2074469976</v>
      </c>
      <c r="EZ108">
        <v>-242583.707841247</v>
      </c>
      <c r="FA108">
        <v>130002.921311617</v>
      </c>
      <c r="FB108">
        <v>-76654.5727906698</v>
      </c>
      <c r="FC108">
        <v>931428.614372529</v>
      </c>
      <c r="FD108">
        <v>863789.075757923</v>
      </c>
      <c r="FE108">
        <v>775382.939494568</v>
      </c>
      <c r="FF108">
        <v>901125.153604531</v>
      </c>
      <c r="FG108">
        <v>1002000.63342801</v>
      </c>
      <c r="FH108">
        <v>77254.117821728</v>
      </c>
      <c r="FI108">
        <v>109603.109638529</v>
      </c>
      <c r="FJ108">
        <v>132274.431530315</v>
      </c>
      <c r="FK108">
        <v>168578.370377612</v>
      </c>
      <c r="FL108">
        <v>164016.950276195</v>
      </c>
      <c r="FM108">
        <v>556784.360415109</v>
      </c>
      <c r="FN108">
        <v>633431.080976086</v>
      </c>
      <c r="FO108">
        <v>643108.507964253</v>
      </c>
      <c r="FP108">
        <v>732546.783226919</v>
      </c>
      <c r="FQ108">
        <v>837983.681924713</v>
      </c>
      <c r="FR108">
        <v>297390.136135691</v>
      </c>
      <c r="FS108">
        <v>120754.885143309</v>
      </c>
      <c r="FT108">
        <v>0</v>
      </c>
      <c r="FU108">
        <v>0</v>
      </c>
      <c r="FV108">
        <v>0</v>
      </c>
      <c r="FW108">
        <v>77254.117821728</v>
      </c>
      <c r="FX108">
        <v>109603.109638529</v>
      </c>
      <c r="FY108">
        <v>132274.431530315</v>
      </c>
      <c r="FZ108">
        <v>168578.370377612</v>
      </c>
      <c r="GA108">
        <v>164016.950276195</v>
      </c>
      <c r="GB108">
        <v>556784.360415109</v>
      </c>
      <c r="GC108">
        <v>633431.080976086</v>
      </c>
      <c r="GD108">
        <v>643108.507964253</v>
      </c>
      <c r="GE108">
        <v>732546.783226919</v>
      </c>
      <c r="GF108">
        <v>837983.681924713</v>
      </c>
      <c r="GG108">
        <v>297390.136135691</v>
      </c>
      <c r="GH108">
        <v>120754.885143309</v>
      </c>
      <c r="GI108">
        <v>0</v>
      </c>
      <c r="GJ108">
        <v>0</v>
      </c>
      <c r="GK108">
        <v>0</v>
      </c>
      <c r="GL108">
        <v>693468.768030071</v>
      </c>
      <c r="GM108">
        <v>736265.079126721</v>
      </c>
      <c r="GN108">
        <v>635593.109312051</v>
      </c>
      <c r="GO108">
        <v>1457767.35269101</v>
      </c>
      <c r="GP108">
        <v>1506958.06928533</v>
      </c>
      <c r="GQ108">
        <v>0</v>
      </c>
      <c r="GR108">
        <v>0</v>
      </c>
      <c r="GS108">
        <v>0</v>
      </c>
      <c r="GT108">
        <v>0</v>
      </c>
      <c r="GU108">
        <v>0</v>
      </c>
      <c r="GV108">
        <v>667223.038539289</v>
      </c>
      <c r="GW108">
        <v>623226.788146524</v>
      </c>
      <c r="GX108">
        <v>450763.43857311</v>
      </c>
      <c r="GY108">
        <v>885422.9981359</v>
      </c>
      <c r="GZ108">
        <v>1084536.0808383</v>
      </c>
      <c r="HA108">
        <v>26245.729490782</v>
      </c>
      <c r="HB108">
        <v>113038.289875196</v>
      </c>
      <c r="HC108">
        <v>184829.670738941</v>
      </c>
      <c r="HD108">
        <v>572344.354555106</v>
      </c>
      <c r="HE108">
        <v>422421.987219935</v>
      </c>
      <c r="HF108">
        <v>20394.6680544174</v>
      </c>
      <c r="HG108">
        <v>102754.559664984</v>
      </c>
      <c r="HH108">
        <v>182317.828944093</v>
      </c>
      <c r="HI108">
        <v>569745.036849475</v>
      </c>
      <c r="HJ108">
        <v>316846.095105875</v>
      </c>
      <c r="HK108">
        <v>1624897.3824026</v>
      </c>
      <c r="HL108">
        <v>1600054.15488464</v>
      </c>
      <c r="HM108">
        <v>1410976.04880662</v>
      </c>
      <c r="HN108">
        <v>2358892.50629554</v>
      </c>
      <c r="HO108">
        <v>2508958.70271334</v>
      </c>
      <c r="HP108">
        <v>482119.294528257</v>
      </c>
      <c r="HQ108">
        <v>587518.675021162</v>
      </c>
      <c r="HR108">
        <v>646596.704264659</v>
      </c>
      <c r="HS108">
        <v>1188455.46566348</v>
      </c>
      <c r="HT108">
        <v>1219583.41438978</v>
      </c>
      <c r="HU108">
        <v>3746.34446745753</v>
      </c>
      <c r="HV108">
        <v>3984.7091382885</v>
      </c>
      <c r="HW108">
        <v>3846.23241662383</v>
      </c>
      <c r="HX108">
        <v>4084.23599073887</v>
      </c>
      <c r="HY108">
        <v>4425.00597069859</v>
      </c>
      <c r="HZ108">
        <v>478372.950060799</v>
      </c>
      <c r="IA108">
        <v>583533.965882874</v>
      </c>
      <c r="IB108">
        <v>642750.471848035</v>
      </c>
      <c r="IC108">
        <v>1184371.22967274</v>
      </c>
      <c r="ID108">
        <v>1215158.40841908</v>
      </c>
      <c r="IE108">
        <v>0</v>
      </c>
      <c r="IF108">
        <v>0</v>
      </c>
      <c r="IG108">
        <v>0</v>
      </c>
      <c r="IH108">
        <v>0</v>
      </c>
      <c r="II108">
        <v>0</v>
      </c>
      <c r="IJ108" t="s">
        <v>1900</v>
      </c>
      <c r="IK108" t="s">
        <v>1900</v>
      </c>
      <c r="IL108" t="s">
        <v>1900</v>
      </c>
      <c r="IM108" t="s">
        <v>1900</v>
      </c>
      <c r="IN108" t="s">
        <v>1900</v>
      </c>
      <c r="IO108" t="s">
        <v>1900</v>
      </c>
      <c r="IP108" t="s">
        <v>1900</v>
      </c>
      <c r="IQ108" t="s">
        <v>1900</v>
      </c>
      <c r="IR108" t="s">
        <v>1900</v>
      </c>
      <c r="IS108" t="s">
        <v>1900</v>
      </c>
      <c r="IT108" t="s">
        <v>1900</v>
      </c>
      <c r="IU108" t="s">
        <v>1900</v>
      </c>
      <c r="IV108" t="s">
        <v>1900</v>
      </c>
      <c r="IW108" t="s">
        <v>1900</v>
      </c>
      <c r="IX108" t="s">
        <v>1900</v>
      </c>
      <c r="IY108">
        <v>1142778.08787434</v>
      </c>
      <c r="IZ108">
        <v>1012535.47986348</v>
      </c>
      <c r="JA108">
        <v>764379.344541961</v>
      </c>
      <c r="JB108">
        <v>1170437.04063206</v>
      </c>
      <c r="JC108">
        <v>1289375.28832356</v>
      </c>
      <c r="JD108">
        <v>747211.280227784</v>
      </c>
      <c r="JE108">
        <v>627366.893504553</v>
      </c>
      <c r="JF108">
        <v>588749.211715192</v>
      </c>
      <c r="JG108">
        <v>940053.713468385</v>
      </c>
      <c r="JH108">
        <v>707882.466603422</v>
      </c>
      <c r="JI108">
        <v>4177.46699894071</v>
      </c>
      <c r="JJ108">
        <v>24581.5647819042</v>
      </c>
      <c r="JK108">
        <v>2405.36316793561</v>
      </c>
      <c r="JL108">
        <v>0</v>
      </c>
      <c r="JM108">
        <v>0</v>
      </c>
      <c r="JN108">
        <v>391389.340647619</v>
      </c>
      <c r="JO108">
        <v>360587.021577024</v>
      </c>
      <c r="JP108">
        <v>173224.769658834</v>
      </c>
      <c r="JQ108">
        <v>230383.327163672</v>
      </c>
      <c r="JR108">
        <v>581492.821720141</v>
      </c>
      <c r="JS108">
        <v>1624897.3824026</v>
      </c>
      <c r="JT108">
        <v>1600054.15488464</v>
      </c>
      <c r="JU108">
        <v>1410976.04880662</v>
      </c>
      <c r="JV108">
        <v>2358892.50629554</v>
      </c>
      <c r="JW108">
        <v>2508958.70271334</v>
      </c>
      <c r="JX108">
        <v>663045.5705014491</v>
      </c>
      <c r="JY108">
        <v>598645.22336462</v>
      </c>
      <c r="JZ108">
        <v>448358.075405174</v>
      </c>
      <c r="KA108">
        <v>885422.9981359</v>
      </c>
      <c r="KB108">
        <v>1084536.0808383</v>
      </c>
      <c r="KC108" t="s">
        <v>1900</v>
      </c>
      <c r="KD108" t="s">
        <v>1900</v>
      </c>
      <c r="KE108" t="s">
        <v>1900</v>
      </c>
      <c r="KF108" t="s">
        <v>1900</v>
      </c>
      <c r="KG108" t="s">
        <v>1900</v>
      </c>
      <c r="KH108" t="s">
        <v>1900</v>
      </c>
      <c r="KI108" t="s">
        <v>1900</v>
      </c>
      <c r="KJ108" t="s">
        <v>1900</v>
      </c>
      <c r="KK108" t="s">
        <v>1900</v>
      </c>
      <c r="KL108" t="s">
        <v>1900</v>
      </c>
      <c r="KM108">
        <v>63</v>
      </c>
      <c r="KN108">
        <v>54</v>
      </c>
      <c r="KO108">
        <v>48</v>
      </c>
      <c r="KP108">
        <v>57</v>
      </c>
      <c r="KQ108">
        <v>106</v>
      </c>
      <c r="KR108" t="s">
        <v>1900</v>
      </c>
      <c r="KS108" t="s">
        <v>1900</v>
      </c>
      <c r="KT108" t="s">
        <v>1900</v>
      </c>
      <c r="KU108" t="s">
        <v>1900</v>
      </c>
      <c r="KV108" t="s">
        <v>1900</v>
      </c>
      <c r="KW108" t="s">
        <v>1900</v>
      </c>
      <c r="KX108" t="s">
        <v>1900</v>
      </c>
      <c r="KY108" t="s">
        <v>1900</v>
      </c>
      <c r="KZ108" t="s">
        <v>1900</v>
      </c>
      <c r="LA108" t="s">
        <v>1900</v>
      </c>
      <c r="LB108" t="s">
        <v>1900</v>
      </c>
      <c r="LC108" t="s">
        <v>1900</v>
      </c>
      <c r="LD108" t="s">
        <v>1900</v>
      </c>
      <c r="LE108" t="s">
        <v>1900</v>
      </c>
      <c r="LF108" t="s">
        <v>1900</v>
      </c>
      <c r="LG108" t="s">
        <v>1900</v>
      </c>
      <c r="LH108" t="s">
        <v>1900</v>
      </c>
      <c r="LI108" t="s">
        <v>1900</v>
      </c>
      <c r="LJ108" t="s">
        <v>1900</v>
      </c>
      <c r="LK108" t="s">
        <v>1900</v>
      </c>
      <c r="LL108" t="s">
        <v>1900</v>
      </c>
      <c r="LM108" t="s">
        <v>1900</v>
      </c>
      <c r="LN108" t="s">
        <v>1900</v>
      </c>
      <c r="LO108" t="s">
        <v>1900</v>
      </c>
      <c r="LP108" t="s">
        <v>1900</v>
      </c>
      <c r="LQ108" t="s">
        <v>1900</v>
      </c>
      <c r="LR108" t="s">
        <v>1900</v>
      </c>
      <c r="LS108" t="s">
        <v>1900</v>
      </c>
      <c r="LT108" t="s">
        <v>1900</v>
      </c>
      <c r="LU108" t="s">
        <v>1900</v>
      </c>
      <c r="LV108" t="s">
        <v>1900</v>
      </c>
      <c r="LW108" t="s">
        <v>1900</v>
      </c>
      <c r="LX108" t="s">
        <v>1900</v>
      </c>
      <c r="LY108" t="s">
        <v>1900</v>
      </c>
      <c r="LZ108" t="s">
        <v>1900</v>
      </c>
      <c r="MA108" t="s">
        <v>1900</v>
      </c>
      <c r="MB108" t="s">
        <v>1900</v>
      </c>
      <c r="MC108" t="s">
        <v>1900</v>
      </c>
      <c r="MD108" t="s">
        <v>1900</v>
      </c>
      <c r="ME108" t="s">
        <v>1900</v>
      </c>
      <c r="MF108" t="s">
        <v>1900</v>
      </c>
      <c r="MG108" t="s">
        <v>1900</v>
      </c>
      <c r="MH108" t="s">
        <v>1900</v>
      </c>
      <c r="MI108" t="s">
        <v>1900</v>
      </c>
      <c r="MJ108" t="s">
        <v>1900</v>
      </c>
      <c r="MK108" t="s">
        <v>1900</v>
      </c>
      <c r="ML108" t="s">
        <v>1900</v>
      </c>
      <c r="MM108" t="s">
        <v>1900</v>
      </c>
      <c r="MN108" t="s">
        <v>1900</v>
      </c>
      <c r="MO108" t="s">
        <v>1900</v>
      </c>
      <c r="MP108">
        <v>26245.729490782</v>
      </c>
      <c r="MQ108">
        <v>113038.289875196</v>
      </c>
      <c r="MR108">
        <v>184829.670738941</v>
      </c>
      <c r="MS108">
        <v>572344.354555106</v>
      </c>
      <c r="MT108">
        <v>422421.987219935</v>
      </c>
      <c r="MU108" t="s">
        <v>1900</v>
      </c>
      <c r="MV108" t="s">
        <v>1900</v>
      </c>
      <c r="MW108" t="s">
        <v>1900</v>
      </c>
      <c r="MX108" t="s">
        <v>1900</v>
      </c>
      <c r="MY108" t="s">
        <v>1900</v>
      </c>
      <c r="MZ108" t="s">
        <v>1900</v>
      </c>
      <c r="NA108" t="s">
        <v>1900</v>
      </c>
      <c r="NB108" t="s">
        <v>1900</v>
      </c>
      <c r="NC108" t="s">
        <v>1900</v>
      </c>
      <c r="ND108" t="s">
        <v>1900</v>
      </c>
      <c r="NE108" t="s">
        <v>1900</v>
      </c>
      <c r="NF108" t="s">
        <v>1900</v>
      </c>
      <c r="NG108" t="s">
        <v>1900</v>
      </c>
      <c r="NH108" t="s">
        <v>1900</v>
      </c>
      <c r="NI108" t="s">
        <v>1900</v>
      </c>
      <c r="NJ108" t="s">
        <v>1900</v>
      </c>
      <c r="NK108" t="s">
        <v>1900</v>
      </c>
      <c r="NL108" t="s">
        <v>1900</v>
      </c>
      <c r="NM108" t="s">
        <v>1900</v>
      </c>
      <c r="NN108" t="s">
        <v>1900</v>
      </c>
      <c r="NO108" t="s">
        <v>1900</v>
      </c>
      <c r="NP108" t="s">
        <v>1900</v>
      </c>
      <c r="NQ108" t="s">
        <v>1900</v>
      </c>
      <c r="NR108" t="s">
        <v>1900</v>
      </c>
      <c r="NS108" t="s">
        <v>1900</v>
      </c>
      <c r="NT108">
        <v>931428.614372529</v>
      </c>
      <c r="NU108">
        <v>863789.075757923</v>
      </c>
      <c r="NV108">
        <v>775382.939494568</v>
      </c>
      <c r="NW108">
        <v>901125.153604531</v>
      </c>
      <c r="NX108">
        <v>1002000.63342801</v>
      </c>
      <c r="NY108" t="s">
        <v>1900</v>
      </c>
      <c r="NZ108" t="s">
        <v>1900</v>
      </c>
      <c r="OA108" t="s">
        <v>1900</v>
      </c>
      <c r="OB108" t="s">
        <v>1900</v>
      </c>
      <c r="OC108" t="s">
        <v>1900</v>
      </c>
      <c r="OD108" t="s">
        <v>1900</v>
      </c>
      <c r="OE108" t="s">
        <v>1900</v>
      </c>
      <c r="OF108" t="s">
        <v>1900</v>
      </c>
      <c r="OG108" t="s">
        <v>1900</v>
      </c>
      <c r="OH108" t="s">
        <v>1900</v>
      </c>
      <c r="OI108" t="s">
        <v>1900</v>
      </c>
      <c r="OJ108" t="s">
        <v>1900</v>
      </c>
      <c r="OK108" t="s">
        <v>1900</v>
      </c>
      <c r="OL108" t="s">
        <v>1900</v>
      </c>
      <c r="OM108" t="s">
        <v>1900</v>
      </c>
      <c r="ON108" t="s">
        <v>1900</v>
      </c>
      <c r="OO108" t="s">
        <v>1900</v>
      </c>
      <c r="OP108" t="s">
        <v>1900</v>
      </c>
      <c r="OQ108" t="s">
        <v>1900</v>
      </c>
      <c r="OR108" t="s">
        <v>1900</v>
      </c>
      <c r="OS108" t="s">
        <v>1900</v>
      </c>
      <c r="OT108" t="s">
        <v>1900</v>
      </c>
      <c r="OU108" t="s">
        <v>1900</v>
      </c>
      <c r="OV108" t="s">
        <v>1900</v>
      </c>
      <c r="OW108" t="s">
        <v>1900</v>
      </c>
      <c r="OX108" t="s">
        <v>1900</v>
      </c>
      <c r="OY108" t="s">
        <v>1900</v>
      </c>
      <c r="OZ108" t="s">
        <v>1900</v>
      </c>
      <c r="PA108" t="s">
        <v>1900</v>
      </c>
      <c r="PB108" t="s">
        <v>1900</v>
      </c>
      <c r="PC108" t="s">
        <v>1900</v>
      </c>
      <c r="PD108" t="s">
        <v>1900</v>
      </c>
      <c r="PE108" t="s">
        <v>1900</v>
      </c>
      <c r="PF108" t="s">
        <v>1900</v>
      </c>
      <c r="PG108" t="s">
        <v>1900</v>
      </c>
      <c r="PH108" t="s">
        <v>1900</v>
      </c>
      <c r="PI108" t="s">
        <v>1900</v>
      </c>
      <c r="PJ108" t="s">
        <v>1900</v>
      </c>
      <c r="PK108" t="s">
        <v>1900</v>
      </c>
      <c r="PL108" t="s">
        <v>1900</v>
      </c>
      <c r="PM108" t="s">
        <v>1900</v>
      </c>
      <c r="PN108" t="s">
        <v>1900</v>
      </c>
      <c r="PO108" t="s">
        <v>1900</v>
      </c>
      <c r="PP108" t="s">
        <v>1900</v>
      </c>
      <c r="PQ108" t="s">
        <v>1900</v>
      </c>
      <c r="PR108" t="s">
        <v>1900</v>
      </c>
      <c r="PS108" t="s">
        <v>1900</v>
      </c>
      <c r="PT108" t="s">
        <v>1900</v>
      </c>
      <c r="PU108" t="s">
        <v>1900</v>
      </c>
      <c r="PV108" t="s">
        <v>1900</v>
      </c>
      <c r="PW108" t="s">
        <v>1900</v>
      </c>
      <c r="PX108" t="s">
        <v>1900</v>
      </c>
      <c r="PY108" t="s">
        <v>1900</v>
      </c>
      <c r="PZ108" t="s">
        <v>1900</v>
      </c>
      <c r="QA108" t="s">
        <v>1900</v>
      </c>
      <c r="QB108" t="s">
        <v>1900</v>
      </c>
      <c r="QC108" t="s">
        <v>1900</v>
      </c>
      <c r="QD108" t="s">
        <v>1900</v>
      </c>
      <c r="QE108" t="s">
        <v>1900</v>
      </c>
      <c r="QF108" t="s">
        <v>1900</v>
      </c>
      <c r="QG108" t="s">
        <v>1900</v>
      </c>
      <c r="QH108" t="s">
        <v>1900</v>
      </c>
      <c r="QI108" t="s">
        <v>1900</v>
      </c>
      <c r="QJ108" t="s">
        <v>1900</v>
      </c>
      <c r="QK108" t="s">
        <v>1900</v>
      </c>
      <c r="QL108" t="s">
        <v>1900</v>
      </c>
      <c r="QM108" t="s">
        <v>1900</v>
      </c>
      <c r="QN108" t="s">
        <v>1900</v>
      </c>
      <c r="QO108" t="s">
        <v>1900</v>
      </c>
      <c r="QP108" t="s">
        <v>1900</v>
      </c>
      <c r="QQ108" t="s">
        <v>1900</v>
      </c>
      <c r="QR108" t="s">
        <v>1900</v>
      </c>
      <c r="QS108" t="s">
        <v>1900</v>
      </c>
      <c r="QT108" t="s">
        <v>1900</v>
      </c>
      <c r="QU108" t="s">
        <v>1900</v>
      </c>
      <c r="QV108" t="s">
        <v>1900</v>
      </c>
      <c r="QW108" t="s">
        <v>1900</v>
      </c>
      <c r="QX108" t="s">
        <v>1900</v>
      </c>
      <c r="QY108" t="s">
        <v>1900</v>
      </c>
      <c r="QZ108" t="s">
        <v>1900</v>
      </c>
      <c r="RA108" t="s">
        <v>1900</v>
      </c>
      <c r="RB108" t="s">
        <v>1900</v>
      </c>
      <c r="RC108" t="s">
        <v>1900</v>
      </c>
      <c r="RD108" t="s">
        <v>1900</v>
      </c>
      <c r="RE108" t="s">
        <v>1900</v>
      </c>
      <c r="RF108" t="s">
        <v>1900</v>
      </c>
      <c r="RG108" t="s">
        <v>1900</v>
      </c>
      <c r="RH108" t="s">
        <v>1900</v>
      </c>
      <c r="RI108" t="s">
        <v>1900</v>
      </c>
      <c r="RJ108" t="s">
        <v>1900</v>
      </c>
      <c r="RK108" t="s">
        <v>1900</v>
      </c>
      <c r="RL108" t="s">
        <v>1900</v>
      </c>
      <c r="RM108" t="s">
        <v>1900</v>
      </c>
      <c r="RN108" t="s">
        <v>1900</v>
      </c>
      <c r="RO108" t="s">
        <v>1900</v>
      </c>
      <c r="RP108" t="s">
        <v>1900</v>
      </c>
      <c r="RQ108" t="s">
        <v>1900</v>
      </c>
      <c r="RR108" t="s">
        <v>1900</v>
      </c>
      <c r="RS108" t="s">
        <v>1900</v>
      </c>
      <c r="RT108" t="s">
        <v>1900</v>
      </c>
      <c r="RU108" t="s">
        <v>1900</v>
      </c>
      <c r="RV108" t="s">
        <v>1900</v>
      </c>
      <c r="RW108" t="s">
        <v>1900</v>
      </c>
      <c r="RX108" t="s">
        <v>1900</v>
      </c>
      <c r="RY108" t="s">
        <v>1900</v>
      </c>
      <c r="RZ108" t="s">
        <v>1900</v>
      </c>
      <c r="SA108" t="s">
        <v>1900</v>
      </c>
      <c r="SB108" t="s">
        <v>1900</v>
      </c>
      <c r="SC108" t="s">
        <v>1900</v>
      </c>
      <c r="SD108" t="s">
        <v>1900</v>
      </c>
      <c r="SE108" t="s">
        <v>1900</v>
      </c>
      <c r="SF108" t="s">
        <v>1900</v>
      </c>
      <c r="SG108" t="s">
        <v>1900</v>
      </c>
      <c r="SH108" t="s">
        <v>1900</v>
      </c>
      <c r="SI108" t="s">
        <v>1900</v>
      </c>
      <c r="SJ108">
        <v>297390.136135691</v>
      </c>
      <c r="SK108">
        <v>120754.885143309</v>
      </c>
      <c r="SL108">
        <v>0</v>
      </c>
      <c r="SM108">
        <v>0</v>
      </c>
      <c r="SN108">
        <v>0</v>
      </c>
      <c r="SO108" t="s">
        <v>1900</v>
      </c>
      <c r="SP108" t="s">
        <v>1900</v>
      </c>
      <c r="SQ108" t="s">
        <v>1900</v>
      </c>
      <c r="SR108" t="s">
        <v>1900</v>
      </c>
      <c r="SS108" t="s">
        <v>1900</v>
      </c>
      <c r="ST108" t="s">
        <v>1900</v>
      </c>
      <c r="SU108" t="s">
        <v>1900</v>
      </c>
      <c r="SV108" t="s">
        <v>1900</v>
      </c>
      <c r="SW108" t="s">
        <v>1900</v>
      </c>
      <c r="SX108" t="s">
        <v>1900</v>
      </c>
      <c r="SY108" t="s">
        <v>1900</v>
      </c>
      <c r="SZ108" t="s">
        <v>1900</v>
      </c>
      <c r="TA108" t="s">
        <v>1900</v>
      </c>
      <c r="TB108" t="s">
        <v>1900</v>
      </c>
      <c r="TC108" t="s">
        <v>1900</v>
      </c>
      <c r="TD108" t="s">
        <v>1900</v>
      </c>
      <c r="TE108" t="s">
        <v>1900</v>
      </c>
      <c r="TF108" t="s">
        <v>1900</v>
      </c>
      <c r="TG108" t="s">
        <v>1900</v>
      </c>
      <c r="TH108" t="s">
        <v>1900</v>
      </c>
      <c r="TI108" t="s">
        <v>1900</v>
      </c>
      <c r="TJ108" t="s">
        <v>1900</v>
      </c>
      <c r="TK108" t="s">
        <v>1900</v>
      </c>
      <c r="TL108" t="s">
        <v>1900</v>
      </c>
      <c r="TM108" t="s">
        <v>1900</v>
      </c>
      <c r="TN108" t="s">
        <v>1900</v>
      </c>
      <c r="TO108" t="s">
        <v>1900</v>
      </c>
      <c r="TP108" t="s">
        <v>1900</v>
      </c>
      <c r="TQ108" t="s">
        <v>1900</v>
      </c>
      <c r="TR108" t="s">
        <v>1900</v>
      </c>
      <c r="TS108">
        <v>1624897.3824026</v>
      </c>
      <c r="TT108">
        <v>1600054.15488464</v>
      </c>
      <c r="TU108">
        <v>1410976.04880662</v>
      </c>
      <c r="TV108">
        <v>2358892.50629554</v>
      </c>
      <c r="TW108">
        <v>2508958.70271334</v>
      </c>
      <c r="TX108" t="s">
        <v>1900</v>
      </c>
      <c r="TY108" t="s">
        <v>1900</v>
      </c>
      <c r="TZ108" t="s">
        <v>1900</v>
      </c>
      <c r="UA108" t="s">
        <v>1900</v>
      </c>
      <c r="UB108" t="s">
        <v>1900</v>
      </c>
      <c r="UC108">
        <v>747211.280227784</v>
      </c>
      <c r="UD108">
        <v>627366.893504553</v>
      </c>
      <c r="UE108">
        <v>588749.211715192</v>
      </c>
      <c r="UF108">
        <v>940053.713468385</v>
      </c>
      <c r="UG108">
        <v>707882.466603422</v>
      </c>
      <c r="UH108" t="s">
        <v>1900</v>
      </c>
      <c r="UI108" t="s">
        <v>1900</v>
      </c>
      <c r="UJ108" t="s">
        <v>1900</v>
      </c>
      <c r="UK108" t="s">
        <v>1900</v>
      </c>
      <c r="UL108" t="s">
        <v>1900</v>
      </c>
      <c r="UM108" t="s">
        <v>1900</v>
      </c>
      <c r="UN108" t="s">
        <v>1900</v>
      </c>
      <c r="UO108" t="s">
        <v>1900</v>
      </c>
      <c r="UP108" t="s">
        <v>1900</v>
      </c>
      <c r="UQ108" t="s">
        <v>1900</v>
      </c>
      <c r="UR108" t="s">
        <v>1900</v>
      </c>
      <c r="US108" t="s">
        <v>1900</v>
      </c>
      <c r="UT108" t="s">
        <v>1900</v>
      </c>
      <c r="UU108" t="s">
        <v>1900</v>
      </c>
      <c r="UV108" t="s">
        <v>1900</v>
      </c>
      <c r="UW108" t="s">
        <v>1900</v>
      </c>
      <c r="UX108" t="s">
        <v>1900</v>
      </c>
      <c r="UY108" t="s">
        <v>1900</v>
      </c>
      <c r="UZ108" t="s">
        <v>1900</v>
      </c>
      <c r="VA108" t="s">
        <v>1900</v>
      </c>
      <c r="VB108" t="s">
        <v>1900</v>
      </c>
      <c r="VC108" t="s">
        <v>1900</v>
      </c>
      <c r="VD108" t="s">
        <v>1900</v>
      </c>
      <c r="VE108" t="s">
        <v>1900</v>
      </c>
      <c r="VF108" t="s">
        <v>1900</v>
      </c>
      <c r="VG108" t="s">
        <v>1900</v>
      </c>
      <c r="VH108" t="s">
        <v>1900</v>
      </c>
      <c r="VI108" t="s">
        <v>1900</v>
      </c>
      <c r="VJ108" t="s">
        <v>1900</v>
      </c>
      <c r="VK108" t="s">
        <v>1900</v>
      </c>
      <c r="VL108" t="s">
        <v>1900</v>
      </c>
      <c r="VM108" t="s">
        <v>1900</v>
      </c>
      <c r="VN108" t="s">
        <v>1900</v>
      </c>
      <c r="VO108" t="s">
        <v>1900</v>
      </c>
      <c r="VP108" t="s">
        <v>1900</v>
      </c>
      <c r="VQ108" t="s">
        <v>1900</v>
      </c>
      <c r="VR108" t="s">
        <v>1900</v>
      </c>
      <c r="VS108" t="s">
        <v>1900</v>
      </c>
      <c r="VT108" t="s">
        <v>1900</v>
      </c>
      <c r="VU108" t="s">
        <v>1900</v>
      </c>
      <c r="VV108" t="s">
        <v>1900</v>
      </c>
      <c r="VW108" t="s">
        <v>1900</v>
      </c>
      <c r="VX108" t="s">
        <v>1900</v>
      </c>
      <c r="VY108" t="s">
        <v>1900</v>
      </c>
      <c r="VZ108" t="s">
        <v>1900</v>
      </c>
      <c r="WA108">
        <v>391389.340647619</v>
      </c>
      <c r="WB108">
        <v>360587.021577024</v>
      </c>
      <c r="WC108">
        <v>173224.769658834</v>
      </c>
      <c r="WD108">
        <v>230383.327163672</v>
      </c>
      <c r="WE108">
        <v>581492.821720141</v>
      </c>
      <c r="WF108" t="s">
        <v>1900</v>
      </c>
      <c r="WG108" t="s">
        <v>1900</v>
      </c>
      <c r="WH108" t="s">
        <v>1900</v>
      </c>
      <c r="WI108" t="s">
        <v>1900</v>
      </c>
      <c r="WJ108" t="s">
        <v>1900</v>
      </c>
      <c r="WK108" t="s">
        <v>1900</v>
      </c>
      <c r="WL108" t="s">
        <v>1900</v>
      </c>
      <c r="WM108" t="s">
        <v>1900</v>
      </c>
      <c r="WN108" t="s">
        <v>1900</v>
      </c>
      <c r="WO108" t="s">
        <v>1900</v>
      </c>
      <c r="WP108" t="s">
        <v>1900</v>
      </c>
      <c r="WQ108" t="s">
        <v>1900</v>
      </c>
      <c r="WR108" t="s">
        <v>1900</v>
      </c>
      <c r="WS108" t="s">
        <v>1900</v>
      </c>
      <c r="WT108" t="s">
        <v>1900</v>
      </c>
      <c r="WU108" t="s">
        <v>1900</v>
      </c>
      <c r="WV108" t="s">
        <v>1900</v>
      </c>
      <c r="WW108" t="s">
        <v>1900</v>
      </c>
      <c r="WX108" t="s">
        <v>1900</v>
      </c>
      <c r="WY108" t="s">
        <v>1900</v>
      </c>
      <c r="WZ108" t="s">
        <v>1900</v>
      </c>
      <c r="XA108" t="s">
        <v>1900</v>
      </c>
      <c r="XB108" t="s">
        <v>1900</v>
      </c>
      <c r="XC108" t="s">
        <v>1900</v>
      </c>
      <c r="XD108" t="s">
        <v>1900</v>
      </c>
      <c r="XE108" t="s">
        <v>1900</v>
      </c>
      <c r="XF108" t="s">
        <v>1900</v>
      </c>
      <c r="XG108" t="s">
        <v>1900</v>
      </c>
      <c r="XH108" t="s">
        <v>1900</v>
      </c>
      <c r="XI108" t="s">
        <v>1900</v>
      </c>
      <c r="XJ108" t="s">
        <v>1900</v>
      </c>
      <c r="XK108" t="s">
        <v>1900</v>
      </c>
      <c r="XL108" t="s">
        <v>1900</v>
      </c>
      <c r="XM108" t="s">
        <v>1900</v>
      </c>
      <c r="XN108" t="s">
        <v>1900</v>
      </c>
      <c r="XO108" t="s">
        <v>1900</v>
      </c>
      <c r="XP108" t="s">
        <v>1900</v>
      </c>
      <c r="XQ108" t="s">
        <v>1900</v>
      </c>
      <c r="XR108" t="s">
        <v>1900</v>
      </c>
      <c r="XS108" t="s">
        <v>1900</v>
      </c>
      <c r="XT108" t="s">
        <v>1900</v>
      </c>
      <c r="XU108" t="s">
        <v>1900</v>
      </c>
      <c r="XV108" t="s">
        <v>1900</v>
      </c>
      <c r="XW108" t="s">
        <v>1900</v>
      </c>
      <c r="XX108" t="s">
        <v>1900</v>
      </c>
      <c r="XY108" t="s">
        <v>1900</v>
      </c>
      <c r="XZ108" t="s">
        <v>1900</v>
      </c>
      <c r="YA108" t="s">
        <v>1900</v>
      </c>
      <c r="YB108" t="s">
        <v>1900</v>
      </c>
      <c r="YC108" t="s">
        <v>1900</v>
      </c>
      <c r="YD108" t="s">
        <v>1900</v>
      </c>
      <c r="YE108" t="s">
        <v>1900</v>
      </c>
      <c r="YF108" t="s">
        <v>1900</v>
      </c>
      <c r="YG108" t="s">
        <v>1900</v>
      </c>
      <c r="YH108" t="s">
        <v>1900</v>
      </c>
      <c r="YI108" t="s">
        <v>1900</v>
      </c>
      <c r="YJ108" t="s">
        <v>1900</v>
      </c>
      <c r="YK108" t="s">
        <v>1900</v>
      </c>
      <c r="YL108" t="s">
        <v>1900</v>
      </c>
      <c r="YM108" t="s">
        <v>1900</v>
      </c>
      <c r="YN108" t="s">
        <v>1900</v>
      </c>
      <c r="YO108" t="s">
        <v>1900</v>
      </c>
      <c r="YP108" t="s">
        <v>1900</v>
      </c>
      <c r="YQ108" t="s">
        <v>1900</v>
      </c>
      <c r="YR108" t="s">
        <v>1900</v>
      </c>
      <c r="YS108" t="s">
        <v>1900</v>
      </c>
      <c r="YT108" t="s">
        <v>1900</v>
      </c>
      <c r="YU108" t="s">
        <v>1900</v>
      </c>
      <c r="YV108" t="s">
        <v>1900</v>
      </c>
      <c r="YW108" t="s">
        <v>1900</v>
      </c>
      <c r="YX108" t="s">
        <v>1900</v>
      </c>
      <c r="YY108" t="s">
        <v>1900</v>
      </c>
      <c r="YZ108" t="s">
        <v>1900</v>
      </c>
      <c r="ZA108" t="s">
        <v>1900</v>
      </c>
      <c r="ZB108" t="s">
        <v>1900</v>
      </c>
      <c r="ZC108" t="s">
        <v>1900</v>
      </c>
      <c r="ZD108" t="s">
        <v>1900</v>
      </c>
      <c r="ZE108" t="s">
        <v>1900</v>
      </c>
      <c r="ZF108" t="s">
        <v>1900</v>
      </c>
      <c r="ZG108" t="s">
        <v>1900</v>
      </c>
      <c r="ZH108" t="s">
        <v>1900</v>
      </c>
      <c r="ZI108" t="s">
        <v>1900</v>
      </c>
      <c r="ZJ108" t="s">
        <v>1900</v>
      </c>
      <c r="ZK108" t="s">
        <v>1900</v>
      </c>
      <c r="ZL108" t="s">
        <v>1900</v>
      </c>
      <c r="ZM108" t="s">
        <v>1900</v>
      </c>
      <c r="ZN108" t="s">
        <v>1900</v>
      </c>
      <c r="ZO108" t="s">
        <v>1900</v>
      </c>
      <c r="ZP108" t="s">
        <v>1900</v>
      </c>
      <c r="ZQ108" t="s">
        <v>1900</v>
      </c>
      <c r="ZR108" t="s">
        <v>1900</v>
      </c>
      <c r="ZS108" t="s">
        <v>1900</v>
      </c>
      <c r="ZT108" t="s">
        <v>1900</v>
      </c>
      <c r="ZU108" t="s">
        <v>1900</v>
      </c>
      <c r="ZV108" t="s">
        <v>1900</v>
      </c>
      <c r="ZW108" t="s">
        <v>1900</v>
      </c>
      <c r="ZX108" t="s">
        <v>1900</v>
      </c>
      <c r="ZY108" t="s">
        <v>1900</v>
      </c>
      <c r="ZZ108" t="s">
        <v>1900</v>
      </c>
      <c r="AAA108" t="s">
        <v>1900</v>
      </c>
      <c r="AAB108" t="s">
        <v>1900</v>
      </c>
      <c r="AAC108" t="s">
        <v>1900</v>
      </c>
      <c r="AAD108" t="s">
        <v>1900</v>
      </c>
      <c r="AAE108" t="s">
        <v>1900</v>
      </c>
      <c r="AAF108" t="s">
        <v>1900</v>
      </c>
      <c r="AAG108" t="s">
        <v>1900</v>
      </c>
      <c r="AAH108" t="s">
        <v>1900</v>
      </c>
      <c r="AAI108" t="s">
        <v>1900</v>
      </c>
      <c r="AAJ108" t="s">
        <v>1900</v>
      </c>
      <c r="AAK108" t="s">
        <v>1900</v>
      </c>
      <c r="AAL108" t="s">
        <v>1900</v>
      </c>
      <c r="AAM108" t="s">
        <v>1900</v>
      </c>
      <c r="AAN108" t="s">
        <v>1900</v>
      </c>
      <c r="AAO108" t="s">
        <v>1900</v>
      </c>
      <c r="AAP108" t="s">
        <v>1900</v>
      </c>
      <c r="AAQ108" t="s">
        <v>1900</v>
      </c>
      <c r="AAR108" t="s">
        <v>1900</v>
      </c>
      <c r="AAS108" t="s">
        <v>1900</v>
      </c>
      <c r="AAT108" t="s">
        <v>1900</v>
      </c>
      <c r="AAU108" t="s">
        <v>1900</v>
      </c>
      <c r="AAV108" t="s">
        <v>1900</v>
      </c>
      <c r="AAW108" t="s">
        <v>1900</v>
      </c>
      <c r="AAX108" t="s">
        <v>1900</v>
      </c>
      <c r="AAY108" t="s">
        <v>1900</v>
      </c>
      <c r="AAZ108" t="s">
        <v>1900</v>
      </c>
      <c r="ABA108" t="s">
        <v>1900</v>
      </c>
      <c r="ABB108" t="s">
        <v>1900</v>
      </c>
      <c r="ABC108" t="s">
        <v>1900</v>
      </c>
      <c r="ABD108" t="s">
        <v>1900</v>
      </c>
      <c r="ABE108" t="s">
        <v>1900</v>
      </c>
      <c r="ABF108" t="s">
        <v>1900</v>
      </c>
      <c r="ABG108" t="s">
        <v>1900</v>
      </c>
      <c r="ABH108" t="s">
        <v>1900</v>
      </c>
      <c r="ABI108" t="s">
        <v>1900</v>
      </c>
      <c r="ABJ108" t="s">
        <v>1900</v>
      </c>
      <c r="ABK108" t="s">
        <v>1900</v>
      </c>
      <c r="ABL108" t="s">
        <v>1900</v>
      </c>
      <c r="ABM108" t="s">
        <v>1900</v>
      </c>
      <c r="ABN108" t="s">
        <v>1900</v>
      </c>
      <c r="ABO108" t="s">
        <v>1900</v>
      </c>
      <c r="ABP108" t="s">
        <v>1900</v>
      </c>
      <c r="ABQ108" t="s">
        <v>1900</v>
      </c>
      <c r="ABR108" t="s">
        <v>1900</v>
      </c>
      <c r="ABS108" t="s">
        <v>1900</v>
      </c>
      <c r="ABT108" t="s">
        <v>1900</v>
      </c>
      <c r="ABU108" t="s">
        <v>1900</v>
      </c>
      <c r="ABV108" t="s">
        <v>1900</v>
      </c>
      <c r="ABW108" t="s">
        <v>1900</v>
      </c>
      <c r="ABX108" t="s">
        <v>1900</v>
      </c>
      <c r="ABY108" t="s">
        <v>1900</v>
      </c>
      <c r="ABZ108" t="s">
        <v>1900</v>
      </c>
      <c r="ACA108" t="s">
        <v>1900</v>
      </c>
      <c r="ACB108" t="s">
        <v>1900</v>
      </c>
      <c r="ACC108" t="s">
        <v>1900</v>
      </c>
      <c r="ACD108" t="s">
        <v>1900</v>
      </c>
      <c r="ACE108">
        <v>-19.833</v>
      </c>
      <c r="ACF108">
        <v>-33.509</v>
      </c>
      <c r="ACG108">
        <v>-50.111</v>
      </c>
      <c r="ACH108">
        <v>5.284</v>
      </c>
      <c r="ACI108">
        <v>-13.109</v>
      </c>
      <c r="ACJ108">
        <v>-11.418</v>
      </c>
      <c r="ACK108">
        <v>-27.767</v>
      </c>
      <c r="ACL108">
        <v>-46.962</v>
      </c>
      <c r="ACM108">
        <v>7.309</v>
      </c>
      <c r="ACN108">
        <v>-10.42</v>
      </c>
      <c r="ACO108">
        <v>-5.885</v>
      </c>
      <c r="ACP108">
        <v>-12.304</v>
      </c>
      <c r="ACQ108">
        <v>-22.964</v>
      </c>
      <c r="ACR108">
        <v>2.662</v>
      </c>
      <c r="ACS108">
        <v>-6.372</v>
      </c>
      <c r="ACT108">
        <v>-9.231</v>
      </c>
      <c r="ACU108">
        <v>-14.018</v>
      </c>
      <c r="ACV108">
        <v>-50.111</v>
      </c>
      <c r="ACW108">
        <v>5.284</v>
      </c>
      <c r="ACX108">
        <v>-13.109</v>
      </c>
      <c r="ACY108">
        <v>-0.8149999999999999</v>
      </c>
      <c r="ACZ108">
        <v>-8.276</v>
      </c>
      <c r="ADA108">
        <v>-46.962</v>
      </c>
      <c r="ADB108">
        <v>7.309</v>
      </c>
      <c r="ADC108">
        <v>-10.42</v>
      </c>
      <c r="ADD108">
        <v>-2.739</v>
      </c>
      <c r="ADE108">
        <v>-5.147</v>
      </c>
      <c r="ADF108">
        <v>-22.964</v>
      </c>
      <c r="ADG108">
        <v>2.662</v>
      </c>
      <c r="ADH108">
        <v>-6.372</v>
      </c>
      <c r="ADI108">
        <v>-4.257</v>
      </c>
      <c r="ADJ108">
        <v>-9.298</v>
      </c>
      <c r="ADK108">
        <v>-21.826</v>
      </c>
      <c r="ADL108">
        <v>1.748</v>
      </c>
      <c r="ADM108">
        <v>-4.064</v>
      </c>
      <c r="ADN108">
        <v>89.90900000000001</v>
      </c>
      <c r="ADO108">
        <v>87.504</v>
      </c>
      <c r="ADP108">
        <v>82.187</v>
      </c>
      <c r="ADQ108">
        <v>100</v>
      </c>
      <c r="ADR108">
        <v>100</v>
      </c>
      <c r="ADS108">
        <v>-1.28086889</v>
      </c>
      <c r="ADT108">
        <v>-4.829398092</v>
      </c>
      <c r="ADU108">
        <v>-21.273531448</v>
      </c>
      <c r="ADV108">
        <v>2.258153678</v>
      </c>
      <c r="ADW108">
        <v>-3.258238526</v>
      </c>
      <c r="ADX108">
        <v>1.864</v>
      </c>
      <c r="ADY108">
        <v>-1.289</v>
      </c>
      <c r="ADZ108">
        <v>-16.341</v>
      </c>
      <c r="AEA108">
        <v>3.62</v>
      </c>
      <c r="AEB108">
        <v>-1.949</v>
      </c>
      <c r="AEC108">
        <v>-1.281</v>
      </c>
      <c r="AED108">
        <v>-4.829</v>
      </c>
      <c r="AEE108">
        <v>-21.274</v>
      </c>
      <c r="AEF108">
        <v>2.258</v>
      </c>
      <c r="AEG108">
        <v>-3.258</v>
      </c>
      <c r="AEH108">
        <v>1.164</v>
      </c>
      <c r="AEI108">
        <v>-0.35</v>
      </c>
      <c r="AEJ108">
        <v>-16.893</v>
      </c>
      <c r="AEK108">
        <v>3.11</v>
      </c>
      <c r="AEL108">
        <v>-2.754</v>
      </c>
      <c r="AEM108">
        <v>-1.264670124</v>
      </c>
      <c r="AEN108">
        <v>-4.606911973</v>
      </c>
      <c r="AEO108">
        <v>-17.541776177</v>
      </c>
      <c r="AEP108">
        <v>2.310324352</v>
      </c>
      <c r="AEQ108">
        <v>-3.155427182</v>
      </c>
      <c r="AER108">
        <v>0.98595381</v>
      </c>
      <c r="AES108">
        <v>0.947696253</v>
      </c>
      <c r="AET108">
        <v>0.794380988</v>
      </c>
      <c r="AEU108" t="s">
        <v>1900</v>
      </c>
      <c r="AEV108" t="s">
        <v>1900</v>
      </c>
      <c r="AEW108" t="s">
        <v>1900</v>
      </c>
      <c r="AEX108" t="s">
        <v>1900</v>
      </c>
      <c r="AEY108" t="s">
        <v>1900</v>
      </c>
      <c r="AEZ108" t="s">
        <v>1900</v>
      </c>
      <c r="AFA108" t="s">
        <v>1900</v>
      </c>
      <c r="AFB108" t="s">
        <v>1900</v>
      </c>
      <c r="AFC108" t="s">
        <v>1900</v>
      </c>
      <c r="AFD108" t="s">
        <v>1900</v>
      </c>
      <c r="AFE108" t="s">
        <v>1900</v>
      </c>
      <c r="AFF108" t="s">
        <v>1900</v>
      </c>
      <c r="AFG108">
        <v>4.659</v>
      </c>
      <c r="AFH108">
        <v>3.604</v>
      </c>
      <c r="AFI108">
        <v>2.296</v>
      </c>
      <c r="AFJ108">
        <v>3.022</v>
      </c>
      <c r="AFK108">
        <v>3.226</v>
      </c>
      <c r="AFL108">
        <v>-0.709</v>
      </c>
      <c r="AFM108">
        <v>-3.031</v>
      </c>
      <c r="AFN108">
        <v>-15.511</v>
      </c>
      <c r="AFO108">
        <v>3.369</v>
      </c>
      <c r="AFP108">
        <v>-3.908</v>
      </c>
      <c r="AFQ108" t="s">
        <v>1901</v>
      </c>
      <c r="AFR108" t="s">
        <v>1901</v>
      </c>
      <c r="AFS108" t="s">
        <v>1901</v>
      </c>
      <c r="AFT108" t="s">
        <v>1901</v>
      </c>
      <c r="AFU108" t="s">
        <v>1901</v>
      </c>
      <c r="AFV108">
        <v>106.941</v>
      </c>
      <c r="AFW108">
        <v>105.961</v>
      </c>
      <c r="AFX108">
        <v>109.31</v>
      </c>
      <c r="AFY108">
        <v>88.75700000000001</v>
      </c>
      <c r="AFZ108">
        <v>99.247</v>
      </c>
      <c r="AGA108">
        <v>0.67</v>
      </c>
      <c r="AGB108">
        <v>4.179</v>
      </c>
      <c r="AGC108">
        <v>0.583</v>
      </c>
      <c r="AGD108">
        <v>0</v>
      </c>
      <c r="AGE108">
        <v>0</v>
      </c>
      <c r="AGF108" t="s">
        <v>1900</v>
      </c>
      <c r="AGG108" t="s">
        <v>1900</v>
      </c>
      <c r="AGH108" t="s">
        <v>1900</v>
      </c>
      <c r="AGI108" t="s">
        <v>1900</v>
      </c>
      <c r="AGJ108" t="s">
        <v>1900</v>
      </c>
      <c r="AGK108" t="s">
        <v>1900</v>
      </c>
      <c r="AGL108" t="s">
        <v>1900</v>
      </c>
      <c r="AGM108" t="s">
        <v>1900</v>
      </c>
      <c r="AGN108" t="s">
        <v>1900</v>
      </c>
      <c r="AGO108" t="s">
        <v>1900</v>
      </c>
      <c r="AGP108" t="s">
        <v>1900</v>
      </c>
      <c r="AGQ108" t="s">
        <v>1900</v>
      </c>
      <c r="AGR108" t="s">
        <v>1900</v>
      </c>
      <c r="AGS108" t="s">
        <v>1900</v>
      </c>
      <c r="AGT108" t="s">
        <v>1900</v>
      </c>
      <c r="AGU108">
        <v>0</v>
      </c>
      <c r="AGV108">
        <v>0</v>
      </c>
      <c r="AGW108">
        <v>0</v>
      </c>
      <c r="AGX108">
        <v>0</v>
      </c>
      <c r="AGY108">
        <v>0</v>
      </c>
      <c r="AGZ108">
        <v>0.607</v>
      </c>
      <c r="AHA108">
        <v>0.727</v>
      </c>
      <c r="AHB108">
        <v>0.832</v>
      </c>
      <c r="AHC108">
        <v>1.245</v>
      </c>
      <c r="AHD108">
        <v>1.169</v>
      </c>
      <c r="AHE108">
        <v>0.607</v>
      </c>
      <c r="AHF108">
        <v>0.727</v>
      </c>
      <c r="AHG108">
        <v>0.832</v>
      </c>
      <c r="AHH108">
        <v>1.245</v>
      </c>
      <c r="AHI108">
        <v>1.169</v>
      </c>
      <c r="AHJ108" t="s">
        <v>1901</v>
      </c>
      <c r="AHK108" t="s">
        <v>1901</v>
      </c>
      <c r="AHL108" t="s">
        <v>1901</v>
      </c>
      <c r="AHM108" t="s">
        <v>1901</v>
      </c>
      <c r="AHN108" t="s">
        <v>1901</v>
      </c>
      <c r="AHO108">
        <v>29.671</v>
      </c>
      <c r="AHP108">
        <v>36.719</v>
      </c>
      <c r="AHQ108">
        <v>45.826</v>
      </c>
      <c r="AHR108">
        <v>50.382</v>
      </c>
      <c r="AHS108">
        <v>48.609</v>
      </c>
      <c r="AHT108">
        <v>42.188</v>
      </c>
      <c r="AHU108">
        <v>58.025</v>
      </c>
      <c r="AHV108">
        <v>84.59099999999999</v>
      </c>
      <c r="AHW108" t="s">
        <v>1901</v>
      </c>
      <c r="AHX108">
        <v>94.587</v>
      </c>
      <c r="AHY108">
        <v>154.985</v>
      </c>
      <c r="AHZ108">
        <v>106.782</v>
      </c>
      <c r="AIA108">
        <v>91.054</v>
      </c>
      <c r="AIB108">
        <v>79.099</v>
      </c>
      <c r="AIC108">
        <v>58.043</v>
      </c>
      <c r="AID108">
        <v>18.302087218</v>
      </c>
      <c r="AIE108">
        <v>7.546924882</v>
      </c>
      <c r="AIF108">
        <v>0</v>
      </c>
      <c r="AIG108">
        <v>0</v>
      </c>
      <c r="AIH108">
        <v>0</v>
      </c>
      <c r="AII108">
        <v>1.615223815</v>
      </c>
      <c r="AIJ108">
        <v>7.064654001</v>
      </c>
      <c r="AIK108">
        <v>13.099419433</v>
      </c>
      <c r="AIL108">
        <v>24.263265623</v>
      </c>
      <c r="AIM108">
        <v>16.836546045</v>
      </c>
      <c r="AIN108">
        <v>24.087018964</v>
      </c>
      <c r="AIO108">
        <v>22.53592608</v>
      </c>
      <c r="AIP108">
        <v>12.276946147</v>
      </c>
      <c r="AIQ108">
        <v>9.766588624000001</v>
      </c>
      <c r="AIR108">
        <v>23.176659747</v>
      </c>
      <c r="AIS108">
        <v>0</v>
      </c>
      <c r="AIT108">
        <v>0</v>
      </c>
      <c r="AIU108">
        <v>0</v>
      </c>
      <c r="AIV108" t="s">
        <v>1900</v>
      </c>
      <c r="AIW108" t="s">
        <v>1900</v>
      </c>
      <c r="AIX108">
        <v>-1.51778859547591</v>
      </c>
      <c r="AIY108">
        <v>-3.64581101119518</v>
      </c>
      <c r="AIZ108">
        <v>-6.75035777065933</v>
      </c>
      <c r="AJA108">
        <v>1.10161802605391</v>
      </c>
      <c r="AJB108">
        <v>-1.50830137488842</v>
      </c>
      <c r="AJC108">
        <v>35.6522324094659</v>
      </c>
      <c r="AJD108">
        <v>39.2109580673962</v>
      </c>
      <c r="AJE108">
        <v>30.9279101783597</v>
      </c>
      <c r="AJF108">
        <v>63.00480297158</v>
      </c>
      <c r="AJG108">
        <v>37.1127090307051</v>
      </c>
      <c r="AJH108">
        <v>78.384</v>
      </c>
      <c r="AJI108">
        <v>80.7</v>
      </c>
      <c r="AJJ108">
        <v>80.705</v>
      </c>
      <c r="AJK108">
        <v>66.884</v>
      </c>
      <c r="AJL108">
        <v>68.554</v>
      </c>
      <c r="AJM108">
        <v>27.9456091254903</v>
      </c>
      <c r="AJN108">
        <v>31.6431599560614</v>
      </c>
      <c r="AJO108">
        <v>24.9603884351051</v>
      </c>
      <c r="AJP108">
        <v>42.1404093351674</v>
      </c>
      <c r="AJQ108">
        <v>25.4423210156023</v>
      </c>
      <c r="AJR108">
        <v>7.65268673651063</v>
      </c>
      <c r="AJS108">
        <v>10.8799752177992</v>
      </c>
      <c r="AJT108">
        <v>13.4707643610889</v>
      </c>
      <c r="AJU108">
        <v>20.8500956901312</v>
      </c>
      <c r="AJV108">
        <v>11.5055039093375</v>
      </c>
      <c r="AJW108">
        <v>10.5245333598164</v>
      </c>
      <c r="AJX108">
        <v>11.0860224502707</v>
      </c>
      <c r="AJY108">
        <v>9.340793015399569</v>
      </c>
      <c r="AJZ108">
        <v>15.5337366703105</v>
      </c>
      <c r="AKA108">
        <v>10.2314729701006</v>
      </c>
      <c r="AKB108">
        <v>25.7920223221792</v>
      </c>
      <c r="AKC108">
        <v>29.6306324978638</v>
      </c>
      <c r="AKD108">
        <v>29.3953347056711</v>
      </c>
      <c r="AKE108">
        <v>41.3840792366481</v>
      </c>
      <c r="AKF108">
        <v>23.669421445877</v>
      </c>
      <c r="AKG108">
        <v>0</v>
      </c>
      <c r="AKH108">
        <v>0</v>
      </c>
      <c r="AKI108">
        <v>0</v>
      </c>
      <c r="AKJ108" t="s">
        <v>1900</v>
      </c>
      <c r="AKK108" t="s">
        <v>1900</v>
      </c>
      <c r="AKL108">
        <v>0</v>
      </c>
      <c r="AKM108">
        <v>0</v>
      </c>
      <c r="AKN108">
        <v>0</v>
      </c>
      <c r="AKO108">
        <v>0</v>
      </c>
      <c r="AKP108">
        <v>0</v>
      </c>
      <c r="AKQ108">
        <v>0</v>
      </c>
      <c r="AKR108">
        <v>0</v>
      </c>
      <c r="AKS108">
        <v>0</v>
      </c>
      <c r="AKT108">
        <v>0</v>
      </c>
      <c r="AKU108">
        <v>0</v>
      </c>
      <c r="AKV108">
        <v>3.439492448</v>
      </c>
      <c r="AKW108">
        <v>5.176326495</v>
      </c>
      <c r="AKX108">
        <v>8.910131016999999</v>
      </c>
      <c r="AKY108">
        <v>4.694110786</v>
      </c>
      <c r="AKZ108">
        <v>4.169271839</v>
      </c>
      <c r="ALA108">
        <v>4.754399795</v>
      </c>
      <c r="ALB108">
        <v>6.849962503</v>
      </c>
      <c r="ALC108">
        <v>9.374675894999999</v>
      </c>
      <c r="ALD108">
        <v>7.146504978</v>
      </c>
      <c r="ALE108">
        <v>6.537251893</v>
      </c>
      <c r="ALF108">
        <v>24.789042407</v>
      </c>
      <c r="ALG108">
        <v>29.915630112</v>
      </c>
      <c r="ALH108">
        <v>43.320398339</v>
      </c>
      <c r="ALI108">
        <v>20.397965343</v>
      </c>
      <c r="ALJ108">
        <v>21.30134575</v>
      </c>
      <c r="ALK108">
        <v>34.265816811</v>
      </c>
      <c r="ALL108">
        <v>39.58810263</v>
      </c>
      <c r="ALM108">
        <v>45.578981196</v>
      </c>
      <c r="ALN108">
        <v>31.054691185</v>
      </c>
      <c r="ALO108">
        <v>33.399660226</v>
      </c>
      <c r="ALP108">
        <v>29.70597124</v>
      </c>
      <c r="ALQ108">
        <v>29.433702624</v>
      </c>
      <c r="ALR108">
        <v>30.363852248</v>
      </c>
      <c r="ALS108">
        <v>24.654845319</v>
      </c>
      <c r="ALT108">
        <v>27.568649049</v>
      </c>
      <c r="ALU108">
        <v>0.626097535</v>
      </c>
      <c r="ALV108">
        <v>3.944240724</v>
      </c>
      <c r="ALW108">
        <v>0.533619846</v>
      </c>
      <c r="ALX108">
        <v>0</v>
      </c>
      <c r="ALY108">
        <v>0</v>
      </c>
      <c r="ALZ108">
        <v>89.9089038890699</v>
      </c>
      <c r="AMA108">
        <v>87.50429471854881</v>
      </c>
      <c r="AMB108">
        <v>82.18738544937069</v>
      </c>
      <c r="AMC108">
        <v>100</v>
      </c>
      <c r="AMD108">
        <v>100</v>
      </c>
      <c r="AME108">
        <v>93.31443120323701</v>
      </c>
      <c r="AMF108">
        <v>91.2854216184755</v>
      </c>
      <c r="AMG108">
        <v>87.0183465322685</v>
      </c>
      <c r="AMH108" t="s">
        <v>1901</v>
      </c>
      <c r="AMI108" t="s">
        <v>1901</v>
      </c>
      <c r="AMJ108">
        <v>890.972624784393</v>
      </c>
      <c r="AMK108">
        <v>700.27495645597</v>
      </c>
      <c r="AML108">
        <v>461.399896597236</v>
      </c>
      <c r="AMM108" t="s">
        <v>1900</v>
      </c>
      <c r="AMN108" t="s">
        <v>1900</v>
      </c>
      <c r="AMO108">
        <v>0.985953810332621</v>
      </c>
      <c r="AMP108">
        <v>0.947696253178302</v>
      </c>
      <c r="AMQ108">
        <v>0.794380988625966</v>
      </c>
      <c r="AMR108">
        <v>1.02310324352244</v>
      </c>
      <c r="AMS108">
        <v>0.968445728180952</v>
      </c>
      <c r="AMT108">
        <v>0.985953809825396</v>
      </c>
      <c r="AMU108">
        <v>0.947696253178302</v>
      </c>
      <c r="AMV108">
        <v>0.794380988625966</v>
      </c>
      <c r="AMW108">
        <v>1.02310324352244</v>
      </c>
      <c r="AMX108">
        <v>0.968445728180951</v>
      </c>
      <c r="AMY108">
        <v>0.985953809832521</v>
      </c>
      <c r="AMZ108">
        <v>0.947696253178302</v>
      </c>
      <c r="ANA108">
        <v>0.794380988483177</v>
      </c>
      <c r="ANB108" t="s">
        <v>1900</v>
      </c>
      <c r="ANC108" t="s">
        <v>1900</v>
      </c>
      <c r="AND108">
        <v>-1.28086888978096</v>
      </c>
      <c r="ANE108">
        <v>-4.82939809186847</v>
      </c>
      <c r="ANF108">
        <v>-21.2735314483631</v>
      </c>
      <c r="ANG108">
        <v>2.2581536779121</v>
      </c>
      <c r="ANH108">
        <v>-3.25823852600573</v>
      </c>
      <c r="ANI108">
        <v>-1.32938504114454</v>
      </c>
      <c r="ANJ108">
        <v>-5.03808004392983</v>
      </c>
      <c r="ANK108">
        <v>-22.5239861496646</v>
      </c>
      <c r="ANL108">
        <v>2.31631475893183</v>
      </c>
      <c r="ANM108">
        <v>-3.42582303617579</v>
      </c>
      <c r="ANN108">
        <v>-1.26467012360929</v>
      </c>
      <c r="ANO108">
        <v>-4.60691197295264</v>
      </c>
      <c r="ANP108">
        <v>-17.5417761767918</v>
      </c>
      <c r="ANQ108">
        <v>2.31032435224399</v>
      </c>
      <c r="ANR108">
        <v>-3.15542718190485</v>
      </c>
      <c r="ANS108">
        <v>-5.96729409650915</v>
      </c>
      <c r="ANT108">
        <v>-17.404940581357</v>
      </c>
      <c r="ANU108">
        <v>-48.8425035431293</v>
      </c>
      <c r="ANV108">
        <v>6.82368700688466</v>
      </c>
      <c r="ANW108">
        <v>-10.5099314895792</v>
      </c>
      <c r="ANX108">
        <v>89.9089038890699</v>
      </c>
      <c r="ANY108">
        <v>87.50429471854881</v>
      </c>
      <c r="ANZ108">
        <v>82.1873853775235</v>
      </c>
      <c r="AOA108" t="s">
        <v>1900</v>
      </c>
      <c r="AOB108" t="s">
        <v>1900</v>
      </c>
      <c r="AOC108">
        <v>88.7718528431202</v>
      </c>
      <c r="AOD108">
        <v>83.47304888831221</v>
      </c>
      <c r="AOE108">
        <v>67.7702582482849</v>
      </c>
      <c r="AOF108">
        <v>102.310324352244</v>
      </c>
      <c r="AOG108">
        <v>96.8445728180952</v>
      </c>
      <c r="AOH108" t="s">
        <v>1901</v>
      </c>
      <c r="AOI108" t="s">
        <v>1901</v>
      </c>
      <c r="AOJ108">
        <v>86.4723649737719</v>
      </c>
      <c r="AOK108" t="s">
        <v>1901</v>
      </c>
      <c r="AOL108" t="s">
        <v>1901</v>
      </c>
      <c r="AOM108">
        <v>-12.6930600571091</v>
      </c>
      <c r="AON108">
        <v>-38.6484634767859</v>
      </c>
      <c r="AOO108">
        <v>-119.429583467884</v>
      </c>
      <c r="AOP108" t="s">
        <v>1900</v>
      </c>
      <c r="AOQ108" t="s">
        <v>1900</v>
      </c>
      <c r="AOR108">
        <v>-1.40461901746038</v>
      </c>
      <c r="AOS108">
        <v>-5.23037468216977</v>
      </c>
      <c r="AOT108">
        <v>-20.5619011374034</v>
      </c>
      <c r="AOU108">
        <v>2.31032435224399</v>
      </c>
      <c r="AOV108">
        <v>-3.15542718190485</v>
      </c>
      <c r="AOW108">
        <v>-1.77054111306261</v>
      </c>
      <c r="AOX108">
        <v>-6.39086345794223</v>
      </c>
      <c r="AOY108">
        <v>-22.3826632959031</v>
      </c>
      <c r="AOZ108">
        <v>3.43790490565614</v>
      </c>
      <c r="APA108">
        <v>-5.10878800723252</v>
      </c>
      <c r="APB108">
        <v>-1.98143357920201</v>
      </c>
      <c r="APC108">
        <v>-3.88957720472465</v>
      </c>
      <c r="APD108">
        <v>-21.8261043017362</v>
      </c>
      <c r="APE108">
        <v>1.74846720495655</v>
      </c>
      <c r="APF108">
        <v>-4.0641092325946</v>
      </c>
      <c r="APG108">
        <v>-2.05648539146196</v>
      </c>
      <c r="APH108">
        <v>-4.05764878390176</v>
      </c>
      <c r="API108">
        <v>-23.109039145039</v>
      </c>
      <c r="APJ108">
        <v>1.79350078427515</v>
      </c>
      <c r="APK108">
        <v>-4.27314296342366</v>
      </c>
      <c r="APL108">
        <v>-19.6354643481775</v>
      </c>
      <c r="APM108">
        <v>-31.1273122814315</v>
      </c>
      <c r="APN108">
        <v>-122.531726893116</v>
      </c>
      <c r="APO108" t="s">
        <v>1900</v>
      </c>
      <c r="APP108" t="s">
        <v>1900</v>
      </c>
      <c r="APQ108">
        <v>-2.17286820640766</v>
      </c>
      <c r="APR108">
        <v>-4.2125220884546</v>
      </c>
      <c r="APS108">
        <v>-21.0959896318242</v>
      </c>
      <c r="APT108">
        <v>1.78886246858367</v>
      </c>
      <c r="APU108">
        <v>-3.93586922516701</v>
      </c>
      <c r="APV108">
        <v>-1.95637498070668</v>
      </c>
      <c r="APW108">
        <v>-3.71038780678295</v>
      </c>
      <c r="APX108">
        <v>-17.9974179370125</v>
      </c>
      <c r="APY108">
        <v>1.78886246858367</v>
      </c>
      <c r="APZ108">
        <v>-3.93586922516701</v>
      </c>
      <c r="AQA108">
        <v>-2.73892952102217</v>
      </c>
      <c r="AQB108">
        <v>-5.14717493808892</v>
      </c>
      <c r="AQC108">
        <v>-22.96404547749</v>
      </c>
      <c r="AQD108">
        <v>2.66193751120468</v>
      </c>
      <c r="AQE108">
        <v>-6.37236112146006</v>
      </c>
      <c r="AQF108">
        <v>-0.0140461901674792</v>
      </c>
      <c r="AQG108">
        <v>-0.0523037468216977</v>
      </c>
      <c r="AQH108">
        <v>-0.205619011516823</v>
      </c>
      <c r="AQI108" t="s">
        <v>1900</v>
      </c>
      <c r="AQJ108" t="s">
        <v>1900</v>
      </c>
      <c r="AQK108">
        <v>6</v>
      </c>
      <c r="AQO108" t="s">
        <v>1903</v>
      </c>
      <c r="AQP108">
        <v>6</v>
      </c>
      <c r="AQQ108">
        <v>0</v>
      </c>
      <c r="AQS108" t="s">
        <v>1905</v>
      </c>
      <c r="AQU108" t="s">
        <v>1906</v>
      </c>
      <c r="AQV108">
        <v>2246090.63660185</v>
      </c>
      <c r="AQW108">
        <v>2117391.74005939</v>
      </c>
      <c r="AQX108">
        <v>1484539.69176107</v>
      </c>
      <c r="AQY108">
        <v>-28769.4762005162</v>
      </c>
      <c r="AQZ108">
        <v>-102257.276291809</v>
      </c>
      <c r="ARA108">
        <v>-315814.018190223</v>
      </c>
      <c r="ARB108">
        <v>5848022.06842231</v>
      </c>
      <c r="ARC108">
        <v>-446840.7706825482</v>
      </c>
      <c r="ARD108">
        <v>-0.0709849892052755</v>
      </c>
      <c r="ARE108">
        <v>-0.0709849892052755</v>
      </c>
      <c r="ARF108">
        <v>-0.0709849892052755</v>
      </c>
      <c r="ARG108" t="s">
        <v>1907</v>
      </c>
      <c r="ARH108" t="s">
        <v>1907</v>
      </c>
      <c r="ARI108" t="s">
        <v>1907</v>
      </c>
      <c r="ARJ108" t="s">
        <v>1269</v>
      </c>
      <c r="ARK108" t="s">
        <v>1607</v>
      </c>
      <c r="ARL108" t="s">
        <v>1908</v>
      </c>
      <c r="ARM108" t="s">
        <v>1908</v>
      </c>
      <c r="ARN108" t="s">
        <v>1908</v>
      </c>
      <c r="ARO108" t="s">
        <v>1909</v>
      </c>
      <c r="ARP108" t="s">
        <v>1907</v>
      </c>
      <c r="ARQ108" t="s">
        <v>2001</v>
      </c>
      <c r="ARR108">
        <f>HYPERLINK("C:\Users\Usuario\Documents\Proyectos\llmthon\evidence\seproser_com_000058.png", "Ver Evidencia")</f>
        <v>0</v>
      </c>
      <c r="ARS108">
        <v>40</v>
      </c>
    </row>
    <row r="109" spans="1:1163">
      <c r="A109">
        <v>424</v>
      </c>
      <c r="B109" t="s">
        <v>1270</v>
      </c>
      <c r="C109" t="s">
        <v>1393</v>
      </c>
      <c r="E109" s="2">
        <v>39114</v>
      </c>
      <c r="F109" t="s">
        <v>1431</v>
      </c>
      <c r="G109" t="s">
        <v>1433</v>
      </c>
      <c r="H109" t="s">
        <v>1434</v>
      </c>
      <c r="I109" t="s">
        <v>1435</v>
      </c>
      <c r="J109" t="s">
        <v>1451</v>
      </c>
      <c r="L109" t="s">
        <v>1608</v>
      </c>
      <c r="N109" t="s">
        <v>1633</v>
      </c>
      <c r="O109" t="s">
        <v>1657</v>
      </c>
      <c r="P109">
        <v>6311</v>
      </c>
      <c r="Q109">
        <v>6311</v>
      </c>
      <c r="R109" t="s">
        <v>1776</v>
      </c>
      <c r="Z109" t="s">
        <v>1899</v>
      </c>
      <c r="AA109" s="2">
        <v>45291</v>
      </c>
      <c r="AB109">
        <v>2023</v>
      </c>
      <c r="AC109" t="s">
        <v>1900</v>
      </c>
      <c r="AD109">
        <v>1662731.1200633</v>
      </c>
      <c r="AE109">
        <v>1158568.63969867</v>
      </c>
      <c r="AF109">
        <v>1297682.58986514</v>
      </c>
      <c r="AG109">
        <v>1100090.68111895</v>
      </c>
      <c r="AH109" t="s">
        <v>1900</v>
      </c>
      <c r="AI109">
        <v>1662731.1200633</v>
      </c>
      <c r="AJ109">
        <v>1158568.63969867</v>
      </c>
      <c r="AK109">
        <v>1297682.58986514</v>
      </c>
      <c r="AL109">
        <v>1100090.68111895</v>
      </c>
      <c r="AM109" t="s">
        <v>1900</v>
      </c>
      <c r="AN109">
        <v>612830.435180769</v>
      </c>
      <c r="AO109">
        <v>303509.086533982</v>
      </c>
      <c r="AP109">
        <v>402284.486345315</v>
      </c>
      <c r="AQ109">
        <v>260151.677815557</v>
      </c>
      <c r="AR109" t="s">
        <v>1900</v>
      </c>
      <c r="AS109">
        <v>1049900.68488253</v>
      </c>
      <c r="AT109">
        <v>855059.553164685</v>
      </c>
      <c r="AU109">
        <v>895398.103519821</v>
      </c>
      <c r="AV109">
        <v>839939.003303391</v>
      </c>
      <c r="AW109" t="s">
        <v>1900</v>
      </c>
      <c r="AX109">
        <v>929095.20176651</v>
      </c>
      <c r="AY109">
        <v>824034.5312361181</v>
      </c>
      <c r="AZ109">
        <v>847332.268023491</v>
      </c>
      <c r="BA109">
        <v>806259.900950289</v>
      </c>
      <c r="BB109" t="s">
        <v>1900</v>
      </c>
      <c r="BC109">
        <v>120805.483116016</v>
      </c>
      <c r="BD109">
        <v>31025.0219285667</v>
      </c>
      <c r="BE109">
        <v>48065.8354963303</v>
      </c>
      <c r="BF109">
        <v>33679.102353102</v>
      </c>
      <c r="BG109" t="s">
        <v>1900</v>
      </c>
      <c r="BH109">
        <v>-750.494236812592</v>
      </c>
      <c r="BI109">
        <v>-155.647796722054</v>
      </c>
      <c r="BJ109">
        <v>-463.312807774544</v>
      </c>
      <c r="BK109">
        <v>414.819691073298</v>
      </c>
      <c r="BL109" t="s">
        <v>1900</v>
      </c>
      <c r="BM109" t="s">
        <v>1900</v>
      </c>
      <c r="BN109">
        <v>672.618969285488</v>
      </c>
      <c r="BO109">
        <v>744.763984179497</v>
      </c>
      <c r="BP109">
        <v>2069.31890359521</v>
      </c>
      <c r="BQ109" t="s">
        <v>1900</v>
      </c>
      <c r="BR109">
        <v>750.494236812592</v>
      </c>
      <c r="BS109">
        <v>828.267832607031</v>
      </c>
      <c r="BT109">
        <v>1208.07679195404</v>
      </c>
      <c r="BU109">
        <v>1654.49798542261</v>
      </c>
      <c r="BV109" t="s">
        <v>1900</v>
      </c>
      <c r="BW109">
        <v>120054.988879204</v>
      </c>
      <c r="BX109">
        <v>30869.3730652452</v>
      </c>
      <c r="BY109">
        <v>47602.5226885557</v>
      </c>
      <c r="BZ109">
        <v>34093.9232712746</v>
      </c>
      <c r="CA109" t="s">
        <v>1900</v>
      </c>
      <c r="CB109">
        <v>8745.824775018689</v>
      </c>
      <c r="CC109">
        <v>-12866.7416046917</v>
      </c>
      <c r="CD109">
        <v>-8288.561592078209</v>
      </c>
      <c r="CE109">
        <v>-128.39139969945</v>
      </c>
      <c r="CF109" t="s">
        <v>1900</v>
      </c>
      <c r="CG109">
        <v>111309.164104185</v>
      </c>
      <c r="CH109">
        <v>43736.1146699369</v>
      </c>
      <c r="CI109">
        <v>55891.0842806339</v>
      </c>
      <c r="CJ109">
        <v>34222.314670974</v>
      </c>
      <c r="CK109" t="s">
        <v>1900</v>
      </c>
      <c r="CL109" t="s">
        <v>1900</v>
      </c>
      <c r="CM109" t="s">
        <v>1900</v>
      </c>
      <c r="CN109" t="s">
        <v>1900</v>
      </c>
      <c r="CO109" t="s">
        <v>1900</v>
      </c>
      <c r="CP109" t="s">
        <v>1900</v>
      </c>
      <c r="CQ109" t="s">
        <v>1900</v>
      </c>
      <c r="CR109" t="s">
        <v>1900</v>
      </c>
      <c r="CS109" t="s">
        <v>1900</v>
      </c>
      <c r="CT109" t="s">
        <v>1900</v>
      </c>
      <c r="CU109" t="s">
        <v>1900</v>
      </c>
      <c r="CV109" t="s">
        <v>1900</v>
      </c>
      <c r="CW109" t="s">
        <v>1900</v>
      </c>
      <c r="CX109" t="s">
        <v>1900</v>
      </c>
      <c r="CY109" t="s">
        <v>1900</v>
      </c>
      <c r="CZ109" t="s">
        <v>1900</v>
      </c>
      <c r="DA109">
        <v>111309.164104185</v>
      </c>
      <c r="DB109">
        <v>43736.1146699369</v>
      </c>
      <c r="DC109">
        <v>55891.0842806339</v>
      </c>
      <c r="DD109">
        <v>34222.314670974</v>
      </c>
      <c r="DE109" t="s">
        <v>1900</v>
      </c>
      <c r="DF109" t="s">
        <v>1900</v>
      </c>
      <c r="DG109" t="s">
        <v>1900</v>
      </c>
      <c r="DH109" t="s">
        <v>1900</v>
      </c>
      <c r="DI109" t="s">
        <v>1900</v>
      </c>
      <c r="DJ109" t="s">
        <v>1900</v>
      </c>
      <c r="DK109">
        <v>612830.435180769</v>
      </c>
      <c r="DL109">
        <v>303509.086533982</v>
      </c>
      <c r="DM109">
        <v>402284.486345315</v>
      </c>
      <c r="DN109">
        <v>260151.677815557</v>
      </c>
      <c r="DO109" t="s">
        <v>1900</v>
      </c>
      <c r="DP109">
        <v>812599.629434729</v>
      </c>
      <c r="DQ109">
        <v>714330.795452654</v>
      </c>
      <c r="DR109">
        <v>721355.253786778</v>
      </c>
      <c r="DS109">
        <v>750046.150726551</v>
      </c>
      <c r="DT109" t="s">
        <v>1900</v>
      </c>
      <c r="DU109">
        <v>13087.0512733078</v>
      </c>
      <c r="DV109">
        <v>13682.2529074192</v>
      </c>
      <c r="DW109">
        <v>15342.5548710108</v>
      </c>
      <c r="DX109">
        <v>17289.2769342959</v>
      </c>
      <c r="DY109" t="s">
        <v>1900</v>
      </c>
      <c r="DZ109">
        <v>103408.519953473</v>
      </c>
      <c r="EA109">
        <v>96021.48287604449</v>
      </c>
      <c r="EB109">
        <v>110634.458233101</v>
      </c>
      <c r="EC109">
        <v>38924.4720623428</v>
      </c>
      <c r="ED109" t="s">
        <v>1900</v>
      </c>
      <c r="EE109">
        <v>527.958186941147</v>
      </c>
      <c r="EF109">
        <v>828.267832607031</v>
      </c>
      <c r="EG109">
        <v>1208.07679195404</v>
      </c>
      <c r="EH109">
        <v>1654.49798542261</v>
      </c>
      <c r="EI109" t="s">
        <v>1900</v>
      </c>
      <c r="EJ109" t="s">
        <v>1900</v>
      </c>
      <c r="EK109" t="s">
        <v>1900</v>
      </c>
      <c r="EL109" t="s">
        <v>1900</v>
      </c>
      <c r="EM109" t="s">
        <v>1900</v>
      </c>
      <c r="EN109" t="s">
        <v>1900</v>
      </c>
      <c r="EO109">
        <v>124396.214272492</v>
      </c>
      <c r="EP109">
        <v>57418.3675773561</v>
      </c>
      <c r="EQ109">
        <v>71233.6391516447</v>
      </c>
      <c r="ER109">
        <v>51511.5916052699</v>
      </c>
      <c r="ES109" t="s">
        <v>1900</v>
      </c>
      <c r="ET109">
        <v>946269.627774181</v>
      </c>
      <c r="EU109">
        <v>759710.689257926</v>
      </c>
      <c r="EV109">
        <v>785508.408138299</v>
      </c>
      <c r="EW109">
        <v>803083.848917544</v>
      </c>
      <c r="EX109" t="s">
        <v>1900</v>
      </c>
      <c r="EY109">
        <v>133892.533284324</v>
      </c>
      <c r="EZ109">
        <v>44707.2748359859</v>
      </c>
      <c r="FA109">
        <v>63408.390367341</v>
      </c>
      <c r="FB109">
        <v>50968.3792873979</v>
      </c>
      <c r="FC109" t="s">
        <v>1900</v>
      </c>
      <c r="FD109">
        <v>92845.78816804889</v>
      </c>
      <c r="FE109">
        <v>91871.3016032517</v>
      </c>
      <c r="FF109">
        <v>110167.975277066</v>
      </c>
      <c r="FG109">
        <v>138193.309380394</v>
      </c>
      <c r="FH109" t="s">
        <v>1900</v>
      </c>
      <c r="FI109">
        <v>2876.73619104385</v>
      </c>
      <c r="FJ109">
        <v>2203.01857901812</v>
      </c>
      <c r="FK109">
        <v>159.549405312538</v>
      </c>
      <c r="FL109">
        <v>242.069878798723</v>
      </c>
      <c r="FM109" t="s">
        <v>1900</v>
      </c>
      <c r="FN109">
        <v>17311.1808690453</v>
      </c>
      <c r="FO109">
        <v>25592.2121071637</v>
      </c>
      <c r="FP109">
        <v>40967.7500874281</v>
      </c>
      <c r="FQ109">
        <v>58932.9777292907</v>
      </c>
      <c r="FR109" t="s">
        <v>1900</v>
      </c>
      <c r="FS109">
        <v>72657.8711079597</v>
      </c>
      <c r="FT109">
        <v>64076.0709170699</v>
      </c>
      <c r="FU109">
        <v>69040.67578432561</v>
      </c>
      <c r="FV109">
        <v>79018.2617723048</v>
      </c>
      <c r="FW109" t="s">
        <v>1900</v>
      </c>
      <c r="FX109">
        <v>2876.73619104385</v>
      </c>
      <c r="FY109">
        <v>2203.01857901812</v>
      </c>
      <c r="FZ109">
        <v>159.549405312538</v>
      </c>
      <c r="GA109">
        <v>242.069878798723</v>
      </c>
      <c r="GB109" t="s">
        <v>1900</v>
      </c>
      <c r="GC109">
        <v>17311.1808690453</v>
      </c>
      <c r="GD109">
        <v>25592.2121071637</v>
      </c>
      <c r="GE109">
        <v>40967.7500874281</v>
      </c>
      <c r="GF109">
        <v>58932.9777292907</v>
      </c>
      <c r="GG109" t="s">
        <v>1900</v>
      </c>
      <c r="GH109">
        <v>72657.8711079597</v>
      </c>
      <c r="GI109">
        <v>64076.0709170699</v>
      </c>
      <c r="GJ109">
        <v>69040.67578432561</v>
      </c>
      <c r="GK109">
        <v>79018.2617723048</v>
      </c>
      <c r="GL109" t="s">
        <v>1900</v>
      </c>
      <c r="GM109">
        <v>1076785.85524826</v>
      </c>
      <c r="GN109">
        <v>668429.3238316301</v>
      </c>
      <c r="GO109">
        <v>746322.9405467029</v>
      </c>
      <c r="GP109">
        <v>732113.309293675</v>
      </c>
      <c r="GQ109" t="s">
        <v>1900</v>
      </c>
      <c r="GR109">
        <v>28588.8711803341</v>
      </c>
      <c r="GS109">
        <v>21758.6295604706</v>
      </c>
      <c r="GT109">
        <v>0</v>
      </c>
      <c r="GU109">
        <v>0</v>
      </c>
      <c r="GV109" t="s">
        <v>1900</v>
      </c>
      <c r="GW109">
        <v>647793.811121902</v>
      </c>
      <c r="GX109">
        <v>434198.540558749</v>
      </c>
      <c r="GY109">
        <v>470189.220651269</v>
      </c>
      <c r="GZ109">
        <v>327922.76462304</v>
      </c>
      <c r="HA109" t="s">
        <v>1900</v>
      </c>
      <c r="HB109">
        <v>400403.172946024</v>
      </c>
      <c r="HC109">
        <v>212472.15371241</v>
      </c>
      <c r="HD109">
        <v>276133.717630234</v>
      </c>
      <c r="HE109">
        <v>404190.544670636</v>
      </c>
      <c r="HF109" t="s">
        <v>1900</v>
      </c>
      <c r="HG109">
        <v>397145.399433975</v>
      </c>
      <c r="HH109">
        <v>184942.250314927</v>
      </c>
      <c r="HI109">
        <v>233540.654388785</v>
      </c>
      <c r="HJ109">
        <v>379650.976067638</v>
      </c>
      <c r="HK109" t="s">
        <v>1900</v>
      </c>
      <c r="HL109">
        <v>1169631.64341631</v>
      </c>
      <c r="HM109">
        <v>760300.625434881</v>
      </c>
      <c r="HN109">
        <v>856490.91582377</v>
      </c>
      <c r="HO109">
        <v>870306.61867407</v>
      </c>
      <c r="HP109" t="s">
        <v>1900</v>
      </c>
      <c r="HQ109">
        <v>674456.113937616</v>
      </c>
      <c r="HR109">
        <v>570241.4387369991</v>
      </c>
      <c r="HS109">
        <v>593063.3177816391</v>
      </c>
      <c r="HT109">
        <v>631075.400955713</v>
      </c>
      <c r="HU109" t="s">
        <v>1900</v>
      </c>
      <c r="HV109">
        <v>88400.03967285161</v>
      </c>
      <c r="HW109">
        <v>85327.9590606689</v>
      </c>
      <c r="HX109">
        <v>90608.024597168</v>
      </c>
      <c r="HY109">
        <v>98167.9439544678</v>
      </c>
      <c r="HZ109" t="s">
        <v>1900</v>
      </c>
      <c r="IA109">
        <v>586056.074264765</v>
      </c>
      <c r="IB109">
        <v>484913.47967633</v>
      </c>
      <c r="IC109">
        <v>502455.293184471</v>
      </c>
      <c r="ID109">
        <v>532907.455774146</v>
      </c>
      <c r="IE109" t="s">
        <v>1900</v>
      </c>
      <c r="IF109">
        <v>11710.1764553833</v>
      </c>
      <c r="IG109">
        <v>22278.7141369402</v>
      </c>
      <c r="IH109">
        <v>34973.5875462055</v>
      </c>
      <c r="II109">
        <v>49796.1067846656</v>
      </c>
      <c r="IJ109" t="s">
        <v>1900</v>
      </c>
      <c r="IK109">
        <v>11710.1764553833</v>
      </c>
      <c r="IL109">
        <v>22278.7141369402</v>
      </c>
      <c r="IM109">
        <v>34973.5875462055</v>
      </c>
      <c r="IN109">
        <v>49796.1067846656</v>
      </c>
      <c r="IO109" t="s">
        <v>1900</v>
      </c>
      <c r="IP109">
        <v>0</v>
      </c>
      <c r="IQ109">
        <v>0</v>
      </c>
      <c r="IR109">
        <v>0</v>
      </c>
      <c r="IS109">
        <v>0</v>
      </c>
      <c r="IT109" t="s">
        <v>1900</v>
      </c>
      <c r="IU109">
        <v>0</v>
      </c>
      <c r="IV109">
        <v>0</v>
      </c>
      <c r="IW109">
        <v>0</v>
      </c>
      <c r="IX109">
        <v>0</v>
      </c>
      <c r="IY109" t="s">
        <v>1900</v>
      </c>
      <c r="IZ109">
        <v>483465.35302331</v>
      </c>
      <c r="JA109">
        <v>167780.472560942</v>
      </c>
      <c r="JB109">
        <v>228454.010495925</v>
      </c>
      <c r="JC109">
        <v>189435.110933691</v>
      </c>
      <c r="JD109" t="s">
        <v>1900</v>
      </c>
      <c r="JE109">
        <v>1741.85648172379</v>
      </c>
      <c r="JF109">
        <v>1956.9007471025</v>
      </c>
      <c r="JG109">
        <v>0</v>
      </c>
      <c r="JH109">
        <v>3429.37441211939</v>
      </c>
      <c r="JI109" t="s">
        <v>1900</v>
      </c>
      <c r="JJ109">
        <v>66245.99523038859</v>
      </c>
      <c r="JK109">
        <v>49544.8901449561</v>
      </c>
      <c r="JL109">
        <v>100205.124628472</v>
      </c>
      <c r="JM109">
        <v>78942.7215394318</v>
      </c>
      <c r="JN109" t="s">
        <v>1900</v>
      </c>
      <c r="JO109">
        <v>415477.501311197</v>
      </c>
      <c r="JP109">
        <v>116278.681668884</v>
      </c>
      <c r="JQ109">
        <v>128248.885867453</v>
      </c>
      <c r="JR109">
        <v>107063.01498214</v>
      </c>
      <c r="JS109" t="s">
        <v>1900</v>
      </c>
      <c r="JT109">
        <v>1169631.64341631</v>
      </c>
      <c r="JU109">
        <v>760300.625434881</v>
      </c>
      <c r="JV109">
        <v>856490.91582377</v>
      </c>
      <c r="JW109">
        <v>870306.61867407</v>
      </c>
      <c r="JX109" t="s">
        <v>1900</v>
      </c>
      <c r="JY109">
        <v>610136.687071848</v>
      </c>
      <c r="JZ109">
        <v>406412.279974264</v>
      </c>
      <c r="KA109">
        <v>369984.094890196</v>
      </c>
      <c r="KB109">
        <v>248980.043083608</v>
      </c>
      <c r="KC109" t="s">
        <v>1900</v>
      </c>
      <c r="KD109" t="s">
        <v>1900</v>
      </c>
      <c r="KE109" t="s">
        <v>1900</v>
      </c>
      <c r="KF109" t="s">
        <v>1900</v>
      </c>
      <c r="KG109" t="s">
        <v>1900</v>
      </c>
      <c r="KH109" t="s">
        <v>1900</v>
      </c>
      <c r="KI109" t="s">
        <v>1900</v>
      </c>
      <c r="KJ109" t="s">
        <v>1900</v>
      </c>
      <c r="KK109" t="s">
        <v>1900</v>
      </c>
      <c r="KL109" t="s">
        <v>1900</v>
      </c>
      <c r="KM109" t="s">
        <v>1900</v>
      </c>
      <c r="KN109">
        <v>12</v>
      </c>
      <c r="KO109">
        <v>13</v>
      </c>
      <c r="KP109">
        <v>16</v>
      </c>
      <c r="KQ109">
        <v>16</v>
      </c>
      <c r="KR109" t="s">
        <v>1900</v>
      </c>
      <c r="KS109" t="s">
        <v>1900</v>
      </c>
      <c r="KT109" t="s">
        <v>1900</v>
      </c>
      <c r="KU109" t="s">
        <v>1900</v>
      </c>
      <c r="KV109" t="s">
        <v>1900</v>
      </c>
      <c r="KW109" t="s">
        <v>1900</v>
      </c>
      <c r="KX109" t="s">
        <v>1900</v>
      </c>
      <c r="KY109" t="s">
        <v>1900</v>
      </c>
      <c r="KZ109" t="s">
        <v>1900</v>
      </c>
      <c r="LA109" t="s">
        <v>1900</v>
      </c>
      <c r="LB109" t="s">
        <v>1900</v>
      </c>
      <c r="LC109" t="s">
        <v>1900</v>
      </c>
      <c r="LD109" t="s">
        <v>1900</v>
      </c>
      <c r="LE109" t="s">
        <v>1900</v>
      </c>
      <c r="LF109" t="s">
        <v>1900</v>
      </c>
      <c r="LG109" t="s">
        <v>1900</v>
      </c>
      <c r="LH109" t="s">
        <v>1900</v>
      </c>
      <c r="LI109" t="s">
        <v>1900</v>
      </c>
      <c r="LJ109" t="s">
        <v>1900</v>
      </c>
      <c r="LK109" t="s">
        <v>1900</v>
      </c>
      <c r="LL109" t="s">
        <v>1900</v>
      </c>
      <c r="LM109" t="s">
        <v>1900</v>
      </c>
      <c r="LN109" t="s">
        <v>1900</v>
      </c>
      <c r="LO109" t="s">
        <v>1900</v>
      </c>
      <c r="LP109" t="s">
        <v>1900</v>
      </c>
      <c r="LQ109" t="s">
        <v>1900</v>
      </c>
      <c r="LR109" t="s">
        <v>1900</v>
      </c>
      <c r="LS109" t="s">
        <v>1900</v>
      </c>
      <c r="LT109" t="s">
        <v>1900</v>
      </c>
      <c r="LU109" t="s">
        <v>1900</v>
      </c>
      <c r="LV109" t="s">
        <v>1900</v>
      </c>
      <c r="LW109" t="s">
        <v>1900</v>
      </c>
      <c r="LX109" t="s">
        <v>1900</v>
      </c>
      <c r="LY109" t="s">
        <v>1900</v>
      </c>
      <c r="LZ109" t="s">
        <v>1900</v>
      </c>
      <c r="MA109" t="s">
        <v>1900</v>
      </c>
      <c r="MB109" t="s">
        <v>1900</v>
      </c>
      <c r="MC109" t="s">
        <v>1900</v>
      </c>
      <c r="MD109" t="s">
        <v>1900</v>
      </c>
      <c r="ME109" t="s">
        <v>1900</v>
      </c>
      <c r="MF109" t="s">
        <v>1900</v>
      </c>
      <c r="MG109" t="s">
        <v>1900</v>
      </c>
      <c r="MH109" t="s">
        <v>1900</v>
      </c>
      <c r="MI109" t="s">
        <v>1900</v>
      </c>
      <c r="MJ109" t="s">
        <v>1900</v>
      </c>
      <c r="MK109" t="s">
        <v>1900</v>
      </c>
      <c r="ML109" t="s">
        <v>1900</v>
      </c>
      <c r="MM109" t="s">
        <v>1900</v>
      </c>
      <c r="MN109" t="s">
        <v>1900</v>
      </c>
      <c r="MO109" t="s">
        <v>1900</v>
      </c>
      <c r="MP109" t="s">
        <v>1900</v>
      </c>
      <c r="MQ109">
        <v>400403.172946024</v>
      </c>
      <c r="MR109">
        <v>212472.15371241</v>
      </c>
      <c r="MS109">
        <v>276133.717630234</v>
      </c>
      <c r="MT109">
        <v>404190.544670636</v>
      </c>
      <c r="MU109" t="s">
        <v>1900</v>
      </c>
      <c r="MV109" t="s">
        <v>1900</v>
      </c>
      <c r="MW109" t="s">
        <v>1900</v>
      </c>
      <c r="MX109" t="s">
        <v>1900</v>
      </c>
      <c r="MY109" t="s">
        <v>1900</v>
      </c>
      <c r="MZ109" t="s">
        <v>1900</v>
      </c>
      <c r="NA109" t="s">
        <v>1900</v>
      </c>
      <c r="NB109" t="s">
        <v>1900</v>
      </c>
      <c r="NC109" t="s">
        <v>1900</v>
      </c>
      <c r="ND109" t="s">
        <v>1900</v>
      </c>
      <c r="NE109" t="s">
        <v>1900</v>
      </c>
      <c r="NF109" t="s">
        <v>1900</v>
      </c>
      <c r="NG109" t="s">
        <v>1900</v>
      </c>
      <c r="NH109" t="s">
        <v>1900</v>
      </c>
      <c r="NI109" t="s">
        <v>1900</v>
      </c>
      <c r="NJ109" t="s">
        <v>1900</v>
      </c>
      <c r="NK109" t="s">
        <v>1900</v>
      </c>
      <c r="NL109" t="s">
        <v>1900</v>
      </c>
      <c r="NM109" t="s">
        <v>1900</v>
      </c>
      <c r="NN109" t="s">
        <v>1900</v>
      </c>
      <c r="NO109" t="s">
        <v>1900</v>
      </c>
      <c r="NP109" t="s">
        <v>1900</v>
      </c>
      <c r="NQ109" t="s">
        <v>1900</v>
      </c>
      <c r="NR109" t="s">
        <v>1900</v>
      </c>
      <c r="NS109" t="s">
        <v>1900</v>
      </c>
      <c r="NT109" t="s">
        <v>1900</v>
      </c>
      <c r="NU109">
        <v>92845.78816804889</v>
      </c>
      <c r="NV109">
        <v>91871.3016032517</v>
      </c>
      <c r="NW109">
        <v>110167.975277066</v>
      </c>
      <c r="NX109">
        <v>138193.309380394</v>
      </c>
      <c r="NY109" t="s">
        <v>1900</v>
      </c>
      <c r="NZ109" t="s">
        <v>1900</v>
      </c>
      <c r="OA109" t="s">
        <v>1900</v>
      </c>
      <c r="OB109" t="s">
        <v>1900</v>
      </c>
      <c r="OC109" t="s">
        <v>1900</v>
      </c>
      <c r="OD109" t="s">
        <v>1900</v>
      </c>
      <c r="OE109" t="s">
        <v>1900</v>
      </c>
      <c r="OF109" t="s">
        <v>1900</v>
      </c>
      <c r="OG109" t="s">
        <v>1900</v>
      </c>
      <c r="OH109" t="s">
        <v>1900</v>
      </c>
      <c r="OI109" t="s">
        <v>1900</v>
      </c>
      <c r="OJ109" t="s">
        <v>1900</v>
      </c>
      <c r="OK109" t="s">
        <v>1900</v>
      </c>
      <c r="OL109" t="s">
        <v>1900</v>
      </c>
      <c r="OM109" t="s">
        <v>1900</v>
      </c>
      <c r="ON109" t="s">
        <v>1900</v>
      </c>
      <c r="OO109" t="s">
        <v>1900</v>
      </c>
      <c r="OP109" t="s">
        <v>1900</v>
      </c>
      <c r="OQ109" t="s">
        <v>1900</v>
      </c>
      <c r="OR109" t="s">
        <v>1900</v>
      </c>
      <c r="OS109" t="s">
        <v>1900</v>
      </c>
      <c r="OT109" t="s">
        <v>1900</v>
      </c>
      <c r="OU109" t="s">
        <v>1900</v>
      </c>
      <c r="OV109" t="s">
        <v>1900</v>
      </c>
      <c r="OW109" t="s">
        <v>1900</v>
      </c>
      <c r="OX109" t="s">
        <v>1900</v>
      </c>
      <c r="OY109" t="s">
        <v>1900</v>
      </c>
      <c r="OZ109" t="s">
        <v>1900</v>
      </c>
      <c r="PA109" t="s">
        <v>1900</v>
      </c>
      <c r="PB109" t="s">
        <v>1900</v>
      </c>
      <c r="PC109" t="s">
        <v>1900</v>
      </c>
      <c r="PD109" t="s">
        <v>1900</v>
      </c>
      <c r="PE109" t="s">
        <v>1900</v>
      </c>
      <c r="PF109" t="s">
        <v>1900</v>
      </c>
      <c r="PG109" t="s">
        <v>1900</v>
      </c>
      <c r="PH109" t="s">
        <v>1900</v>
      </c>
      <c r="PI109" t="s">
        <v>1900</v>
      </c>
      <c r="PJ109" t="s">
        <v>1900</v>
      </c>
      <c r="PK109" t="s">
        <v>1900</v>
      </c>
      <c r="PL109" t="s">
        <v>1900</v>
      </c>
      <c r="PM109" t="s">
        <v>1900</v>
      </c>
      <c r="PN109" t="s">
        <v>1900</v>
      </c>
      <c r="PO109" t="s">
        <v>1900</v>
      </c>
      <c r="PP109" t="s">
        <v>1900</v>
      </c>
      <c r="PQ109" t="s">
        <v>1900</v>
      </c>
      <c r="PR109" t="s">
        <v>1900</v>
      </c>
      <c r="PS109" t="s">
        <v>1900</v>
      </c>
      <c r="PT109" t="s">
        <v>1900</v>
      </c>
      <c r="PU109" t="s">
        <v>1900</v>
      </c>
      <c r="PV109" t="s">
        <v>1900</v>
      </c>
      <c r="PW109" t="s">
        <v>1900</v>
      </c>
      <c r="PX109" t="s">
        <v>1900</v>
      </c>
      <c r="PY109" t="s">
        <v>1900</v>
      </c>
      <c r="PZ109" t="s">
        <v>1900</v>
      </c>
      <c r="QA109" t="s">
        <v>1900</v>
      </c>
      <c r="QB109" t="s">
        <v>1900</v>
      </c>
      <c r="QC109" t="s">
        <v>1900</v>
      </c>
      <c r="QD109" t="s">
        <v>1900</v>
      </c>
      <c r="QE109" t="s">
        <v>1900</v>
      </c>
      <c r="QF109" t="s">
        <v>1900</v>
      </c>
      <c r="QG109" t="s">
        <v>1900</v>
      </c>
      <c r="QH109" t="s">
        <v>1900</v>
      </c>
      <c r="QI109" t="s">
        <v>1900</v>
      </c>
      <c r="QJ109" t="s">
        <v>1900</v>
      </c>
      <c r="QK109" t="s">
        <v>1900</v>
      </c>
      <c r="QL109" t="s">
        <v>1900</v>
      </c>
      <c r="QM109" t="s">
        <v>1900</v>
      </c>
      <c r="QN109" t="s">
        <v>1900</v>
      </c>
      <c r="QO109" t="s">
        <v>1900</v>
      </c>
      <c r="QP109" t="s">
        <v>1900</v>
      </c>
      <c r="QQ109" t="s">
        <v>1900</v>
      </c>
      <c r="QR109" t="s">
        <v>1900</v>
      </c>
      <c r="QS109" t="s">
        <v>1900</v>
      </c>
      <c r="QT109" t="s">
        <v>1900</v>
      </c>
      <c r="QU109" t="s">
        <v>1900</v>
      </c>
      <c r="QV109" t="s">
        <v>1900</v>
      </c>
      <c r="QW109" t="s">
        <v>1900</v>
      </c>
      <c r="QX109" t="s">
        <v>1900</v>
      </c>
      <c r="QY109" t="s">
        <v>1900</v>
      </c>
      <c r="QZ109" t="s">
        <v>1900</v>
      </c>
      <c r="RA109" t="s">
        <v>1900</v>
      </c>
      <c r="RB109" t="s">
        <v>1900</v>
      </c>
      <c r="RC109" t="s">
        <v>1900</v>
      </c>
      <c r="RD109" t="s">
        <v>1900</v>
      </c>
      <c r="RE109" t="s">
        <v>1900</v>
      </c>
      <c r="RF109" t="s">
        <v>1900</v>
      </c>
      <c r="RG109" t="s">
        <v>1900</v>
      </c>
      <c r="RH109" t="s">
        <v>1900</v>
      </c>
      <c r="RI109" t="s">
        <v>1900</v>
      </c>
      <c r="RJ109" t="s">
        <v>1900</v>
      </c>
      <c r="RK109" t="s">
        <v>1900</v>
      </c>
      <c r="RL109" t="s">
        <v>1900</v>
      </c>
      <c r="RM109" t="s">
        <v>1900</v>
      </c>
      <c r="RN109" t="s">
        <v>1900</v>
      </c>
      <c r="RO109" t="s">
        <v>1900</v>
      </c>
      <c r="RP109" t="s">
        <v>1900</v>
      </c>
      <c r="RQ109" t="s">
        <v>1900</v>
      </c>
      <c r="RR109" t="s">
        <v>1900</v>
      </c>
      <c r="RS109" t="s">
        <v>1900</v>
      </c>
      <c r="RT109" t="s">
        <v>1900</v>
      </c>
      <c r="RU109" t="s">
        <v>1900</v>
      </c>
      <c r="RV109" t="s">
        <v>1900</v>
      </c>
      <c r="RW109" t="s">
        <v>1900</v>
      </c>
      <c r="RX109" t="s">
        <v>1900</v>
      </c>
      <c r="RY109" t="s">
        <v>1900</v>
      </c>
      <c r="RZ109" t="s">
        <v>1900</v>
      </c>
      <c r="SA109" t="s">
        <v>1900</v>
      </c>
      <c r="SB109" t="s">
        <v>1900</v>
      </c>
      <c r="SC109" t="s">
        <v>1900</v>
      </c>
      <c r="SD109" t="s">
        <v>1900</v>
      </c>
      <c r="SE109" t="s">
        <v>1900</v>
      </c>
      <c r="SF109" t="s">
        <v>1900</v>
      </c>
      <c r="SG109" t="s">
        <v>1900</v>
      </c>
      <c r="SH109" t="s">
        <v>1900</v>
      </c>
      <c r="SI109" t="s">
        <v>1900</v>
      </c>
      <c r="SJ109" t="s">
        <v>1900</v>
      </c>
      <c r="SK109">
        <v>72657.8711079597</v>
      </c>
      <c r="SL109">
        <v>64076.0709170699</v>
      </c>
      <c r="SM109">
        <v>69040.67578432561</v>
      </c>
      <c r="SN109">
        <v>79018.2617723048</v>
      </c>
      <c r="SO109" t="s">
        <v>1900</v>
      </c>
      <c r="SP109" t="s">
        <v>1900</v>
      </c>
      <c r="SQ109" t="s">
        <v>1900</v>
      </c>
      <c r="SR109" t="s">
        <v>1900</v>
      </c>
      <c r="SS109" t="s">
        <v>1900</v>
      </c>
      <c r="ST109" t="s">
        <v>1900</v>
      </c>
      <c r="SU109" t="s">
        <v>1900</v>
      </c>
      <c r="SV109" t="s">
        <v>1900</v>
      </c>
      <c r="SW109" t="s">
        <v>1900</v>
      </c>
      <c r="SX109" t="s">
        <v>1900</v>
      </c>
      <c r="SY109" t="s">
        <v>1900</v>
      </c>
      <c r="SZ109" t="s">
        <v>1900</v>
      </c>
      <c r="TA109" t="s">
        <v>1900</v>
      </c>
      <c r="TB109" t="s">
        <v>1900</v>
      </c>
      <c r="TC109" t="s">
        <v>1900</v>
      </c>
      <c r="TD109" t="s">
        <v>1900</v>
      </c>
      <c r="TE109" t="s">
        <v>1900</v>
      </c>
      <c r="TF109" t="s">
        <v>1900</v>
      </c>
      <c r="TG109" t="s">
        <v>1900</v>
      </c>
      <c r="TH109" t="s">
        <v>1900</v>
      </c>
      <c r="TI109" t="s">
        <v>1900</v>
      </c>
      <c r="TJ109" t="s">
        <v>1900</v>
      </c>
      <c r="TK109" t="s">
        <v>1900</v>
      </c>
      <c r="TL109" t="s">
        <v>1900</v>
      </c>
      <c r="TM109" t="s">
        <v>1900</v>
      </c>
      <c r="TN109" t="s">
        <v>1900</v>
      </c>
      <c r="TO109" t="s">
        <v>1900</v>
      </c>
      <c r="TP109" t="s">
        <v>1900</v>
      </c>
      <c r="TQ109" t="s">
        <v>1900</v>
      </c>
      <c r="TR109" t="s">
        <v>1900</v>
      </c>
      <c r="TS109" t="s">
        <v>1900</v>
      </c>
      <c r="TT109">
        <v>1169631.64341631</v>
      </c>
      <c r="TU109">
        <v>760300.625434881</v>
      </c>
      <c r="TV109">
        <v>856490.91582377</v>
      </c>
      <c r="TW109">
        <v>870306.61867407</v>
      </c>
      <c r="TX109" t="s">
        <v>1900</v>
      </c>
      <c r="TY109" t="s">
        <v>1900</v>
      </c>
      <c r="TZ109" t="s">
        <v>1900</v>
      </c>
      <c r="UA109" t="s">
        <v>1900</v>
      </c>
      <c r="UB109" t="s">
        <v>1900</v>
      </c>
      <c r="UC109" t="s">
        <v>1900</v>
      </c>
      <c r="UD109">
        <v>1741.85648172379</v>
      </c>
      <c r="UE109">
        <v>1956.9007471025</v>
      </c>
      <c r="UF109">
        <v>0</v>
      </c>
      <c r="UG109">
        <v>3429.37441211939</v>
      </c>
      <c r="UH109" t="s">
        <v>1900</v>
      </c>
      <c r="UI109" t="s">
        <v>1900</v>
      </c>
      <c r="UJ109" t="s">
        <v>1900</v>
      </c>
      <c r="UK109" t="s">
        <v>1900</v>
      </c>
      <c r="UL109" t="s">
        <v>1900</v>
      </c>
      <c r="UM109" t="s">
        <v>1900</v>
      </c>
      <c r="UN109" t="s">
        <v>1900</v>
      </c>
      <c r="UO109" t="s">
        <v>1900</v>
      </c>
      <c r="UP109" t="s">
        <v>1900</v>
      </c>
      <c r="UQ109" t="s">
        <v>1900</v>
      </c>
      <c r="UR109" t="s">
        <v>1900</v>
      </c>
      <c r="US109" t="s">
        <v>1900</v>
      </c>
      <c r="UT109" t="s">
        <v>1900</v>
      </c>
      <c r="UU109" t="s">
        <v>1900</v>
      </c>
      <c r="UV109" t="s">
        <v>1900</v>
      </c>
      <c r="UW109" t="s">
        <v>1900</v>
      </c>
      <c r="UX109" t="s">
        <v>1900</v>
      </c>
      <c r="UY109" t="s">
        <v>1900</v>
      </c>
      <c r="UZ109" t="s">
        <v>1900</v>
      </c>
      <c r="VA109" t="s">
        <v>1900</v>
      </c>
      <c r="VB109" t="s">
        <v>1900</v>
      </c>
      <c r="VC109" t="s">
        <v>1900</v>
      </c>
      <c r="VD109" t="s">
        <v>1900</v>
      </c>
      <c r="VE109" t="s">
        <v>1900</v>
      </c>
      <c r="VF109" t="s">
        <v>1900</v>
      </c>
      <c r="VG109" t="s">
        <v>1900</v>
      </c>
      <c r="VH109" t="s">
        <v>1900</v>
      </c>
      <c r="VI109" t="s">
        <v>1900</v>
      </c>
      <c r="VJ109" t="s">
        <v>1900</v>
      </c>
      <c r="VK109" t="s">
        <v>1900</v>
      </c>
      <c r="VL109" t="s">
        <v>1900</v>
      </c>
      <c r="VM109" t="s">
        <v>1900</v>
      </c>
      <c r="VN109" t="s">
        <v>1900</v>
      </c>
      <c r="VO109" t="s">
        <v>1900</v>
      </c>
      <c r="VP109" t="s">
        <v>1900</v>
      </c>
      <c r="VQ109" t="s">
        <v>1900</v>
      </c>
      <c r="VR109" t="s">
        <v>1900</v>
      </c>
      <c r="VS109" t="s">
        <v>1900</v>
      </c>
      <c r="VT109" t="s">
        <v>1900</v>
      </c>
      <c r="VU109" t="s">
        <v>1900</v>
      </c>
      <c r="VV109" t="s">
        <v>1900</v>
      </c>
      <c r="VW109" t="s">
        <v>1900</v>
      </c>
      <c r="VX109" t="s">
        <v>1900</v>
      </c>
      <c r="VY109" t="s">
        <v>1900</v>
      </c>
      <c r="VZ109" t="s">
        <v>1900</v>
      </c>
      <c r="WA109" t="s">
        <v>1900</v>
      </c>
      <c r="WB109">
        <v>415477.501311197</v>
      </c>
      <c r="WC109">
        <v>116278.681668884</v>
      </c>
      <c r="WD109">
        <v>128248.885867453</v>
      </c>
      <c r="WE109">
        <v>107063.01498214</v>
      </c>
      <c r="WF109" t="s">
        <v>1900</v>
      </c>
      <c r="WG109" t="s">
        <v>1900</v>
      </c>
      <c r="WH109" t="s">
        <v>1900</v>
      </c>
      <c r="WI109" t="s">
        <v>1900</v>
      </c>
      <c r="WJ109" t="s">
        <v>1900</v>
      </c>
      <c r="WK109" t="s">
        <v>1900</v>
      </c>
      <c r="WL109" t="s">
        <v>1900</v>
      </c>
      <c r="WM109" t="s">
        <v>1900</v>
      </c>
      <c r="WN109" t="s">
        <v>1900</v>
      </c>
      <c r="WO109" t="s">
        <v>1900</v>
      </c>
      <c r="WP109" t="s">
        <v>1900</v>
      </c>
      <c r="WQ109" t="s">
        <v>1900</v>
      </c>
      <c r="WR109" t="s">
        <v>1900</v>
      </c>
      <c r="WS109" t="s">
        <v>1900</v>
      </c>
      <c r="WT109" t="s">
        <v>1900</v>
      </c>
      <c r="WU109" t="s">
        <v>1900</v>
      </c>
      <c r="WV109" t="s">
        <v>1900</v>
      </c>
      <c r="WW109" t="s">
        <v>1900</v>
      </c>
      <c r="WX109" t="s">
        <v>1900</v>
      </c>
      <c r="WY109" t="s">
        <v>1900</v>
      </c>
      <c r="WZ109" t="s">
        <v>1900</v>
      </c>
      <c r="XA109" t="s">
        <v>1900</v>
      </c>
      <c r="XB109" t="s">
        <v>1900</v>
      </c>
      <c r="XC109" t="s">
        <v>1900</v>
      </c>
      <c r="XD109" t="s">
        <v>1900</v>
      </c>
      <c r="XE109" t="s">
        <v>1900</v>
      </c>
      <c r="XF109" t="s">
        <v>1900</v>
      </c>
      <c r="XG109" t="s">
        <v>1900</v>
      </c>
      <c r="XH109" t="s">
        <v>1900</v>
      </c>
      <c r="XI109" t="s">
        <v>1900</v>
      </c>
      <c r="XJ109" t="s">
        <v>1900</v>
      </c>
      <c r="XK109">
        <v>0</v>
      </c>
      <c r="XL109">
        <v>0</v>
      </c>
      <c r="XM109">
        <v>0</v>
      </c>
      <c r="XN109">
        <v>0</v>
      </c>
      <c r="XO109" t="s">
        <v>1900</v>
      </c>
      <c r="XP109" t="s">
        <v>1900</v>
      </c>
      <c r="XQ109" t="s">
        <v>1900</v>
      </c>
      <c r="XR109" t="s">
        <v>1900</v>
      </c>
      <c r="XS109" t="s">
        <v>1900</v>
      </c>
      <c r="XT109" t="s">
        <v>1900</v>
      </c>
      <c r="XU109" t="s">
        <v>1900</v>
      </c>
      <c r="XV109" t="s">
        <v>1900</v>
      </c>
      <c r="XW109" t="s">
        <v>1900</v>
      </c>
      <c r="XX109" t="s">
        <v>1900</v>
      </c>
      <c r="XY109" t="s">
        <v>1900</v>
      </c>
      <c r="XZ109">
        <v>0</v>
      </c>
      <c r="YA109">
        <v>0</v>
      </c>
      <c r="YB109">
        <v>0</v>
      </c>
      <c r="YC109">
        <v>0</v>
      </c>
      <c r="YD109" t="s">
        <v>1900</v>
      </c>
      <c r="YE109" t="s">
        <v>1900</v>
      </c>
      <c r="YF109" t="s">
        <v>1900</v>
      </c>
      <c r="YG109" t="s">
        <v>1900</v>
      </c>
      <c r="YH109" t="s">
        <v>1900</v>
      </c>
      <c r="YI109" t="s">
        <v>1900</v>
      </c>
      <c r="YJ109" t="s">
        <v>1900</v>
      </c>
      <c r="YK109" t="s">
        <v>1900</v>
      </c>
      <c r="YL109" t="s">
        <v>1900</v>
      </c>
      <c r="YM109" t="s">
        <v>1900</v>
      </c>
      <c r="YN109" t="s">
        <v>1900</v>
      </c>
      <c r="YO109" t="s">
        <v>1900</v>
      </c>
      <c r="YP109" t="s">
        <v>1900</v>
      </c>
      <c r="YQ109" t="s">
        <v>1900</v>
      </c>
      <c r="YR109" t="s">
        <v>1900</v>
      </c>
      <c r="YS109" t="s">
        <v>1900</v>
      </c>
      <c r="YT109" t="s">
        <v>1900</v>
      </c>
      <c r="YU109" t="s">
        <v>1900</v>
      </c>
      <c r="YV109" t="s">
        <v>1900</v>
      </c>
      <c r="YW109" t="s">
        <v>1900</v>
      </c>
      <c r="YX109" t="s">
        <v>1900</v>
      </c>
      <c r="YY109" t="s">
        <v>1900</v>
      </c>
      <c r="YZ109" t="s">
        <v>1900</v>
      </c>
      <c r="ZA109" t="s">
        <v>1900</v>
      </c>
      <c r="ZB109" t="s">
        <v>1900</v>
      </c>
      <c r="ZC109" t="s">
        <v>1900</v>
      </c>
      <c r="ZD109" t="s">
        <v>1900</v>
      </c>
      <c r="ZE109" t="s">
        <v>1900</v>
      </c>
      <c r="ZF109" t="s">
        <v>1900</v>
      </c>
      <c r="ZG109" t="s">
        <v>1900</v>
      </c>
      <c r="ZH109" t="s">
        <v>1900</v>
      </c>
      <c r="ZI109" t="s">
        <v>1900</v>
      </c>
      <c r="ZJ109" t="s">
        <v>1900</v>
      </c>
      <c r="ZK109" t="s">
        <v>1900</v>
      </c>
      <c r="ZL109" t="s">
        <v>1900</v>
      </c>
      <c r="ZM109" t="s">
        <v>1900</v>
      </c>
      <c r="ZN109" t="s">
        <v>1900</v>
      </c>
      <c r="ZO109" t="s">
        <v>1900</v>
      </c>
      <c r="ZP109" t="s">
        <v>1900</v>
      </c>
      <c r="ZQ109" t="s">
        <v>1900</v>
      </c>
      <c r="ZR109" t="s">
        <v>1900</v>
      </c>
      <c r="ZS109" t="s">
        <v>1900</v>
      </c>
      <c r="ZT109" t="s">
        <v>1900</v>
      </c>
      <c r="ZU109" t="s">
        <v>1900</v>
      </c>
      <c r="ZV109" t="s">
        <v>1900</v>
      </c>
      <c r="ZW109" t="s">
        <v>1900</v>
      </c>
      <c r="ZX109" t="s">
        <v>1900</v>
      </c>
      <c r="ZY109" t="s">
        <v>1900</v>
      </c>
      <c r="ZZ109" t="s">
        <v>1900</v>
      </c>
      <c r="AAA109" t="s">
        <v>1900</v>
      </c>
      <c r="AAB109" t="s">
        <v>1900</v>
      </c>
      <c r="AAC109" t="s">
        <v>1900</v>
      </c>
      <c r="AAD109" t="s">
        <v>1900</v>
      </c>
      <c r="AAE109" t="s">
        <v>1900</v>
      </c>
      <c r="AAF109" t="s">
        <v>1900</v>
      </c>
      <c r="AAG109" t="s">
        <v>1900</v>
      </c>
      <c r="AAH109" t="s">
        <v>1900</v>
      </c>
      <c r="AAI109" t="s">
        <v>1900</v>
      </c>
      <c r="AAJ109" t="s">
        <v>1900</v>
      </c>
      <c r="AAK109" t="s">
        <v>1900</v>
      </c>
      <c r="AAL109" t="s">
        <v>1900</v>
      </c>
      <c r="AAM109" t="s">
        <v>1900</v>
      </c>
      <c r="AAN109" t="s">
        <v>1900</v>
      </c>
      <c r="AAO109" t="s">
        <v>1900</v>
      </c>
      <c r="AAP109" t="s">
        <v>1900</v>
      </c>
      <c r="AAQ109" t="s">
        <v>1900</v>
      </c>
      <c r="AAR109" t="s">
        <v>1900</v>
      </c>
      <c r="AAS109" t="s">
        <v>1900</v>
      </c>
      <c r="AAT109" t="s">
        <v>1900</v>
      </c>
      <c r="AAU109" t="s">
        <v>1900</v>
      </c>
      <c r="AAV109" t="s">
        <v>1900</v>
      </c>
      <c r="AAW109" t="s">
        <v>1900</v>
      </c>
      <c r="AAX109" t="s">
        <v>1900</v>
      </c>
      <c r="AAY109" t="s">
        <v>1900</v>
      </c>
      <c r="AAZ109" t="s">
        <v>1900</v>
      </c>
      <c r="ABA109" t="s">
        <v>1900</v>
      </c>
      <c r="ABB109" t="s">
        <v>1900</v>
      </c>
      <c r="ABC109" t="s">
        <v>1900</v>
      </c>
      <c r="ABD109" t="s">
        <v>1900</v>
      </c>
      <c r="ABE109" t="s">
        <v>1900</v>
      </c>
      <c r="ABF109" t="s">
        <v>1900</v>
      </c>
      <c r="ABG109" t="s">
        <v>1900</v>
      </c>
      <c r="ABH109" t="s">
        <v>1900</v>
      </c>
      <c r="ABI109" t="s">
        <v>1900</v>
      </c>
      <c r="ABJ109" t="s">
        <v>1900</v>
      </c>
      <c r="ABK109" t="s">
        <v>1900</v>
      </c>
      <c r="ABL109" t="s">
        <v>1900</v>
      </c>
      <c r="ABM109" t="s">
        <v>1900</v>
      </c>
      <c r="ABN109" t="s">
        <v>1900</v>
      </c>
      <c r="ABO109" t="s">
        <v>1900</v>
      </c>
      <c r="ABP109" t="s">
        <v>1900</v>
      </c>
      <c r="ABQ109" t="s">
        <v>1900</v>
      </c>
      <c r="ABR109" t="s">
        <v>1900</v>
      </c>
      <c r="ABS109" t="s">
        <v>1900</v>
      </c>
      <c r="ABT109" t="s">
        <v>1900</v>
      </c>
      <c r="ABU109" t="s">
        <v>1900</v>
      </c>
      <c r="ABV109" t="s">
        <v>1900</v>
      </c>
      <c r="ABW109" t="s">
        <v>1900</v>
      </c>
      <c r="ABX109" t="s">
        <v>1900</v>
      </c>
      <c r="ABY109" t="s">
        <v>1900</v>
      </c>
      <c r="ABZ109" t="s">
        <v>1900</v>
      </c>
      <c r="ACA109" t="s">
        <v>1900</v>
      </c>
      <c r="ACB109" t="s">
        <v>1900</v>
      </c>
      <c r="ACC109" t="s">
        <v>1900</v>
      </c>
      <c r="ACD109" t="s">
        <v>1900</v>
      </c>
      <c r="ACE109" t="s">
        <v>1900</v>
      </c>
      <c r="ACF109">
        <v>17.8</v>
      </c>
      <c r="ACG109">
        <v>5.413</v>
      </c>
      <c r="ACH109">
        <v>8.026999999999999</v>
      </c>
      <c r="ACI109">
        <v>5.403</v>
      </c>
      <c r="ACJ109" t="s">
        <v>1900</v>
      </c>
      <c r="ACK109">
        <v>17.573</v>
      </c>
      <c r="ACL109">
        <v>5.35</v>
      </c>
      <c r="ACM109">
        <v>7.772</v>
      </c>
      <c r="ACN109">
        <v>5.25</v>
      </c>
      <c r="ACO109" t="s">
        <v>1900</v>
      </c>
      <c r="ACP109">
        <v>10.264</v>
      </c>
      <c r="ACQ109">
        <v>4.06</v>
      </c>
      <c r="ACR109">
        <v>5.558</v>
      </c>
      <c r="ACS109">
        <v>3.917</v>
      </c>
      <c r="ACT109" t="s">
        <v>1900</v>
      </c>
      <c r="ACU109">
        <v>16.504</v>
      </c>
      <c r="ACV109">
        <v>7.67</v>
      </c>
      <c r="ACW109">
        <v>9.423999999999999</v>
      </c>
      <c r="ACX109">
        <v>5.423</v>
      </c>
      <c r="ACY109" t="s">
        <v>1900</v>
      </c>
      <c r="ACZ109">
        <v>16.299</v>
      </c>
      <c r="ADA109">
        <v>7.521</v>
      </c>
      <c r="ADB109">
        <v>9.092000000000001</v>
      </c>
      <c r="ADC109">
        <v>5.269</v>
      </c>
      <c r="ADD109" t="s">
        <v>1900</v>
      </c>
      <c r="ADE109">
        <v>9.516999999999999</v>
      </c>
      <c r="ADF109">
        <v>5.752</v>
      </c>
      <c r="ADG109">
        <v>6.526</v>
      </c>
      <c r="ADH109">
        <v>3.932</v>
      </c>
      <c r="ADI109" t="s">
        <v>1900</v>
      </c>
      <c r="ADJ109">
        <v>7.22</v>
      </c>
      <c r="ADK109">
        <v>2.664</v>
      </c>
      <c r="ADL109">
        <v>3.668</v>
      </c>
      <c r="ADM109">
        <v>3.099</v>
      </c>
      <c r="ADN109" t="s">
        <v>1900</v>
      </c>
      <c r="ADO109">
        <v>63.143</v>
      </c>
      <c r="ADP109">
        <v>73.803</v>
      </c>
      <c r="ADQ109">
        <v>69</v>
      </c>
      <c r="ADR109">
        <v>76.352</v>
      </c>
      <c r="ADS109" t="s">
        <v>1900</v>
      </c>
      <c r="ADT109">
        <v>7.26548518</v>
      </c>
      <c r="ADU109">
        <v>2.67787517</v>
      </c>
      <c r="ADV109">
        <v>3.703974753</v>
      </c>
      <c r="ADW109">
        <v>3.061484197</v>
      </c>
      <c r="ADX109" t="s">
        <v>1900</v>
      </c>
      <c r="ADY109">
        <v>8.053000000000001</v>
      </c>
      <c r="ADZ109">
        <v>3.859</v>
      </c>
      <c r="AEA109">
        <v>4.886</v>
      </c>
      <c r="AEB109">
        <v>4.633</v>
      </c>
      <c r="AEC109" t="s">
        <v>1900</v>
      </c>
      <c r="AED109">
        <v>7.265</v>
      </c>
      <c r="AEE109">
        <v>2.678</v>
      </c>
      <c r="AEF109">
        <v>3.704</v>
      </c>
      <c r="AEG109">
        <v>3.061</v>
      </c>
      <c r="AEH109" t="s">
        <v>1900</v>
      </c>
      <c r="AEI109">
        <v>7.481</v>
      </c>
      <c r="AEJ109">
        <v>4.956</v>
      </c>
      <c r="AEK109">
        <v>5.489</v>
      </c>
      <c r="AEL109">
        <v>4.682</v>
      </c>
      <c r="AEM109" t="s">
        <v>1900</v>
      </c>
      <c r="AEN109">
        <v>7.834715256</v>
      </c>
      <c r="AEO109">
        <v>2.751558471</v>
      </c>
      <c r="AEP109">
        <v>3.846446147</v>
      </c>
      <c r="AEQ109">
        <v>3.158171106</v>
      </c>
      <c r="AER109" t="s">
        <v>1900</v>
      </c>
      <c r="AES109">
        <v>1.13002487</v>
      </c>
      <c r="AET109">
        <v>1.037650148</v>
      </c>
      <c r="AEU109">
        <v>1.056726077</v>
      </c>
      <c r="AEV109">
        <v>1.041772017</v>
      </c>
      <c r="AEW109" t="s">
        <v>1900</v>
      </c>
      <c r="AEX109" t="s">
        <v>1900</v>
      </c>
      <c r="AEY109" t="s">
        <v>1900</v>
      </c>
      <c r="AEZ109" t="s">
        <v>1900</v>
      </c>
      <c r="AFA109" t="s">
        <v>1900</v>
      </c>
      <c r="AFB109" t="s">
        <v>1900</v>
      </c>
      <c r="AFC109" t="s">
        <v>1900</v>
      </c>
      <c r="AFD109" t="s">
        <v>1900</v>
      </c>
      <c r="AFE109" t="s">
        <v>1900</v>
      </c>
      <c r="AFF109" t="s">
        <v>1900</v>
      </c>
      <c r="AFG109" t="s">
        <v>1900</v>
      </c>
      <c r="AFH109">
        <v>2.423</v>
      </c>
      <c r="AFI109">
        <v>1.955</v>
      </c>
      <c r="AFJ109">
        <v>2.066</v>
      </c>
      <c r="AFK109">
        <v>1.616</v>
      </c>
      <c r="AFL109" t="s">
        <v>1900</v>
      </c>
      <c r="AFM109">
        <v>228.816</v>
      </c>
      <c r="AFN109">
        <v>37.458</v>
      </c>
      <c r="AFO109">
        <v>39.787</v>
      </c>
      <c r="AFP109">
        <v>20.356</v>
      </c>
      <c r="AFQ109" t="s">
        <v>1900</v>
      </c>
      <c r="AFR109">
        <v>58.16</v>
      </c>
      <c r="AFS109">
        <v>53.246</v>
      </c>
      <c r="AFT109" t="s">
        <v>1901</v>
      </c>
      <c r="AFU109" t="s">
        <v>1901</v>
      </c>
      <c r="AFV109" t="s">
        <v>1900</v>
      </c>
      <c r="AFW109">
        <v>140.255</v>
      </c>
      <c r="AFX109">
        <v>134.918</v>
      </c>
      <c r="AFY109">
        <v>130.439</v>
      </c>
      <c r="AFZ109">
        <v>107.311</v>
      </c>
      <c r="AGA109" t="s">
        <v>1900</v>
      </c>
      <c r="AGB109">
        <v>14.343</v>
      </c>
      <c r="AGC109">
        <v>15.395</v>
      </c>
      <c r="AGD109">
        <v>27.799</v>
      </c>
      <c r="AGE109">
        <v>25.834</v>
      </c>
      <c r="AGF109" t="s">
        <v>1900</v>
      </c>
      <c r="AGG109" t="s">
        <v>1900</v>
      </c>
      <c r="AGH109" t="s">
        <v>1900</v>
      </c>
      <c r="AGI109" t="s">
        <v>1900</v>
      </c>
      <c r="AGJ109" t="s">
        <v>1900</v>
      </c>
      <c r="AGK109" t="s">
        <v>1900</v>
      </c>
      <c r="AGL109" t="s">
        <v>1900</v>
      </c>
      <c r="AGM109" t="s">
        <v>1900</v>
      </c>
      <c r="AGN109" t="s">
        <v>1900</v>
      </c>
      <c r="AGO109" t="s">
        <v>1900</v>
      </c>
      <c r="AGP109" t="s">
        <v>1900</v>
      </c>
      <c r="AGQ109" t="s">
        <v>1900</v>
      </c>
      <c r="AGR109" t="s">
        <v>1900</v>
      </c>
      <c r="AGS109" t="s">
        <v>1900</v>
      </c>
      <c r="AGT109" t="s">
        <v>1900</v>
      </c>
      <c r="AGU109">
        <v>0</v>
      </c>
      <c r="AGV109">
        <v>0</v>
      </c>
      <c r="AGW109">
        <v>0</v>
      </c>
      <c r="AGX109">
        <v>0</v>
      </c>
      <c r="AGY109">
        <v>0</v>
      </c>
      <c r="AGZ109" t="s">
        <v>1900</v>
      </c>
      <c r="AHA109">
        <v>2.227</v>
      </c>
      <c r="AHB109">
        <v>3.984</v>
      </c>
      <c r="AHC109">
        <v>3.267</v>
      </c>
      <c r="AHD109">
        <v>3.865</v>
      </c>
      <c r="AHE109" t="s">
        <v>1900</v>
      </c>
      <c r="AHF109">
        <v>2.168</v>
      </c>
      <c r="AHG109">
        <v>3.854</v>
      </c>
      <c r="AHH109">
        <v>3.267</v>
      </c>
      <c r="AHI109">
        <v>3.865</v>
      </c>
      <c r="AHJ109" t="s">
        <v>1900</v>
      </c>
      <c r="AHK109">
        <v>57.596</v>
      </c>
      <c r="AHL109">
        <v>25.596</v>
      </c>
      <c r="AHM109">
        <v>16.957</v>
      </c>
      <c r="AHN109">
        <v>12.673</v>
      </c>
      <c r="AHO109" t="s">
        <v>1900</v>
      </c>
      <c r="AHP109">
        <v>57.664</v>
      </c>
      <c r="AHQ109">
        <v>75.002</v>
      </c>
      <c r="AHR109">
        <v>69.24299999999999</v>
      </c>
      <c r="AHS109">
        <v>72.512</v>
      </c>
      <c r="AHT109" t="s">
        <v>1900</v>
      </c>
      <c r="AHU109" t="s">
        <v>1901</v>
      </c>
      <c r="AHV109" t="s">
        <v>1901</v>
      </c>
      <c r="AHW109" t="s">
        <v>1901</v>
      </c>
      <c r="AHX109" t="s">
        <v>1901</v>
      </c>
      <c r="AHY109" t="s">
        <v>1900</v>
      </c>
      <c r="AHZ109">
        <v>1.995</v>
      </c>
      <c r="AIA109">
        <v>4.25</v>
      </c>
      <c r="AIB109">
        <v>5.897</v>
      </c>
      <c r="AIC109">
        <v>8.433999999999999</v>
      </c>
      <c r="AID109" t="s">
        <v>1900</v>
      </c>
      <c r="AIE109">
        <v>6.212030216</v>
      </c>
      <c r="AIF109">
        <v>8.427728291999999</v>
      </c>
      <c r="AIG109">
        <v>8.060876596</v>
      </c>
      <c r="AIH109">
        <v>9.079358938</v>
      </c>
      <c r="AII109" t="s">
        <v>1900</v>
      </c>
      <c r="AIJ109">
        <v>34.233271235</v>
      </c>
      <c r="AIK109">
        <v>27.945808093</v>
      </c>
      <c r="AIL109">
        <v>32.240122169</v>
      </c>
      <c r="AIM109">
        <v>46.442315386</v>
      </c>
      <c r="AIN109" t="s">
        <v>1900</v>
      </c>
      <c r="AIO109">
        <v>35.522081131</v>
      </c>
      <c r="AIP109">
        <v>15.293776932</v>
      </c>
      <c r="AIQ109">
        <v>14.973759032</v>
      </c>
      <c r="AIR109">
        <v>12.301758103</v>
      </c>
      <c r="AIS109" t="s">
        <v>1900</v>
      </c>
      <c r="AIT109">
        <v>4.665054074</v>
      </c>
      <c r="AIU109">
        <v>7.169020806</v>
      </c>
      <c r="AIV109">
        <v>0</v>
      </c>
      <c r="AIW109">
        <v>0</v>
      </c>
      <c r="AIX109" t="s">
        <v>1900</v>
      </c>
      <c r="AIY109">
        <v>10.0045827749338</v>
      </c>
      <c r="AIZ109">
        <v>2.37456724091113</v>
      </c>
      <c r="AJA109">
        <v>2.97515752645969</v>
      </c>
      <c r="AJB109">
        <v>2.13087020445466</v>
      </c>
      <c r="AJC109" t="s">
        <v>1900</v>
      </c>
      <c r="AJD109">
        <v>138.560927224442</v>
      </c>
      <c r="AJE109">
        <v>89.1206641819745</v>
      </c>
      <c r="AJF109">
        <v>81.10516144184589</v>
      </c>
      <c r="AJG109">
        <v>68.75566710977201</v>
      </c>
      <c r="AJH109" t="s">
        <v>1900</v>
      </c>
      <c r="AJI109">
        <v>48.871</v>
      </c>
      <c r="AJJ109">
        <v>61.656</v>
      </c>
      <c r="AJK109">
        <v>55.588</v>
      </c>
      <c r="AJL109">
        <v>68.18000000000001</v>
      </c>
      <c r="AJM109" t="s">
        <v>1900</v>
      </c>
      <c r="AJN109">
        <v>67.71663597039409</v>
      </c>
      <c r="AJO109">
        <v>54.9485231373578</v>
      </c>
      <c r="AJP109">
        <v>45.0847035032487</v>
      </c>
      <c r="AJQ109">
        <v>46.877884267022</v>
      </c>
      <c r="AJR109" t="s">
        <v>1900</v>
      </c>
      <c r="AJS109">
        <v>56.2046767139683</v>
      </c>
      <c r="AJT109">
        <v>43.8647263028306</v>
      </c>
      <c r="AJU109">
        <v>37.0664573613524</v>
      </c>
      <c r="AJV109">
        <v>39.4422122529572</v>
      </c>
      <c r="AJW109" t="s">
        <v>1900</v>
      </c>
      <c r="AJX109">
        <v>50.8447237384872</v>
      </c>
      <c r="AJY109">
        <v>31.2624832390356</v>
      </c>
      <c r="AJZ109">
        <v>23.1240060014248</v>
      </c>
      <c r="AKA109">
        <v>15.5612523859507</v>
      </c>
      <c r="AKB109" t="s">
        <v>1900</v>
      </c>
      <c r="AKC109">
        <v>97.4693036180258</v>
      </c>
      <c r="AKD109">
        <v>58.4846630847603</v>
      </c>
      <c r="AKE109">
        <v>53.5306818142605</v>
      </c>
      <c r="AKF109">
        <v>54.3941632069671</v>
      </c>
      <c r="AKG109" t="s">
        <v>1900</v>
      </c>
      <c r="AKH109">
        <v>4.665054074</v>
      </c>
      <c r="AKI109">
        <v>7.169020806</v>
      </c>
      <c r="AKJ109">
        <v>0</v>
      </c>
      <c r="AKK109">
        <v>0</v>
      </c>
      <c r="AKL109" t="s">
        <v>1900</v>
      </c>
      <c r="AKM109">
        <v>1.71939232</v>
      </c>
      <c r="AKN109">
        <v>1.878061326</v>
      </c>
      <c r="AKO109">
        <v>0</v>
      </c>
      <c r="AKP109">
        <v>0</v>
      </c>
      <c r="AKQ109" t="s">
        <v>1900</v>
      </c>
      <c r="AKR109">
        <v>2.444262802</v>
      </c>
      <c r="AKS109">
        <v>2.861845543</v>
      </c>
      <c r="AKT109">
        <v>0</v>
      </c>
      <c r="AKU109">
        <v>0</v>
      </c>
      <c r="AKV109" t="s">
        <v>1900</v>
      </c>
      <c r="AKW109">
        <v>0.173012711</v>
      </c>
      <c r="AKX109">
        <v>0.190150027</v>
      </c>
      <c r="AKY109">
        <v>0.012294948</v>
      </c>
      <c r="AKZ109">
        <v>0.022004539</v>
      </c>
      <c r="ALA109" t="s">
        <v>1900</v>
      </c>
      <c r="ALB109">
        <v>0.245952322</v>
      </c>
      <c r="ALC109">
        <v>0.28975625</v>
      </c>
      <c r="ALD109">
        <v>0.018628266</v>
      </c>
      <c r="ALE109">
        <v>0.027814321</v>
      </c>
      <c r="ALF109" t="s">
        <v>1900</v>
      </c>
      <c r="ALG109">
        <v>1.0411293</v>
      </c>
      <c r="ALH109">
        <v>2.208950875</v>
      </c>
      <c r="ALI109">
        <v>3.15699312</v>
      </c>
      <c r="ALJ109">
        <v>5.357101804</v>
      </c>
      <c r="ALK109" t="s">
        <v>1900</v>
      </c>
      <c r="ALL109">
        <v>1.480054081</v>
      </c>
      <c r="ALM109">
        <v>3.36606485</v>
      </c>
      <c r="ALN109">
        <v>4.783208944</v>
      </c>
      <c r="ALO109">
        <v>6.771518964</v>
      </c>
      <c r="ALP109" t="s">
        <v>1900</v>
      </c>
      <c r="ALQ109">
        <v>38.959625119</v>
      </c>
      <c r="ALR109">
        <v>37.477152901</v>
      </c>
      <c r="ALS109">
        <v>36.232991359</v>
      </c>
      <c r="ALT109">
        <v>29.808703069</v>
      </c>
      <c r="ALU109" t="s">
        <v>1900</v>
      </c>
      <c r="ALV109">
        <v>10.226401378</v>
      </c>
      <c r="ALW109">
        <v>11.410653311</v>
      </c>
      <c r="ALX109">
        <v>21.31165927</v>
      </c>
      <c r="ALY109">
        <v>24.073571602</v>
      </c>
      <c r="ALZ109" t="s">
        <v>1900</v>
      </c>
      <c r="AMA109">
        <v>63.1431427615645</v>
      </c>
      <c r="AMB109">
        <v>73.8030983979575</v>
      </c>
      <c r="AMC109">
        <v>68.9997777971944</v>
      </c>
      <c r="AMD109">
        <v>76.3517969672331</v>
      </c>
      <c r="AME109" t="s">
        <v>1900</v>
      </c>
      <c r="AMF109">
        <v>63.1431427615645</v>
      </c>
      <c r="AMG109">
        <v>73.8030983979575</v>
      </c>
      <c r="AMH109">
        <v>68.9997777971944</v>
      </c>
      <c r="AMI109">
        <v>76.3517969672331</v>
      </c>
      <c r="AMJ109" t="s">
        <v>1900</v>
      </c>
      <c r="AMK109">
        <v>171.319932009061</v>
      </c>
      <c r="AML109">
        <v>281.72453185152</v>
      </c>
      <c r="AMM109">
        <v>222.578332973851</v>
      </c>
      <c r="AMN109">
        <v>322.865110983022</v>
      </c>
      <c r="AMO109" t="s">
        <v>1900</v>
      </c>
      <c r="AMP109">
        <v>1.13002487031073</v>
      </c>
      <c r="AMQ109">
        <v>1.03765014784274</v>
      </c>
      <c r="AMR109">
        <v>1.0567260770187</v>
      </c>
      <c r="AMS109">
        <v>1.04177201707961</v>
      </c>
      <c r="AMT109" t="s">
        <v>1900</v>
      </c>
      <c r="AMU109">
        <v>1.13002487031073</v>
      </c>
      <c r="AMV109">
        <v>1.03765014784274</v>
      </c>
      <c r="AMW109">
        <v>1.0567260770187</v>
      </c>
      <c r="AMX109">
        <v>1.04177201707961</v>
      </c>
      <c r="AMY109" t="s">
        <v>1900</v>
      </c>
      <c r="AMZ109">
        <v>1.13002487031073</v>
      </c>
      <c r="ANA109">
        <v>1.03765014784274</v>
      </c>
      <c r="ANB109">
        <v>1.0567260770187</v>
      </c>
      <c r="ANC109">
        <v>1.04177201707961</v>
      </c>
      <c r="AND109" t="s">
        <v>1900</v>
      </c>
      <c r="ANE109">
        <v>7.26548518027483</v>
      </c>
      <c r="ANF109">
        <v>2.67787516988515</v>
      </c>
      <c r="ANG109">
        <v>3.7039747525106</v>
      </c>
      <c r="ANH109">
        <v>3.06148419681599</v>
      </c>
      <c r="ANI109" t="s">
        <v>1900</v>
      </c>
      <c r="ANJ109">
        <v>7.26548518027483</v>
      </c>
      <c r="ANK109">
        <v>2.67787516988515</v>
      </c>
      <c r="ANL109">
        <v>3.7039747525106</v>
      </c>
      <c r="ANM109">
        <v>3.06148419681599</v>
      </c>
      <c r="ANN109" t="s">
        <v>1900</v>
      </c>
      <c r="ANO109">
        <v>7.83471525612535</v>
      </c>
      <c r="ANP109">
        <v>2.75155847096396</v>
      </c>
      <c r="ANQ109">
        <v>3.84644614665148</v>
      </c>
      <c r="ANR109">
        <v>3.15817110613884</v>
      </c>
      <c r="ANS109" t="s">
        <v>1900</v>
      </c>
      <c r="ANT109">
        <v>17.6058609709354</v>
      </c>
      <c r="ANU109">
        <v>5.23611252344481</v>
      </c>
      <c r="ANV109">
        <v>7.65334570127518</v>
      </c>
      <c r="ANW109">
        <v>4.94646963049951</v>
      </c>
      <c r="ANX109" t="s">
        <v>1900</v>
      </c>
      <c r="ANY109">
        <v>63.1431427615645</v>
      </c>
      <c r="ANZ109">
        <v>73.8030983979575</v>
      </c>
      <c r="AOA109">
        <v>68.9997777971944</v>
      </c>
      <c r="AOB109">
        <v>76.3517969672331</v>
      </c>
      <c r="AOC109" t="s">
        <v>1900</v>
      </c>
      <c r="AOD109">
        <v>68.0902282007018</v>
      </c>
      <c r="AOE109">
        <v>75.8338338037604</v>
      </c>
      <c r="AOF109">
        <v>71.6538170914726</v>
      </c>
      <c r="AOG109">
        <v>78.7631173580701</v>
      </c>
      <c r="AOH109" t="s">
        <v>1900</v>
      </c>
      <c r="AOI109">
        <v>89.76336189194851</v>
      </c>
      <c r="AOJ109" t="s">
        <v>1901</v>
      </c>
      <c r="AOK109" t="s">
        <v>1901</v>
      </c>
      <c r="AOL109">
        <v>96.5106992502315</v>
      </c>
      <c r="AOM109" t="s">
        <v>1900</v>
      </c>
      <c r="AON109">
        <v>19.7127094512501</v>
      </c>
      <c r="AOO109">
        <v>10.2221064558122</v>
      </c>
      <c r="AOP109">
        <v>11.948220010421</v>
      </c>
      <c r="AOQ109">
        <v>12.9459485465936</v>
      </c>
      <c r="AOR109" t="s">
        <v>1900</v>
      </c>
      <c r="AOS109">
        <v>13.0024870310735</v>
      </c>
      <c r="AOT109">
        <v>3.76501478427447</v>
      </c>
      <c r="AOU109">
        <v>5.67260770187</v>
      </c>
      <c r="AOV109">
        <v>4.17720170796123</v>
      </c>
      <c r="AOW109" t="s">
        <v>1900</v>
      </c>
      <c r="AOX109">
        <v>10.3285067393665</v>
      </c>
      <c r="AOY109">
        <v>4.08062559606877</v>
      </c>
      <c r="AOZ109">
        <v>5.61194924643196</v>
      </c>
      <c r="APA109">
        <v>3.86979733699059</v>
      </c>
      <c r="APB109" t="s">
        <v>1900</v>
      </c>
      <c r="APC109">
        <v>6.69435741961381</v>
      </c>
      <c r="APD109">
        <v>3.77501281937963</v>
      </c>
      <c r="APE109">
        <v>4.30699191906724</v>
      </c>
      <c r="APF109">
        <v>3.11086306413987</v>
      </c>
      <c r="APG109" t="s">
        <v>1900</v>
      </c>
      <c r="APH109">
        <v>6.69435741961381</v>
      </c>
      <c r="API109">
        <v>3.77501281937963</v>
      </c>
      <c r="APJ109">
        <v>4.30699191906724</v>
      </c>
      <c r="APK109">
        <v>3.11086306413987</v>
      </c>
      <c r="APL109" t="s">
        <v>1900</v>
      </c>
      <c r="APM109">
        <v>18.1631259993397</v>
      </c>
      <c r="APN109">
        <v>14.4101500121118</v>
      </c>
      <c r="APO109">
        <v>13.8934227338456</v>
      </c>
      <c r="APP109">
        <v>13.1547545487049</v>
      </c>
      <c r="APQ109" t="s">
        <v>1900</v>
      </c>
      <c r="APR109">
        <v>11.9803830535935</v>
      </c>
      <c r="APS109">
        <v>5.30755848354185</v>
      </c>
      <c r="APT109">
        <v>6.59612366834641</v>
      </c>
      <c r="APU109">
        <v>4.24457605179648</v>
      </c>
      <c r="APV109" t="s">
        <v>1900</v>
      </c>
      <c r="APW109">
        <v>7.21884126166786</v>
      </c>
      <c r="APX109">
        <v>3.87888450439125</v>
      </c>
      <c r="APY109">
        <v>4.4726580437748</v>
      </c>
      <c r="APZ109">
        <v>3.20910944258308</v>
      </c>
      <c r="AQA109" t="s">
        <v>1900</v>
      </c>
      <c r="AQB109">
        <v>9.51659992534646</v>
      </c>
      <c r="AQC109">
        <v>5.75247648190746</v>
      </c>
      <c r="AQD109">
        <v>6.52558985133872</v>
      </c>
      <c r="AQE109">
        <v>3.9322135367777</v>
      </c>
      <c r="AQF109" t="s">
        <v>1900</v>
      </c>
      <c r="AQG109">
        <v>0.130024870310735</v>
      </c>
      <c r="AQH109">
        <v>0.0376501478427447</v>
      </c>
      <c r="AQI109">
        <v>0.0567260770187</v>
      </c>
      <c r="AQJ109">
        <v>0.0417720170796123</v>
      </c>
      <c r="AQK109">
        <v>5</v>
      </c>
      <c r="AQO109" t="s">
        <v>1903</v>
      </c>
      <c r="AQP109">
        <v>4</v>
      </c>
      <c r="AQQ109">
        <v>0</v>
      </c>
      <c r="AQS109" t="s">
        <v>1905</v>
      </c>
      <c r="AQU109" t="s">
        <v>1906</v>
      </c>
      <c r="AQV109" t="s">
        <v>1900</v>
      </c>
      <c r="AQW109">
        <v>1662731.1200633</v>
      </c>
      <c r="AQX109">
        <v>1158568.63969867</v>
      </c>
      <c r="AQY109" t="s">
        <v>1900</v>
      </c>
      <c r="AQZ109">
        <v>120805.483116016</v>
      </c>
      <c r="ARA109">
        <v>31025.0219285667</v>
      </c>
      <c r="ARB109">
        <v>2821299.75976197</v>
      </c>
      <c r="ARC109">
        <v>151830.5050445827</v>
      </c>
      <c r="ARD109">
        <v>0.05687666369495489</v>
      </c>
      <c r="ARE109">
        <v>0.05687666369495489</v>
      </c>
      <c r="ARF109">
        <v>0.05687666369495489</v>
      </c>
      <c r="ARG109">
        <v>0.05687666369495489</v>
      </c>
      <c r="ARH109">
        <v>0.05687666369495489</v>
      </c>
      <c r="ARI109">
        <v>0.05687666369495489</v>
      </c>
      <c r="ARJ109" t="s">
        <v>1270</v>
      </c>
      <c r="ARK109" t="s">
        <v>1608</v>
      </c>
      <c r="ARL109" t="s">
        <v>1908</v>
      </c>
      <c r="ARM109" t="s">
        <v>1909</v>
      </c>
      <c r="ARN109" t="s">
        <v>1909</v>
      </c>
      <c r="ARO109" t="s">
        <v>1908</v>
      </c>
      <c r="ARP109" t="s">
        <v>1907</v>
      </c>
      <c r="ARQ109" t="s">
        <v>2002</v>
      </c>
      <c r="ARR109">
        <f>HYPERLINK("C:\Users\Usuario\Documents\Proyectos\llmthon\evidence\sige_es_000126.png", "Ver Evidencia")</f>
        <v>0</v>
      </c>
      <c r="ARS109">
        <v>100</v>
      </c>
    </row>
    <row r="110" spans="1:1163">
      <c r="A110">
        <v>97</v>
      </c>
      <c r="B110" t="s">
        <v>1271</v>
      </c>
      <c r="C110" t="s">
        <v>1394</v>
      </c>
      <c r="E110" s="2">
        <v>35326</v>
      </c>
      <c r="F110" t="s">
        <v>1431</v>
      </c>
      <c r="G110" t="s">
        <v>1433</v>
      </c>
      <c r="H110" t="s">
        <v>1434</v>
      </c>
      <c r="I110" t="s">
        <v>1435</v>
      </c>
      <c r="J110" t="s">
        <v>1468</v>
      </c>
      <c r="L110" t="s">
        <v>1609</v>
      </c>
      <c r="N110" t="s">
        <v>1631</v>
      </c>
      <c r="O110" t="s">
        <v>1655</v>
      </c>
      <c r="P110">
        <v>6202</v>
      </c>
      <c r="Q110">
        <v>6202</v>
      </c>
      <c r="R110" t="s">
        <v>1777</v>
      </c>
      <c r="S110" t="s">
        <v>1836</v>
      </c>
      <c r="T110" t="s">
        <v>1867</v>
      </c>
      <c r="U110" t="s">
        <v>1873</v>
      </c>
      <c r="X110" t="s">
        <v>1893</v>
      </c>
      <c r="Z110" t="s">
        <v>1899</v>
      </c>
      <c r="AA110" s="2">
        <v>45657</v>
      </c>
      <c r="AB110">
        <v>2024</v>
      </c>
      <c r="AC110">
        <v>9275970.47936832</v>
      </c>
      <c r="AD110">
        <v>9716533.77611096</v>
      </c>
      <c r="AE110">
        <v>8868966.967428049</v>
      </c>
      <c r="AF110">
        <v>8325014.79734008</v>
      </c>
      <c r="AG110">
        <v>7847330.77096871</v>
      </c>
      <c r="AH110">
        <v>9262213.267757749</v>
      </c>
      <c r="AI110">
        <v>9713033.134539921</v>
      </c>
      <c r="AJ110">
        <v>8868966.967428049</v>
      </c>
      <c r="AK110">
        <v>8325014.79734008</v>
      </c>
      <c r="AL110">
        <v>7847330.77096871</v>
      </c>
      <c r="AM110">
        <v>886724.704793578</v>
      </c>
      <c r="AN110">
        <v>1358693.81381509</v>
      </c>
      <c r="AO110">
        <v>1199774.15108876</v>
      </c>
      <c r="AP110">
        <v>611603.475144696</v>
      </c>
      <c r="AQ110">
        <v>465760.141580641</v>
      </c>
      <c r="AR110">
        <v>8389245.77457474</v>
      </c>
      <c r="AS110">
        <v>8357839.96119087</v>
      </c>
      <c r="AT110">
        <v>7669192.8152727</v>
      </c>
      <c r="AU110">
        <v>7713411.32219539</v>
      </c>
      <c r="AV110">
        <v>7381570.62816097</v>
      </c>
      <c r="AW110">
        <v>8296991.11094988</v>
      </c>
      <c r="AX110">
        <v>8219118.42103935</v>
      </c>
      <c r="AY110">
        <v>7877582.95515221</v>
      </c>
      <c r="AZ110">
        <v>7517021.13579576</v>
      </c>
      <c r="BA110">
        <v>7040869.53860926</v>
      </c>
      <c r="BB110">
        <v>92254.6636248553</v>
      </c>
      <c r="BC110">
        <v>138721.541256523</v>
      </c>
      <c r="BD110">
        <v>-208390.138812912</v>
      </c>
      <c r="BE110">
        <v>196390.186399627</v>
      </c>
      <c r="BF110">
        <v>340701.089551705</v>
      </c>
      <c r="BG110">
        <v>-15036.0346114445</v>
      </c>
      <c r="BH110">
        <v>-5731.09612204552</v>
      </c>
      <c r="BI110">
        <v>-3524.50334698558</v>
      </c>
      <c r="BJ110">
        <v>-1724.406620121</v>
      </c>
      <c r="BK110">
        <v>-3134.08523670435</v>
      </c>
      <c r="BL110" t="s">
        <v>1900</v>
      </c>
      <c r="BM110" t="s">
        <v>1900</v>
      </c>
      <c r="BN110" t="s">
        <v>1900</v>
      </c>
      <c r="BO110">
        <v>0.090608024597168</v>
      </c>
      <c r="BP110">
        <v>0.0368129789829254</v>
      </c>
      <c r="BQ110">
        <v>15036.0346114445</v>
      </c>
      <c r="BR110">
        <v>5731.09612204552</v>
      </c>
      <c r="BS110">
        <v>3524.50334698558</v>
      </c>
      <c r="BT110">
        <v>1724.4972281456</v>
      </c>
      <c r="BU110">
        <v>3134.12204968333</v>
      </c>
      <c r="BV110">
        <v>77218.6290134108</v>
      </c>
      <c r="BW110">
        <v>132990.445134478</v>
      </c>
      <c r="BX110">
        <v>-211914.642159897</v>
      </c>
      <c r="BY110">
        <v>194665.779779506</v>
      </c>
      <c r="BZ110">
        <v>337567.004315001</v>
      </c>
      <c r="CA110" t="s">
        <v>1900</v>
      </c>
      <c r="CB110" t="s">
        <v>1900</v>
      </c>
      <c r="CC110" t="s">
        <v>1900</v>
      </c>
      <c r="CD110" t="s">
        <v>1900</v>
      </c>
      <c r="CE110" t="s">
        <v>1900</v>
      </c>
      <c r="CF110">
        <v>77218.6290134108</v>
      </c>
      <c r="CG110">
        <v>132990.445134478</v>
      </c>
      <c r="CH110">
        <v>-211914.642159897</v>
      </c>
      <c r="CI110">
        <v>194665.779779506</v>
      </c>
      <c r="CJ110">
        <v>337567.004315001</v>
      </c>
      <c r="CK110" t="s">
        <v>1900</v>
      </c>
      <c r="CL110" t="s">
        <v>1900</v>
      </c>
      <c r="CM110" t="s">
        <v>1900</v>
      </c>
      <c r="CN110" t="s">
        <v>1900</v>
      </c>
      <c r="CO110" t="s">
        <v>1900</v>
      </c>
      <c r="CP110" t="s">
        <v>1900</v>
      </c>
      <c r="CQ110" t="s">
        <v>1900</v>
      </c>
      <c r="CR110" t="s">
        <v>1900</v>
      </c>
      <c r="CS110" t="s">
        <v>1900</v>
      </c>
      <c r="CT110" t="s">
        <v>1900</v>
      </c>
      <c r="CU110" t="s">
        <v>1900</v>
      </c>
      <c r="CV110" t="s">
        <v>1900</v>
      </c>
      <c r="CW110" t="s">
        <v>1900</v>
      </c>
      <c r="CX110" t="s">
        <v>1900</v>
      </c>
      <c r="CY110" t="s">
        <v>1900</v>
      </c>
      <c r="CZ110">
        <v>77218.6290134108</v>
      </c>
      <c r="DA110">
        <v>132990.445134478</v>
      </c>
      <c r="DB110">
        <v>-211914.642159897</v>
      </c>
      <c r="DC110">
        <v>194665.779779506</v>
      </c>
      <c r="DD110">
        <v>337567.004315001</v>
      </c>
      <c r="DE110" t="s">
        <v>1900</v>
      </c>
      <c r="DF110" t="s">
        <v>1900</v>
      </c>
      <c r="DG110" t="s">
        <v>1900</v>
      </c>
      <c r="DH110" t="s">
        <v>1900</v>
      </c>
      <c r="DI110" t="s">
        <v>1900</v>
      </c>
      <c r="DJ110">
        <v>886724.704793578</v>
      </c>
      <c r="DK110">
        <v>1358693.81381509</v>
      </c>
      <c r="DL110">
        <v>1199774.15108876</v>
      </c>
      <c r="DM110">
        <v>611603.475144696</v>
      </c>
      <c r="DN110">
        <v>465760.141580641</v>
      </c>
      <c r="DO110">
        <v>6866807.53225855</v>
      </c>
      <c r="DP110">
        <v>6660481.39749221</v>
      </c>
      <c r="DQ110">
        <v>6267238.98327992</v>
      </c>
      <c r="DR110">
        <v>6059119.00366816</v>
      </c>
      <c r="DS110">
        <v>5797533.79012815</v>
      </c>
      <c r="DT110">
        <v>885641.953303056</v>
      </c>
      <c r="DU110">
        <v>973172.50024786</v>
      </c>
      <c r="DV110">
        <v>938890.987815368</v>
      </c>
      <c r="DW110">
        <v>925573.588427496</v>
      </c>
      <c r="DX110">
        <v>961717.896195018</v>
      </c>
      <c r="DY110">
        <v>544541.625388281</v>
      </c>
      <c r="DZ110">
        <v>585464.522194283</v>
      </c>
      <c r="EA110">
        <v>671452.982990314</v>
      </c>
      <c r="EB110">
        <v>532328.543700099</v>
      </c>
      <c r="EC110">
        <v>281617.8522861</v>
      </c>
      <c r="ED110">
        <v>15036.0346114445</v>
      </c>
      <c r="EE110">
        <v>5731.09612204552</v>
      </c>
      <c r="EF110">
        <v>3234.05764033794</v>
      </c>
      <c r="EG110">
        <v>1724.4972281456</v>
      </c>
      <c r="EH110">
        <v>2914.94984381199</v>
      </c>
      <c r="EI110" t="s">
        <v>1900</v>
      </c>
      <c r="EJ110" t="s">
        <v>1900</v>
      </c>
      <c r="EK110" t="s">
        <v>1900</v>
      </c>
      <c r="EL110" t="s">
        <v>1900</v>
      </c>
      <c r="EM110" t="s">
        <v>1900</v>
      </c>
      <c r="EN110">
        <v>962860.581277567</v>
      </c>
      <c r="EO110">
        <v>1106162.94538234</v>
      </c>
      <c r="EP110">
        <v>726976.345655471</v>
      </c>
      <c r="EQ110">
        <v>1120239.368207</v>
      </c>
      <c r="ER110">
        <v>1299284.90051002</v>
      </c>
      <c r="ES110">
        <v>7844704.14918646</v>
      </c>
      <c r="ET110">
        <v>7772375.43899659</v>
      </c>
      <c r="EU110">
        <v>6997449.38657574</v>
      </c>
      <c r="EV110">
        <v>7181082.86797071</v>
      </c>
      <c r="EW110">
        <v>7099733.64048198</v>
      </c>
      <c r="EX110">
        <v>977896.6169279109</v>
      </c>
      <c r="EY110">
        <v>1111894.04150438</v>
      </c>
      <c r="EZ110">
        <v>730500.847935857</v>
      </c>
      <c r="FA110">
        <v>1121963.77482712</v>
      </c>
      <c r="FB110">
        <v>1302418.98574672</v>
      </c>
      <c r="FC110">
        <v>2874802.8950614</v>
      </c>
      <c r="FD110">
        <v>3122899.03001871</v>
      </c>
      <c r="FE110">
        <v>3186430.240089</v>
      </c>
      <c r="FF110">
        <v>3271421.61985388</v>
      </c>
      <c r="FG110">
        <v>3198479.95978945</v>
      </c>
      <c r="FH110">
        <v>2548791.90769351</v>
      </c>
      <c r="FI110">
        <v>2681226.80685164</v>
      </c>
      <c r="FJ110">
        <v>2581753.24223177</v>
      </c>
      <c r="FK110">
        <v>2567696.63764715</v>
      </c>
      <c r="FL110">
        <v>2698379.98423793</v>
      </c>
      <c r="FM110">
        <v>270186.364655277</v>
      </c>
      <c r="FN110">
        <v>385372.29320035</v>
      </c>
      <c r="FO110">
        <v>550333.604606539</v>
      </c>
      <c r="FP110">
        <v>646018.837977362</v>
      </c>
      <c r="FQ110">
        <v>446057.135782379</v>
      </c>
      <c r="FR110">
        <v>55824.6227126098</v>
      </c>
      <c r="FS110">
        <v>56299.9299667168</v>
      </c>
      <c r="FT110">
        <v>54343.3932506919</v>
      </c>
      <c r="FU110">
        <v>57706.1442293644</v>
      </c>
      <c r="FV110">
        <v>54042.8397691429</v>
      </c>
      <c r="FW110">
        <v>2548791.90769351</v>
      </c>
      <c r="FX110">
        <v>2681226.80685164</v>
      </c>
      <c r="FY110">
        <v>2581753.24223177</v>
      </c>
      <c r="FZ110">
        <v>2567696.63764715</v>
      </c>
      <c r="GA110">
        <v>2698379.98423793</v>
      </c>
      <c r="GB110">
        <v>270186.364655277</v>
      </c>
      <c r="GC110">
        <v>385372.29320035</v>
      </c>
      <c r="GD110">
        <v>550333.604606539</v>
      </c>
      <c r="GE110">
        <v>646018.837977362</v>
      </c>
      <c r="GF110">
        <v>446057.135782379</v>
      </c>
      <c r="GG110">
        <v>55824.6227126098</v>
      </c>
      <c r="GH110">
        <v>56299.9299667168</v>
      </c>
      <c r="GI110">
        <v>54343.3932506919</v>
      </c>
      <c r="GJ110">
        <v>57706.1442293644</v>
      </c>
      <c r="GK110">
        <v>54042.8397691429</v>
      </c>
      <c r="GL110">
        <v>2122679.25107743</v>
      </c>
      <c r="GM110">
        <v>2087539.93066227</v>
      </c>
      <c r="GN110">
        <v>2213196.68996278</v>
      </c>
      <c r="GO110">
        <v>2737816.13726313</v>
      </c>
      <c r="GP110">
        <v>2735206.00728641</v>
      </c>
      <c r="GQ110">
        <v>0</v>
      </c>
      <c r="GR110">
        <v>0</v>
      </c>
      <c r="GS110">
        <v>0</v>
      </c>
      <c r="GT110">
        <v>0</v>
      </c>
      <c r="GU110">
        <v>0</v>
      </c>
      <c r="GV110">
        <v>511843.644074806</v>
      </c>
      <c r="GW110">
        <v>789539.13098546</v>
      </c>
      <c r="GX110">
        <v>838909.2850353901</v>
      </c>
      <c r="GY110">
        <v>1054999.33662243</v>
      </c>
      <c r="GZ110">
        <v>1379256.25030819</v>
      </c>
      <c r="HA110">
        <v>1610835.60700262</v>
      </c>
      <c r="HB110">
        <v>1298000.79967681</v>
      </c>
      <c r="HC110">
        <v>1374287.40386079</v>
      </c>
      <c r="HD110">
        <v>1682816.8006407</v>
      </c>
      <c r="HE110">
        <v>1355949.75697821</v>
      </c>
      <c r="HF110">
        <v>1343527.81480628</v>
      </c>
      <c r="HG110">
        <v>1054896.78992472</v>
      </c>
      <c r="HH110">
        <v>1108664.00687831</v>
      </c>
      <c r="HI110">
        <v>1438511.72038772</v>
      </c>
      <c r="HJ110">
        <v>1216127.38738087</v>
      </c>
      <c r="HK110">
        <v>4997482.14613882</v>
      </c>
      <c r="HL110">
        <v>5210438.96068098</v>
      </c>
      <c r="HM110">
        <v>5399626.93005178</v>
      </c>
      <c r="HN110">
        <v>6009237.75711701</v>
      </c>
      <c r="HO110">
        <v>5933685.96707585</v>
      </c>
      <c r="HP110">
        <v>2667934.18489049</v>
      </c>
      <c r="HQ110">
        <v>2811290.06147244</v>
      </c>
      <c r="HR110">
        <v>2585223.27434289</v>
      </c>
      <c r="HS110">
        <v>2947533.35965662</v>
      </c>
      <c r="HT110">
        <v>2939215.58520632</v>
      </c>
      <c r="HU110">
        <v>2018866.78850407</v>
      </c>
      <c r="HV110">
        <v>2191594.23611056</v>
      </c>
      <c r="HW110">
        <v>2115431.89288716</v>
      </c>
      <c r="HX110">
        <v>2223643.5955538</v>
      </c>
      <c r="HY110">
        <v>2360006.83703817</v>
      </c>
      <c r="HZ110">
        <v>649067.396386427</v>
      </c>
      <c r="IA110">
        <v>619695.825361872</v>
      </c>
      <c r="IB110">
        <v>469791.381455731</v>
      </c>
      <c r="IC110">
        <v>723889.764102817</v>
      </c>
      <c r="ID110">
        <v>579208.746941053</v>
      </c>
      <c r="IE110">
        <v>223880.17070339</v>
      </c>
      <c r="IF110">
        <v>209669.545647116</v>
      </c>
      <c r="IG110">
        <v>326689.023908526</v>
      </c>
      <c r="IH110">
        <v>572691.100139236</v>
      </c>
      <c r="II110">
        <v>661871.01629104</v>
      </c>
      <c r="IJ110">
        <v>0</v>
      </c>
      <c r="IK110">
        <v>0</v>
      </c>
      <c r="IL110">
        <v>0</v>
      </c>
      <c r="IM110">
        <v>0</v>
      </c>
      <c r="IN110">
        <v>0</v>
      </c>
      <c r="IO110">
        <v>223880.17070339</v>
      </c>
      <c r="IP110">
        <v>209669.545647116</v>
      </c>
      <c r="IQ110">
        <v>326689.023908526</v>
      </c>
      <c r="IR110">
        <v>572691.100139236</v>
      </c>
      <c r="IS110">
        <v>661871.01629104</v>
      </c>
      <c r="IT110" t="s">
        <v>1900</v>
      </c>
      <c r="IU110" t="s">
        <v>1900</v>
      </c>
      <c r="IV110" t="s">
        <v>1900</v>
      </c>
      <c r="IW110" t="s">
        <v>1900</v>
      </c>
      <c r="IX110" t="s">
        <v>1900</v>
      </c>
      <c r="IY110">
        <v>2105667.79054494</v>
      </c>
      <c r="IZ110">
        <v>2189479.35356143</v>
      </c>
      <c r="JA110">
        <v>2487714.63180037</v>
      </c>
      <c r="JB110">
        <v>2489013.29732115</v>
      </c>
      <c r="JC110">
        <v>2332599.3655785</v>
      </c>
      <c r="JD110">
        <v>215024.352069854</v>
      </c>
      <c r="JE110">
        <v>334538.745436878</v>
      </c>
      <c r="JF110">
        <v>412731.017996609</v>
      </c>
      <c r="JG110">
        <v>84060.33763368129</v>
      </c>
      <c r="JH110">
        <v>69686.2206841052</v>
      </c>
      <c r="JI110">
        <v>36137.1335756838</v>
      </c>
      <c r="JJ110">
        <v>44436.8766927242</v>
      </c>
      <c r="JK110">
        <v>222802.756385911</v>
      </c>
      <c r="JL110">
        <v>93735.485152173</v>
      </c>
      <c r="JM110">
        <v>4667.21083042026</v>
      </c>
      <c r="JN110">
        <v>1854506.3048994</v>
      </c>
      <c r="JO110">
        <v>1810503.73143183</v>
      </c>
      <c r="JP110">
        <v>1852180.85741785</v>
      </c>
      <c r="JQ110">
        <v>2311217.4745353</v>
      </c>
      <c r="JR110">
        <v>2258245.93283687</v>
      </c>
      <c r="JS110">
        <v>4997482.14613882</v>
      </c>
      <c r="JT110">
        <v>5210438.96068098</v>
      </c>
      <c r="JU110">
        <v>5399626.93005178</v>
      </c>
      <c r="JV110">
        <v>6009237.75711701</v>
      </c>
      <c r="JW110">
        <v>5933685.96707585</v>
      </c>
      <c r="JX110">
        <v>475706.510499122</v>
      </c>
      <c r="JY110">
        <v>745102.2542927359</v>
      </c>
      <c r="JZ110">
        <v>616106.528649479</v>
      </c>
      <c r="KA110">
        <v>961263.850337656</v>
      </c>
      <c r="KB110">
        <v>1374589.03947777</v>
      </c>
      <c r="KC110" t="s">
        <v>1900</v>
      </c>
      <c r="KD110" t="s">
        <v>1900</v>
      </c>
      <c r="KE110" t="s">
        <v>1900</v>
      </c>
      <c r="KF110" t="s">
        <v>1900</v>
      </c>
      <c r="KG110" t="s">
        <v>1900</v>
      </c>
      <c r="KH110" t="s">
        <v>1900</v>
      </c>
      <c r="KI110" t="s">
        <v>1900</v>
      </c>
      <c r="KJ110" t="s">
        <v>1900</v>
      </c>
      <c r="KK110" t="s">
        <v>1900</v>
      </c>
      <c r="KL110" t="s">
        <v>1900</v>
      </c>
      <c r="KM110">
        <v>144</v>
      </c>
      <c r="KN110">
        <v>138</v>
      </c>
      <c r="KO110">
        <v>155</v>
      </c>
      <c r="KP110">
        <v>151</v>
      </c>
      <c r="KQ110">
        <v>124</v>
      </c>
      <c r="KR110" t="s">
        <v>1900</v>
      </c>
      <c r="KS110" t="s">
        <v>1900</v>
      </c>
      <c r="KT110" t="s">
        <v>1900</v>
      </c>
      <c r="KU110" t="s">
        <v>1900</v>
      </c>
      <c r="KV110" t="s">
        <v>1900</v>
      </c>
      <c r="KW110" t="s">
        <v>1900</v>
      </c>
      <c r="KX110" t="s">
        <v>1900</v>
      </c>
      <c r="KY110" t="s">
        <v>1900</v>
      </c>
      <c r="KZ110" t="s">
        <v>1900</v>
      </c>
      <c r="LA110" t="s">
        <v>1900</v>
      </c>
      <c r="LB110" t="s">
        <v>1900</v>
      </c>
      <c r="LC110" t="s">
        <v>1900</v>
      </c>
      <c r="LD110" t="s">
        <v>1900</v>
      </c>
      <c r="LE110" t="s">
        <v>1900</v>
      </c>
      <c r="LF110" t="s">
        <v>1900</v>
      </c>
      <c r="LG110" t="s">
        <v>1900</v>
      </c>
      <c r="LH110" t="s">
        <v>1900</v>
      </c>
      <c r="LI110" t="s">
        <v>1900</v>
      </c>
      <c r="LJ110" t="s">
        <v>1900</v>
      </c>
      <c r="LK110" t="s">
        <v>1900</v>
      </c>
      <c r="LL110" t="s">
        <v>1900</v>
      </c>
      <c r="LM110" t="s">
        <v>1900</v>
      </c>
      <c r="LN110" t="s">
        <v>1900</v>
      </c>
      <c r="LO110" t="s">
        <v>1900</v>
      </c>
      <c r="LP110" t="s">
        <v>1900</v>
      </c>
      <c r="LQ110" t="s">
        <v>1900</v>
      </c>
      <c r="LR110" t="s">
        <v>1900</v>
      </c>
      <c r="LS110" t="s">
        <v>1900</v>
      </c>
      <c r="LT110" t="s">
        <v>1900</v>
      </c>
      <c r="LU110" t="s">
        <v>1900</v>
      </c>
      <c r="LV110" t="s">
        <v>1900</v>
      </c>
      <c r="LW110" t="s">
        <v>1900</v>
      </c>
      <c r="LX110" t="s">
        <v>1900</v>
      </c>
      <c r="LY110" t="s">
        <v>1900</v>
      </c>
      <c r="LZ110" t="s">
        <v>1900</v>
      </c>
      <c r="MA110" t="s">
        <v>1900</v>
      </c>
      <c r="MB110" t="s">
        <v>1900</v>
      </c>
      <c r="MC110" t="s">
        <v>1900</v>
      </c>
      <c r="MD110" t="s">
        <v>1900</v>
      </c>
      <c r="ME110" t="s">
        <v>1900</v>
      </c>
      <c r="MF110" t="s">
        <v>1900</v>
      </c>
      <c r="MG110" t="s">
        <v>1900</v>
      </c>
      <c r="MH110" t="s">
        <v>1900</v>
      </c>
      <c r="MI110" t="s">
        <v>1900</v>
      </c>
      <c r="MJ110" t="s">
        <v>1900</v>
      </c>
      <c r="MK110" t="s">
        <v>1900</v>
      </c>
      <c r="ML110" t="s">
        <v>1900</v>
      </c>
      <c r="MM110" t="s">
        <v>1900</v>
      </c>
      <c r="MN110" t="s">
        <v>1900</v>
      </c>
      <c r="MO110" t="s">
        <v>1900</v>
      </c>
      <c r="MP110">
        <v>1610835.60700262</v>
      </c>
      <c r="MQ110">
        <v>1298000.79967681</v>
      </c>
      <c r="MR110">
        <v>1374287.40386079</v>
      </c>
      <c r="MS110">
        <v>1682816.8006407</v>
      </c>
      <c r="MT110">
        <v>1355949.75697821</v>
      </c>
      <c r="MU110" t="s">
        <v>1900</v>
      </c>
      <c r="MV110" t="s">
        <v>1900</v>
      </c>
      <c r="MW110" t="s">
        <v>1900</v>
      </c>
      <c r="MX110" t="s">
        <v>1900</v>
      </c>
      <c r="MY110" t="s">
        <v>1900</v>
      </c>
      <c r="MZ110" t="s">
        <v>1900</v>
      </c>
      <c r="NA110" t="s">
        <v>1900</v>
      </c>
      <c r="NB110" t="s">
        <v>1900</v>
      </c>
      <c r="NC110" t="s">
        <v>1900</v>
      </c>
      <c r="ND110" t="s">
        <v>1900</v>
      </c>
      <c r="NE110" t="s">
        <v>1900</v>
      </c>
      <c r="NF110" t="s">
        <v>1900</v>
      </c>
      <c r="NG110" t="s">
        <v>1900</v>
      </c>
      <c r="NH110" t="s">
        <v>1900</v>
      </c>
      <c r="NI110" t="s">
        <v>1900</v>
      </c>
      <c r="NJ110" t="s">
        <v>1900</v>
      </c>
      <c r="NK110" t="s">
        <v>1900</v>
      </c>
      <c r="NL110" t="s">
        <v>1900</v>
      </c>
      <c r="NM110" t="s">
        <v>1900</v>
      </c>
      <c r="NN110" t="s">
        <v>1900</v>
      </c>
      <c r="NO110" t="s">
        <v>1900</v>
      </c>
      <c r="NP110" t="s">
        <v>1900</v>
      </c>
      <c r="NQ110" t="s">
        <v>1900</v>
      </c>
      <c r="NR110" t="s">
        <v>1900</v>
      </c>
      <c r="NS110" t="s">
        <v>1900</v>
      </c>
      <c r="NT110">
        <v>2874802.8950614</v>
      </c>
      <c r="NU110">
        <v>3122899.03001871</v>
      </c>
      <c r="NV110">
        <v>3186430.240089</v>
      </c>
      <c r="NW110">
        <v>3271421.61985388</v>
      </c>
      <c r="NX110">
        <v>3198479.95978945</v>
      </c>
      <c r="NY110" t="s">
        <v>1900</v>
      </c>
      <c r="NZ110" t="s">
        <v>1900</v>
      </c>
      <c r="OA110" t="s">
        <v>1900</v>
      </c>
      <c r="OB110" t="s">
        <v>1900</v>
      </c>
      <c r="OC110" t="s">
        <v>1900</v>
      </c>
      <c r="OD110" t="s">
        <v>1900</v>
      </c>
      <c r="OE110" t="s">
        <v>1900</v>
      </c>
      <c r="OF110" t="s">
        <v>1900</v>
      </c>
      <c r="OG110" t="s">
        <v>1900</v>
      </c>
      <c r="OH110" t="s">
        <v>1900</v>
      </c>
      <c r="OI110" t="s">
        <v>1900</v>
      </c>
      <c r="OJ110" t="s">
        <v>1900</v>
      </c>
      <c r="OK110" t="s">
        <v>1900</v>
      </c>
      <c r="OL110" t="s">
        <v>1900</v>
      </c>
      <c r="OM110" t="s">
        <v>1900</v>
      </c>
      <c r="ON110" t="s">
        <v>1900</v>
      </c>
      <c r="OO110" t="s">
        <v>1900</v>
      </c>
      <c r="OP110" t="s">
        <v>1900</v>
      </c>
      <c r="OQ110" t="s">
        <v>1900</v>
      </c>
      <c r="OR110" t="s">
        <v>1900</v>
      </c>
      <c r="OS110" t="s">
        <v>1900</v>
      </c>
      <c r="OT110" t="s">
        <v>1900</v>
      </c>
      <c r="OU110" t="s">
        <v>1900</v>
      </c>
      <c r="OV110" t="s">
        <v>1900</v>
      </c>
      <c r="OW110" t="s">
        <v>1900</v>
      </c>
      <c r="OX110" t="s">
        <v>1900</v>
      </c>
      <c r="OY110" t="s">
        <v>1900</v>
      </c>
      <c r="OZ110" t="s">
        <v>1900</v>
      </c>
      <c r="PA110" t="s">
        <v>1900</v>
      </c>
      <c r="PB110" t="s">
        <v>1900</v>
      </c>
      <c r="PC110" t="s">
        <v>1900</v>
      </c>
      <c r="PD110" t="s">
        <v>1900</v>
      </c>
      <c r="PE110" t="s">
        <v>1900</v>
      </c>
      <c r="PF110" t="s">
        <v>1900</v>
      </c>
      <c r="PG110" t="s">
        <v>1900</v>
      </c>
      <c r="PH110" t="s">
        <v>1900</v>
      </c>
      <c r="PI110" t="s">
        <v>1900</v>
      </c>
      <c r="PJ110" t="s">
        <v>1900</v>
      </c>
      <c r="PK110" t="s">
        <v>1900</v>
      </c>
      <c r="PL110" t="s">
        <v>1900</v>
      </c>
      <c r="PM110" t="s">
        <v>1900</v>
      </c>
      <c r="PN110" t="s">
        <v>1900</v>
      </c>
      <c r="PO110" t="s">
        <v>1900</v>
      </c>
      <c r="PP110" t="s">
        <v>1900</v>
      </c>
      <c r="PQ110" t="s">
        <v>1900</v>
      </c>
      <c r="PR110" t="s">
        <v>1900</v>
      </c>
      <c r="PS110" t="s">
        <v>1900</v>
      </c>
      <c r="PT110" t="s">
        <v>1900</v>
      </c>
      <c r="PU110" t="s">
        <v>1900</v>
      </c>
      <c r="PV110" t="s">
        <v>1900</v>
      </c>
      <c r="PW110" t="s">
        <v>1900</v>
      </c>
      <c r="PX110" t="s">
        <v>1900</v>
      </c>
      <c r="PY110" t="s">
        <v>1900</v>
      </c>
      <c r="PZ110" t="s">
        <v>1900</v>
      </c>
      <c r="QA110" t="s">
        <v>1900</v>
      </c>
      <c r="QB110" t="s">
        <v>1900</v>
      </c>
      <c r="QC110" t="s">
        <v>1900</v>
      </c>
      <c r="QD110" t="s">
        <v>1900</v>
      </c>
      <c r="QE110" t="s">
        <v>1900</v>
      </c>
      <c r="QF110" t="s">
        <v>1900</v>
      </c>
      <c r="QG110" t="s">
        <v>1900</v>
      </c>
      <c r="QH110" t="s">
        <v>1900</v>
      </c>
      <c r="QI110" t="s">
        <v>1900</v>
      </c>
      <c r="QJ110" t="s">
        <v>1900</v>
      </c>
      <c r="QK110" t="s">
        <v>1900</v>
      </c>
      <c r="QL110" t="s">
        <v>1900</v>
      </c>
      <c r="QM110" t="s">
        <v>1900</v>
      </c>
      <c r="QN110" t="s">
        <v>1900</v>
      </c>
      <c r="QO110" t="s">
        <v>1900</v>
      </c>
      <c r="QP110" t="s">
        <v>1900</v>
      </c>
      <c r="QQ110" t="s">
        <v>1900</v>
      </c>
      <c r="QR110" t="s">
        <v>1900</v>
      </c>
      <c r="QS110" t="s">
        <v>1900</v>
      </c>
      <c r="QT110" t="s">
        <v>1900</v>
      </c>
      <c r="QU110" t="s">
        <v>1900</v>
      </c>
      <c r="QV110" t="s">
        <v>1900</v>
      </c>
      <c r="QW110" t="s">
        <v>1900</v>
      </c>
      <c r="QX110" t="s">
        <v>1900</v>
      </c>
      <c r="QY110" t="s">
        <v>1900</v>
      </c>
      <c r="QZ110" t="s">
        <v>1900</v>
      </c>
      <c r="RA110" t="s">
        <v>1900</v>
      </c>
      <c r="RB110" t="s">
        <v>1900</v>
      </c>
      <c r="RC110" t="s">
        <v>1900</v>
      </c>
      <c r="RD110" t="s">
        <v>1900</v>
      </c>
      <c r="RE110" t="s">
        <v>1900</v>
      </c>
      <c r="RF110" t="s">
        <v>1900</v>
      </c>
      <c r="RG110" t="s">
        <v>1900</v>
      </c>
      <c r="RH110" t="s">
        <v>1900</v>
      </c>
      <c r="RI110" t="s">
        <v>1900</v>
      </c>
      <c r="RJ110" t="s">
        <v>1900</v>
      </c>
      <c r="RK110" t="s">
        <v>1900</v>
      </c>
      <c r="RL110" t="s">
        <v>1900</v>
      </c>
      <c r="RM110" t="s">
        <v>1900</v>
      </c>
      <c r="RN110" t="s">
        <v>1900</v>
      </c>
      <c r="RO110" t="s">
        <v>1900</v>
      </c>
      <c r="RP110" t="s">
        <v>1900</v>
      </c>
      <c r="RQ110" t="s">
        <v>1900</v>
      </c>
      <c r="RR110" t="s">
        <v>1900</v>
      </c>
      <c r="RS110" t="s">
        <v>1900</v>
      </c>
      <c r="RT110" t="s">
        <v>1900</v>
      </c>
      <c r="RU110" t="s">
        <v>1900</v>
      </c>
      <c r="RV110" t="s">
        <v>1900</v>
      </c>
      <c r="RW110" t="s">
        <v>1900</v>
      </c>
      <c r="RX110" t="s">
        <v>1900</v>
      </c>
      <c r="RY110" t="s">
        <v>1900</v>
      </c>
      <c r="RZ110" t="s">
        <v>1900</v>
      </c>
      <c r="SA110" t="s">
        <v>1900</v>
      </c>
      <c r="SB110" t="s">
        <v>1900</v>
      </c>
      <c r="SC110" t="s">
        <v>1900</v>
      </c>
      <c r="SD110" t="s">
        <v>1900</v>
      </c>
      <c r="SE110" t="s">
        <v>1900</v>
      </c>
      <c r="SF110" t="s">
        <v>1900</v>
      </c>
      <c r="SG110" t="s">
        <v>1900</v>
      </c>
      <c r="SH110" t="s">
        <v>1900</v>
      </c>
      <c r="SI110" t="s">
        <v>1900</v>
      </c>
      <c r="SJ110">
        <v>55824.6227126098</v>
      </c>
      <c r="SK110">
        <v>56299.9299667168</v>
      </c>
      <c r="SL110">
        <v>54343.3932506919</v>
      </c>
      <c r="SM110">
        <v>57706.1442293644</v>
      </c>
      <c r="SN110">
        <v>54042.8397691429</v>
      </c>
      <c r="SO110" t="s">
        <v>1900</v>
      </c>
      <c r="SP110" t="s">
        <v>1900</v>
      </c>
      <c r="SQ110" t="s">
        <v>1900</v>
      </c>
      <c r="SR110" t="s">
        <v>1900</v>
      </c>
      <c r="SS110" t="s">
        <v>1900</v>
      </c>
      <c r="ST110" t="s">
        <v>1900</v>
      </c>
      <c r="SU110" t="s">
        <v>1900</v>
      </c>
      <c r="SV110" t="s">
        <v>1900</v>
      </c>
      <c r="SW110" t="s">
        <v>1900</v>
      </c>
      <c r="SX110" t="s">
        <v>1900</v>
      </c>
      <c r="SY110" t="s">
        <v>1900</v>
      </c>
      <c r="SZ110" t="s">
        <v>1900</v>
      </c>
      <c r="TA110" t="s">
        <v>1900</v>
      </c>
      <c r="TB110" t="s">
        <v>1900</v>
      </c>
      <c r="TC110" t="s">
        <v>1900</v>
      </c>
      <c r="TD110" t="s">
        <v>1900</v>
      </c>
      <c r="TE110" t="s">
        <v>1900</v>
      </c>
      <c r="TF110" t="s">
        <v>1900</v>
      </c>
      <c r="TG110" t="s">
        <v>1900</v>
      </c>
      <c r="TH110" t="s">
        <v>1900</v>
      </c>
      <c r="TI110" t="s">
        <v>1900</v>
      </c>
      <c r="TJ110" t="s">
        <v>1900</v>
      </c>
      <c r="TK110" t="s">
        <v>1900</v>
      </c>
      <c r="TL110" t="s">
        <v>1900</v>
      </c>
      <c r="TM110" t="s">
        <v>1900</v>
      </c>
      <c r="TN110" t="s">
        <v>1900</v>
      </c>
      <c r="TO110" t="s">
        <v>1900</v>
      </c>
      <c r="TP110" t="s">
        <v>1900</v>
      </c>
      <c r="TQ110" t="s">
        <v>1900</v>
      </c>
      <c r="TR110" t="s">
        <v>1900</v>
      </c>
      <c r="TS110">
        <v>4997482.14613882</v>
      </c>
      <c r="TT110">
        <v>5210438.96068098</v>
      </c>
      <c r="TU110">
        <v>5399626.93005178</v>
      </c>
      <c r="TV110">
        <v>6009237.75711701</v>
      </c>
      <c r="TW110">
        <v>5933685.96707585</v>
      </c>
      <c r="TX110" t="s">
        <v>1900</v>
      </c>
      <c r="TY110" t="s">
        <v>1900</v>
      </c>
      <c r="TZ110" t="s">
        <v>1900</v>
      </c>
      <c r="UA110" t="s">
        <v>1900</v>
      </c>
      <c r="UB110" t="s">
        <v>1900</v>
      </c>
      <c r="UC110">
        <v>215024.352069854</v>
      </c>
      <c r="UD110">
        <v>334538.745436878</v>
      </c>
      <c r="UE110">
        <v>412731.017996609</v>
      </c>
      <c r="UF110">
        <v>84060.33763368129</v>
      </c>
      <c r="UG110">
        <v>69686.2206841052</v>
      </c>
      <c r="UH110" t="s">
        <v>1900</v>
      </c>
      <c r="UI110" t="s">
        <v>1900</v>
      </c>
      <c r="UJ110" t="s">
        <v>1900</v>
      </c>
      <c r="UK110" t="s">
        <v>1900</v>
      </c>
      <c r="UL110" t="s">
        <v>1900</v>
      </c>
      <c r="UM110" t="s">
        <v>1900</v>
      </c>
      <c r="UN110" t="s">
        <v>1900</v>
      </c>
      <c r="UO110" t="s">
        <v>1900</v>
      </c>
      <c r="UP110" t="s">
        <v>1900</v>
      </c>
      <c r="UQ110" t="s">
        <v>1900</v>
      </c>
      <c r="UR110" t="s">
        <v>1900</v>
      </c>
      <c r="US110" t="s">
        <v>1900</v>
      </c>
      <c r="UT110" t="s">
        <v>1900</v>
      </c>
      <c r="UU110" t="s">
        <v>1900</v>
      </c>
      <c r="UV110" t="s">
        <v>1900</v>
      </c>
      <c r="UW110" t="s">
        <v>1900</v>
      </c>
      <c r="UX110" t="s">
        <v>1900</v>
      </c>
      <c r="UY110" t="s">
        <v>1900</v>
      </c>
      <c r="UZ110" t="s">
        <v>1900</v>
      </c>
      <c r="VA110" t="s">
        <v>1900</v>
      </c>
      <c r="VB110" t="s">
        <v>1900</v>
      </c>
      <c r="VC110" t="s">
        <v>1900</v>
      </c>
      <c r="VD110" t="s">
        <v>1900</v>
      </c>
      <c r="VE110" t="s">
        <v>1900</v>
      </c>
      <c r="VF110" t="s">
        <v>1900</v>
      </c>
      <c r="VG110" t="s">
        <v>1900</v>
      </c>
      <c r="VH110" t="s">
        <v>1900</v>
      </c>
      <c r="VI110" t="s">
        <v>1900</v>
      </c>
      <c r="VJ110" t="s">
        <v>1900</v>
      </c>
      <c r="VK110" t="s">
        <v>1900</v>
      </c>
      <c r="VL110" t="s">
        <v>1900</v>
      </c>
      <c r="VM110" t="s">
        <v>1900</v>
      </c>
      <c r="VN110" t="s">
        <v>1900</v>
      </c>
      <c r="VO110" t="s">
        <v>1900</v>
      </c>
      <c r="VP110" t="s">
        <v>1900</v>
      </c>
      <c r="VQ110" t="s">
        <v>1900</v>
      </c>
      <c r="VR110" t="s">
        <v>1900</v>
      </c>
      <c r="VS110" t="s">
        <v>1900</v>
      </c>
      <c r="VT110" t="s">
        <v>1900</v>
      </c>
      <c r="VU110" t="s">
        <v>1900</v>
      </c>
      <c r="VV110" t="s">
        <v>1900</v>
      </c>
      <c r="VW110" t="s">
        <v>1900</v>
      </c>
      <c r="VX110" t="s">
        <v>1900</v>
      </c>
      <c r="VY110" t="s">
        <v>1900</v>
      </c>
      <c r="VZ110" t="s">
        <v>1900</v>
      </c>
      <c r="WA110">
        <v>1854506.3048994</v>
      </c>
      <c r="WB110">
        <v>1810503.73143183</v>
      </c>
      <c r="WC110">
        <v>1852180.85741785</v>
      </c>
      <c r="WD110">
        <v>2311217.4745353</v>
      </c>
      <c r="WE110">
        <v>2258245.93283687</v>
      </c>
      <c r="WF110" t="s">
        <v>1900</v>
      </c>
      <c r="WG110" t="s">
        <v>1900</v>
      </c>
      <c r="WH110" t="s">
        <v>1900</v>
      </c>
      <c r="WI110" t="s">
        <v>1900</v>
      </c>
      <c r="WJ110" t="s">
        <v>1900</v>
      </c>
      <c r="WK110" t="s">
        <v>1900</v>
      </c>
      <c r="WL110" t="s">
        <v>1900</v>
      </c>
      <c r="WM110" t="s">
        <v>1900</v>
      </c>
      <c r="WN110" t="s">
        <v>1900</v>
      </c>
      <c r="WO110" t="s">
        <v>1900</v>
      </c>
      <c r="WP110" t="s">
        <v>1900</v>
      </c>
      <c r="WQ110" t="s">
        <v>1900</v>
      </c>
      <c r="WR110" t="s">
        <v>1900</v>
      </c>
      <c r="WS110" t="s">
        <v>1900</v>
      </c>
      <c r="WT110" t="s">
        <v>1900</v>
      </c>
      <c r="WU110" t="s">
        <v>1900</v>
      </c>
      <c r="WV110" t="s">
        <v>1900</v>
      </c>
      <c r="WW110" t="s">
        <v>1900</v>
      </c>
      <c r="WX110" t="s">
        <v>1900</v>
      </c>
      <c r="WY110" t="s">
        <v>1900</v>
      </c>
      <c r="WZ110" t="s">
        <v>1900</v>
      </c>
      <c r="XA110" t="s">
        <v>1900</v>
      </c>
      <c r="XB110" t="s">
        <v>1900</v>
      </c>
      <c r="XC110" t="s">
        <v>1900</v>
      </c>
      <c r="XD110" t="s">
        <v>1900</v>
      </c>
      <c r="XE110" t="s">
        <v>1900</v>
      </c>
      <c r="XF110" t="s">
        <v>1900</v>
      </c>
      <c r="XG110" t="s">
        <v>1900</v>
      </c>
      <c r="XH110" t="s">
        <v>1900</v>
      </c>
      <c r="XI110" t="s">
        <v>1900</v>
      </c>
      <c r="XJ110">
        <v>223880.17070339</v>
      </c>
      <c r="XK110">
        <v>209669.545647116</v>
      </c>
      <c r="XL110">
        <v>326689.023908526</v>
      </c>
      <c r="XM110">
        <v>572691.100139236</v>
      </c>
      <c r="XN110">
        <v>661871.01629104</v>
      </c>
      <c r="XO110" t="s">
        <v>1900</v>
      </c>
      <c r="XP110" t="s">
        <v>1900</v>
      </c>
      <c r="XQ110" t="s">
        <v>1900</v>
      </c>
      <c r="XR110" t="s">
        <v>1900</v>
      </c>
      <c r="XS110" t="s">
        <v>1900</v>
      </c>
      <c r="XT110" t="s">
        <v>1900</v>
      </c>
      <c r="XU110" t="s">
        <v>1900</v>
      </c>
      <c r="XV110" t="s">
        <v>1900</v>
      </c>
      <c r="XW110" t="s">
        <v>1900</v>
      </c>
      <c r="XX110" t="s">
        <v>1900</v>
      </c>
      <c r="XY110" t="s">
        <v>1900</v>
      </c>
      <c r="XZ110" t="s">
        <v>1900</v>
      </c>
      <c r="YA110" t="s">
        <v>1900</v>
      </c>
      <c r="YB110" t="s">
        <v>1900</v>
      </c>
      <c r="YC110" t="s">
        <v>1900</v>
      </c>
      <c r="YD110" t="s">
        <v>1900</v>
      </c>
      <c r="YE110" t="s">
        <v>1900</v>
      </c>
      <c r="YF110" t="s">
        <v>1900</v>
      </c>
      <c r="YG110" t="s">
        <v>1900</v>
      </c>
      <c r="YH110" t="s">
        <v>1900</v>
      </c>
      <c r="YI110" t="s">
        <v>1900</v>
      </c>
      <c r="YJ110" t="s">
        <v>1900</v>
      </c>
      <c r="YK110" t="s">
        <v>1900</v>
      </c>
      <c r="YL110" t="s">
        <v>1900</v>
      </c>
      <c r="YM110" t="s">
        <v>1900</v>
      </c>
      <c r="YN110" t="s">
        <v>1900</v>
      </c>
      <c r="YO110" t="s">
        <v>1900</v>
      </c>
      <c r="YP110" t="s">
        <v>1900</v>
      </c>
      <c r="YQ110" t="s">
        <v>1900</v>
      </c>
      <c r="YR110" t="s">
        <v>1900</v>
      </c>
      <c r="YS110" t="s">
        <v>1900</v>
      </c>
      <c r="YT110" t="s">
        <v>1900</v>
      </c>
      <c r="YU110" t="s">
        <v>1900</v>
      </c>
      <c r="YV110" t="s">
        <v>1900</v>
      </c>
      <c r="YW110" t="s">
        <v>1900</v>
      </c>
      <c r="YX110" t="s">
        <v>1900</v>
      </c>
      <c r="YY110" t="s">
        <v>1900</v>
      </c>
      <c r="YZ110" t="s">
        <v>1900</v>
      </c>
      <c r="ZA110" t="s">
        <v>1900</v>
      </c>
      <c r="ZB110" t="s">
        <v>1900</v>
      </c>
      <c r="ZC110" t="s">
        <v>1900</v>
      </c>
      <c r="ZD110" t="s">
        <v>1900</v>
      </c>
      <c r="ZE110" t="s">
        <v>1900</v>
      </c>
      <c r="ZF110" t="s">
        <v>1900</v>
      </c>
      <c r="ZG110" t="s">
        <v>1900</v>
      </c>
      <c r="ZH110" t="s">
        <v>1900</v>
      </c>
      <c r="ZI110" t="s">
        <v>1900</v>
      </c>
      <c r="ZJ110" t="s">
        <v>1900</v>
      </c>
      <c r="ZK110" t="s">
        <v>1900</v>
      </c>
      <c r="ZL110" t="s">
        <v>1900</v>
      </c>
      <c r="ZM110" t="s">
        <v>1900</v>
      </c>
      <c r="ZN110" t="s">
        <v>1900</v>
      </c>
      <c r="ZO110" t="s">
        <v>1900</v>
      </c>
      <c r="ZP110" t="s">
        <v>1900</v>
      </c>
      <c r="ZQ110" t="s">
        <v>1900</v>
      </c>
      <c r="ZR110" t="s">
        <v>1900</v>
      </c>
      <c r="ZS110" t="s">
        <v>1900</v>
      </c>
      <c r="ZT110" t="s">
        <v>1900</v>
      </c>
      <c r="ZU110" t="s">
        <v>1900</v>
      </c>
      <c r="ZV110" t="s">
        <v>1900</v>
      </c>
      <c r="ZW110" t="s">
        <v>1900</v>
      </c>
      <c r="ZX110" t="s">
        <v>1900</v>
      </c>
      <c r="ZY110" t="s">
        <v>1900</v>
      </c>
      <c r="ZZ110" t="s">
        <v>1900</v>
      </c>
      <c r="AAA110" t="s">
        <v>1900</v>
      </c>
      <c r="AAB110" t="s">
        <v>1900</v>
      </c>
      <c r="AAC110" t="s">
        <v>1900</v>
      </c>
      <c r="AAD110" t="s">
        <v>1900</v>
      </c>
      <c r="AAE110" t="s">
        <v>1900</v>
      </c>
      <c r="AAF110" t="s">
        <v>1900</v>
      </c>
      <c r="AAG110" t="s">
        <v>1900</v>
      </c>
      <c r="AAH110" t="s">
        <v>1900</v>
      </c>
      <c r="AAI110" t="s">
        <v>1900</v>
      </c>
      <c r="AAJ110" t="s">
        <v>1900</v>
      </c>
      <c r="AAK110" t="s">
        <v>1900</v>
      </c>
      <c r="AAL110" t="s">
        <v>1900</v>
      </c>
      <c r="AAM110" t="s">
        <v>1900</v>
      </c>
      <c r="AAN110" t="s">
        <v>1900</v>
      </c>
      <c r="AAO110" t="s">
        <v>1900</v>
      </c>
      <c r="AAP110" t="s">
        <v>1900</v>
      </c>
      <c r="AAQ110" t="s">
        <v>1900</v>
      </c>
      <c r="AAR110" t="s">
        <v>1900</v>
      </c>
      <c r="AAS110" t="s">
        <v>1900</v>
      </c>
      <c r="AAT110" t="s">
        <v>1900</v>
      </c>
      <c r="AAU110" t="s">
        <v>1900</v>
      </c>
      <c r="AAV110" t="s">
        <v>1900</v>
      </c>
      <c r="AAW110" t="s">
        <v>1900</v>
      </c>
      <c r="AAX110" t="s">
        <v>1900</v>
      </c>
      <c r="AAY110" t="s">
        <v>1900</v>
      </c>
      <c r="AAZ110" t="s">
        <v>1900</v>
      </c>
      <c r="ABA110" t="s">
        <v>1900</v>
      </c>
      <c r="ABB110" t="s">
        <v>1900</v>
      </c>
      <c r="ABC110" t="s">
        <v>1900</v>
      </c>
      <c r="ABD110" t="s">
        <v>1900</v>
      </c>
      <c r="ABE110" t="s">
        <v>1900</v>
      </c>
      <c r="ABF110" t="s">
        <v>1900</v>
      </c>
      <c r="ABG110" t="s">
        <v>1900</v>
      </c>
      <c r="ABH110" t="s">
        <v>1900</v>
      </c>
      <c r="ABI110" t="s">
        <v>1900</v>
      </c>
      <c r="ABJ110" t="s">
        <v>1900</v>
      </c>
      <c r="ABK110" t="s">
        <v>1900</v>
      </c>
      <c r="ABL110" t="s">
        <v>1900</v>
      </c>
      <c r="ABM110" t="s">
        <v>1900</v>
      </c>
      <c r="ABN110" t="s">
        <v>1900</v>
      </c>
      <c r="ABO110" t="s">
        <v>1900</v>
      </c>
      <c r="ABP110" t="s">
        <v>1900</v>
      </c>
      <c r="ABQ110" t="s">
        <v>1900</v>
      </c>
      <c r="ABR110" t="s">
        <v>1900</v>
      </c>
      <c r="ABS110" t="s">
        <v>1900</v>
      </c>
      <c r="ABT110" t="s">
        <v>1900</v>
      </c>
      <c r="ABU110" t="s">
        <v>1900</v>
      </c>
      <c r="ABV110" t="s">
        <v>1900</v>
      </c>
      <c r="ABW110" t="s">
        <v>1900</v>
      </c>
      <c r="ABX110" t="s">
        <v>1900</v>
      </c>
      <c r="ABY110" t="s">
        <v>1900</v>
      </c>
      <c r="ABZ110" t="s">
        <v>1900</v>
      </c>
      <c r="ACA110" t="s">
        <v>1900</v>
      </c>
      <c r="ACB110" t="s">
        <v>1900</v>
      </c>
      <c r="ACC110" t="s">
        <v>1900</v>
      </c>
      <c r="ACD110" t="s">
        <v>1900</v>
      </c>
      <c r="ACE110">
        <v>2.894</v>
      </c>
      <c r="ACF110">
        <v>4.731</v>
      </c>
      <c r="ACG110">
        <v>-8.196999999999999</v>
      </c>
      <c r="ACH110">
        <v>6.604</v>
      </c>
      <c r="ACI110">
        <v>11.485</v>
      </c>
      <c r="ACJ110">
        <v>3.19</v>
      </c>
      <c r="ACK110">
        <v>4.592</v>
      </c>
      <c r="ACL110">
        <v>-7.166</v>
      </c>
      <c r="ACM110">
        <v>5.579</v>
      </c>
      <c r="ACN110">
        <v>9.455</v>
      </c>
      <c r="ACO110">
        <v>1.545</v>
      </c>
      <c r="ACP110">
        <v>2.552</v>
      </c>
      <c r="ACQ110">
        <v>-3.925</v>
      </c>
      <c r="ACR110">
        <v>3.239</v>
      </c>
      <c r="ACS110">
        <v>5.689</v>
      </c>
      <c r="ACT110">
        <v>2.894</v>
      </c>
      <c r="ACU110">
        <v>4.731</v>
      </c>
      <c r="ACV110">
        <v>-8.196999999999999</v>
      </c>
      <c r="ACW110">
        <v>6.604</v>
      </c>
      <c r="ACX110">
        <v>11.485</v>
      </c>
      <c r="ACY110">
        <v>3.19</v>
      </c>
      <c r="ACZ110">
        <v>4.592</v>
      </c>
      <c r="ADA110">
        <v>-7.166</v>
      </c>
      <c r="ADB110">
        <v>5.579</v>
      </c>
      <c r="ADC110">
        <v>9.455</v>
      </c>
      <c r="ADD110">
        <v>1.545</v>
      </c>
      <c r="ADE110">
        <v>2.552</v>
      </c>
      <c r="ADF110">
        <v>-3.925</v>
      </c>
      <c r="ADG110">
        <v>3.239</v>
      </c>
      <c r="ADH110">
        <v>5.689</v>
      </c>
      <c r="ADI110">
        <v>0.832</v>
      </c>
      <c r="ADJ110">
        <v>1.369</v>
      </c>
      <c r="ADK110">
        <v>-2.389</v>
      </c>
      <c r="ADL110">
        <v>2.338</v>
      </c>
      <c r="ADM110">
        <v>4.302</v>
      </c>
      <c r="ADN110">
        <v>90.441</v>
      </c>
      <c r="ADO110">
        <v>86.017</v>
      </c>
      <c r="ADP110">
        <v>86.47199999999999</v>
      </c>
      <c r="ADQ110">
        <v>92.65300000000001</v>
      </c>
      <c r="ADR110">
        <v>94.065</v>
      </c>
      <c r="ADS110">
        <v>0.994555382</v>
      </c>
      <c r="ADT110">
        <v>1.427685474</v>
      </c>
      <c r="ADU110">
        <v>-2.349655147</v>
      </c>
      <c r="ADV110">
        <v>2.359037085</v>
      </c>
      <c r="ADW110">
        <v>4.341617545</v>
      </c>
      <c r="ADX110">
        <v>10.542</v>
      </c>
      <c r="ADY110">
        <v>11.443</v>
      </c>
      <c r="ADZ110">
        <v>8.237</v>
      </c>
      <c r="AEA110">
        <v>13.477</v>
      </c>
      <c r="AEB110">
        <v>16.597</v>
      </c>
      <c r="AEC110">
        <v>0.995</v>
      </c>
      <c r="AED110">
        <v>1.428</v>
      </c>
      <c r="AEE110">
        <v>-2.35</v>
      </c>
      <c r="AEF110">
        <v>2.359</v>
      </c>
      <c r="AEG110">
        <v>4.342</v>
      </c>
      <c r="AEH110">
        <v>10.38</v>
      </c>
      <c r="AEI110">
        <v>11.384</v>
      </c>
      <c r="AEJ110">
        <v>8.196999999999999</v>
      </c>
      <c r="AEK110">
        <v>13.456</v>
      </c>
      <c r="AEL110">
        <v>16.557</v>
      </c>
      <c r="AEM110">
        <v>1.00454615</v>
      </c>
      <c r="AEN110">
        <v>1.44836355</v>
      </c>
      <c r="AEO110">
        <v>-2.29571379</v>
      </c>
      <c r="AEP110">
        <v>2.41603218</v>
      </c>
      <c r="AEQ110">
        <v>4.538669203</v>
      </c>
      <c r="AER110">
        <v>1.011119051</v>
      </c>
      <c r="AES110">
        <v>1.01687791</v>
      </c>
      <c r="AET110">
        <v>0.973546437</v>
      </c>
      <c r="AEU110">
        <v>1.026126065</v>
      </c>
      <c r="AEV110">
        <v>1.048389064</v>
      </c>
      <c r="AEW110" t="s">
        <v>1900</v>
      </c>
      <c r="AEX110" t="s">
        <v>1900</v>
      </c>
      <c r="AEY110" t="s">
        <v>1900</v>
      </c>
      <c r="AEZ110" t="s">
        <v>1900</v>
      </c>
      <c r="AFA110" t="s">
        <v>1900</v>
      </c>
      <c r="AFB110" t="s">
        <v>1900</v>
      </c>
      <c r="AFC110" t="s">
        <v>1900</v>
      </c>
      <c r="AFD110" t="s">
        <v>1900</v>
      </c>
      <c r="AFE110" t="s">
        <v>1900</v>
      </c>
      <c r="AFF110" t="s">
        <v>1900</v>
      </c>
      <c r="AFG110">
        <v>3.208</v>
      </c>
      <c r="AFH110">
        <v>3.216</v>
      </c>
      <c r="AFI110">
        <v>3.046</v>
      </c>
      <c r="AFJ110">
        <v>2.365</v>
      </c>
      <c r="AFK110">
        <v>2.179</v>
      </c>
      <c r="AFL110">
        <v>6.136</v>
      </c>
      <c r="AFM110">
        <v>24.205</v>
      </c>
      <c r="AFN110">
        <v>-64.43600000000001</v>
      </c>
      <c r="AFO110">
        <v>113.883</v>
      </c>
      <c r="AFP110">
        <v>116.881</v>
      </c>
      <c r="AFQ110" t="s">
        <v>1901</v>
      </c>
      <c r="AFR110" t="s">
        <v>1901</v>
      </c>
      <c r="AFS110" t="s">
        <v>1901</v>
      </c>
      <c r="AFT110" t="s">
        <v>1901</v>
      </c>
      <c r="AFU110" t="s">
        <v>1901</v>
      </c>
      <c r="AFV110">
        <v>19.865</v>
      </c>
      <c r="AFW110">
        <v>29.253</v>
      </c>
      <c r="AFX110">
        <v>34.052</v>
      </c>
      <c r="AFY110">
        <v>45.622</v>
      </c>
      <c r="AFZ110">
        <v>63.274</v>
      </c>
      <c r="AGA110">
        <v>1.402</v>
      </c>
      <c r="AGB110">
        <v>1.646</v>
      </c>
      <c r="AGC110">
        <v>9.044</v>
      </c>
      <c r="AGD110">
        <v>4.053</v>
      </c>
      <c r="AGE110">
        <v>0.214</v>
      </c>
      <c r="AGF110" t="s">
        <v>1900</v>
      </c>
      <c r="AGG110" t="s">
        <v>1900</v>
      </c>
      <c r="AGH110" t="s">
        <v>1900</v>
      </c>
      <c r="AGI110" t="s">
        <v>1900</v>
      </c>
      <c r="AGJ110" t="s">
        <v>1900</v>
      </c>
      <c r="AGK110" t="s">
        <v>1900</v>
      </c>
      <c r="AGL110" t="s">
        <v>1900</v>
      </c>
      <c r="AGM110" t="s">
        <v>1900</v>
      </c>
      <c r="AGN110" t="s">
        <v>1900</v>
      </c>
      <c r="AGO110" t="s">
        <v>1900</v>
      </c>
      <c r="AGP110" t="s">
        <v>1900</v>
      </c>
      <c r="AGQ110" t="s">
        <v>1900</v>
      </c>
      <c r="AGR110" t="s">
        <v>1900</v>
      </c>
      <c r="AGS110" t="s">
        <v>1900</v>
      </c>
      <c r="AGT110" t="s">
        <v>1900</v>
      </c>
      <c r="AGU110">
        <v>0</v>
      </c>
      <c r="AGV110">
        <v>0</v>
      </c>
      <c r="AGW110">
        <v>0</v>
      </c>
      <c r="AGX110">
        <v>0</v>
      </c>
      <c r="AGY110">
        <v>0</v>
      </c>
      <c r="AGZ110">
        <v>1.008</v>
      </c>
      <c r="AHA110">
        <v>0.953</v>
      </c>
      <c r="AHB110">
        <v>0.89</v>
      </c>
      <c r="AHC110">
        <v>1.1</v>
      </c>
      <c r="AHD110">
        <v>1.173</v>
      </c>
      <c r="AHE110">
        <v>1.008</v>
      </c>
      <c r="AHF110">
        <v>0.953</v>
      </c>
      <c r="AHG110">
        <v>0.89</v>
      </c>
      <c r="AHH110">
        <v>1.1</v>
      </c>
      <c r="AHI110">
        <v>1.173</v>
      </c>
      <c r="AHJ110">
        <v>11.917</v>
      </c>
      <c r="AHK110">
        <v>13.408</v>
      </c>
      <c r="AHL110">
        <v>7.913</v>
      </c>
      <c r="AHM110">
        <v>5.147</v>
      </c>
      <c r="AHN110">
        <v>4.441</v>
      </c>
      <c r="AHO110">
        <v>53.386</v>
      </c>
      <c r="AHP110">
        <v>53.955</v>
      </c>
      <c r="AHQ110">
        <v>47.878</v>
      </c>
      <c r="AHR110">
        <v>49.05</v>
      </c>
      <c r="AHS110">
        <v>49.534</v>
      </c>
      <c r="AHT110" t="s">
        <v>1901</v>
      </c>
      <c r="AHU110" t="s">
        <v>1901</v>
      </c>
      <c r="AHV110">
        <v>91.857</v>
      </c>
      <c r="AHW110">
        <v>96.271</v>
      </c>
      <c r="AHX110">
        <v>98.155</v>
      </c>
      <c r="AHY110">
        <v>16.451</v>
      </c>
      <c r="AHZ110">
        <v>19.358</v>
      </c>
      <c r="AIA110">
        <v>28.602</v>
      </c>
      <c r="AIB110">
        <v>22.281</v>
      </c>
      <c r="AIC110">
        <v>24.89</v>
      </c>
      <c r="AID110">
        <v>1.11705497</v>
      </c>
      <c r="AIE110">
        <v>1.080521822</v>
      </c>
      <c r="AIF110">
        <v>1.006428665</v>
      </c>
      <c r="AIG110">
        <v>0.9602905819999999</v>
      </c>
      <c r="AIH110">
        <v>0.910780248</v>
      </c>
      <c r="AII110">
        <v>32.232943708</v>
      </c>
      <c r="AIJ110">
        <v>24.911544104</v>
      </c>
      <c r="AIK110">
        <v>25.451525108</v>
      </c>
      <c r="AIL110">
        <v>28.003831245</v>
      </c>
      <c r="AIM110">
        <v>22.851727653</v>
      </c>
      <c r="AIN110">
        <v>37.108813012</v>
      </c>
      <c r="AIO110">
        <v>34.747623858</v>
      </c>
      <c r="AIP110">
        <v>34.302015332</v>
      </c>
      <c r="AIQ110">
        <v>38.461075563</v>
      </c>
      <c r="AIR110">
        <v>38.058062819</v>
      </c>
      <c r="AIS110">
        <v>0</v>
      </c>
      <c r="AIT110">
        <v>0</v>
      </c>
      <c r="AIU110">
        <v>0</v>
      </c>
      <c r="AIV110">
        <v>0</v>
      </c>
      <c r="AIW110">
        <v>0</v>
      </c>
      <c r="AIX110">
        <v>0.536240464830637</v>
      </c>
      <c r="AIY110">
        <v>0.963698557496071</v>
      </c>
      <c r="AIZ110">
        <v>-1.3671917558378</v>
      </c>
      <c r="AJA110">
        <v>1.28917776957035</v>
      </c>
      <c r="AJB110">
        <v>2.72231488739014</v>
      </c>
      <c r="AJC110">
        <v>64.41646216730059</v>
      </c>
      <c r="AJD110">
        <v>70.40966472399229</v>
      </c>
      <c r="AJE110">
        <v>57.2191417253423</v>
      </c>
      <c r="AJF110">
        <v>55.1325478767157</v>
      </c>
      <c r="AJG110">
        <v>63.2849258889991</v>
      </c>
      <c r="AJH110">
        <v>74.02800000000001</v>
      </c>
      <c r="AJI110">
        <v>68.548</v>
      </c>
      <c r="AJJ110">
        <v>70.66500000000001</v>
      </c>
      <c r="AJK110">
        <v>72.782</v>
      </c>
      <c r="AJL110">
        <v>73.879</v>
      </c>
      <c r="AJM110">
        <v>47.6861631731664</v>
      </c>
      <c r="AJN110">
        <v>48.2643575204506</v>
      </c>
      <c r="AJO110">
        <v>40.4337999953479</v>
      </c>
      <c r="AJP110">
        <v>40.1266154082871</v>
      </c>
      <c r="AJQ110">
        <v>46.7543043236756</v>
      </c>
      <c r="AJR110">
        <v>18.5273209304144</v>
      </c>
      <c r="AJS110">
        <v>20.3716675925541</v>
      </c>
      <c r="AJT110">
        <v>16.6788599032831</v>
      </c>
      <c r="AJU110">
        <v>19.520088812077</v>
      </c>
      <c r="AJV110">
        <v>23.7033519686055</v>
      </c>
      <c r="AJW110">
        <v>3.30351769374657</v>
      </c>
      <c r="AJX110">
        <v>5.39929209813595</v>
      </c>
      <c r="AJY110">
        <v>3.97488031390011</v>
      </c>
      <c r="AJZ110">
        <v>6.36598616136074</v>
      </c>
      <c r="AKA110">
        <v>11.0853954202837</v>
      </c>
      <c r="AKB110">
        <v>34.7047373279723</v>
      </c>
      <c r="AKC110">
        <v>37.7568039347897</v>
      </c>
      <c r="AKD110">
        <v>34.8363029465598</v>
      </c>
      <c r="AKE110">
        <v>39.7962766722107</v>
      </c>
      <c r="AKF110">
        <v>47.8523066413099</v>
      </c>
      <c r="AKG110">
        <v>0</v>
      </c>
      <c r="AKH110">
        <v>0</v>
      </c>
      <c r="AKI110">
        <v>0</v>
      </c>
      <c r="AKJ110">
        <v>0</v>
      </c>
      <c r="AKK110">
        <v>0</v>
      </c>
      <c r="AKL110">
        <v>0</v>
      </c>
      <c r="AKM110">
        <v>0</v>
      </c>
      <c r="AKN110">
        <v>0</v>
      </c>
      <c r="AKO110">
        <v>0</v>
      </c>
      <c r="AKP110">
        <v>0</v>
      </c>
      <c r="AKQ110">
        <v>0</v>
      </c>
      <c r="AKR110">
        <v>0</v>
      </c>
      <c r="AKS110">
        <v>0</v>
      </c>
      <c r="AKT110">
        <v>0</v>
      </c>
      <c r="AKU110">
        <v>0</v>
      </c>
      <c r="AKV110">
        <v>27.477361138</v>
      </c>
      <c r="AKW110">
        <v>27.594478326</v>
      </c>
      <c r="AKX110">
        <v>29.109965701</v>
      </c>
      <c r="AKY110">
        <v>30.843148032</v>
      </c>
      <c r="AKZ110">
        <v>34.385959545</v>
      </c>
      <c r="ALA110">
        <v>51.001521029</v>
      </c>
      <c r="ALB110">
        <v>51.458750925</v>
      </c>
      <c r="ALC110">
        <v>47.813548522</v>
      </c>
      <c r="ALD110">
        <v>42.729157032</v>
      </c>
      <c r="ALE110">
        <v>45.475611605</v>
      </c>
      <c r="ALF110">
        <v>2.912755762</v>
      </c>
      <c r="ALG110">
        <v>3.966149885</v>
      </c>
      <c r="ALH110">
        <v>6.205160157</v>
      </c>
      <c r="ALI110">
        <v>7.759972249</v>
      </c>
      <c r="ALJ110">
        <v>5.684189297</v>
      </c>
      <c r="ALK110">
        <v>5.406449823</v>
      </c>
      <c r="ALL110">
        <v>7.396157907</v>
      </c>
      <c r="ALM110">
        <v>10.192067188</v>
      </c>
      <c r="ALN110">
        <v>10.750428991</v>
      </c>
      <c r="ALO110">
        <v>7.517370118</v>
      </c>
      <c r="ALP110">
        <v>5.51795249</v>
      </c>
      <c r="ALQ110">
        <v>8.125728260000001</v>
      </c>
      <c r="ALR110">
        <v>9.458928961</v>
      </c>
      <c r="ALS110">
        <v>12.672642179</v>
      </c>
      <c r="ALT110">
        <v>17.57611971</v>
      </c>
      <c r="ALU110">
        <v>7.060189961</v>
      </c>
      <c r="ALV110">
        <v>5.628204474</v>
      </c>
      <c r="ALW110">
        <v>26.558623246</v>
      </c>
      <c r="ALX110">
        <v>8.884885696</v>
      </c>
      <c r="ALY110">
        <v>0.338386056</v>
      </c>
      <c r="ALZ110">
        <v>90.4406260588492</v>
      </c>
      <c r="AMA110">
        <v>86.01668201616749</v>
      </c>
      <c r="AMB110">
        <v>86.472222113786</v>
      </c>
      <c r="AMC110">
        <v>92.6534247682045</v>
      </c>
      <c r="AMD110">
        <v>94.0647316087296</v>
      </c>
      <c r="AME110">
        <v>90.57495797228231</v>
      </c>
      <c r="AMF110">
        <v>86.04768299893961</v>
      </c>
      <c r="AMG110">
        <v>86.472222113786</v>
      </c>
      <c r="AMH110">
        <v>92.6534247682045</v>
      </c>
      <c r="AMI110">
        <v>94.0647316087296</v>
      </c>
      <c r="AMJ110">
        <v>946.093610477186</v>
      </c>
      <c r="AMK110">
        <v>615.137853444907</v>
      </c>
      <c r="AML110">
        <v>639.219707168483</v>
      </c>
      <c r="AMM110">
        <v>1261.1784654053</v>
      </c>
      <c r="AMN110">
        <v>1584.84377884082</v>
      </c>
      <c r="AMO110">
        <v>1.01111905055594</v>
      </c>
      <c r="AMP110">
        <v>1.01687790989803</v>
      </c>
      <c r="AMQ110">
        <v>0.973546436633432</v>
      </c>
      <c r="AMR110">
        <v>1.02612606547884</v>
      </c>
      <c r="AMS110">
        <v>1.04838906440226</v>
      </c>
      <c r="AMT110">
        <v>1.01111905055594</v>
      </c>
      <c r="AMU110">
        <v>1.01687791003247</v>
      </c>
      <c r="AMV110">
        <v>0.973546436768829</v>
      </c>
      <c r="AMW110">
        <v>1.02612606547884</v>
      </c>
      <c r="AMX110">
        <v>1.04838906440226</v>
      </c>
      <c r="AMY110">
        <v>1.01111905055594</v>
      </c>
      <c r="AMZ110">
        <v>1.01687791003247</v>
      </c>
      <c r="ANA110">
        <v>0.973546436768829</v>
      </c>
      <c r="ANB110">
        <v>1.02612606547884</v>
      </c>
      <c r="ANC110">
        <v>1.04838906439383</v>
      </c>
      <c r="AND110">
        <v>0.994555381887521</v>
      </c>
      <c r="ANE110">
        <v>1.42768547357478</v>
      </c>
      <c r="ANF110">
        <v>-2.34965514674076</v>
      </c>
      <c r="ANG110">
        <v>2.35903708498362</v>
      </c>
      <c r="ANH110">
        <v>4.34161754481068</v>
      </c>
      <c r="ANI110">
        <v>0.996032599961811</v>
      </c>
      <c r="ANJ110">
        <v>1.42820002088971</v>
      </c>
      <c r="ANK110">
        <v>-2.34965514674076</v>
      </c>
      <c r="ANL110">
        <v>2.35903708498362</v>
      </c>
      <c r="ANM110">
        <v>4.34161754481068</v>
      </c>
      <c r="ANN110">
        <v>1.00454614968273</v>
      </c>
      <c r="ANO110">
        <v>1.44836354957664</v>
      </c>
      <c r="ANP110">
        <v>-2.29571378953062</v>
      </c>
      <c r="ANQ110">
        <v>2.41603218009726</v>
      </c>
      <c r="ANR110">
        <v>4.53866920323945</v>
      </c>
      <c r="ANS110">
        <v>3.19020007098309</v>
      </c>
      <c r="ANT110">
        <v>4.59196941692287</v>
      </c>
      <c r="ANU110">
        <v>-7.15647030091011</v>
      </c>
      <c r="ANV110">
        <v>5.57891090873835</v>
      </c>
      <c r="ANW110">
        <v>9.461063485950019</v>
      </c>
      <c r="ANX110">
        <v>90.4406260588492</v>
      </c>
      <c r="ANY110">
        <v>86.0166820275398</v>
      </c>
      <c r="ANZ110">
        <v>86.47222212581219</v>
      </c>
      <c r="AOA110">
        <v>92.6534247682045</v>
      </c>
      <c r="AOB110">
        <v>94.0647316243668</v>
      </c>
      <c r="AOC110">
        <v>91.34914388567231</v>
      </c>
      <c r="AOD110">
        <v>87.2625162850449</v>
      </c>
      <c r="AOE110">
        <v>84.4870673866063</v>
      </c>
      <c r="AOF110">
        <v>94.8919613265665</v>
      </c>
      <c r="AOG110">
        <v>98.3340186133649</v>
      </c>
      <c r="AOH110" t="s">
        <v>1901</v>
      </c>
      <c r="AOI110" t="s">
        <v>1901</v>
      </c>
      <c r="AOJ110" t="s">
        <v>1901</v>
      </c>
      <c r="AOK110" t="s">
        <v>1901</v>
      </c>
      <c r="AOL110" t="s">
        <v>1901</v>
      </c>
      <c r="AOM110">
        <v>10.4039803025823</v>
      </c>
      <c r="AON110">
        <v>10.2099192508285</v>
      </c>
      <c r="AOO110">
        <v>-17.3691138972951</v>
      </c>
      <c r="AOP110">
        <v>32.1107047917221</v>
      </c>
      <c r="AOQ110">
        <v>73.1494731162427</v>
      </c>
      <c r="AOR110">
        <v>1.11190505559423</v>
      </c>
      <c r="AOS110">
        <v>1.68779100324705</v>
      </c>
      <c r="AOT110">
        <v>-2.64535632311707</v>
      </c>
      <c r="AOU110">
        <v>2.61260654788403</v>
      </c>
      <c r="AOV110">
        <v>4.83890644022644</v>
      </c>
      <c r="AOW110">
        <v>1.84602287566217</v>
      </c>
      <c r="AOX110">
        <v>2.66237724505255</v>
      </c>
      <c r="AOY110">
        <v>-3.85934327523833</v>
      </c>
      <c r="AOZ110">
        <v>3.26813806238625</v>
      </c>
      <c r="APA110">
        <v>5.74181194357348</v>
      </c>
      <c r="APB110">
        <v>0.83245876197171</v>
      </c>
      <c r="APC110">
        <v>1.36870254556669</v>
      </c>
      <c r="APD110">
        <v>-2.38939487471505</v>
      </c>
      <c r="APE110">
        <v>2.33832352876662</v>
      </c>
      <c r="APF110">
        <v>4.30167931194941</v>
      </c>
      <c r="APG110">
        <v>0.83369521712713</v>
      </c>
      <c r="APH110">
        <v>1.36919583504311</v>
      </c>
      <c r="API110">
        <v>-2.38939487471505</v>
      </c>
      <c r="APJ110">
        <v>2.33832352876662</v>
      </c>
      <c r="APK110">
        <v>4.30167931194941</v>
      </c>
      <c r="APL110">
        <v>8.708297918843551</v>
      </c>
      <c r="APM110">
        <v>9.78811000552454</v>
      </c>
      <c r="APN110">
        <v>-17.6628777980915</v>
      </c>
      <c r="APO110">
        <v>31.8287563250766</v>
      </c>
      <c r="APP110">
        <v>72.47657628439531</v>
      </c>
      <c r="APQ110">
        <v>0.930682315803643</v>
      </c>
      <c r="APR110">
        <v>1.61806216094962</v>
      </c>
      <c r="APS110">
        <v>-2.69009724640599</v>
      </c>
      <c r="APT110">
        <v>2.58966652165596</v>
      </c>
      <c r="APU110">
        <v>4.79439368197239</v>
      </c>
      <c r="APV110">
        <v>0.840821194412794</v>
      </c>
      <c r="APW110">
        <v>1.3885263343388</v>
      </c>
      <c r="APX110">
        <v>-2.33454120708988</v>
      </c>
      <c r="APY110">
        <v>2.39481817769641</v>
      </c>
      <c r="APZ110">
        <v>4.49691830610298</v>
      </c>
      <c r="AQA110">
        <v>1.54515067298583</v>
      </c>
      <c r="AQB110">
        <v>2.55238466735817</v>
      </c>
      <c r="AQC110">
        <v>-3.92461636526183</v>
      </c>
      <c r="AQD110">
        <v>3.23944213305513</v>
      </c>
      <c r="AQE110">
        <v>5.68899342142563</v>
      </c>
      <c r="AQF110">
        <v>0.0111190505559423</v>
      </c>
      <c r="AQG110">
        <v>0.0168779100324705</v>
      </c>
      <c r="AQH110">
        <v>-0.0264535632311707</v>
      </c>
      <c r="AQI110">
        <v>0.0261260654788403</v>
      </c>
      <c r="AQJ110">
        <v>0.048389064393831</v>
      </c>
      <c r="AQK110">
        <v>23</v>
      </c>
      <c r="AQO110" t="s">
        <v>1903</v>
      </c>
      <c r="AQP110">
        <v>15</v>
      </c>
      <c r="AQQ110">
        <v>0</v>
      </c>
      <c r="AQS110" t="s">
        <v>1905</v>
      </c>
      <c r="AQU110" t="s">
        <v>1906</v>
      </c>
      <c r="AQV110">
        <v>9275970.47936832</v>
      </c>
      <c r="AQW110">
        <v>9716533.77611096</v>
      </c>
      <c r="AQX110">
        <v>8868966.967428049</v>
      </c>
      <c r="AQY110">
        <v>92254.6636248553</v>
      </c>
      <c r="AQZ110">
        <v>138721.541256523</v>
      </c>
      <c r="ARA110">
        <v>-208390.138812912</v>
      </c>
      <c r="ARB110">
        <v>27861471.22290733</v>
      </c>
      <c r="ARC110">
        <v>22586.06606846629</v>
      </c>
      <c r="ARD110">
        <v>0.0008113135975532349</v>
      </c>
      <c r="ARE110">
        <v>0.0008113135975532349</v>
      </c>
      <c r="ARF110">
        <v>0.0008113135975532349</v>
      </c>
      <c r="ARG110">
        <v>0.0008113135975532349</v>
      </c>
      <c r="ARH110">
        <v>0.0008113135975532349</v>
      </c>
      <c r="ARI110">
        <v>0.0008113135975532349</v>
      </c>
      <c r="ARJ110" t="s">
        <v>1271</v>
      </c>
      <c r="ARK110" t="s">
        <v>1609</v>
      </c>
      <c r="ARL110" t="s">
        <v>1908</v>
      </c>
      <c r="ARM110" t="s">
        <v>1908</v>
      </c>
      <c r="ARN110" t="s">
        <v>1909</v>
      </c>
      <c r="ARO110" t="s">
        <v>1908</v>
      </c>
      <c r="ARP110" t="s">
        <v>1907</v>
      </c>
      <c r="ARQ110" t="s">
        <v>2003</v>
      </c>
      <c r="ARR110">
        <f>HYPERLINK("C:\Users\Usuario\Documents\Proyectos\llmthon\evidence\sigmaaie_org_000149.png", "Ver Evidencia")</f>
        <v>0</v>
      </c>
      <c r="ARS110">
        <v>95</v>
      </c>
    </row>
    <row r="111" spans="1:1163">
      <c r="A111">
        <v>304</v>
      </c>
      <c r="B111" t="s">
        <v>1272</v>
      </c>
      <c r="C111" t="s">
        <v>1395</v>
      </c>
      <c r="E111" s="2">
        <v>37377</v>
      </c>
      <c r="F111" t="s">
        <v>1431</v>
      </c>
      <c r="G111" t="s">
        <v>1433</v>
      </c>
      <c r="H111" t="s">
        <v>1434</v>
      </c>
      <c r="I111" t="s">
        <v>1435</v>
      </c>
      <c r="J111" t="s">
        <v>1496</v>
      </c>
      <c r="L111" t="s">
        <v>1610</v>
      </c>
      <c r="N111" t="s">
        <v>1630</v>
      </c>
      <c r="O111" t="s">
        <v>1654</v>
      </c>
      <c r="P111">
        <v>6209</v>
      </c>
      <c r="Q111">
        <v>6209</v>
      </c>
      <c r="R111" t="s">
        <v>1778</v>
      </c>
      <c r="S111" t="s">
        <v>1837</v>
      </c>
      <c r="T111" t="s">
        <v>1868</v>
      </c>
      <c r="U111" t="s">
        <v>1873</v>
      </c>
      <c r="X111" t="s">
        <v>1894</v>
      </c>
      <c r="Z111" t="s">
        <v>1899</v>
      </c>
      <c r="AA111" s="2">
        <v>45657</v>
      </c>
      <c r="AB111">
        <v>2024</v>
      </c>
      <c r="AC111">
        <v>2490404.40292546</v>
      </c>
      <c r="AD111">
        <v>2599223.61504962</v>
      </c>
      <c r="AE111">
        <v>2959018.78197629</v>
      </c>
      <c r="AF111">
        <v>2309894.77859223</v>
      </c>
      <c r="AG111">
        <v>1984044.3742127</v>
      </c>
      <c r="AH111">
        <v>2490404.40292546</v>
      </c>
      <c r="AI111">
        <v>2598383.95832279</v>
      </c>
      <c r="AJ111">
        <v>2955089.14147968</v>
      </c>
      <c r="AK111">
        <v>2309894.77859223</v>
      </c>
      <c r="AL111">
        <v>1980599.63651735</v>
      </c>
      <c r="AM111">
        <v>1183473.73602258</v>
      </c>
      <c r="AN111">
        <v>1173311.35031772</v>
      </c>
      <c r="AO111">
        <v>1230936.14465701</v>
      </c>
      <c r="AP111">
        <v>994015.649838717</v>
      </c>
      <c r="AQ111">
        <v>773972.832313454</v>
      </c>
      <c r="AR111">
        <v>1306930.66690288</v>
      </c>
      <c r="AS111">
        <v>1425912.2647319</v>
      </c>
      <c r="AT111">
        <v>1728082.63625268</v>
      </c>
      <c r="AU111">
        <v>1315879.12762091</v>
      </c>
      <c r="AV111">
        <v>1210071.54189925</v>
      </c>
      <c r="AW111">
        <v>1001398.01016944</v>
      </c>
      <c r="AX111">
        <v>1088639.19556789</v>
      </c>
      <c r="AY111">
        <v>1097643.99482638</v>
      </c>
      <c r="AZ111">
        <v>1108649.86567082</v>
      </c>
      <c r="BA111">
        <v>1064296.57495533</v>
      </c>
      <c r="BB111">
        <v>305532.65673344</v>
      </c>
      <c r="BC111">
        <v>337273.069164009</v>
      </c>
      <c r="BD111">
        <v>630438.639293105</v>
      </c>
      <c r="BE111">
        <v>207229.261950088</v>
      </c>
      <c r="BF111">
        <v>145774.966943914</v>
      </c>
      <c r="BG111">
        <v>8778.929678514</v>
      </c>
      <c r="BH111">
        <v>-434.961345205307</v>
      </c>
      <c r="BI111">
        <v>-704.4676300048829</v>
      </c>
      <c r="BJ111">
        <v>-1901.40939617157</v>
      </c>
      <c r="BK111">
        <v>24532.6232209623</v>
      </c>
      <c r="BL111">
        <v>8830.646097660059</v>
      </c>
      <c r="BM111">
        <v>169.020875854492</v>
      </c>
      <c r="BN111">
        <v>24.6384481787682</v>
      </c>
      <c r="BO111" t="s">
        <v>1900</v>
      </c>
      <c r="BP111">
        <v>26651.7500851214</v>
      </c>
      <c r="BQ111">
        <v>51.7164191460609</v>
      </c>
      <c r="BR111">
        <v>603.982221059799</v>
      </c>
      <c r="BS111">
        <v>729.106078183651</v>
      </c>
      <c r="BT111">
        <v>1901.40939617157</v>
      </c>
      <c r="BU111">
        <v>2119.12686415911</v>
      </c>
      <c r="BV111">
        <v>314311.586411954</v>
      </c>
      <c r="BW111">
        <v>336838.107818804</v>
      </c>
      <c r="BX111">
        <v>629734.1716631</v>
      </c>
      <c r="BY111">
        <v>205327.852553916</v>
      </c>
      <c r="BZ111">
        <v>170307.590164876</v>
      </c>
      <c r="CA111">
        <v>78570.1022591829</v>
      </c>
      <c r="CB111">
        <v>84078.3053833103</v>
      </c>
      <c r="CC111">
        <v>157455.352208811</v>
      </c>
      <c r="CD111">
        <v>51421.1525811911</v>
      </c>
      <c r="CE111">
        <v>32268.7357733011</v>
      </c>
      <c r="CF111">
        <v>235741.484152771</v>
      </c>
      <c r="CG111">
        <v>252759.802435493</v>
      </c>
      <c r="CH111">
        <v>472278.818387689</v>
      </c>
      <c r="CI111">
        <v>153906.699972725</v>
      </c>
      <c r="CJ111">
        <v>138038.854391575</v>
      </c>
      <c r="CK111" t="s">
        <v>1900</v>
      </c>
      <c r="CL111" t="s">
        <v>1900</v>
      </c>
      <c r="CM111" t="s">
        <v>1900</v>
      </c>
      <c r="CN111" t="s">
        <v>1900</v>
      </c>
      <c r="CO111" t="s">
        <v>1900</v>
      </c>
      <c r="CP111" t="s">
        <v>1900</v>
      </c>
      <c r="CQ111" t="s">
        <v>1900</v>
      </c>
      <c r="CR111" t="s">
        <v>1900</v>
      </c>
      <c r="CS111" t="s">
        <v>1900</v>
      </c>
      <c r="CT111" t="s">
        <v>1900</v>
      </c>
      <c r="CU111" t="s">
        <v>1900</v>
      </c>
      <c r="CV111" t="s">
        <v>1900</v>
      </c>
      <c r="CW111" t="s">
        <v>1900</v>
      </c>
      <c r="CX111" t="s">
        <v>1900</v>
      </c>
      <c r="CY111" t="s">
        <v>1900</v>
      </c>
      <c r="CZ111">
        <v>235741.484152771</v>
      </c>
      <c r="DA111">
        <v>252759.802435493</v>
      </c>
      <c r="DB111">
        <v>472278.818387689</v>
      </c>
      <c r="DC111">
        <v>153906.699972725</v>
      </c>
      <c r="DD111">
        <v>138038.854391575</v>
      </c>
      <c r="DE111" t="s">
        <v>1900</v>
      </c>
      <c r="DF111" t="s">
        <v>1900</v>
      </c>
      <c r="DG111" t="s">
        <v>1900</v>
      </c>
      <c r="DH111" t="s">
        <v>1900</v>
      </c>
      <c r="DI111" t="s">
        <v>1900</v>
      </c>
      <c r="DJ111">
        <v>1185879.82735931</v>
      </c>
      <c r="DK111">
        <v>1169106.04993043</v>
      </c>
      <c r="DL111">
        <v>1235384.76153321</v>
      </c>
      <c r="DM111">
        <v>995505.088331652</v>
      </c>
      <c r="DN111">
        <v>765409.949337131</v>
      </c>
      <c r="DO111">
        <v>860420.391757685</v>
      </c>
      <c r="DP111">
        <v>927391.987152128</v>
      </c>
      <c r="DQ111">
        <v>887822.300311512</v>
      </c>
      <c r="DR111">
        <v>919826.4233613251</v>
      </c>
      <c r="DS111">
        <v>903645.642727327</v>
      </c>
      <c r="DT111">
        <v>28506.7385066223</v>
      </c>
      <c r="DU111">
        <v>36182.1251880932</v>
      </c>
      <c r="DV111">
        <v>37483.4524858892</v>
      </c>
      <c r="DW111">
        <v>27341.9341324568</v>
      </c>
      <c r="DX111">
        <v>32110.5749445975</v>
      </c>
      <c r="DY111">
        <v>112470.879905132</v>
      </c>
      <c r="DZ111">
        <v>125065.083227673</v>
      </c>
      <c r="EA111">
        <v>172338.243095579</v>
      </c>
      <c r="EB111">
        <v>161481.508177042</v>
      </c>
      <c r="EC111">
        <v>128540.357283407</v>
      </c>
      <c r="ED111">
        <v>51.7164191460609</v>
      </c>
      <c r="EE111">
        <v>603.982221059799</v>
      </c>
      <c r="EF111">
        <v>729.106078183651</v>
      </c>
      <c r="EG111">
        <v>1876.78666548729</v>
      </c>
      <c r="EH111">
        <v>2119.12686415911</v>
      </c>
      <c r="EI111" t="s">
        <v>1900</v>
      </c>
      <c r="EJ111" t="s">
        <v>1900</v>
      </c>
      <c r="EK111" t="s">
        <v>1900</v>
      </c>
      <c r="EL111" t="s">
        <v>1900</v>
      </c>
      <c r="EM111" t="s">
        <v>1900</v>
      </c>
      <c r="EN111">
        <v>264248.221620494</v>
      </c>
      <c r="EO111">
        <v>288941.926518586</v>
      </c>
      <c r="EP111">
        <v>509762.271940178</v>
      </c>
      <c r="EQ111">
        <v>181248.634105182</v>
      </c>
      <c r="ER111">
        <v>170149.429336172</v>
      </c>
      <c r="ES111">
        <v>1203290.43309541</v>
      </c>
      <c r="ET111">
        <v>1301016.20238008</v>
      </c>
      <c r="EU111">
        <v>1555769.02947208</v>
      </c>
      <c r="EV111">
        <v>1154372.99671319</v>
      </c>
      <c r="EW111">
        <v>1108182.93470096</v>
      </c>
      <c r="EX111">
        <v>334039.395240062</v>
      </c>
      <c r="EY111">
        <v>373455.194352102</v>
      </c>
      <c r="EZ111">
        <v>667922.090712394</v>
      </c>
      <c r="FA111">
        <v>234571.196082544</v>
      </c>
      <c r="FB111">
        <v>177885.541888511</v>
      </c>
      <c r="FC111">
        <v>309075.71972773</v>
      </c>
      <c r="FD111">
        <v>359534.961654873</v>
      </c>
      <c r="FE111">
        <v>378692.863179708</v>
      </c>
      <c r="FF111">
        <v>318298.639833856</v>
      </c>
      <c r="FG111">
        <v>88754.1657819331</v>
      </c>
      <c r="FH111">
        <v>0</v>
      </c>
      <c r="FI111">
        <v>0</v>
      </c>
      <c r="FJ111">
        <v>0</v>
      </c>
      <c r="FK111">
        <v>0</v>
      </c>
      <c r="FL111">
        <v>0</v>
      </c>
      <c r="FM111">
        <v>262461.959566759</v>
      </c>
      <c r="FN111">
        <v>308021.606536312</v>
      </c>
      <c r="FO111">
        <v>331445.918968225</v>
      </c>
      <c r="FP111">
        <v>284607.405007768</v>
      </c>
      <c r="FQ111">
        <v>73208.7810170233</v>
      </c>
      <c r="FR111">
        <v>46613.7601609707</v>
      </c>
      <c r="FS111">
        <v>51513.3551185608</v>
      </c>
      <c r="FT111">
        <v>47246.944211483</v>
      </c>
      <c r="FU111">
        <v>33691.234826088</v>
      </c>
      <c r="FV111">
        <v>15545.3847649097</v>
      </c>
      <c r="FW111">
        <v>0</v>
      </c>
      <c r="FX111">
        <v>0</v>
      </c>
      <c r="FY111">
        <v>0</v>
      </c>
      <c r="FZ111">
        <v>0</v>
      </c>
      <c r="GA111">
        <v>0</v>
      </c>
      <c r="GB111">
        <v>262461.959566759</v>
      </c>
      <c r="GC111">
        <v>308021.606536312</v>
      </c>
      <c r="GD111">
        <v>331445.918968225</v>
      </c>
      <c r="GE111">
        <v>284607.405007768</v>
      </c>
      <c r="GF111">
        <v>73208.7810170233</v>
      </c>
      <c r="GG111">
        <v>46613.7601609707</v>
      </c>
      <c r="GH111">
        <v>51513.3551185608</v>
      </c>
      <c r="GI111">
        <v>47246.944211483</v>
      </c>
      <c r="GJ111">
        <v>33691.234826088</v>
      </c>
      <c r="GK111">
        <v>15545.3847649097</v>
      </c>
      <c r="GL111">
        <v>1036116.11086221</v>
      </c>
      <c r="GM111">
        <v>971524.845058413</v>
      </c>
      <c r="GN111">
        <v>1142332.35032064</v>
      </c>
      <c r="GO111">
        <v>1039855.53045337</v>
      </c>
      <c r="GP111">
        <v>996254.826855373</v>
      </c>
      <c r="GQ111">
        <v>49991.845908165</v>
      </c>
      <c r="GR111">
        <v>50447.8252403641</v>
      </c>
      <c r="GS111">
        <v>58431.2851133704</v>
      </c>
      <c r="GT111">
        <v>53492.2368294239</v>
      </c>
      <c r="GU111">
        <v>39217.0137624264</v>
      </c>
      <c r="GV111">
        <v>537202.278025603</v>
      </c>
      <c r="GW111">
        <v>455830.296171036</v>
      </c>
      <c r="GX111">
        <v>754290.561304438</v>
      </c>
      <c r="GY111">
        <v>484446.82370975</v>
      </c>
      <c r="GZ111">
        <v>359363.085659295</v>
      </c>
      <c r="HA111">
        <v>448921.986928438</v>
      </c>
      <c r="HB111">
        <v>465246.723647013</v>
      </c>
      <c r="HC111">
        <v>329610.503902835</v>
      </c>
      <c r="HD111">
        <v>501916.469914198</v>
      </c>
      <c r="HE111">
        <v>597674.727433652</v>
      </c>
      <c r="HF111">
        <v>448921.986928438</v>
      </c>
      <c r="HG111">
        <v>465246.723647013</v>
      </c>
      <c r="HH111">
        <v>329610.503902835</v>
      </c>
      <c r="HI111">
        <v>501916.469914198</v>
      </c>
      <c r="HJ111">
        <v>597674.727433652</v>
      </c>
      <c r="HK111">
        <v>1345191.83058994</v>
      </c>
      <c r="HL111">
        <v>1331059.80671329</v>
      </c>
      <c r="HM111">
        <v>1521025.21350035</v>
      </c>
      <c r="HN111">
        <v>1358154.17028723</v>
      </c>
      <c r="HO111">
        <v>1085008.99263731</v>
      </c>
      <c r="HP111">
        <v>1015180.56053981</v>
      </c>
      <c r="HQ111">
        <v>970731.675702448</v>
      </c>
      <c r="HR111">
        <v>906340.792614561</v>
      </c>
      <c r="HS111">
        <v>788243.0715806721</v>
      </c>
      <c r="HT111">
        <v>698624.505499929</v>
      </c>
      <c r="HU111">
        <v>73188.3948574066</v>
      </c>
      <c r="HV111">
        <v>77845.0749359131</v>
      </c>
      <c r="HW111">
        <v>75139.8007488251</v>
      </c>
      <c r="HX111">
        <v>79789.4264602661</v>
      </c>
      <c r="HY111">
        <v>86446.69144630431</v>
      </c>
      <c r="HZ111">
        <v>941992.165682403</v>
      </c>
      <c r="IA111">
        <v>892886.600766535</v>
      </c>
      <c r="IB111">
        <v>831200.991865736</v>
      </c>
      <c r="IC111">
        <v>708453.6451204061</v>
      </c>
      <c r="ID111">
        <v>612177.814053625</v>
      </c>
      <c r="IE111">
        <v>0</v>
      </c>
      <c r="IF111">
        <v>0</v>
      </c>
      <c r="IG111">
        <v>4109.650492239</v>
      </c>
      <c r="IH111">
        <v>5338.70409128666</v>
      </c>
      <c r="II111">
        <v>23184.3355947196</v>
      </c>
      <c r="IJ111" t="s">
        <v>1900</v>
      </c>
      <c r="IK111" t="s">
        <v>1900</v>
      </c>
      <c r="IL111">
        <v>4109.650492239</v>
      </c>
      <c r="IM111">
        <v>5338.70409128666</v>
      </c>
      <c r="IN111">
        <v>23184.3355947196</v>
      </c>
      <c r="IO111" t="s">
        <v>1900</v>
      </c>
      <c r="IP111" t="s">
        <v>1900</v>
      </c>
      <c r="IQ111">
        <v>0</v>
      </c>
      <c r="IR111">
        <v>0</v>
      </c>
      <c r="IS111">
        <v>0</v>
      </c>
      <c r="IT111" t="s">
        <v>1900</v>
      </c>
      <c r="IU111" t="s">
        <v>1900</v>
      </c>
      <c r="IV111">
        <v>0</v>
      </c>
      <c r="IW111">
        <v>0</v>
      </c>
      <c r="IX111">
        <v>0</v>
      </c>
      <c r="IY111">
        <v>330011.270050126</v>
      </c>
      <c r="IZ111">
        <v>360328.131010838</v>
      </c>
      <c r="JA111">
        <v>610574.77039355</v>
      </c>
      <c r="JB111">
        <v>564572.394615269</v>
      </c>
      <c r="JC111">
        <v>363200.151542658</v>
      </c>
      <c r="JD111">
        <v>314.495669021606</v>
      </c>
      <c r="JE111">
        <v>11761.9788786316</v>
      </c>
      <c r="JF111">
        <v>11085.3391373873</v>
      </c>
      <c r="JG111">
        <v>6809.39691653252</v>
      </c>
      <c r="JH111">
        <v>3140.94472178817</v>
      </c>
      <c r="JI111">
        <v>145787.079168411</v>
      </c>
      <c r="JJ111">
        <v>115301.928696089</v>
      </c>
      <c r="JK111">
        <v>168734.855117041</v>
      </c>
      <c r="JL111">
        <v>335851.849288988</v>
      </c>
      <c r="JM111">
        <v>138349.641831142</v>
      </c>
      <c r="JN111">
        <v>183909.695212693</v>
      </c>
      <c r="JO111">
        <v>233264.223436117</v>
      </c>
      <c r="JP111">
        <v>430754.576139122</v>
      </c>
      <c r="JQ111">
        <v>221911.148409748</v>
      </c>
      <c r="JR111">
        <v>221709.564989728</v>
      </c>
      <c r="JS111">
        <v>1345191.83058994</v>
      </c>
      <c r="JT111">
        <v>1331059.80671329</v>
      </c>
      <c r="JU111">
        <v>1521025.21350035</v>
      </c>
      <c r="JV111">
        <v>1358154.17028723</v>
      </c>
      <c r="JW111">
        <v>1085008.99263731</v>
      </c>
      <c r="JX111">
        <v>441407.044765357</v>
      </c>
      <c r="JY111">
        <v>390976.191610311</v>
      </c>
      <c r="JZ111">
        <v>643986.991300768</v>
      </c>
      <c r="KA111">
        <v>202087.211250186</v>
      </c>
      <c r="KB111">
        <v>260230.456363481</v>
      </c>
      <c r="KC111" t="s">
        <v>1900</v>
      </c>
      <c r="KD111" t="s">
        <v>1900</v>
      </c>
      <c r="KE111" t="s">
        <v>1900</v>
      </c>
      <c r="KF111" t="s">
        <v>1900</v>
      </c>
      <c r="KG111" t="s">
        <v>1900</v>
      </c>
      <c r="KH111" t="s">
        <v>1900</v>
      </c>
      <c r="KI111" t="s">
        <v>1900</v>
      </c>
      <c r="KJ111" t="s">
        <v>1900</v>
      </c>
      <c r="KK111" t="s">
        <v>1900</v>
      </c>
      <c r="KL111" t="s">
        <v>1900</v>
      </c>
      <c r="KM111">
        <v>20</v>
      </c>
      <c r="KN111">
        <v>20</v>
      </c>
      <c r="KO111">
        <v>20</v>
      </c>
      <c r="KP111">
        <v>20</v>
      </c>
      <c r="KQ111">
        <v>20</v>
      </c>
      <c r="KR111" t="s">
        <v>1900</v>
      </c>
      <c r="KS111" t="s">
        <v>1900</v>
      </c>
      <c r="KT111" t="s">
        <v>1900</v>
      </c>
      <c r="KU111" t="s">
        <v>1900</v>
      </c>
      <c r="KV111" t="s">
        <v>1900</v>
      </c>
      <c r="KW111" t="s">
        <v>1900</v>
      </c>
      <c r="KX111" t="s">
        <v>1900</v>
      </c>
      <c r="KY111" t="s">
        <v>1900</v>
      </c>
      <c r="KZ111" t="s">
        <v>1900</v>
      </c>
      <c r="LA111" t="s">
        <v>1900</v>
      </c>
      <c r="LB111" t="s">
        <v>1900</v>
      </c>
      <c r="LC111" t="s">
        <v>1900</v>
      </c>
      <c r="LD111" t="s">
        <v>1900</v>
      </c>
      <c r="LE111" t="s">
        <v>1900</v>
      </c>
      <c r="LF111" t="s">
        <v>1900</v>
      </c>
      <c r="LG111" t="s">
        <v>1900</v>
      </c>
      <c r="LH111" t="s">
        <v>1900</v>
      </c>
      <c r="LI111" t="s">
        <v>1900</v>
      </c>
      <c r="LJ111" t="s">
        <v>1900</v>
      </c>
      <c r="LK111" t="s">
        <v>1900</v>
      </c>
      <c r="LL111" t="s">
        <v>1900</v>
      </c>
      <c r="LM111" t="s">
        <v>1900</v>
      </c>
      <c r="LN111" t="s">
        <v>1900</v>
      </c>
      <c r="LO111" t="s">
        <v>1900</v>
      </c>
      <c r="LP111" t="s">
        <v>1900</v>
      </c>
      <c r="LQ111" t="s">
        <v>1900</v>
      </c>
      <c r="LR111" t="s">
        <v>1900</v>
      </c>
      <c r="LS111" t="s">
        <v>1900</v>
      </c>
      <c r="LT111" t="s">
        <v>1900</v>
      </c>
      <c r="LU111" t="s">
        <v>1900</v>
      </c>
      <c r="LV111" t="s">
        <v>1900</v>
      </c>
      <c r="LW111" t="s">
        <v>1900</v>
      </c>
      <c r="LX111" t="s">
        <v>1900</v>
      </c>
      <c r="LY111" t="s">
        <v>1900</v>
      </c>
      <c r="LZ111" t="s">
        <v>1900</v>
      </c>
      <c r="MA111" t="s">
        <v>1900</v>
      </c>
      <c r="MB111" t="s">
        <v>1900</v>
      </c>
      <c r="MC111" t="s">
        <v>1900</v>
      </c>
      <c r="MD111" t="s">
        <v>1900</v>
      </c>
      <c r="ME111" t="s">
        <v>1900</v>
      </c>
      <c r="MF111" t="s">
        <v>1900</v>
      </c>
      <c r="MG111" t="s">
        <v>1900</v>
      </c>
      <c r="MH111" t="s">
        <v>1900</v>
      </c>
      <c r="MI111" t="s">
        <v>1900</v>
      </c>
      <c r="MJ111" t="s">
        <v>1900</v>
      </c>
      <c r="MK111" t="s">
        <v>1900</v>
      </c>
      <c r="ML111" t="s">
        <v>1900</v>
      </c>
      <c r="MM111" t="s">
        <v>1900</v>
      </c>
      <c r="MN111" t="s">
        <v>1900</v>
      </c>
      <c r="MO111" t="s">
        <v>1900</v>
      </c>
      <c r="MP111">
        <v>448921.986928438</v>
      </c>
      <c r="MQ111">
        <v>465246.723647013</v>
      </c>
      <c r="MR111">
        <v>329610.503902835</v>
      </c>
      <c r="MS111">
        <v>501916.469914198</v>
      </c>
      <c r="MT111">
        <v>597674.727433652</v>
      </c>
      <c r="MU111" t="s">
        <v>1900</v>
      </c>
      <c r="MV111" t="s">
        <v>1900</v>
      </c>
      <c r="MW111" t="s">
        <v>1900</v>
      </c>
      <c r="MX111" t="s">
        <v>1900</v>
      </c>
      <c r="MY111" t="s">
        <v>1900</v>
      </c>
      <c r="MZ111" t="s">
        <v>1900</v>
      </c>
      <c r="NA111" t="s">
        <v>1900</v>
      </c>
      <c r="NB111" t="s">
        <v>1900</v>
      </c>
      <c r="NC111" t="s">
        <v>1900</v>
      </c>
      <c r="ND111" t="s">
        <v>1900</v>
      </c>
      <c r="NE111" t="s">
        <v>1900</v>
      </c>
      <c r="NF111" t="s">
        <v>1900</v>
      </c>
      <c r="NG111" t="s">
        <v>1900</v>
      </c>
      <c r="NH111" t="s">
        <v>1900</v>
      </c>
      <c r="NI111" t="s">
        <v>1900</v>
      </c>
      <c r="NJ111" t="s">
        <v>1900</v>
      </c>
      <c r="NK111" t="s">
        <v>1900</v>
      </c>
      <c r="NL111" t="s">
        <v>1900</v>
      </c>
      <c r="NM111" t="s">
        <v>1900</v>
      </c>
      <c r="NN111" t="s">
        <v>1900</v>
      </c>
      <c r="NO111" t="s">
        <v>1900</v>
      </c>
      <c r="NP111" t="s">
        <v>1900</v>
      </c>
      <c r="NQ111" t="s">
        <v>1900</v>
      </c>
      <c r="NR111" t="s">
        <v>1900</v>
      </c>
      <c r="NS111" t="s">
        <v>1900</v>
      </c>
      <c r="NT111">
        <v>309075.71972773</v>
      </c>
      <c r="NU111">
        <v>359534.961654873</v>
      </c>
      <c r="NV111">
        <v>378692.863179708</v>
      </c>
      <c r="NW111">
        <v>318298.639833856</v>
      </c>
      <c r="NX111">
        <v>88754.1657819331</v>
      </c>
      <c r="NY111" t="s">
        <v>1900</v>
      </c>
      <c r="NZ111" t="s">
        <v>1900</v>
      </c>
      <c r="OA111" t="s">
        <v>1900</v>
      </c>
      <c r="OB111" t="s">
        <v>1900</v>
      </c>
      <c r="OC111" t="s">
        <v>1900</v>
      </c>
      <c r="OD111" t="s">
        <v>1900</v>
      </c>
      <c r="OE111" t="s">
        <v>1900</v>
      </c>
      <c r="OF111" t="s">
        <v>1900</v>
      </c>
      <c r="OG111" t="s">
        <v>1900</v>
      </c>
      <c r="OH111" t="s">
        <v>1900</v>
      </c>
      <c r="OI111" t="s">
        <v>1900</v>
      </c>
      <c r="OJ111" t="s">
        <v>1900</v>
      </c>
      <c r="OK111" t="s">
        <v>1900</v>
      </c>
      <c r="OL111" t="s">
        <v>1900</v>
      </c>
      <c r="OM111" t="s">
        <v>1900</v>
      </c>
      <c r="ON111" t="s">
        <v>1900</v>
      </c>
      <c r="OO111" t="s">
        <v>1900</v>
      </c>
      <c r="OP111" t="s">
        <v>1900</v>
      </c>
      <c r="OQ111" t="s">
        <v>1900</v>
      </c>
      <c r="OR111" t="s">
        <v>1900</v>
      </c>
      <c r="OS111" t="s">
        <v>1900</v>
      </c>
      <c r="OT111" t="s">
        <v>1900</v>
      </c>
      <c r="OU111" t="s">
        <v>1900</v>
      </c>
      <c r="OV111" t="s">
        <v>1900</v>
      </c>
      <c r="OW111" t="s">
        <v>1900</v>
      </c>
      <c r="OX111" t="s">
        <v>1900</v>
      </c>
      <c r="OY111" t="s">
        <v>1900</v>
      </c>
      <c r="OZ111" t="s">
        <v>1900</v>
      </c>
      <c r="PA111" t="s">
        <v>1900</v>
      </c>
      <c r="PB111" t="s">
        <v>1900</v>
      </c>
      <c r="PC111" t="s">
        <v>1900</v>
      </c>
      <c r="PD111" t="s">
        <v>1900</v>
      </c>
      <c r="PE111" t="s">
        <v>1900</v>
      </c>
      <c r="PF111" t="s">
        <v>1900</v>
      </c>
      <c r="PG111" t="s">
        <v>1900</v>
      </c>
      <c r="PH111" t="s">
        <v>1900</v>
      </c>
      <c r="PI111" t="s">
        <v>1900</v>
      </c>
      <c r="PJ111" t="s">
        <v>1900</v>
      </c>
      <c r="PK111" t="s">
        <v>1900</v>
      </c>
      <c r="PL111" t="s">
        <v>1900</v>
      </c>
      <c r="PM111" t="s">
        <v>1900</v>
      </c>
      <c r="PN111" t="s">
        <v>1900</v>
      </c>
      <c r="PO111" t="s">
        <v>1900</v>
      </c>
      <c r="PP111" t="s">
        <v>1900</v>
      </c>
      <c r="PQ111" t="s">
        <v>1900</v>
      </c>
      <c r="PR111" t="s">
        <v>1900</v>
      </c>
      <c r="PS111" t="s">
        <v>1900</v>
      </c>
      <c r="PT111" t="s">
        <v>1900</v>
      </c>
      <c r="PU111" t="s">
        <v>1900</v>
      </c>
      <c r="PV111" t="s">
        <v>1900</v>
      </c>
      <c r="PW111" t="s">
        <v>1900</v>
      </c>
      <c r="PX111" t="s">
        <v>1900</v>
      </c>
      <c r="PY111" t="s">
        <v>1900</v>
      </c>
      <c r="PZ111" t="s">
        <v>1900</v>
      </c>
      <c r="QA111" t="s">
        <v>1900</v>
      </c>
      <c r="QB111" t="s">
        <v>1900</v>
      </c>
      <c r="QC111" t="s">
        <v>1900</v>
      </c>
      <c r="QD111" t="s">
        <v>1900</v>
      </c>
      <c r="QE111" t="s">
        <v>1900</v>
      </c>
      <c r="QF111" t="s">
        <v>1900</v>
      </c>
      <c r="QG111" t="s">
        <v>1900</v>
      </c>
      <c r="QH111" t="s">
        <v>1900</v>
      </c>
      <c r="QI111" t="s">
        <v>1900</v>
      </c>
      <c r="QJ111" t="s">
        <v>1900</v>
      </c>
      <c r="QK111" t="s">
        <v>1900</v>
      </c>
      <c r="QL111" t="s">
        <v>1900</v>
      </c>
      <c r="QM111" t="s">
        <v>1900</v>
      </c>
      <c r="QN111" t="s">
        <v>1900</v>
      </c>
      <c r="QO111" t="s">
        <v>1900</v>
      </c>
      <c r="QP111" t="s">
        <v>1900</v>
      </c>
      <c r="QQ111" t="s">
        <v>1900</v>
      </c>
      <c r="QR111" t="s">
        <v>1900</v>
      </c>
      <c r="QS111" t="s">
        <v>1900</v>
      </c>
      <c r="QT111" t="s">
        <v>1900</v>
      </c>
      <c r="QU111" t="s">
        <v>1900</v>
      </c>
      <c r="QV111" t="s">
        <v>1900</v>
      </c>
      <c r="QW111" t="s">
        <v>1900</v>
      </c>
      <c r="QX111" t="s">
        <v>1900</v>
      </c>
      <c r="QY111" t="s">
        <v>1900</v>
      </c>
      <c r="QZ111" t="s">
        <v>1900</v>
      </c>
      <c r="RA111" t="s">
        <v>1900</v>
      </c>
      <c r="RB111" t="s">
        <v>1900</v>
      </c>
      <c r="RC111" t="s">
        <v>1900</v>
      </c>
      <c r="RD111" t="s">
        <v>1900</v>
      </c>
      <c r="RE111" t="s">
        <v>1900</v>
      </c>
      <c r="RF111" t="s">
        <v>1900</v>
      </c>
      <c r="RG111" t="s">
        <v>1900</v>
      </c>
      <c r="RH111" t="s">
        <v>1900</v>
      </c>
      <c r="RI111" t="s">
        <v>1900</v>
      </c>
      <c r="RJ111" t="s">
        <v>1900</v>
      </c>
      <c r="RK111" t="s">
        <v>1900</v>
      </c>
      <c r="RL111" t="s">
        <v>1900</v>
      </c>
      <c r="RM111" t="s">
        <v>1900</v>
      </c>
      <c r="RN111" t="s">
        <v>1900</v>
      </c>
      <c r="RO111" t="s">
        <v>1900</v>
      </c>
      <c r="RP111" t="s">
        <v>1900</v>
      </c>
      <c r="RQ111" t="s">
        <v>1900</v>
      </c>
      <c r="RR111" t="s">
        <v>1900</v>
      </c>
      <c r="RS111" t="s">
        <v>1900</v>
      </c>
      <c r="RT111" t="s">
        <v>1900</v>
      </c>
      <c r="RU111" t="s">
        <v>1900</v>
      </c>
      <c r="RV111" t="s">
        <v>1900</v>
      </c>
      <c r="RW111" t="s">
        <v>1900</v>
      </c>
      <c r="RX111" t="s">
        <v>1900</v>
      </c>
      <c r="RY111" t="s">
        <v>1900</v>
      </c>
      <c r="RZ111" t="s">
        <v>1900</v>
      </c>
      <c r="SA111" t="s">
        <v>1900</v>
      </c>
      <c r="SB111" t="s">
        <v>1900</v>
      </c>
      <c r="SC111" t="s">
        <v>1900</v>
      </c>
      <c r="SD111" t="s">
        <v>1900</v>
      </c>
      <c r="SE111" t="s">
        <v>1900</v>
      </c>
      <c r="SF111" t="s">
        <v>1900</v>
      </c>
      <c r="SG111" t="s">
        <v>1900</v>
      </c>
      <c r="SH111" t="s">
        <v>1900</v>
      </c>
      <c r="SI111" t="s">
        <v>1900</v>
      </c>
      <c r="SJ111">
        <v>46613.7601609707</v>
      </c>
      <c r="SK111">
        <v>51513.3551185608</v>
      </c>
      <c r="SL111">
        <v>47246.944211483</v>
      </c>
      <c r="SM111">
        <v>33691.234826088</v>
      </c>
      <c r="SN111">
        <v>15545.3847649097</v>
      </c>
      <c r="SO111" t="s">
        <v>1900</v>
      </c>
      <c r="SP111" t="s">
        <v>1900</v>
      </c>
      <c r="SQ111" t="s">
        <v>1900</v>
      </c>
      <c r="SR111" t="s">
        <v>1900</v>
      </c>
      <c r="SS111" t="s">
        <v>1900</v>
      </c>
      <c r="ST111" t="s">
        <v>1900</v>
      </c>
      <c r="SU111" t="s">
        <v>1900</v>
      </c>
      <c r="SV111" t="s">
        <v>1900</v>
      </c>
      <c r="SW111" t="s">
        <v>1900</v>
      </c>
      <c r="SX111" t="s">
        <v>1900</v>
      </c>
      <c r="SY111" t="s">
        <v>1900</v>
      </c>
      <c r="SZ111" t="s">
        <v>1900</v>
      </c>
      <c r="TA111" t="s">
        <v>1900</v>
      </c>
      <c r="TB111" t="s">
        <v>1900</v>
      </c>
      <c r="TC111" t="s">
        <v>1900</v>
      </c>
      <c r="TD111" t="s">
        <v>1900</v>
      </c>
      <c r="TE111" t="s">
        <v>1900</v>
      </c>
      <c r="TF111" t="s">
        <v>1900</v>
      </c>
      <c r="TG111" t="s">
        <v>1900</v>
      </c>
      <c r="TH111" t="s">
        <v>1900</v>
      </c>
      <c r="TI111" t="s">
        <v>1900</v>
      </c>
      <c r="TJ111" t="s">
        <v>1900</v>
      </c>
      <c r="TK111" t="s">
        <v>1900</v>
      </c>
      <c r="TL111" t="s">
        <v>1900</v>
      </c>
      <c r="TM111" t="s">
        <v>1900</v>
      </c>
      <c r="TN111" t="s">
        <v>1900</v>
      </c>
      <c r="TO111" t="s">
        <v>1900</v>
      </c>
      <c r="TP111" t="s">
        <v>1900</v>
      </c>
      <c r="TQ111" t="s">
        <v>1900</v>
      </c>
      <c r="TR111" t="s">
        <v>1900</v>
      </c>
      <c r="TS111">
        <v>1345191.83058994</v>
      </c>
      <c r="TT111">
        <v>1331059.80671329</v>
      </c>
      <c r="TU111">
        <v>1521025.21350035</v>
      </c>
      <c r="TV111">
        <v>1358154.17028723</v>
      </c>
      <c r="TW111">
        <v>1085008.99263731</v>
      </c>
      <c r="TX111" t="s">
        <v>1900</v>
      </c>
      <c r="TY111" t="s">
        <v>1900</v>
      </c>
      <c r="TZ111" t="s">
        <v>1900</v>
      </c>
      <c r="UA111" t="s">
        <v>1900</v>
      </c>
      <c r="UB111" t="s">
        <v>1900</v>
      </c>
      <c r="UC111">
        <v>314.495669021606</v>
      </c>
      <c r="UD111">
        <v>11761.9788786316</v>
      </c>
      <c r="UE111">
        <v>11085.3391373873</v>
      </c>
      <c r="UF111">
        <v>6809.39691653252</v>
      </c>
      <c r="UG111">
        <v>3140.94472178817</v>
      </c>
      <c r="UH111" t="s">
        <v>1900</v>
      </c>
      <c r="UI111" t="s">
        <v>1900</v>
      </c>
      <c r="UJ111" t="s">
        <v>1900</v>
      </c>
      <c r="UK111" t="s">
        <v>1900</v>
      </c>
      <c r="UL111" t="s">
        <v>1900</v>
      </c>
      <c r="UM111" t="s">
        <v>1900</v>
      </c>
      <c r="UN111" t="s">
        <v>1900</v>
      </c>
      <c r="UO111" t="s">
        <v>1900</v>
      </c>
      <c r="UP111" t="s">
        <v>1900</v>
      </c>
      <c r="UQ111" t="s">
        <v>1900</v>
      </c>
      <c r="UR111" t="s">
        <v>1900</v>
      </c>
      <c r="US111" t="s">
        <v>1900</v>
      </c>
      <c r="UT111" t="s">
        <v>1900</v>
      </c>
      <c r="UU111" t="s">
        <v>1900</v>
      </c>
      <c r="UV111" t="s">
        <v>1900</v>
      </c>
      <c r="UW111" t="s">
        <v>1900</v>
      </c>
      <c r="UX111" t="s">
        <v>1900</v>
      </c>
      <c r="UY111" t="s">
        <v>1900</v>
      </c>
      <c r="UZ111" t="s">
        <v>1900</v>
      </c>
      <c r="VA111" t="s">
        <v>1900</v>
      </c>
      <c r="VB111" t="s">
        <v>1900</v>
      </c>
      <c r="VC111" t="s">
        <v>1900</v>
      </c>
      <c r="VD111" t="s">
        <v>1900</v>
      </c>
      <c r="VE111" t="s">
        <v>1900</v>
      </c>
      <c r="VF111" t="s">
        <v>1900</v>
      </c>
      <c r="VG111" t="s">
        <v>1900</v>
      </c>
      <c r="VH111" t="s">
        <v>1900</v>
      </c>
      <c r="VI111" t="s">
        <v>1900</v>
      </c>
      <c r="VJ111" t="s">
        <v>1900</v>
      </c>
      <c r="VK111" t="s">
        <v>1900</v>
      </c>
      <c r="VL111" t="s">
        <v>1900</v>
      </c>
      <c r="VM111" t="s">
        <v>1900</v>
      </c>
      <c r="VN111" t="s">
        <v>1900</v>
      </c>
      <c r="VO111" t="s">
        <v>1900</v>
      </c>
      <c r="VP111" t="s">
        <v>1900</v>
      </c>
      <c r="VQ111" t="s">
        <v>1900</v>
      </c>
      <c r="VR111" t="s">
        <v>1900</v>
      </c>
      <c r="VS111" t="s">
        <v>1900</v>
      </c>
      <c r="VT111" t="s">
        <v>1900</v>
      </c>
      <c r="VU111" t="s">
        <v>1900</v>
      </c>
      <c r="VV111" t="s">
        <v>1900</v>
      </c>
      <c r="VW111" t="s">
        <v>1900</v>
      </c>
      <c r="VX111" t="s">
        <v>1900</v>
      </c>
      <c r="VY111" t="s">
        <v>1900</v>
      </c>
      <c r="VZ111" t="s">
        <v>1900</v>
      </c>
      <c r="WA111">
        <v>183909.695212693</v>
      </c>
      <c r="WB111">
        <v>233264.223436117</v>
      </c>
      <c r="WC111">
        <v>430754.576139122</v>
      </c>
      <c r="WD111">
        <v>221911.148409748</v>
      </c>
      <c r="WE111">
        <v>221709.564989728</v>
      </c>
      <c r="WF111" t="s">
        <v>1900</v>
      </c>
      <c r="WG111" t="s">
        <v>1900</v>
      </c>
      <c r="WH111" t="s">
        <v>1900</v>
      </c>
      <c r="WI111" t="s">
        <v>1900</v>
      </c>
      <c r="WJ111" t="s">
        <v>1900</v>
      </c>
      <c r="WK111" t="s">
        <v>1900</v>
      </c>
      <c r="WL111" t="s">
        <v>1900</v>
      </c>
      <c r="WM111" t="s">
        <v>1900</v>
      </c>
      <c r="WN111" t="s">
        <v>1900</v>
      </c>
      <c r="WO111" t="s">
        <v>1900</v>
      </c>
      <c r="WP111" t="s">
        <v>1900</v>
      </c>
      <c r="WQ111" t="s">
        <v>1900</v>
      </c>
      <c r="WR111" t="s">
        <v>1900</v>
      </c>
      <c r="WS111" t="s">
        <v>1900</v>
      </c>
      <c r="WT111" t="s">
        <v>1900</v>
      </c>
      <c r="WU111" t="s">
        <v>1900</v>
      </c>
      <c r="WV111" t="s">
        <v>1900</v>
      </c>
      <c r="WW111" t="s">
        <v>1900</v>
      </c>
      <c r="WX111" t="s">
        <v>1900</v>
      </c>
      <c r="WY111" t="s">
        <v>1900</v>
      </c>
      <c r="WZ111" t="s">
        <v>1900</v>
      </c>
      <c r="XA111" t="s">
        <v>1900</v>
      </c>
      <c r="XB111" t="s">
        <v>1900</v>
      </c>
      <c r="XC111" t="s">
        <v>1900</v>
      </c>
      <c r="XD111" t="s">
        <v>1900</v>
      </c>
      <c r="XE111" t="s">
        <v>1900</v>
      </c>
      <c r="XF111" t="s">
        <v>1900</v>
      </c>
      <c r="XG111" t="s">
        <v>1900</v>
      </c>
      <c r="XH111" t="s">
        <v>1900</v>
      </c>
      <c r="XI111" t="s">
        <v>1900</v>
      </c>
      <c r="XJ111" t="s">
        <v>1900</v>
      </c>
      <c r="XK111" t="s">
        <v>1900</v>
      </c>
      <c r="XL111">
        <v>0</v>
      </c>
      <c r="XM111">
        <v>0</v>
      </c>
      <c r="XN111">
        <v>0</v>
      </c>
      <c r="XO111" t="s">
        <v>1900</v>
      </c>
      <c r="XP111" t="s">
        <v>1900</v>
      </c>
      <c r="XQ111" t="s">
        <v>1900</v>
      </c>
      <c r="XR111" t="s">
        <v>1900</v>
      </c>
      <c r="XS111" t="s">
        <v>1900</v>
      </c>
      <c r="XT111" t="s">
        <v>1900</v>
      </c>
      <c r="XU111" t="s">
        <v>1900</v>
      </c>
      <c r="XV111" t="s">
        <v>1900</v>
      </c>
      <c r="XW111" t="s">
        <v>1900</v>
      </c>
      <c r="XX111" t="s">
        <v>1900</v>
      </c>
      <c r="XY111" t="s">
        <v>1900</v>
      </c>
      <c r="XZ111" t="s">
        <v>1900</v>
      </c>
      <c r="YA111">
        <v>0</v>
      </c>
      <c r="YB111">
        <v>0</v>
      </c>
      <c r="YC111">
        <v>0</v>
      </c>
      <c r="YD111" t="s">
        <v>1900</v>
      </c>
      <c r="YE111" t="s">
        <v>1900</v>
      </c>
      <c r="YF111" t="s">
        <v>1900</v>
      </c>
      <c r="YG111" t="s">
        <v>1900</v>
      </c>
      <c r="YH111" t="s">
        <v>1900</v>
      </c>
      <c r="YI111" t="s">
        <v>1900</v>
      </c>
      <c r="YJ111" t="s">
        <v>1900</v>
      </c>
      <c r="YK111" t="s">
        <v>1900</v>
      </c>
      <c r="YL111" t="s">
        <v>1900</v>
      </c>
      <c r="YM111" t="s">
        <v>1900</v>
      </c>
      <c r="YN111" t="s">
        <v>1900</v>
      </c>
      <c r="YO111" t="s">
        <v>1900</v>
      </c>
      <c r="YP111" t="s">
        <v>1900</v>
      </c>
      <c r="YQ111" t="s">
        <v>1900</v>
      </c>
      <c r="YR111" t="s">
        <v>1900</v>
      </c>
      <c r="YS111" t="s">
        <v>1900</v>
      </c>
      <c r="YT111" t="s">
        <v>1900</v>
      </c>
      <c r="YU111" t="s">
        <v>1900</v>
      </c>
      <c r="YV111" t="s">
        <v>1900</v>
      </c>
      <c r="YW111" t="s">
        <v>1900</v>
      </c>
      <c r="YX111" t="s">
        <v>1900</v>
      </c>
      <c r="YY111" t="s">
        <v>1900</v>
      </c>
      <c r="YZ111" t="s">
        <v>1900</v>
      </c>
      <c r="ZA111" t="s">
        <v>1900</v>
      </c>
      <c r="ZB111" t="s">
        <v>1900</v>
      </c>
      <c r="ZC111" t="s">
        <v>1900</v>
      </c>
      <c r="ZD111" t="s">
        <v>1900</v>
      </c>
      <c r="ZE111" t="s">
        <v>1900</v>
      </c>
      <c r="ZF111" t="s">
        <v>1900</v>
      </c>
      <c r="ZG111" t="s">
        <v>1900</v>
      </c>
      <c r="ZH111" t="s">
        <v>1900</v>
      </c>
      <c r="ZI111" t="s">
        <v>1900</v>
      </c>
      <c r="ZJ111" t="s">
        <v>1900</v>
      </c>
      <c r="ZK111" t="s">
        <v>1900</v>
      </c>
      <c r="ZL111" t="s">
        <v>1900</v>
      </c>
      <c r="ZM111" t="s">
        <v>1900</v>
      </c>
      <c r="ZN111" t="s">
        <v>1900</v>
      </c>
      <c r="ZO111" t="s">
        <v>1900</v>
      </c>
      <c r="ZP111" t="s">
        <v>1900</v>
      </c>
      <c r="ZQ111" t="s">
        <v>1900</v>
      </c>
      <c r="ZR111" t="s">
        <v>1900</v>
      </c>
      <c r="ZS111" t="s">
        <v>1900</v>
      </c>
      <c r="ZT111" t="s">
        <v>1900</v>
      </c>
      <c r="ZU111" t="s">
        <v>1900</v>
      </c>
      <c r="ZV111" t="s">
        <v>1900</v>
      </c>
      <c r="ZW111" t="s">
        <v>1900</v>
      </c>
      <c r="ZX111" t="s">
        <v>1900</v>
      </c>
      <c r="ZY111" t="s">
        <v>1900</v>
      </c>
      <c r="ZZ111" t="s">
        <v>1900</v>
      </c>
      <c r="AAA111" t="s">
        <v>1900</v>
      </c>
      <c r="AAB111" t="s">
        <v>1900</v>
      </c>
      <c r="AAC111" t="s">
        <v>1900</v>
      </c>
      <c r="AAD111" t="s">
        <v>1900</v>
      </c>
      <c r="AAE111" t="s">
        <v>1900</v>
      </c>
      <c r="AAF111" t="s">
        <v>1900</v>
      </c>
      <c r="AAG111" t="s">
        <v>1900</v>
      </c>
      <c r="AAH111" t="s">
        <v>1900</v>
      </c>
      <c r="AAI111" t="s">
        <v>1900</v>
      </c>
      <c r="AAJ111" t="s">
        <v>1900</v>
      </c>
      <c r="AAK111" t="s">
        <v>1900</v>
      </c>
      <c r="AAL111" t="s">
        <v>1900</v>
      </c>
      <c r="AAM111" t="s">
        <v>1900</v>
      </c>
      <c r="AAN111" t="s">
        <v>1900</v>
      </c>
      <c r="AAO111" t="s">
        <v>1900</v>
      </c>
      <c r="AAP111" t="s">
        <v>1900</v>
      </c>
      <c r="AAQ111" t="s">
        <v>1900</v>
      </c>
      <c r="AAR111" t="s">
        <v>1900</v>
      </c>
      <c r="AAS111" t="s">
        <v>1900</v>
      </c>
      <c r="AAT111" t="s">
        <v>1900</v>
      </c>
      <c r="AAU111" t="s">
        <v>1900</v>
      </c>
      <c r="AAV111" t="s">
        <v>1900</v>
      </c>
      <c r="AAW111" t="s">
        <v>1900</v>
      </c>
      <c r="AAX111" t="s">
        <v>1900</v>
      </c>
      <c r="AAY111" t="s">
        <v>1900</v>
      </c>
      <c r="AAZ111" t="s">
        <v>1900</v>
      </c>
      <c r="ABA111" t="s">
        <v>1900</v>
      </c>
      <c r="ABB111" t="s">
        <v>1900</v>
      </c>
      <c r="ABC111" t="s">
        <v>1900</v>
      </c>
      <c r="ABD111" t="s">
        <v>1900</v>
      </c>
      <c r="ABE111" t="s">
        <v>1900</v>
      </c>
      <c r="ABF111" t="s">
        <v>1900</v>
      </c>
      <c r="ABG111" t="s">
        <v>1900</v>
      </c>
      <c r="ABH111" t="s">
        <v>1900</v>
      </c>
      <c r="ABI111" t="s">
        <v>1900</v>
      </c>
      <c r="ABJ111" t="s">
        <v>1900</v>
      </c>
      <c r="ABK111" t="s">
        <v>1900</v>
      </c>
      <c r="ABL111" t="s">
        <v>1900</v>
      </c>
      <c r="ABM111" t="s">
        <v>1900</v>
      </c>
      <c r="ABN111" t="s">
        <v>1900</v>
      </c>
      <c r="ABO111" t="s">
        <v>1900</v>
      </c>
      <c r="ABP111" t="s">
        <v>1900</v>
      </c>
      <c r="ABQ111" t="s">
        <v>1900</v>
      </c>
      <c r="ABR111" t="s">
        <v>1900</v>
      </c>
      <c r="ABS111" t="s">
        <v>1900</v>
      </c>
      <c r="ABT111" t="s">
        <v>1900</v>
      </c>
      <c r="ABU111" t="s">
        <v>1900</v>
      </c>
      <c r="ABV111" t="s">
        <v>1900</v>
      </c>
      <c r="ABW111" t="s">
        <v>1900</v>
      </c>
      <c r="ABX111" t="s">
        <v>1900</v>
      </c>
      <c r="ABY111" t="s">
        <v>1900</v>
      </c>
      <c r="ABZ111" t="s">
        <v>1900</v>
      </c>
      <c r="ACA111" t="s">
        <v>1900</v>
      </c>
      <c r="ACB111" t="s">
        <v>1900</v>
      </c>
      <c r="ACC111" t="s">
        <v>1900</v>
      </c>
      <c r="ACD111" t="s">
        <v>1900</v>
      </c>
      <c r="ACE111">
        <v>30.961</v>
      </c>
      <c r="ACF111">
        <v>34.699</v>
      </c>
      <c r="ACG111">
        <v>69.48099999999999</v>
      </c>
      <c r="ACH111">
        <v>26.049</v>
      </c>
      <c r="ACI111">
        <v>24.378</v>
      </c>
      <c r="ACJ111">
        <v>30.966</v>
      </c>
      <c r="ACK111">
        <v>34.762</v>
      </c>
      <c r="ACL111">
        <v>69.247</v>
      </c>
      <c r="ACM111">
        <v>26.11</v>
      </c>
      <c r="ACN111">
        <v>23.888</v>
      </c>
      <c r="ACO111">
        <v>23.366</v>
      </c>
      <c r="ACP111">
        <v>25.306</v>
      </c>
      <c r="ACQ111">
        <v>41.402</v>
      </c>
      <c r="ACR111">
        <v>15.118</v>
      </c>
      <c r="ACS111">
        <v>15.696</v>
      </c>
      <c r="ACT111">
        <v>23.222</v>
      </c>
      <c r="ACU111">
        <v>26.038</v>
      </c>
      <c r="ACV111">
        <v>52.108</v>
      </c>
      <c r="ACW111">
        <v>19.525</v>
      </c>
      <c r="ACX111">
        <v>19.759</v>
      </c>
      <c r="ACY111">
        <v>23.227</v>
      </c>
      <c r="ACZ111">
        <v>26.1</v>
      </c>
      <c r="ADA111">
        <v>51.953</v>
      </c>
      <c r="ADB111">
        <v>19.63</v>
      </c>
      <c r="ADC111">
        <v>19.418</v>
      </c>
      <c r="ADD111">
        <v>17.525</v>
      </c>
      <c r="ADE111">
        <v>18.989</v>
      </c>
      <c r="ADF111">
        <v>31.05</v>
      </c>
      <c r="ADG111">
        <v>11.332</v>
      </c>
      <c r="ADH111">
        <v>12.722</v>
      </c>
      <c r="ADI111">
        <v>12.621</v>
      </c>
      <c r="ADJ111">
        <v>12.959</v>
      </c>
      <c r="ADK111">
        <v>21.282</v>
      </c>
      <c r="ADL111">
        <v>8.888999999999999</v>
      </c>
      <c r="ADM111">
        <v>8.584</v>
      </c>
      <c r="ADN111">
        <v>52.479</v>
      </c>
      <c r="ADO111">
        <v>54.859</v>
      </c>
      <c r="ADP111">
        <v>58.401</v>
      </c>
      <c r="ADQ111">
        <v>56.967</v>
      </c>
      <c r="ADR111">
        <v>60.99</v>
      </c>
      <c r="ADS111">
        <v>12.268395301</v>
      </c>
      <c r="ADT111">
        <v>12.975915855</v>
      </c>
      <c r="ADU111">
        <v>21.305665349</v>
      </c>
      <c r="ADV111">
        <v>8.971372369999999</v>
      </c>
      <c r="ADW111">
        <v>7.347364244</v>
      </c>
      <c r="ADX111">
        <v>13.413</v>
      </c>
      <c r="ADY111">
        <v>14.368</v>
      </c>
      <c r="ADZ111">
        <v>22.572</v>
      </c>
      <c r="AEA111">
        <v>10.155</v>
      </c>
      <c r="AEB111">
        <v>8.965999999999999</v>
      </c>
      <c r="AEC111">
        <v>12.268</v>
      </c>
      <c r="AED111">
        <v>12.976</v>
      </c>
      <c r="AEE111">
        <v>21.306</v>
      </c>
      <c r="AEF111">
        <v>8.971</v>
      </c>
      <c r="AEG111">
        <v>7.347</v>
      </c>
      <c r="AEH111">
        <v>10.611</v>
      </c>
      <c r="AEI111">
        <v>11.116</v>
      </c>
      <c r="AEJ111">
        <v>17.227</v>
      </c>
      <c r="AEK111">
        <v>7.847</v>
      </c>
      <c r="AEL111">
        <v>8.576000000000001</v>
      </c>
      <c r="AEM111">
        <v>13.984008776</v>
      </c>
      <c r="AEN111">
        <v>14.910718087</v>
      </c>
      <c r="AEO111">
        <v>27.073950677</v>
      </c>
      <c r="AEP111">
        <v>9.855550505</v>
      </c>
      <c r="AEQ111">
        <v>7.93001104</v>
      </c>
      <c r="AER111">
        <v>1.305106115</v>
      </c>
      <c r="AES111">
        <v>1.309811617</v>
      </c>
      <c r="AET111">
        <v>1.574356203</v>
      </c>
      <c r="AEU111">
        <v>1.186920387</v>
      </c>
      <c r="AEV111">
        <v>1.13696837</v>
      </c>
      <c r="AEW111" t="s">
        <v>1900</v>
      </c>
      <c r="AEX111" t="s">
        <v>1900</v>
      </c>
      <c r="AEY111" t="s">
        <v>1900</v>
      </c>
      <c r="AEZ111" t="s">
        <v>1900</v>
      </c>
      <c r="AFA111" t="s">
        <v>1900</v>
      </c>
      <c r="AFB111" t="s">
        <v>1900</v>
      </c>
      <c r="AFC111" t="s">
        <v>1900</v>
      </c>
      <c r="AFD111" t="s">
        <v>1900</v>
      </c>
      <c r="AFE111" t="s">
        <v>1900</v>
      </c>
      <c r="AFF111" t="s">
        <v>1900</v>
      </c>
      <c r="AFG111">
        <v>2.453</v>
      </c>
      <c r="AFH111">
        <v>2.678</v>
      </c>
      <c r="AFI111">
        <v>3.25</v>
      </c>
      <c r="AFJ111">
        <v>2.911</v>
      </c>
      <c r="AFK111">
        <v>2.749</v>
      </c>
      <c r="AFL111" t="s">
        <v>1901</v>
      </c>
      <c r="AFM111">
        <v>558.4160000000001</v>
      </c>
      <c r="AFN111">
        <v>864.673</v>
      </c>
      <c r="AFO111">
        <v>110.417</v>
      </c>
      <c r="AFP111">
        <v>68.79000000000001</v>
      </c>
      <c r="AFQ111">
        <v>49.816</v>
      </c>
      <c r="AFR111">
        <v>51.523</v>
      </c>
      <c r="AFS111">
        <v>50.641</v>
      </c>
      <c r="AFT111">
        <v>43.182</v>
      </c>
      <c r="AFU111">
        <v>50.591</v>
      </c>
      <c r="AFV111">
        <v>77.655</v>
      </c>
      <c r="AFW111">
        <v>63.134</v>
      </c>
      <c r="AFX111">
        <v>91.768</v>
      </c>
      <c r="AFY111">
        <v>75.502</v>
      </c>
      <c r="AFZ111">
        <v>65.206</v>
      </c>
      <c r="AGA111">
        <v>21.074</v>
      </c>
      <c r="AGB111">
        <v>15.97</v>
      </c>
      <c r="AGC111">
        <v>20.529</v>
      </c>
      <c r="AGD111">
        <v>52.343</v>
      </c>
      <c r="AGE111">
        <v>25.103</v>
      </c>
      <c r="AGF111" t="s">
        <v>1900</v>
      </c>
      <c r="AGG111" t="s">
        <v>1900</v>
      </c>
      <c r="AGH111" t="s">
        <v>1900</v>
      </c>
      <c r="AGI111" t="s">
        <v>1900</v>
      </c>
      <c r="AGJ111" t="s">
        <v>1900</v>
      </c>
      <c r="AGK111" t="s">
        <v>1900</v>
      </c>
      <c r="AGL111" t="s">
        <v>1900</v>
      </c>
      <c r="AGM111" t="s">
        <v>1900</v>
      </c>
      <c r="AGN111" t="s">
        <v>1900</v>
      </c>
      <c r="AGO111" t="s">
        <v>1900</v>
      </c>
      <c r="AGP111" t="s">
        <v>1900</v>
      </c>
      <c r="AGQ111" t="s">
        <v>1900</v>
      </c>
      <c r="AGR111" t="s">
        <v>1900</v>
      </c>
      <c r="AGS111" t="s">
        <v>1900</v>
      </c>
      <c r="AGT111" t="s">
        <v>1900</v>
      </c>
      <c r="AGU111">
        <v>0</v>
      </c>
      <c r="AGV111">
        <v>0</v>
      </c>
      <c r="AGW111">
        <v>0</v>
      </c>
      <c r="AGX111">
        <v>0</v>
      </c>
      <c r="AGY111">
        <v>0</v>
      </c>
      <c r="AGZ111">
        <v>3.14</v>
      </c>
      <c r="AHA111">
        <v>2.696</v>
      </c>
      <c r="AHB111">
        <v>1.871</v>
      </c>
      <c r="AHC111">
        <v>1.842</v>
      </c>
      <c r="AHD111">
        <v>2.743</v>
      </c>
      <c r="AHE111">
        <v>2.988</v>
      </c>
      <c r="AHF111">
        <v>2.556</v>
      </c>
      <c r="AHG111">
        <v>1.775</v>
      </c>
      <c r="AHH111">
        <v>1.747</v>
      </c>
      <c r="AHI111">
        <v>2.635</v>
      </c>
      <c r="AHJ111" t="s">
        <v>1901</v>
      </c>
      <c r="AHK111" t="s">
        <v>1901</v>
      </c>
      <c r="AHL111">
        <v>220.54</v>
      </c>
      <c r="AHM111">
        <v>147.647</v>
      </c>
      <c r="AHN111">
        <v>30.133</v>
      </c>
      <c r="AHO111">
        <v>75.467</v>
      </c>
      <c r="AHP111">
        <v>72.929</v>
      </c>
      <c r="AHQ111">
        <v>59.587</v>
      </c>
      <c r="AHR111">
        <v>58.038</v>
      </c>
      <c r="AHS111">
        <v>64.389</v>
      </c>
      <c r="AHT111" t="s">
        <v>1901</v>
      </c>
      <c r="AHU111" t="s">
        <v>1901</v>
      </c>
      <c r="AHV111" t="s">
        <v>1901</v>
      </c>
      <c r="AHW111" t="s">
        <v>1901</v>
      </c>
      <c r="AHX111" t="s">
        <v>1901</v>
      </c>
      <c r="AHY111">
        <v>0.031</v>
      </c>
      <c r="AHZ111">
        <v>1.212</v>
      </c>
      <c r="AIA111">
        <v>1.677</v>
      </c>
      <c r="AIB111">
        <v>1.541</v>
      </c>
      <c r="AIC111">
        <v>3.768</v>
      </c>
      <c r="AID111">
        <v>3.465212849</v>
      </c>
      <c r="AIE111">
        <v>3.870100717</v>
      </c>
      <c r="AIF111">
        <v>3.106256477</v>
      </c>
      <c r="AIG111">
        <v>2.480663504</v>
      </c>
      <c r="AIH111">
        <v>1.432742481</v>
      </c>
      <c r="AII111">
        <v>33.372339671</v>
      </c>
      <c r="AIJ111">
        <v>34.953104383</v>
      </c>
      <c r="AIK111">
        <v>21.670285343</v>
      </c>
      <c r="AIL111">
        <v>36.955780197</v>
      </c>
      <c r="AIM111">
        <v>55.084771784</v>
      </c>
      <c r="AIN111">
        <v>13.671633371</v>
      </c>
      <c r="AIO111">
        <v>17.52469891</v>
      </c>
      <c r="AIP111">
        <v>28.320015495</v>
      </c>
      <c r="AIQ111">
        <v>16.339172184</v>
      </c>
      <c r="AIR111">
        <v>20.43389193</v>
      </c>
      <c r="AIS111">
        <v>4.224161837</v>
      </c>
      <c r="AIT111">
        <v>4.299611116</v>
      </c>
      <c r="AIU111">
        <v>4.746898153</v>
      </c>
      <c r="AIV111">
        <v>5.381428033</v>
      </c>
      <c r="AIW111">
        <v>5.066975496</v>
      </c>
      <c r="AIX111">
        <v>15.7155798400475</v>
      </c>
      <c r="AIY111">
        <v>16.8419048384399</v>
      </c>
      <c r="AIZ111">
        <v>31.4867091164547</v>
      </c>
      <c r="AJA111">
        <v>10.266393193996</v>
      </c>
      <c r="AJB111">
        <v>8.5153795082438</v>
      </c>
      <c r="AJC111">
        <v>124.520219626823</v>
      </c>
      <c r="AJD111">
        <v>129.961181304981</v>
      </c>
      <c r="AJE111">
        <v>147.950939632114</v>
      </c>
      <c r="AJF111">
        <v>115.494739495912</v>
      </c>
      <c r="AJG111">
        <v>99.2022193241847</v>
      </c>
      <c r="AJH111">
        <v>34.549</v>
      </c>
      <c r="AJI111">
        <v>35.68</v>
      </c>
      <c r="AJJ111">
        <v>30.004</v>
      </c>
      <c r="AJK111">
        <v>39.821</v>
      </c>
      <c r="AJL111">
        <v>45.546</v>
      </c>
      <c r="AJM111">
        <v>43.021020107334</v>
      </c>
      <c r="AJN111">
        <v>46.3695999101067</v>
      </c>
      <c r="AJO111">
        <v>44.3911144822758</v>
      </c>
      <c r="AJP111">
        <v>45.9913217343664</v>
      </c>
      <c r="AJQ111">
        <v>45.1822821363664</v>
      </c>
      <c r="AJR111">
        <v>50.7590285464402</v>
      </c>
      <c r="AJS111">
        <v>48.5365843376226</v>
      </c>
      <c r="AJT111">
        <v>45.3170401640278</v>
      </c>
      <c r="AJU111">
        <v>39.4121530127335</v>
      </c>
      <c r="AJV111">
        <v>34.9312258885461</v>
      </c>
      <c r="AJW111">
        <v>22.0703527577176</v>
      </c>
      <c r="AJX111">
        <v>19.5488090832653</v>
      </c>
      <c r="AJY111">
        <v>32.1993500983381</v>
      </c>
      <c r="AJZ111">
        <v>10.1043611288095</v>
      </c>
      <c r="AKA111">
        <v>13.011522879529</v>
      </c>
      <c r="AKB111">
        <v>67.2595915294968</v>
      </c>
      <c r="AKC111">
        <v>66.5529908881645</v>
      </c>
      <c r="AKD111">
        <v>76.0512612083173</v>
      </c>
      <c r="AKE111">
        <v>67.9077085143614</v>
      </c>
      <c r="AKF111">
        <v>54.250450245415</v>
      </c>
      <c r="AKG111">
        <v>4.224161837</v>
      </c>
      <c r="AKH111">
        <v>4.299611116</v>
      </c>
      <c r="AKI111">
        <v>4.746898153</v>
      </c>
      <c r="AKJ111">
        <v>5.381428033</v>
      </c>
      <c r="AKK111">
        <v>5.066975496</v>
      </c>
      <c r="AKL111">
        <v>2.007378635</v>
      </c>
      <c r="AKM111">
        <v>1.940880536</v>
      </c>
      <c r="AKN111">
        <v>1.974684496</v>
      </c>
      <c r="AKO111">
        <v>2.315786733</v>
      </c>
      <c r="AKP111">
        <v>1.976619791</v>
      </c>
      <c r="AKQ111">
        <v>3.716335824</v>
      </c>
      <c r="AKR111">
        <v>3.790049477</v>
      </c>
      <c r="AKS111">
        <v>3.841572421</v>
      </c>
      <c r="AKT111">
        <v>3.938598283</v>
      </c>
      <c r="AKU111">
        <v>3.614441357</v>
      </c>
      <c r="AKV111">
        <v>0</v>
      </c>
      <c r="AKW111">
        <v>0</v>
      </c>
      <c r="AKX111">
        <v>0</v>
      </c>
      <c r="AKY111">
        <v>0</v>
      </c>
      <c r="AKZ111">
        <v>0</v>
      </c>
      <c r="ALA111">
        <v>0</v>
      </c>
      <c r="ALB111">
        <v>0</v>
      </c>
      <c r="ALC111">
        <v>0</v>
      </c>
      <c r="ALD111">
        <v>0</v>
      </c>
      <c r="ALE111">
        <v>0</v>
      </c>
      <c r="ALF111">
        <v>10.53892931</v>
      </c>
      <c r="ALG111">
        <v>11.850523547</v>
      </c>
      <c r="ALH111">
        <v>11.201210381</v>
      </c>
      <c r="ALI111">
        <v>12.32122812</v>
      </c>
      <c r="ALJ111">
        <v>3.689876193</v>
      </c>
      <c r="ALK111">
        <v>19.511117567</v>
      </c>
      <c r="ALL111">
        <v>23.141079385</v>
      </c>
      <c r="ALM111">
        <v>21.790954944</v>
      </c>
      <c r="ALN111">
        <v>20.955456401</v>
      </c>
      <c r="ALO111">
        <v>6.747297167</v>
      </c>
      <c r="ALP111">
        <v>21.570885331</v>
      </c>
      <c r="ALQ111">
        <v>17.537171236</v>
      </c>
      <c r="ALR111">
        <v>25.49123939</v>
      </c>
      <c r="ALS111">
        <v>20.972679284</v>
      </c>
      <c r="ALT111">
        <v>18.112653645</v>
      </c>
      <c r="ALU111">
        <v>27.13820941</v>
      </c>
      <c r="ALV111">
        <v>25.294924375</v>
      </c>
      <c r="ALW111">
        <v>22.370007498</v>
      </c>
      <c r="ALX111">
        <v>69.326876109</v>
      </c>
      <c r="ALY111">
        <v>38.498567981</v>
      </c>
      <c r="ALZ111">
        <v>52.4786522770213</v>
      </c>
      <c r="AMA111">
        <v>54.8591608846506</v>
      </c>
      <c r="AMB111">
        <v>58.4005294856061</v>
      </c>
      <c r="AMC111">
        <v>56.9670592711101</v>
      </c>
      <c r="AMD111">
        <v>60.9901450606124</v>
      </c>
      <c r="AME111">
        <v>52.4786522770213</v>
      </c>
      <c r="AMF111">
        <v>54.8768883892088</v>
      </c>
      <c r="AMG111">
        <v>58.4781897776319</v>
      </c>
      <c r="AMH111">
        <v>56.9670592711101</v>
      </c>
      <c r="AMI111">
        <v>61.096221547683</v>
      </c>
      <c r="AMJ111">
        <v>110.431742346494</v>
      </c>
      <c r="AMK111">
        <v>121.528890378993</v>
      </c>
      <c r="AML111">
        <v>140.387675165246</v>
      </c>
      <c r="AMM111">
        <v>132.380121765127</v>
      </c>
      <c r="AMN111">
        <v>156.345480277682</v>
      </c>
      <c r="AMO111">
        <v>1.30510611528152</v>
      </c>
      <c r="AMP111">
        <v>1.30981161668359</v>
      </c>
      <c r="AMQ111">
        <v>1.57435620692848</v>
      </c>
      <c r="AMR111">
        <v>1.18692038701028</v>
      </c>
      <c r="AMS111">
        <v>1.13696836988321</v>
      </c>
      <c r="AMT111">
        <v>1.30510611528152</v>
      </c>
      <c r="AMU111">
        <v>1.30981161668359</v>
      </c>
      <c r="AMV111">
        <v>1.57435620498505</v>
      </c>
      <c r="AMW111">
        <v>1.18692038701028</v>
      </c>
      <c r="AMX111">
        <v>1.13696836988321</v>
      </c>
      <c r="AMY111">
        <v>1.30584096925473</v>
      </c>
      <c r="AMZ111">
        <v>1.3086194517265</v>
      </c>
      <c r="ANA111">
        <v>1.57669347141764</v>
      </c>
      <c r="ANB111">
        <v>1.18717184669101</v>
      </c>
      <c r="ANC111">
        <v>1.13587517532348</v>
      </c>
      <c r="AND111">
        <v>12.2683953005598</v>
      </c>
      <c r="ANE111">
        <v>12.9759158546877</v>
      </c>
      <c r="ANF111">
        <v>21.305665348702</v>
      </c>
      <c r="ANG111">
        <v>8.971372370319999</v>
      </c>
      <c r="ANH111">
        <v>7.34736424439899</v>
      </c>
      <c r="ANI111">
        <v>12.2683953005598</v>
      </c>
      <c r="ANJ111">
        <v>12.9801089667176</v>
      </c>
      <c r="ANK111">
        <v>21.3339973554039</v>
      </c>
      <c r="ANL111">
        <v>8.971372370319999</v>
      </c>
      <c r="ANM111">
        <v>7.36014307264246</v>
      </c>
      <c r="ANN111">
        <v>13.9840087760734</v>
      </c>
      <c r="ANO111">
        <v>14.9107180869844</v>
      </c>
      <c r="ANP111">
        <v>27.0739506765123</v>
      </c>
      <c r="ANQ111">
        <v>9.855550505294961</v>
      </c>
      <c r="ANR111">
        <v>7.93001104013906</v>
      </c>
      <c r="ANS111">
        <v>30.0963856686713</v>
      </c>
      <c r="ANT111">
        <v>34.7442117740671</v>
      </c>
      <c r="ANU111">
        <v>69.2446957510186</v>
      </c>
      <c r="ANV111">
        <v>26.1131578752067</v>
      </c>
      <c r="ANW111">
        <v>20.1957857322502</v>
      </c>
      <c r="ANX111">
        <v>52.3820377940923</v>
      </c>
      <c r="ANY111">
        <v>55.0209515194747</v>
      </c>
      <c r="ANZ111">
        <v>58.2501885740612</v>
      </c>
      <c r="AOA111">
        <v>56.9025785261801</v>
      </c>
      <c r="AOB111">
        <v>61.4217323319264</v>
      </c>
      <c r="AOC111">
        <v>59.817271617005</v>
      </c>
      <c r="AOD111">
        <v>63.0390557090461</v>
      </c>
      <c r="AOE111">
        <v>74.21186003336101</v>
      </c>
      <c r="AOF111">
        <v>62.5814765689556</v>
      </c>
      <c r="AOG111">
        <v>65.8266702973158</v>
      </c>
      <c r="AOH111">
        <v>97.1557094819497</v>
      </c>
      <c r="AOI111" t="s">
        <v>1901</v>
      </c>
      <c r="AOJ111" t="s">
        <v>1901</v>
      </c>
      <c r="AOK111">
        <v>96.8873163598669</v>
      </c>
      <c r="AOL111" t="s">
        <v>1901</v>
      </c>
      <c r="AOM111">
        <v>25.8165979889233</v>
      </c>
      <c r="AON111">
        <v>28.7454024094014</v>
      </c>
      <c r="AOO111">
        <v>51.2161936286933</v>
      </c>
      <c r="AOP111">
        <v>20.8476860483747</v>
      </c>
      <c r="AOQ111">
        <v>18.8346361600553</v>
      </c>
      <c r="AOR111">
        <v>30.5106115281518</v>
      </c>
      <c r="AOS111">
        <v>30.9811616683587</v>
      </c>
      <c r="AOT111">
        <v>57.4356204985045</v>
      </c>
      <c r="AOU111">
        <v>18.6920387010282</v>
      </c>
      <c r="AOV111">
        <v>13.6968369883208</v>
      </c>
      <c r="AOW111">
        <v>22.7129432238262</v>
      </c>
      <c r="AOX111">
        <v>25.338686320701</v>
      </c>
      <c r="AOY111">
        <v>41.4482701336863</v>
      </c>
      <c r="AOZ111">
        <v>15.2581545220497</v>
      </c>
      <c r="APA111">
        <v>13.4353694700338</v>
      </c>
      <c r="APB111">
        <v>9.46599210456934</v>
      </c>
      <c r="APC111">
        <v>9.72443467241537</v>
      </c>
      <c r="APD111">
        <v>15.9606563251437</v>
      </c>
      <c r="APE111">
        <v>6.66293120358165</v>
      </c>
      <c r="APF111">
        <v>6.95744793744096</v>
      </c>
      <c r="APG111">
        <v>9.46599210456934</v>
      </c>
      <c r="APH111">
        <v>9.72757708212781</v>
      </c>
      <c r="API111">
        <v>15.9818806058489</v>
      </c>
      <c r="APJ111">
        <v>6.66293120358165</v>
      </c>
      <c r="APK111">
        <v>6.9695486077287</v>
      </c>
      <c r="APL111">
        <v>19.9194521160268</v>
      </c>
      <c r="APM111">
        <v>21.5424322254319</v>
      </c>
      <c r="APN111">
        <v>38.3674506949576</v>
      </c>
      <c r="APO111">
        <v>15.4833276516016</v>
      </c>
      <c r="APP111">
        <v>17.8351033303027</v>
      </c>
      <c r="APQ111">
        <v>23.5412375258148</v>
      </c>
      <c r="APR111">
        <v>23.2179590322063</v>
      </c>
      <c r="APS111">
        <v>43.0265933776089</v>
      </c>
      <c r="APT111">
        <v>13.8823540901797</v>
      </c>
      <c r="APU111">
        <v>12.9699613472277</v>
      </c>
      <c r="APV111">
        <v>10.7897172712147</v>
      </c>
      <c r="APW111">
        <v>11.1744177119722</v>
      </c>
      <c r="APX111">
        <v>20.2818365462608</v>
      </c>
      <c r="APY111">
        <v>7.3195997534837</v>
      </c>
      <c r="APZ111">
        <v>7.50917432699195</v>
      </c>
      <c r="AQA111">
        <v>17.524748425612</v>
      </c>
      <c r="AQB111">
        <v>18.9893648024441</v>
      </c>
      <c r="AQC111">
        <v>31.0500321885414</v>
      </c>
      <c r="AQD111">
        <v>11.3320492871716</v>
      </c>
      <c r="AQE111">
        <v>12.7223696142874</v>
      </c>
      <c r="AQF111">
        <v>0.305840969254731</v>
      </c>
      <c r="AQG111">
        <v>0.308619451726498</v>
      </c>
      <c r="AQH111">
        <v>0.576693471417638</v>
      </c>
      <c r="AQI111">
        <v>0.187171846691013</v>
      </c>
      <c r="AQJ111">
        <v>0.135875175323477</v>
      </c>
      <c r="AQK111">
        <v>2</v>
      </c>
      <c r="AQO111" t="s">
        <v>1902</v>
      </c>
      <c r="AQP111">
        <v>1</v>
      </c>
      <c r="AQQ111">
        <v>0</v>
      </c>
      <c r="AQS111" t="s">
        <v>1905</v>
      </c>
      <c r="AQU111" t="s">
        <v>1906</v>
      </c>
      <c r="AQV111">
        <v>2490404.40292546</v>
      </c>
      <c r="AQW111">
        <v>2599223.61504962</v>
      </c>
      <c r="AQX111">
        <v>2959018.78197629</v>
      </c>
      <c r="AQY111">
        <v>305532.65673344</v>
      </c>
      <c r="AQZ111">
        <v>337273.069164009</v>
      </c>
      <c r="ARA111">
        <v>630438.639293105</v>
      </c>
      <c r="ARB111">
        <v>8048646.799951371</v>
      </c>
      <c r="ARC111">
        <v>1273244.365190554</v>
      </c>
      <c r="ARD111">
        <v>0.1879215850940818</v>
      </c>
      <c r="ARE111">
        <v>0.1879215850940818</v>
      </c>
      <c r="ARF111">
        <v>0.1879215850940818</v>
      </c>
      <c r="ARG111">
        <v>0.1879215850940818</v>
      </c>
      <c r="ARH111">
        <v>0.1879215850940818</v>
      </c>
      <c r="ARI111">
        <v>0.1879215850940818</v>
      </c>
      <c r="ARJ111" t="s">
        <v>1272</v>
      </c>
      <c r="ARK111" t="s">
        <v>1610</v>
      </c>
      <c r="ARL111" t="s">
        <v>1908</v>
      </c>
      <c r="ARM111" t="s">
        <v>1908</v>
      </c>
      <c r="ARN111" t="s">
        <v>1909</v>
      </c>
      <c r="ARO111" t="s">
        <v>1908</v>
      </c>
      <c r="ARP111" t="s">
        <v>1907</v>
      </c>
      <c r="ARQ111" t="s">
        <v>2004</v>
      </c>
      <c r="ARR111">
        <f>HYPERLINK("C:\Users\Usuario\Documents\Proyectos\llmthon\evidence\calidae_com_000206.png", "Ver Evidencia")</f>
        <v>0</v>
      </c>
      <c r="ARS111">
        <v>100</v>
      </c>
    </row>
    <row r="112" spans="1:1163">
      <c r="A112">
        <v>365</v>
      </c>
      <c r="B112" t="s">
        <v>1273</v>
      </c>
      <c r="C112" t="s">
        <v>1396</v>
      </c>
      <c r="E112" s="2">
        <v>41676</v>
      </c>
      <c r="F112" t="s">
        <v>1431</v>
      </c>
      <c r="G112" t="s">
        <v>1433</v>
      </c>
      <c r="H112" t="s">
        <v>1434</v>
      </c>
      <c r="I112" t="s">
        <v>1442</v>
      </c>
      <c r="J112" t="s">
        <v>1491</v>
      </c>
      <c r="L112" t="s">
        <v>1611</v>
      </c>
      <c r="N112" t="s">
        <v>1633</v>
      </c>
      <c r="O112" t="s">
        <v>1657</v>
      </c>
      <c r="P112">
        <v>6311</v>
      </c>
      <c r="Q112">
        <v>6311</v>
      </c>
      <c r="R112" t="s">
        <v>1779</v>
      </c>
      <c r="S112" t="s">
        <v>1838</v>
      </c>
      <c r="Z112" t="s">
        <v>1899</v>
      </c>
      <c r="AA112" s="2">
        <v>45657</v>
      </c>
      <c r="AB112">
        <v>2024</v>
      </c>
      <c r="AC112">
        <v>1909374.14269083</v>
      </c>
      <c r="AD112">
        <v>2090445.80461139</v>
      </c>
      <c r="AE112">
        <v>1637780.06784477</v>
      </c>
      <c r="AF112">
        <v>1061245.59334009</v>
      </c>
      <c r="AG112">
        <v>966707.7114312591</v>
      </c>
      <c r="AH112">
        <v>1827080.56214308</v>
      </c>
      <c r="AI112">
        <v>1817609.68022089</v>
      </c>
      <c r="AJ112">
        <v>1378017.30333783</v>
      </c>
      <c r="AK112">
        <v>997871.169655967</v>
      </c>
      <c r="AL112">
        <v>897255.621293485</v>
      </c>
      <c r="AM112">
        <v>27728.1040787077</v>
      </c>
      <c r="AN112">
        <v>94286.0900144386</v>
      </c>
      <c r="AO112">
        <v>21441.294880724</v>
      </c>
      <c r="AP112">
        <v>24200.5992236853</v>
      </c>
      <c r="AQ112">
        <v>15357.9698889077</v>
      </c>
      <c r="AR112">
        <v>1881646.03861212</v>
      </c>
      <c r="AS112">
        <v>1996159.71459695</v>
      </c>
      <c r="AT112">
        <v>1616338.77296405</v>
      </c>
      <c r="AU112">
        <v>1037044.9941164</v>
      </c>
      <c r="AV112">
        <v>951349.740315252</v>
      </c>
      <c r="AW112">
        <v>1628805.37963862</v>
      </c>
      <c r="AX112">
        <v>1606803.81836381</v>
      </c>
      <c r="AY112">
        <v>1571419.70346768</v>
      </c>
      <c r="AZ112">
        <v>1350090.29394414</v>
      </c>
      <c r="BA112">
        <v>1296649.72930648</v>
      </c>
      <c r="BB112">
        <v>252840.658973496</v>
      </c>
      <c r="BC112">
        <v>389355.897338142</v>
      </c>
      <c r="BD112">
        <v>44919.0694963694</v>
      </c>
      <c r="BE112">
        <v>-313045.299827743</v>
      </c>
      <c r="BF112">
        <v>-345299.987764126</v>
      </c>
      <c r="BG112">
        <v>-8049.26793605792</v>
      </c>
      <c r="BH112">
        <v>-22548.275469389</v>
      </c>
      <c r="BI112">
        <v>-25419.8282978714</v>
      </c>
      <c r="BJ112">
        <v>10034.2610979795</v>
      </c>
      <c r="BK112">
        <v>-42969.9742598057</v>
      </c>
      <c r="BL112">
        <v>10079.7981276488</v>
      </c>
      <c r="BM112" t="s">
        <v>1900</v>
      </c>
      <c r="BN112">
        <v>7525.42468739152</v>
      </c>
      <c r="BO112">
        <v>18441.3153342247</v>
      </c>
      <c r="BP112">
        <v>1541.01584221125</v>
      </c>
      <c r="BQ112">
        <v>18129.0671026063</v>
      </c>
      <c r="BR112">
        <v>22548.275469389</v>
      </c>
      <c r="BS112">
        <v>32945.2529852629</v>
      </c>
      <c r="BT112">
        <v>8407.05423624516</v>
      </c>
      <c r="BU112">
        <v>44510.9901020169</v>
      </c>
      <c r="BV112">
        <v>244791.389998539</v>
      </c>
      <c r="BW112">
        <v>366807.621868753</v>
      </c>
      <c r="BX112">
        <v>19499.241198498</v>
      </c>
      <c r="BY112">
        <v>-303011.036464562</v>
      </c>
      <c r="BZ112">
        <v>-388269.962023932</v>
      </c>
      <c r="CA112" t="s">
        <v>1900</v>
      </c>
      <c r="CB112" t="s">
        <v>1900</v>
      </c>
      <c r="CC112" t="s">
        <v>1900</v>
      </c>
      <c r="CD112" t="s">
        <v>1900</v>
      </c>
      <c r="CE112" t="s">
        <v>1900</v>
      </c>
      <c r="CF112">
        <v>244791.389998539</v>
      </c>
      <c r="CG112">
        <v>366807.621868753</v>
      </c>
      <c r="CH112">
        <v>19499.241198498</v>
      </c>
      <c r="CI112">
        <v>-303011.036464562</v>
      </c>
      <c r="CJ112">
        <v>-388269.962023932</v>
      </c>
      <c r="CK112" t="s">
        <v>1900</v>
      </c>
      <c r="CL112" t="s">
        <v>1900</v>
      </c>
      <c r="CM112" t="s">
        <v>1900</v>
      </c>
      <c r="CN112" t="s">
        <v>1900</v>
      </c>
      <c r="CO112" t="s">
        <v>1900</v>
      </c>
      <c r="CP112" t="s">
        <v>1900</v>
      </c>
      <c r="CQ112" t="s">
        <v>1900</v>
      </c>
      <c r="CR112" t="s">
        <v>1900</v>
      </c>
      <c r="CS112" t="s">
        <v>1900</v>
      </c>
      <c r="CT112" t="s">
        <v>1900</v>
      </c>
      <c r="CU112" t="s">
        <v>1900</v>
      </c>
      <c r="CV112" t="s">
        <v>1900</v>
      </c>
      <c r="CW112" t="s">
        <v>1900</v>
      </c>
      <c r="CX112" t="s">
        <v>1900</v>
      </c>
      <c r="CY112" t="s">
        <v>1900</v>
      </c>
      <c r="CZ112">
        <v>244791.389998539</v>
      </c>
      <c r="DA112">
        <v>366807.621868753</v>
      </c>
      <c r="DB112">
        <v>19499.241198498</v>
      </c>
      <c r="DC112">
        <v>-303011.036464562</v>
      </c>
      <c r="DD112">
        <v>-388269.962023932</v>
      </c>
      <c r="DE112" t="s">
        <v>1900</v>
      </c>
      <c r="DF112" t="s">
        <v>1900</v>
      </c>
      <c r="DG112" t="s">
        <v>1900</v>
      </c>
      <c r="DH112" t="s">
        <v>1900</v>
      </c>
      <c r="DI112" t="s">
        <v>1900</v>
      </c>
      <c r="DJ112">
        <v>27728.1040787077</v>
      </c>
      <c r="DK112">
        <v>94286.0900144386</v>
      </c>
      <c r="DL112">
        <v>21441.294880724</v>
      </c>
      <c r="DM112">
        <v>24200.5992236853</v>
      </c>
      <c r="DN112">
        <v>15357.9698889077</v>
      </c>
      <c r="DO112">
        <v>1378749.26232661</v>
      </c>
      <c r="DP112">
        <v>1659024.15279965</v>
      </c>
      <c r="DQ112">
        <v>1626783.39512284</v>
      </c>
      <c r="DR112">
        <v>1525523.22933855</v>
      </c>
      <c r="DS112">
        <v>1467844.10732207</v>
      </c>
      <c r="DT112">
        <v>928644.363602914</v>
      </c>
      <c r="DU112">
        <v>752497.779511757</v>
      </c>
      <c r="DV112">
        <v>654756.446333712</v>
      </c>
      <c r="DW112">
        <v>355016.635721612</v>
      </c>
      <c r="DX112">
        <v>365100.228910875</v>
      </c>
      <c r="DY112">
        <v>-678588.246290904</v>
      </c>
      <c r="DZ112">
        <v>-804718.1139476011</v>
      </c>
      <c r="EA112">
        <v>-710120.137988877</v>
      </c>
      <c r="EB112">
        <v>-530449.571116018</v>
      </c>
      <c r="EC112">
        <v>-536294.606926471</v>
      </c>
      <c r="ED112">
        <v>18129.0671026063</v>
      </c>
      <c r="EE112">
        <v>16180.2902115154</v>
      </c>
      <c r="EF112">
        <v>17231.7040164351</v>
      </c>
      <c r="EG112">
        <v>8407.05423624516</v>
      </c>
      <c r="EH112">
        <v>7721.01923095584</v>
      </c>
      <c r="EI112" t="s">
        <v>1900</v>
      </c>
      <c r="EJ112" t="s">
        <v>1900</v>
      </c>
      <c r="EK112" t="s">
        <v>1900</v>
      </c>
      <c r="EL112" t="s">
        <v>1900</v>
      </c>
      <c r="EM112" t="s">
        <v>1900</v>
      </c>
      <c r="EN112">
        <v>1173435.75360145</v>
      </c>
      <c r="EO112">
        <v>1119305.40138051</v>
      </c>
      <c r="EP112">
        <v>674255.686465611</v>
      </c>
      <c r="EQ112">
        <v>52005.5992570496</v>
      </c>
      <c r="ER112">
        <v>-23169.7331130564</v>
      </c>
      <c r="ES112">
        <v>2570314.08199177</v>
      </c>
      <c r="ET112">
        <v>2794509.84439168</v>
      </c>
      <c r="EU112">
        <v>2318270.78667149</v>
      </c>
      <c r="EV112">
        <v>1585935.88283185</v>
      </c>
      <c r="EW112">
        <v>1452395.39221287</v>
      </c>
      <c r="EX112">
        <v>1181485.02257641</v>
      </c>
      <c r="EY112">
        <v>1141853.6768499</v>
      </c>
      <c r="EZ112">
        <v>699675.515830082</v>
      </c>
      <c r="FA112">
        <v>41971.3358938694</v>
      </c>
      <c r="FB112">
        <v>19800.23991965</v>
      </c>
      <c r="FC112">
        <v>3311384.4072942</v>
      </c>
      <c r="FD112">
        <v>3757363.08755838</v>
      </c>
      <c r="FE112">
        <v>3329280.65617108</v>
      </c>
      <c r="FF112">
        <v>3042497.98796647</v>
      </c>
      <c r="FG112">
        <v>2636550.45088332</v>
      </c>
      <c r="FH112">
        <v>3156389.86277565</v>
      </c>
      <c r="FI112">
        <v>3581937.4188795</v>
      </c>
      <c r="FJ112">
        <v>3147954.12479138</v>
      </c>
      <c r="FK112">
        <v>2857791.59307861</v>
      </c>
      <c r="FL112">
        <v>2353873.74565564</v>
      </c>
      <c r="FM112">
        <v>38676.4014445591</v>
      </c>
      <c r="FN112">
        <v>54059.4420112133</v>
      </c>
      <c r="FO112">
        <v>64711.3269062817</v>
      </c>
      <c r="FP112">
        <v>60875.0806076288</v>
      </c>
      <c r="FQ112">
        <v>73826.134674567</v>
      </c>
      <c r="FR112">
        <v>116318.143073993</v>
      </c>
      <c r="FS112">
        <v>121366.226667671</v>
      </c>
      <c r="FT112">
        <v>116615.204473424</v>
      </c>
      <c r="FU112">
        <v>123831.314280224</v>
      </c>
      <c r="FV112">
        <v>208850.570553118</v>
      </c>
      <c r="FW112">
        <v>3156389.86277565</v>
      </c>
      <c r="FX112">
        <v>3581937.4188795</v>
      </c>
      <c r="FY112">
        <v>3147954.12479138</v>
      </c>
      <c r="FZ112">
        <v>2857791.59307861</v>
      </c>
      <c r="GA112">
        <v>2353873.74565564</v>
      </c>
      <c r="GB112">
        <v>38676.4014445591</v>
      </c>
      <c r="GC112">
        <v>54059.4420112133</v>
      </c>
      <c r="GD112">
        <v>64711.3269062817</v>
      </c>
      <c r="GE112">
        <v>60875.0806076288</v>
      </c>
      <c r="GF112">
        <v>73826.134674567</v>
      </c>
      <c r="GG112">
        <v>116318.143073993</v>
      </c>
      <c r="GH112">
        <v>121366.226667671</v>
      </c>
      <c r="GI112">
        <v>116615.204473424</v>
      </c>
      <c r="GJ112">
        <v>123831.314280224</v>
      </c>
      <c r="GK112">
        <v>208850.570553118</v>
      </c>
      <c r="GL112">
        <v>2001081.68026146</v>
      </c>
      <c r="GM112">
        <v>1957893.33857847</v>
      </c>
      <c r="GN112">
        <v>2397359.8533475</v>
      </c>
      <c r="GO112">
        <v>1924112.7544188</v>
      </c>
      <c r="GP112">
        <v>2794962.45454257</v>
      </c>
      <c r="GQ112">
        <v>5694.83172340393</v>
      </c>
      <c r="GR112">
        <v>3580.97510709763</v>
      </c>
      <c r="GS112">
        <v>5439.23075032234</v>
      </c>
      <c r="GT112">
        <v>4032.51013469696</v>
      </c>
      <c r="GU112">
        <v>2853.00587117672</v>
      </c>
      <c r="GV112">
        <v>1454765.8949602</v>
      </c>
      <c r="GW112">
        <v>1502665.919628</v>
      </c>
      <c r="GX112">
        <v>1854139.55005209</v>
      </c>
      <c r="GY112">
        <v>856670.953968644</v>
      </c>
      <c r="GZ112">
        <v>981402.483232796</v>
      </c>
      <c r="HA112">
        <v>540620.953577861</v>
      </c>
      <c r="HB112">
        <v>451646.443843374</v>
      </c>
      <c r="HC112">
        <v>537781.072545093</v>
      </c>
      <c r="HD112">
        <v>1063409.29031546</v>
      </c>
      <c r="HE112">
        <v>1810706.96543859</v>
      </c>
      <c r="HF112">
        <v>534636.89222227</v>
      </c>
      <c r="HG112">
        <v>303207.572425833</v>
      </c>
      <c r="HH112">
        <v>275368.18161965</v>
      </c>
      <c r="HI112">
        <v>768072.479445004</v>
      </c>
      <c r="HJ112">
        <v>1803688.01880081</v>
      </c>
      <c r="HK112">
        <v>5312466.08755566</v>
      </c>
      <c r="HL112">
        <v>5715256.42613686</v>
      </c>
      <c r="HM112">
        <v>5726640.50951859</v>
      </c>
      <c r="HN112">
        <v>4966610.74238527</v>
      </c>
      <c r="HO112">
        <v>5431512.90542589</v>
      </c>
      <c r="HP112">
        <v>4042335.85002935</v>
      </c>
      <c r="HQ112">
        <v>4475061.58370265</v>
      </c>
      <c r="HR112">
        <v>3730586.69775526</v>
      </c>
      <c r="HS112">
        <v>3562413.44749081</v>
      </c>
      <c r="HT112">
        <v>3944273.43837091</v>
      </c>
      <c r="HU112">
        <v>95826.0158536434</v>
      </c>
      <c r="HV112">
        <v>101923.035741806</v>
      </c>
      <c r="HW112">
        <v>98381.00359797481</v>
      </c>
      <c r="HX112">
        <v>104468.78715992</v>
      </c>
      <c r="HY112">
        <v>113185.185180902</v>
      </c>
      <c r="HZ112">
        <v>3946509.8341757</v>
      </c>
      <c r="IA112">
        <v>4373138.54796084</v>
      </c>
      <c r="IB112">
        <v>3632205.69415728</v>
      </c>
      <c r="IC112">
        <v>3457944.66259609</v>
      </c>
      <c r="ID112">
        <v>3831088.25319001</v>
      </c>
      <c r="IE112">
        <v>652504.533183526</v>
      </c>
      <c r="IF112">
        <v>925551.774576264</v>
      </c>
      <c r="IG112">
        <v>903117.315641147</v>
      </c>
      <c r="IH112">
        <v>945675.714874577</v>
      </c>
      <c r="II112">
        <v>700181.547258991</v>
      </c>
      <c r="IJ112">
        <v>317832.333844105</v>
      </c>
      <c r="IK112">
        <v>424287.515565023</v>
      </c>
      <c r="IL112">
        <v>497572.053058898</v>
      </c>
      <c r="IM112">
        <v>641138.3839704751</v>
      </c>
      <c r="IN112">
        <v>451457.219398391</v>
      </c>
      <c r="IO112">
        <v>334672.199339421</v>
      </c>
      <c r="IP112">
        <v>501264.25901124</v>
      </c>
      <c r="IQ112">
        <v>405545.262582248</v>
      </c>
      <c r="IR112">
        <v>304537.330904102</v>
      </c>
      <c r="IS112">
        <v>248724.3278606</v>
      </c>
      <c r="IT112" t="s">
        <v>1900</v>
      </c>
      <c r="IU112" t="s">
        <v>1900</v>
      </c>
      <c r="IV112" t="s">
        <v>1900</v>
      </c>
      <c r="IW112" t="s">
        <v>1900</v>
      </c>
      <c r="IX112" t="s">
        <v>1900</v>
      </c>
      <c r="IY112">
        <v>617625.704342786</v>
      </c>
      <c r="IZ112">
        <v>314643.067857943</v>
      </c>
      <c r="JA112">
        <v>1092936.49612218</v>
      </c>
      <c r="JB112">
        <v>458521.580019879</v>
      </c>
      <c r="JC112">
        <v>787057.9197959841</v>
      </c>
      <c r="JD112">
        <v>480529.45617182</v>
      </c>
      <c r="JE112">
        <v>68632.7742015457</v>
      </c>
      <c r="JF112">
        <v>58129.4907881677</v>
      </c>
      <c r="JG112">
        <v>33844.4756476879</v>
      </c>
      <c r="JH112">
        <v>65276.6270806074</v>
      </c>
      <c r="JI112" t="s">
        <v>1900</v>
      </c>
      <c r="JJ112">
        <v>0</v>
      </c>
      <c r="JK112">
        <v>0</v>
      </c>
      <c r="JL112" t="s">
        <v>1900</v>
      </c>
      <c r="JM112">
        <v>0</v>
      </c>
      <c r="JN112">
        <v>137096.248170966</v>
      </c>
      <c r="JO112">
        <v>246010.293656397</v>
      </c>
      <c r="JP112">
        <v>1034807.00533401</v>
      </c>
      <c r="JQ112">
        <v>424677.104372191</v>
      </c>
      <c r="JR112">
        <v>721781.2927153771</v>
      </c>
      <c r="JS112">
        <v>5312466.08755566</v>
      </c>
      <c r="JT112">
        <v>5715256.42613686</v>
      </c>
      <c r="JU112">
        <v>5726640.50951859</v>
      </c>
      <c r="JV112">
        <v>4966610.74238527</v>
      </c>
      <c r="JW112">
        <v>5431512.90542589</v>
      </c>
      <c r="JX112">
        <v>1460460.7266836</v>
      </c>
      <c r="JY112">
        <v>1506246.8947351</v>
      </c>
      <c r="JZ112">
        <v>1859578.78080241</v>
      </c>
      <c r="KA112">
        <v>860703.464103341</v>
      </c>
      <c r="KB112">
        <v>984255.489103973</v>
      </c>
      <c r="KC112" t="s">
        <v>1900</v>
      </c>
      <c r="KD112" t="s">
        <v>1900</v>
      </c>
      <c r="KE112" t="s">
        <v>1900</v>
      </c>
      <c r="KF112" t="s">
        <v>1900</v>
      </c>
      <c r="KG112" t="s">
        <v>1900</v>
      </c>
      <c r="KH112" t="s">
        <v>1900</v>
      </c>
      <c r="KI112" t="s">
        <v>1900</v>
      </c>
      <c r="KJ112" t="s">
        <v>1900</v>
      </c>
      <c r="KK112" t="s">
        <v>1900</v>
      </c>
      <c r="KL112" t="s">
        <v>1900</v>
      </c>
      <c r="KM112">
        <v>28</v>
      </c>
      <c r="KN112">
        <v>34</v>
      </c>
      <c r="KO112">
        <v>38</v>
      </c>
      <c r="KP112">
        <v>33</v>
      </c>
      <c r="KQ112">
        <v>29</v>
      </c>
      <c r="KR112" t="s">
        <v>1900</v>
      </c>
      <c r="KS112" t="s">
        <v>1900</v>
      </c>
      <c r="KT112" t="s">
        <v>1900</v>
      </c>
      <c r="KU112" t="s">
        <v>1900</v>
      </c>
      <c r="KV112" t="s">
        <v>1900</v>
      </c>
      <c r="KW112" t="s">
        <v>1900</v>
      </c>
      <c r="KX112" t="s">
        <v>1900</v>
      </c>
      <c r="KY112" t="s">
        <v>1900</v>
      </c>
      <c r="KZ112" t="s">
        <v>1900</v>
      </c>
      <c r="LA112" t="s">
        <v>1900</v>
      </c>
      <c r="LB112" t="s">
        <v>1900</v>
      </c>
      <c r="LC112" t="s">
        <v>1900</v>
      </c>
      <c r="LD112" t="s">
        <v>1900</v>
      </c>
      <c r="LE112" t="s">
        <v>1900</v>
      </c>
      <c r="LF112" t="s">
        <v>1900</v>
      </c>
      <c r="LG112" t="s">
        <v>1900</v>
      </c>
      <c r="LH112" t="s">
        <v>1900</v>
      </c>
      <c r="LI112" t="s">
        <v>1900</v>
      </c>
      <c r="LJ112" t="s">
        <v>1900</v>
      </c>
      <c r="LK112" t="s">
        <v>1900</v>
      </c>
      <c r="LL112" t="s">
        <v>1900</v>
      </c>
      <c r="LM112" t="s">
        <v>1900</v>
      </c>
      <c r="LN112" t="s">
        <v>1900</v>
      </c>
      <c r="LO112" t="s">
        <v>1900</v>
      </c>
      <c r="LP112" t="s">
        <v>1900</v>
      </c>
      <c r="LQ112" t="s">
        <v>1900</v>
      </c>
      <c r="LR112" t="s">
        <v>1900</v>
      </c>
      <c r="LS112" t="s">
        <v>1900</v>
      </c>
      <c r="LT112" t="s">
        <v>1900</v>
      </c>
      <c r="LU112" t="s">
        <v>1900</v>
      </c>
      <c r="LV112" t="s">
        <v>1900</v>
      </c>
      <c r="LW112" t="s">
        <v>1900</v>
      </c>
      <c r="LX112" t="s">
        <v>1900</v>
      </c>
      <c r="LY112" t="s">
        <v>1900</v>
      </c>
      <c r="LZ112" t="s">
        <v>1900</v>
      </c>
      <c r="MA112" t="s">
        <v>1900</v>
      </c>
      <c r="MB112" t="s">
        <v>1900</v>
      </c>
      <c r="MC112" t="s">
        <v>1900</v>
      </c>
      <c r="MD112" t="s">
        <v>1900</v>
      </c>
      <c r="ME112" t="s">
        <v>1900</v>
      </c>
      <c r="MF112" t="s">
        <v>1900</v>
      </c>
      <c r="MG112" t="s">
        <v>1900</v>
      </c>
      <c r="MH112" t="s">
        <v>1900</v>
      </c>
      <c r="MI112" t="s">
        <v>1900</v>
      </c>
      <c r="MJ112" t="s">
        <v>1900</v>
      </c>
      <c r="MK112" t="s">
        <v>1900</v>
      </c>
      <c r="ML112" t="s">
        <v>1900</v>
      </c>
      <c r="MM112" t="s">
        <v>1900</v>
      </c>
      <c r="MN112" t="s">
        <v>1900</v>
      </c>
      <c r="MO112" t="s">
        <v>1900</v>
      </c>
      <c r="MP112">
        <v>540620.953577861</v>
      </c>
      <c r="MQ112">
        <v>451646.443843374</v>
      </c>
      <c r="MR112">
        <v>537781.072545093</v>
      </c>
      <c r="MS112">
        <v>1063409.29031546</v>
      </c>
      <c r="MT112">
        <v>1810706.96543859</v>
      </c>
      <c r="MU112" t="s">
        <v>1900</v>
      </c>
      <c r="MV112" t="s">
        <v>1900</v>
      </c>
      <c r="MW112" t="s">
        <v>1900</v>
      </c>
      <c r="MX112" t="s">
        <v>1900</v>
      </c>
      <c r="MY112" t="s">
        <v>1900</v>
      </c>
      <c r="MZ112" t="s">
        <v>1900</v>
      </c>
      <c r="NA112" t="s">
        <v>1900</v>
      </c>
      <c r="NB112" t="s">
        <v>1900</v>
      </c>
      <c r="NC112" t="s">
        <v>1900</v>
      </c>
      <c r="ND112" t="s">
        <v>1900</v>
      </c>
      <c r="NE112" t="s">
        <v>1900</v>
      </c>
      <c r="NF112" t="s">
        <v>1900</v>
      </c>
      <c r="NG112" t="s">
        <v>1900</v>
      </c>
      <c r="NH112" t="s">
        <v>1900</v>
      </c>
      <c r="NI112" t="s">
        <v>1900</v>
      </c>
      <c r="NJ112" t="s">
        <v>1900</v>
      </c>
      <c r="NK112" t="s">
        <v>1900</v>
      </c>
      <c r="NL112" t="s">
        <v>1900</v>
      </c>
      <c r="NM112" t="s">
        <v>1900</v>
      </c>
      <c r="NN112" t="s">
        <v>1900</v>
      </c>
      <c r="NO112" t="s">
        <v>1900</v>
      </c>
      <c r="NP112" t="s">
        <v>1900</v>
      </c>
      <c r="NQ112" t="s">
        <v>1900</v>
      </c>
      <c r="NR112" t="s">
        <v>1900</v>
      </c>
      <c r="NS112" t="s">
        <v>1900</v>
      </c>
      <c r="NT112">
        <v>3311384.4072942</v>
      </c>
      <c r="NU112">
        <v>3757363.08755838</v>
      </c>
      <c r="NV112">
        <v>3329280.65617108</v>
      </c>
      <c r="NW112">
        <v>3042497.98796647</v>
      </c>
      <c r="NX112">
        <v>2636550.45088332</v>
      </c>
      <c r="NY112" t="s">
        <v>1900</v>
      </c>
      <c r="NZ112" t="s">
        <v>1900</v>
      </c>
      <c r="OA112" t="s">
        <v>1900</v>
      </c>
      <c r="OB112" t="s">
        <v>1900</v>
      </c>
      <c r="OC112" t="s">
        <v>1900</v>
      </c>
      <c r="OD112" t="s">
        <v>1900</v>
      </c>
      <c r="OE112" t="s">
        <v>1900</v>
      </c>
      <c r="OF112" t="s">
        <v>1900</v>
      </c>
      <c r="OG112" t="s">
        <v>1900</v>
      </c>
      <c r="OH112" t="s">
        <v>1900</v>
      </c>
      <c r="OI112" t="s">
        <v>1900</v>
      </c>
      <c r="OJ112" t="s">
        <v>1900</v>
      </c>
      <c r="OK112" t="s">
        <v>1900</v>
      </c>
      <c r="OL112" t="s">
        <v>1900</v>
      </c>
      <c r="OM112" t="s">
        <v>1900</v>
      </c>
      <c r="ON112" t="s">
        <v>1900</v>
      </c>
      <c r="OO112" t="s">
        <v>1900</v>
      </c>
      <c r="OP112" t="s">
        <v>1900</v>
      </c>
      <c r="OQ112" t="s">
        <v>1900</v>
      </c>
      <c r="OR112" t="s">
        <v>1900</v>
      </c>
      <c r="OS112" t="s">
        <v>1900</v>
      </c>
      <c r="OT112" t="s">
        <v>1900</v>
      </c>
      <c r="OU112" t="s">
        <v>1900</v>
      </c>
      <c r="OV112" t="s">
        <v>1900</v>
      </c>
      <c r="OW112" t="s">
        <v>1900</v>
      </c>
      <c r="OX112" t="s">
        <v>1900</v>
      </c>
      <c r="OY112" t="s">
        <v>1900</v>
      </c>
      <c r="OZ112" t="s">
        <v>1900</v>
      </c>
      <c r="PA112" t="s">
        <v>1900</v>
      </c>
      <c r="PB112" t="s">
        <v>1900</v>
      </c>
      <c r="PC112" t="s">
        <v>1900</v>
      </c>
      <c r="PD112" t="s">
        <v>1900</v>
      </c>
      <c r="PE112" t="s">
        <v>1900</v>
      </c>
      <c r="PF112" t="s">
        <v>1900</v>
      </c>
      <c r="PG112" t="s">
        <v>1900</v>
      </c>
      <c r="PH112" t="s">
        <v>1900</v>
      </c>
      <c r="PI112" t="s">
        <v>1900</v>
      </c>
      <c r="PJ112" t="s">
        <v>1900</v>
      </c>
      <c r="PK112" t="s">
        <v>1900</v>
      </c>
      <c r="PL112" t="s">
        <v>1900</v>
      </c>
      <c r="PM112" t="s">
        <v>1900</v>
      </c>
      <c r="PN112" t="s">
        <v>1900</v>
      </c>
      <c r="PO112" t="s">
        <v>1900</v>
      </c>
      <c r="PP112" t="s">
        <v>1900</v>
      </c>
      <c r="PQ112" t="s">
        <v>1900</v>
      </c>
      <c r="PR112" t="s">
        <v>1900</v>
      </c>
      <c r="PS112" t="s">
        <v>1900</v>
      </c>
      <c r="PT112" t="s">
        <v>1900</v>
      </c>
      <c r="PU112" t="s">
        <v>1900</v>
      </c>
      <c r="PV112" t="s">
        <v>1900</v>
      </c>
      <c r="PW112" t="s">
        <v>1900</v>
      </c>
      <c r="PX112" t="s">
        <v>1900</v>
      </c>
      <c r="PY112" t="s">
        <v>1900</v>
      </c>
      <c r="PZ112" t="s">
        <v>1900</v>
      </c>
      <c r="QA112" t="s">
        <v>1900</v>
      </c>
      <c r="QB112" t="s">
        <v>1900</v>
      </c>
      <c r="QC112" t="s">
        <v>1900</v>
      </c>
      <c r="QD112" t="s">
        <v>1900</v>
      </c>
      <c r="QE112" t="s">
        <v>1900</v>
      </c>
      <c r="QF112" t="s">
        <v>1900</v>
      </c>
      <c r="QG112" t="s">
        <v>1900</v>
      </c>
      <c r="QH112" t="s">
        <v>1900</v>
      </c>
      <c r="QI112" t="s">
        <v>1900</v>
      </c>
      <c r="QJ112" t="s">
        <v>1900</v>
      </c>
      <c r="QK112" t="s">
        <v>1900</v>
      </c>
      <c r="QL112" t="s">
        <v>1900</v>
      </c>
      <c r="QM112" t="s">
        <v>1900</v>
      </c>
      <c r="QN112" t="s">
        <v>1900</v>
      </c>
      <c r="QO112" t="s">
        <v>1900</v>
      </c>
      <c r="QP112" t="s">
        <v>1900</v>
      </c>
      <c r="QQ112" t="s">
        <v>1900</v>
      </c>
      <c r="QR112" t="s">
        <v>1900</v>
      </c>
      <c r="QS112" t="s">
        <v>1900</v>
      </c>
      <c r="QT112" t="s">
        <v>1900</v>
      </c>
      <c r="QU112" t="s">
        <v>1900</v>
      </c>
      <c r="QV112" t="s">
        <v>1900</v>
      </c>
      <c r="QW112" t="s">
        <v>1900</v>
      </c>
      <c r="QX112" t="s">
        <v>1900</v>
      </c>
      <c r="QY112" t="s">
        <v>1900</v>
      </c>
      <c r="QZ112" t="s">
        <v>1900</v>
      </c>
      <c r="RA112" t="s">
        <v>1900</v>
      </c>
      <c r="RB112" t="s">
        <v>1900</v>
      </c>
      <c r="RC112" t="s">
        <v>1900</v>
      </c>
      <c r="RD112" t="s">
        <v>1900</v>
      </c>
      <c r="RE112" t="s">
        <v>1900</v>
      </c>
      <c r="RF112" t="s">
        <v>1900</v>
      </c>
      <c r="RG112" t="s">
        <v>1900</v>
      </c>
      <c r="RH112" t="s">
        <v>1900</v>
      </c>
      <c r="RI112" t="s">
        <v>1900</v>
      </c>
      <c r="RJ112" t="s">
        <v>1900</v>
      </c>
      <c r="RK112" t="s">
        <v>1900</v>
      </c>
      <c r="RL112" t="s">
        <v>1900</v>
      </c>
      <c r="RM112" t="s">
        <v>1900</v>
      </c>
      <c r="RN112" t="s">
        <v>1900</v>
      </c>
      <c r="RO112" t="s">
        <v>1900</v>
      </c>
      <c r="RP112" t="s">
        <v>1900</v>
      </c>
      <c r="RQ112" t="s">
        <v>1900</v>
      </c>
      <c r="RR112" t="s">
        <v>1900</v>
      </c>
      <c r="RS112" t="s">
        <v>1900</v>
      </c>
      <c r="RT112" t="s">
        <v>1900</v>
      </c>
      <c r="RU112" t="s">
        <v>1900</v>
      </c>
      <c r="RV112" t="s">
        <v>1900</v>
      </c>
      <c r="RW112" t="s">
        <v>1900</v>
      </c>
      <c r="RX112" t="s">
        <v>1900</v>
      </c>
      <c r="RY112" t="s">
        <v>1900</v>
      </c>
      <c r="RZ112" t="s">
        <v>1900</v>
      </c>
      <c r="SA112" t="s">
        <v>1900</v>
      </c>
      <c r="SB112" t="s">
        <v>1900</v>
      </c>
      <c r="SC112" t="s">
        <v>1900</v>
      </c>
      <c r="SD112" t="s">
        <v>1900</v>
      </c>
      <c r="SE112" t="s">
        <v>1900</v>
      </c>
      <c r="SF112" t="s">
        <v>1900</v>
      </c>
      <c r="SG112" t="s">
        <v>1900</v>
      </c>
      <c r="SH112" t="s">
        <v>1900</v>
      </c>
      <c r="SI112" t="s">
        <v>1900</v>
      </c>
      <c r="SJ112">
        <v>116318.143073993</v>
      </c>
      <c r="SK112">
        <v>121366.226667671</v>
      </c>
      <c r="SL112">
        <v>116615.204473424</v>
      </c>
      <c r="SM112">
        <v>123831.314280224</v>
      </c>
      <c r="SN112">
        <v>208850.570553118</v>
      </c>
      <c r="SO112" t="s">
        <v>1900</v>
      </c>
      <c r="SP112" t="s">
        <v>1900</v>
      </c>
      <c r="SQ112" t="s">
        <v>1900</v>
      </c>
      <c r="SR112" t="s">
        <v>1900</v>
      </c>
      <c r="SS112" t="s">
        <v>1900</v>
      </c>
      <c r="ST112" t="s">
        <v>1900</v>
      </c>
      <c r="SU112" t="s">
        <v>1900</v>
      </c>
      <c r="SV112" t="s">
        <v>1900</v>
      </c>
      <c r="SW112" t="s">
        <v>1900</v>
      </c>
      <c r="SX112" t="s">
        <v>1900</v>
      </c>
      <c r="SY112" t="s">
        <v>1900</v>
      </c>
      <c r="SZ112" t="s">
        <v>1900</v>
      </c>
      <c r="TA112" t="s">
        <v>1900</v>
      </c>
      <c r="TB112" t="s">
        <v>1900</v>
      </c>
      <c r="TC112" t="s">
        <v>1900</v>
      </c>
      <c r="TD112" t="s">
        <v>1900</v>
      </c>
      <c r="TE112" t="s">
        <v>1900</v>
      </c>
      <c r="TF112" t="s">
        <v>1900</v>
      </c>
      <c r="TG112" t="s">
        <v>1900</v>
      </c>
      <c r="TH112" t="s">
        <v>1900</v>
      </c>
      <c r="TI112" t="s">
        <v>1900</v>
      </c>
      <c r="TJ112" t="s">
        <v>1900</v>
      </c>
      <c r="TK112" t="s">
        <v>1900</v>
      </c>
      <c r="TL112" t="s">
        <v>1900</v>
      </c>
      <c r="TM112" t="s">
        <v>1900</v>
      </c>
      <c r="TN112" t="s">
        <v>1900</v>
      </c>
      <c r="TO112" t="s">
        <v>1900</v>
      </c>
      <c r="TP112" t="s">
        <v>1900</v>
      </c>
      <c r="TQ112" t="s">
        <v>1900</v>
      </c>
      <c r="TR112" t="s">
        <v>1900</v>
      </c>
      <c r="TS112">
        <v>5312466.08755566</v>
      </c>
      <c r="TT112">
        <v>5715256.42613686</v>
      </c>
      <c r="TU112">
        <v>5726640.50951859</v>
      </c>
      <c r="TV112">
        <v>4966610.74238527</v>
      </c>
      <c r="TW112">
        <v>5431512.90542589</v>
      </c>
      <c r="TX112" t="s">
        <v>1900</v>
      </c>
      <c r="TY112" t="s">
        <v>1900</v>
      </c>
      <c r="TZ112" t="s">
        <v>1900</v>
      </c>
      <c r="UA112" t="s">
        <v>1900</v>
      </c>
      <c r="UB112" t="s">
        <v>1900</v>
      </c>
      <c r="UC112">
        <v>480529.45617182</v>
      </c>
      <c r="UD112">
        <v>68632.7742015457</v>
      </c>
      <c r="UE112">
        <v>58129.4907881677</v>
      </c>
      <c r="UF112">
        <v>33844.4756476879</v>
      </c>
      <c r="UG112">
        <v>65276.6270806074</v>
      </c>
      <c r="UH112" t="s">
        <v>1900</v>
      </c>
      <c r="UI112" t="s">
        <v>1900</v>
      </c>
      <c r="UJ112" t="s">
        <v>1900</v>
      </c>
      <c r="UK112" t="s">
        <v>1900</v>
      </c>
      <c r="UL112" t="s">
        <v>1900</v>
      </c>
      <c r="UM112" t="s">
        <v>1900</v>
      </c>
      <c r="UN112" t="s">
        <v>1900</v>
      </c>
      <c r="UO112" t="s">
        <v>1900</v>
      </c>
      <c r="UP112" t="s">
        <v>1900</v>
      </c>
      <c r="UQ112" t="s">
        <v>1900</v>
      </c>
      <c r="UR112" t="s">
        <v>1900</v>
      </c>
      <c r="US112" t="s">
        <v>1900</v>
      </c>
      <c r="UT112" t="s">
        <v>1900</v>
      </c>
      <c r="UU112" t="s">
        <v>1900</v>
      </c>
      <c r="UV112" t="s">
        <v>1900</v>
      </c>
      <c r="UW112" t="s">
        <v>1900</v>
      </c>
      <c r="UX112" t="s">
        <v>1900</v>
      </c>
      <c r="UY112" t="s">
        <v>1900</v>
      </c>
      <c r="UZ112" t="s">
        <v>1900</v>
      </c>
      <c r="VA112" t="s">
        <v>1900</v>
      </c>
      <c r="VB112" t="s">
        <v>1900</v>
      </c>
      <c r="VC112" t="s">
        <v>1900</v>
      </c>
      <c r="VD112" t="s">
        <v>1900</v>
      </c>
      <c r="VE112" t="s">
        <v>1900</v>
      </c>
      <c r="VF112" t="s">
        <v>1900</v>
      </c>
      <c r="VG112" t="s">
        <v>1900</v>
      </c>
      <c r="VH112" t="s">
        <v>1900</v>
      </c>
      <c r="VI112" t="s">
        <v>1900</v>
      </c>
      <c r="VJ112" t="s">
        <v>1900</v>
      </c>
      <c r="VK112" t="s">
        <v>1900</v>
      </c>
      <c r="VL112" t="s">
        <v>1900</v>
      </c>
      <c r="VM112" t="s">
        <v>1900</v>
      </c>
      <c r="VN112" t="s">
        <v>1900</v>
      </c>
      <c r="VO112" t="s">
        <v>1900</v>
      </c>
      <c r="VP112" t="s">
        <v>1900</v>
      </c>
      <c r="VQ112" t="s">
        <v>1900</v>
      </c>
      <c r="VR112" t="s">
        <v>1900</v>
      </c>
      <c r="VS112" t="s">
        <v>1900</v>
      </c>
      <c r="VT112" t="s">
        <v>1900</v>
      </c>
      <c r="VU112" t="s">
        <v>1900</v>
      </c>
      <c r="VV112" t="s">
        <v>1900</v>
      </c>
      <c r="VW112" t="s">
        <v>1900</v>
      </c>
      <c r="VX112" t="s">
        <v>1900</v>
      </c>
      <c r="VY112" t="s">
        <v>1900</v>
      </c>
      <c r="VZ112" t="s">
        <v>1900</v>
      </c>
      <c r="WA112">
        <v>137096.248170966</v>
      </c>
      <c r="WB112">
        <v>246010.293656397</v>
      </c>
      <c r="WC112">
        <v>1034807.00533401</v>
      </c>
      <c r="WD112">
        <v>424677.104372191</v>
      </c>
      <c r="WE112">
        <v>721781.2927153771</v>
      </c>
      <c r="WF112" t="s">
        <v>1900</v>
      </c>
      <c r="WG112" t="s">
        <v>1900</v>
      </c>
      <c r="WH112" t="s">
        <v>1900</v>
      </c>
      <c r="WI112" t="s">
        <v>1900</v>
      </c>
      <c r="WJ112" t="s">
        <v>1900</v>
      </c>
      <c r="WK112" t="s">
        <v>1900</v>
      </c>
      <c r="WL112" t="s">
        <v>1900</v>
      </c>
      <c r="WM112" t="s">
        <v>1900</v>
      </c>
      <c r="WN112" t="s">
        <v>1900</v>
      </c>
      <c r="WO112" t="s">
        <v>1900</v>
      </c>
      <c r="WP112" t="s">
        <v>1900</v>
      </c>
      <c r="WQ112" t="s">
        <v>1900</v>
      </c>
      <c r="WR112" t="s">
        <v>1900</v>
      </c>
      <c r="WS112" t="s">
        <v>1900</v>
      </c>
      <c r="WT112" t="s">
        <v>1900</v>
      </c>
      <c r="WU112" t="s">
        <v>1900</v>
      </c>
      <c r="WV112" t="s">
        <v>1900</v>
      </c>
      <c r="WW112" t="s">
        <v>1900</v>
      </c>
      <c r="WX112" t="s">
        <v>1900</v>
      </c>
      <c r="WY112" t="s">
        <v>1900</v>
      </c>
      <c r="WZ112" t="s">
        <v>1900</v>
      </c>
      <c r="XA112" t="s">
        <v>1900</v>
      </c>
      <c r="XB112" t="s">
        <v>1900</v>
      </c>
      <c r="XC112" t="s">
        <v>1900</v>
      </c>
      <c r="XD112" t="s">
        <v>1900</v>
      </c>
      <c r="XE112" t="s">
        <v>1900</v>
      </c>
      <c r="XF112" t="s">
        <v>1900</v>
      </c>
      <c r="XG112" t="s">
        <v>1900</v>
      </c>
      <c r="XH112" t="s">
        <v>1900</v>
      </c>
      <c r="XI112" t="s">
        <v>1900</v>
      </c>
      <c r="XJ112">
        <v>334672.199339421</v>
      </c>
      <c r="XK112">
        <v>501264.25901124</v>
      </c>
      <c r="XL112">
        <v>405545.262582248</v>
      </c>
      <c r="XM112">
        <v>304537.330904102</v>
      </c>
      <c r="XN112">
        <v>248724.3278606</v>
      </c>
      <c r="XO112" t="s">
        <v>1900</v>
      </c>
      <c r="XP112" t="s">
        <v>1900</v>
      </c>
      <c r="XQ112" t="s">
        <v>1900</v>
      </c>
      <c r="XR112" t="s">
        <v>1900</v>
      </c>
      <c r="XS112" t="s">
        <v>1900</v>
      </c>
      <c r="XT112" t="s">
        <v>1900</v>
      </c>
      <c r="XU112" t="s">
        <v>1900</v>
      </c>
      <c r="XV112" t="s">
        <v>1900</v>
      </c>
      <c r="XW112" t="s">
        <v>1900</v>
      </c>
      <c r="XX112" t="s">
        <v>1900</v>
      </c>
      <c r="XY112" t="s">
        <v>1900</v>
      </c>
      <c r="XZ112" t="s">
        <v>1900</v>
      </c>
      <c r="YA112" t="s">
        <v>1900</v>
      </c>
      <c r="YB112" t="s">
        <v>1900</v>
      </c>
      <c r="YC112" t="s">
        <v>1900</v>
      </c>
      <c r="YD112" t="s">
        <v>1900</v>
      </c>
      <c r="YE112" t="s">
        <v>1900</v>
      </c>
      <c r="YF112" t="s">
        <v>1900</v>
      </c>
      <c r="YG112" t="s">
        <v>1900</v>
      </c>
      <c r="YH112" t="s">
        <v>1900</v>
      </c>
      <c r="YI112" t="s">
        <v>1900</v>
      </c>
      <c r="YJ112" t="s">
        <v>1900</v>
      </c>
      <c r="YK112" t="s">
        <v>1900</v>
      </c>
      <c r="YL112" t="s">
        <v>1900</v>
      </c>
      <c r="YM112" t="s">
        <v>1900</v>
      </c>
      <c r="YN112" t="s">
        <v>1900</v>
      </c>
      <c r="YO112" t="s">
        <v>1900</v>
      </c>
      <c r="YP112" t="s">
        <v>1900</v>
      </c>
      <c r="YQ112" t="s">
        <v>1900</v>
      </c>
      <c r="YR112" t="s">
        <v>1900</v>
      </c>
      <c r="YS112" t="s">
        <v>1900</v>
      </c>
      <c r="YT112" t="s">
        <v>1900</v>
      </c>
      <c r="YU112" t="s">
        <v>1900</v>
      </c>
      <c r="YV112" t="s">
        <v>1900</v>
      </c>
      <c r="YW112" t="s">
        <v>1900</v>
      </c>
      <c r="YX112" t="s">
        <v>1900</v>
      </c>
      <c r="YY112" t="s">
        <v>1900</v>
      </c>
      <c r="YZ112" t="s">
        <v>1900</v>
      </c>
      <c r="ZA112" t="s">
        <v>1900</v>
      </c>
      <c r="ZB112" t="s">
        <v>1900</v>
      </c>
      <c r="ZC112" t="s">
        <v>1900</v>
      </c>
      <c r="ZD112" t="s">
        <v>1900</v>
      </c>
      <c r="ZE112" t="s">
        <v>1900</v>
      </c>
      <c r="ZF112" t="s">
        <v>1900</v>
      </c>
      <c r="ZG112" t="s">
        <v>1900</v>
      </c>
      <c r="ZH112" t="s">
        <v>1900</v>
      </c>
      <c r="ZI112" t="s">
        <v>1900</v>
      </c>
      <c r="ZJ112" t="s">
        <v>1900</v>
      </c>
      <c r="ZK112" t="s">
        <v>1900</v>
      </c>
      <c r="ZL112" t="s">
        <v>1900</v>
      </c>
      <c r="ZM112" t="s">
        <v>1900</v>
      </c>
      <c r="ZN112" t="s">
        <v>1900</v>
      </c>
      <c r="ZO112" t="s">
        <v>1900</v>
      </c>
      <c r="ZP112" t="s">
        <v>1900</v>
      </c>
      <c r="ZQ112" t="s">
        <v>1900</v>
      </c>
      <c r="ZR112" t="s">
        <v>1900</v>
      </c>
      <c r="ZS112" t="s">
        <v>1900</v>
      </c>
      <c r="ZT112" t="s">
        <v>1900</v>
      </c>
      <c r="ZU112" t="s">
        <v>1900</v>
      </c>
      <c r="ZV112" t="s">
        <v>1900</v>
      </c>
      <c r="ZW112" t="s">
        <v>1900</v>
      </c>
      <c r="ZX112" t="s">
        <v>1900</v>
      </c>
      <c r="ZY112" t="s">
        <v>1900</v>
      </c>
      <c r="ZZ112" t="s">
        <v>1900</v>
      </c>
      <c r="AAA112" t="s">
        <v>1900</v>
      </c>
      <c r="AAB112" t="s">
        <v>1900</v>
      </c>
      <c r="AAC112" t="s">
        <v>1900</v>
      </c>
      <c r="AAD112" t="s">
        <v>1900</v>
      </c>
      <c r="AAE112" t="s">
        <v>1900</v>
      </c>
      <c r="AAF112" t="s">
        <v>1900</v>
      </c>
      <c r="AAG112" t="s">
        <v>1900</v>
      </c>
      <c r="AAH112" t="s">
        <v>1900</v>
      </c>
      <c r="AAI112" t="s">
        <v>1900</v>
      </c>
      <c r="AAJ112" t="s">
        <v>1900</v>
      </c>
      <c r="AAK112" t="s">
        <v>1900</v>
      </c>
      <c r="AAL112" t="s">
        <v>1900</v>
      </c>
      <c r="AAM112" t="s">
        <v>1900</v>
      </c>
      <c r="AAN112" t="s">
        <v>1900</v>
      </c>
      <c r="AAO112" t="s">
        <v>1900</v>
      </c>
      <c r="AAP112" t="s">
        <v>1900</v>
      </c>
      <c r="AAQ112" t="s">
        <v>1900</v>
      </c>
      <c r="AAR112" t="s">
        <v>1900</v>
      </c>
      <c r="AAS112" t="s">
        <v>1900</v>
      </c>
      <c r="AAT112" t="s">
        <v>1900</v>
      </c>
      <c r="AAU112" t="s">
        <v>1900</v>
      </c>
      <c r="AAV112" t="s">
        <v>1900</v>
      </c>
      <c r="AAW112" t="s">
        <v>1900</v>
      </c>
      <c r="AAX112" t="s">
        <v>1900</v>
      </c>
      <c r="AAY112" t="s">
        <v>1900</v>
      </c>
      <c r="AAZ112" t="s">
        <v>1900</v>
      </c>
      <c r="ABA112" t="s">
        <v>1900</v>
      </c>
      <c r="ABB112" t="s">
        <v>1900</v>
      </c>
      <c r="ABC112" t="s">
        <v>1900</v>
      </c>
      <c r="ABD112" t="s">
        <v>1900</v>
      </c>
      <c r="ABE112" t="s">
        <v>1900</v>
      </c>
      <c r="ABF112" t="s">
        <v>1900</v>
      </c>
      <c r="ABG112" t="s">
        <v>1900</v>
      </c>
      <c r="ABH112" t="s">
        <v>1900</v>
      </c>
      <c r="ABI112" t="s">
        <v>1900</v>
      </c>
      <c r="ABJ112" t="s">
        <v>1900</v>
      </c>
      <c r="ABK112" t="s">
        <v>1900</v>
      </c>
      <c r="ABL112" t="s">
        <v>1900</v>
      </c>
      <c r="ABM112" t="s">
        <v>1900</v>
      </c>
      <c r="ABN112" t="s">
        <v>1900</v>
      </c>
      <c r="ABO112" t="s">
        <v>1900</v>
      </c>
      <c r="ABP112" t="s">
        <v>1900</v>
      </c>
      <c r="ABQ112" t="s">
        <v>1900</v>
      </c>
      <c r="ABR112" t="s">
        <v>1900</v>
      </c>
      <c r="ABS112" t="s">
        <v>1900</v>
      </c>
      <c r="ABT112" t="s">
        <v>1900</v>
      </c>
      <c r="ABU112" t="s">
        <v>1900</v>
      </c>
      <c r="ABV112" t="s">
        <v>1900</v>
      </c>
      <c r="ABW112" t="s">
        <v>1900</v>
      </c>
      <c r="ABX112" t="s">
        <v>1900</v>
      </c>
      <c r="ABY112" t="s">
        <v>1900</v>
      </c>
      <c r="ABZ112" t="s">
        <v>1900</v>
      </c>
      <c r="ACA112" t="s">
        <v>1900</v>
      </c>
      <c r="ACB112" t="s">
        <v>1900</v>
      </c>
      <c r="ACC112" t="s">
        <v>1900</v>
      </c>
      <c r="ACD112" t="s">
        <v>1900</v>
      </c>
      <c r="ACE112">
        <v>6.056</v>
      </c>
      <c r="ACF112">
        <v>8.196999999999999</v>
      </c>
      <c r="ACG112">
        <v>0.523</v>
      </c>
      <c r="ACH112">
        <v>-8.506</v>
      </c>
      <c r="ACI112">
        <v>-9.843999999999999</v>
      </c>
      <c r="ACJ112">
        <v>5.6</v>
      </c>
      <c r="ACK112">
        <v>7.092</v>
      </c>
      <c r="ACL112">
        <v>0.793</v>
      </c>
      <c r="ACM112">
        <v>-6.535</v>
      </c>
      <c r="ACN112">
        <v>-8.194000000000001</v>
      </c>
      <c r="ACO112">
        <v>4.608</v>
      </c>
      <c r="ACP112">
        <v>6.418</v>
      </c>
      <c r="ACQ112">
        <v>0.341</v>
      </c>
      <c r="ACR112">
        <v>-6.101</v>
      </c>
      <c r="ACS112">
        <v>-7.148</v>
      </c>
      <c r="ACT112">
        <v>6.056</v>
      </c>
      <c r="ACU112">
        <v>8.196999999999999</v>
      </c>
      <c r="ACV112">
        <v>0.523</v>
      </c>
      <c r="ACW112">
        <v>-8.506</v>
      </c>
      <c r="ACX112">
        <v>-9.843999999999999</v>
      </c>
      <c r="ACY112">
        <v>5.6</v>
      </c>
      <c r="ACZ112">
        <v>7.092</v>
      </c>
      <c r="ADA112">
        <v>0.793</v>
      </c>
      <c r="ADB112">
        <v>-6.535</v>
      </c>
      <c r="ADC112">
        <v>-8.194000000000001</v>
      </c>
      <c r="ADD112">
        <v>4.608</v>
      </c>
      <c r="ADE112">
        <v>6.418</v>
      </c>
      <c r="ADF112">
        <v>0.341</v>
      </c>
      <c r="ADG112">
        <v>-6.101</v>
      </c>
      <c r="ADH112">
        <v>-7.148</v>
      </c>
      <c r="ADI112">
        <v>12.821</v>
      </c>
      <c r="ADJ112">
        <v>17.547</v>
      </c>
      <c r="ADK112">
        <v>1.191</v>
      </c>
      <c r="ADL112">
        <v>-28.552</v>
      </c>
      <c r="ADM112">
        <v>-40.164</v>
      </c>
      <c r="ADN112">
        <v>98.548</v>
      </c>
      <c r="ADO112">
        <v>95.48999999999999</v>
      </c>
      <c r="ADP112">
        <v>98.691</v>
      </c>
      <c r="ADQ112">
        <v>97.72</v>
      </c>
      <c r="ADR112">
        <v>98.411</v>
      </c>
      <c r="ADS112">
        <v>13.242069918</v>
      </c>
      <c r="ADT112">
        <v>18.625495886</v>
      </c>
      <c r="ADU112">
        <v>2.742680191</v>
      </c>
      <c r="ADV112">
        <v>-29.49791281</v>
      </c>
      <c r="ADW112">
        <v>-35.71917175</v>
      </c>
      <c r="ADX112">
        <v>61.878</v>
      </c>
      <c r="ADY112">
        <v>54.622</v>
      </c>
      <c r="ADZ112">
        <v>42.721</v>
      </c>
      <c r="AEA112">
        <v>3.955</v>
      </c>
      <c r="AEB112">
        <v>2.048</v>
      </c>
      <c r="AEC112">
        <v>13.242</v>
      </c>
      <c r="AED112">
        <v>18.625</v>
      </c>
      <c r="AEE112">
        <v>2.743</v>
      </c>
      <c r="AEF112">
        <v>-29.498</v>
      </c>
      <c r="AEG112">
        <v>-35.719</v>
      </c>
      <c r="AEH112">
        <v>61.457</v>
      </c>
      <c r="AEI112">
        <v>53.544</v>
      </c>
      <c r="AEJ112">
        <v>41.169</v>
      </c>
      <c r="AEK112">
        <v>4.9</v>
      </c>
      <c r="AEL112">
        <v>-2.397</v>
      </c>
      <c r="AEM112">
        <v>15.263238652</v>
      </c>
      <c r="AEN112">
        <v>22.888613687</v>
      </c>
      <c r="AEO112">
        <v>2.820024443</v>
      </c>
      <c r="AEP112">
        <v>-22.778678181</v>
      </c>
      <c r="AEQ112">
        <v>-26.318442184</v>
      </c>
      <c r="AER112">
        <v>1.155230737</v>
      </c>
      <c r="AES112">
        <v>1.24231701</v>
      </c>
      <c r="AET112">
        <v>1.028585024</v>
      </c>
      <c r="AEU112">
        <v>0.768130101</v>
      </c>
      <c r="AEV112">
        <v>0.73369833</v>
      </c>
      <c r="AEW112" t="s">
        <v>1900</v>
      </c>
      <c r="AEX112" t="s">
        <v>1900</v>
      </c>
      <c r="AEY112" t="s">
        <v>1900</v>
      </c>
      <c r="AEZ112" t="s">
        <v>1900</v>
      </c>
      <c r="AFA112" t="s">
        <v>1900</v>
      </c>
      <c r="AFB112" t="s">
        <v>1900</v>
      </c>
      <c r="AFC112" t="s">
        <v>1900</v>
      </c>
      <c r="AFD112" t="s">
        <v>1900</v>
      </c>
      <c r="AFE112" t="s">
        <v>1900</v>
      </c>
      <c r="AFF112" t="s">
        <v>1900</v>
      </c>
      <c r="AFG112">
        <v>0.407</v>
      </c>
      <c r="AFH112">
        <v>0.387</v>
      </c>
      <c r="AFI112">
        <v>0.353</v>
      </c>
      <c r="AFJ112">
        <v>0.235</v>
      </c>
      <c r="AFK112">
        <v>0.208</v>
      </c>
      <c r="AFL112">
        <v>13.947</v>
      </c>
      <c r="AFM112">
        <v>24.064</v>
      </c>
      <c r="AFN112">
        <v>2.607</v>
      </c>
      <c r="AFO112">
        <v>-37.236</v>
      </c>
      <c r="AFP112">
        <v>-44.722</v>
      </c>
      <c r="AFQ112">
        <v>335.282</v>
      </c>
      <c r="AFR112">
        <v>583.764</v>
      </c>
      <c r="AFS112">
        <v>301.105</v>
      </c>
      <c r="AFT112">
        <v>263.172</v>
      </c>
      <c r="AFU112">
        <v>338.838</v>
      </c>
      <c r="AFV112">
        <v>274.287</v>
      </c>
      <c r="AFW112">
        <v>258.777</v>
      </c>
      <c r="AFX112">
        <v>407.558</v>
      </c>
      <c r="AFY112">
        <v>290.603</v>
      </c>
      <c r="AFZ112">
        <v>365.472</v>
      </c>
      <c r="AGA112" t="s">
        <v>1900</v>
      </c>
      <c r="AGB112">
        <v>0</v>
      </c>
      <c r="AGC112">
        <v>0</v>
      </c>
      <c r="AGD112" t="s">
        <v>1900</v>
      </c>
      <c r="AGE112">
        <v>0</v>
      </c>
      <c r="AGF112" t="s">
        <v>1900</v>
      </c>
      <c r="AGG112" t="s">
        <v>1900</v>
      </c>
      <c r="AGH112" t="s">
        <v>1900</v>
      </c>
      <c r="AGI112" t="s">
        <v>1900</v>
      </c>
      <c r="AGJ112" t="s">
        <v>1900</v>
      </c>
      <c r="AGK112" t="s">
        <v>1900</v>
      </c>
      <c r="AGL112" t="s">
        <v>1900</v>
      </c>
      <c r="AGM112" t="s">
        <v>1900</v>
      </c>
      <c r="AGN112" t="s">
        <v>1900</v>
      </c>
      <c r="AGO112" t="s">
        <v>1900</v>
      </c>
      <c r="AGP112" t="s">
        <v>1900</v>
      </c>
      <c r="AGQ112" t="s">
        <v>1900</v>
      </c>
      <c r="AGR112" t="s">
        <v>1900</v>
      </c>
      <c r="AGS112" t="s">
        <v>1900</v>
      </c>
      <c r="AGT112" t="s">
        <v>1900</v>
      </c>
      <c r="AGU112">
        <v>0</v>
      </c>
      <c r="AGV112">
        <v>0</v>
      </c>
      <c r="AGW112">
        <v>0</v>
      </c>
      <c r="AGX112">
        <v>0</v>
      </c>
      <c r="AGY112">
        <v>0</v>
      </c>
      <c r="AGZ112">
        <v>3.24</v>
      </c>
      <c r="AHA112">
        <v>6.223</v>
      </c>
      <c r="AHB112">
        <v>2.194</v>
      </c>
      <c r="AHC112">
        <v>4.196</v>
      </c>
      <c r="AHD112">
        <v>3.551</v>
      </c>
      <c r="AHE112">
        <v>3.231</v>
      </c>
      <c r="AHF112">
        <v>6.211</v>
      </c>
      <c r="AHG112">
        <v>2.189</v>
      </c>
      <c r="AHH112">
        <v>4.188</v>
      </c>
      <c r="AHI112">
        <v>3.548</v>
      </c>
      <c r="AHJ112">
        <v>6.195</v>
      </c>
      <c r="AHK112">
        <v>4.835</v>
      </c>
      <c r="AHL112">
        <v>4.131</v>
      </c>
      <c r="AHM112">
        <v>3.767</v>
      </c>
      <c r="AHN112">
        <v>5.633</v>
      </c>
      <c r="AHO112">
        <v>76.092</v>
      </c>
      <c r="AHP112">
        <v>78.3</v>
      </c>
      <c r="AHQ112">
        <v>65.14400000000001</v>
      </c>
      <c r="AHR112">
        <v>71.727</v>
      </c>
      <c r="AHS112">
        <v>72.61799999999999</v>
      </c>
      <c r="AHT112" t="s">
        <v>1901</v>
      </c>
      <c r="AHU112" t="s">
        <v>1901</v>
      </c>
      <c r="AHV112" t="s">
        <v>1901</v>
      </c>
      <c r="AHW112" t="s">
        <v>1901</v>
      </c>
      <c r="AHX112" t="s">
        <v>1901</v>
      </c>
      <c r="AHY112">
        <v>28.029</v>
      </c>
      <c r="AHZ112">
        <v>22.216</v>
      </c>
      <c r="AIA112">
        <v>25.767</v>
      </c>
      <c r="AIB112">
        <v>27.496</v>
      </c>
      <c r="AIC112">
        <v>19.407</v>
      </c>
      <c r="AID112">
        <v>2.189531964</v>
      </c>
      <c r="AIE112">
        <v>2.12354823</v>
      </c>
      <c r="AIF112">
        <v>2.036363279</v>
      </c>
      <c r="AIG112">
        <v>2.493276013</v>
      </c>
      <c r="AIH112">
        <v>3.845163846</v>
      </c>
      <c r="AII112">
        <v>10.176459382</v>
      </c>
      <c r="AIJ112">
        <v>7.902470338</v>
      </c>
      <c r="AIK112">
        <v>9.390864882000001</v>
      </c>
      <c r="AIL112">
        <v>21.411166396</v>
      </c>
      <c r="AIM112">
        <v>33.337064589</v>
      </c>
      <c r="AIN112">
        <v>2.580651733</v>
      </c>
      <c r="AIO112">
        <v>4.304448923</v>
      </c>
      <c r="AIP112">
        <v>18.070053526</v>
      </c>
      <c r="AIQ112">
        <v>8.550642005</v>
      </c>
      <c r="AIR112">
        <v>13.288770648</v>
      </c>
      <c r="AIS112">
        <v>20.538121565</v>
      </c>
      <c r="AIT112">
        <v>3.797988766</v>
      </c>
      <c r="AIU112">
        <v>25.368014295</v>
      </c>
      <c r="AIV112">
        <v>16.662852425</v>
      </c>
      <c r="AIW112">
        <v>18.576712234</v>
      </c>
      <c r="AIX112">
        <v>8.74254949439073</v>
      </c>
      <c r="AIY112">
        <v>10.7884590767279</v>
      </c>
      <c r="AIZ112">
        <v>0.513137814002633</v>
      </c>
      <c r="AJA112">
        <v>-9.182152654459481</v>
      </c>
      <c r="AJB112">
        <v>-13.3886190839392</v>
      </c>
      <c r="AJC112">
        <v>68.19193322228681</v>
      </c>
      <c r="AJD112">
        <v>61.4837005581293</v>
      </c>
      <c r="AJE112">
        <v>43.0994753011888</v>
      </c>
      <c r="AJF112">
        <v>32.1589568591237</v>
      </c>
      <c r="AJG112">
        <v>33.3347488392985</v>
      </c>
      <c r="AJH112">
        <v>72.209</v>
      </c>
      <c r="AJI112">
        <v>79.36199999999999</v>
      </c>
      <c r="AJJ112">
        <v>99.32899999999999</v>
      </c>
      <c r="AJK112" t="s">
        <v>1901</v>
      </c>
      <c r="AJL112" t="s">
        <v>1901</v>
      </c>
      <c r="AJM112">
        <v>49.2410446378506</v>
      </c>
      <c r="AJN112">
        <v>48.7948284785194</v>
      </c>
      <c r="AJO112">
        <v>42.8100897944325</v>
      </c>
      <c r="AJP112">
        <v>46.2279763034105</v>
      </c>
      <c r="AJQ112">
        <v>50.6153145956677</v>
      </c>
      <c r="AJR112">
        <v>144.369137130012</v>
      </c>
      <c r="AJS112">
        <v>131.619458864196</v>
      </c>
      <c r="AJT112">
        <v>98.1733345444119</v>
      </c>
      <c r="AJU112">
        <v>107.951922719879</v>
      </c>
      <c r="AJV112">
        <v>136.009428486204</v>
      </c>
      <c r="AJW112">
        <v>52.159311370443</v>
      </c>
      <c r="AJX112">
        <v>44.3013793219147</v>
      </c>
      <c r="AJY112">
        <v>48.9362842105579</v>
      </c>
      <c r="AJZ112">
        <v>26.0819230860043</v>
      </c>
      <c r="AKA112">
        <v>33.9398450019401</v>
      </c>
      <c r="AKB112">
        <v>189.730931921038</v>
      </c>
      <c r="AKC112">
        <v>168.095777174319</v>
      </c>
      <c r="AKD112">
        <v>150.701066152236</v>
      </c>
      <c r="AKE112">
        <v>150.503356104426</v>
      </c>
      <c r="AKF112">
        <v>187.293549013041</v>
      </c>
      <c r="AKG112">
        <v>20.538121565</v>
      </c>
      <c r="AKH112">
        <v>3.797988766</v>
      </c>
      <c r="AKI112">
        <v>25.368014295</v>
      </c>
      <c r="AKJ112">
        <v>16.662852425</v>
      </c>
      <c r="AKK112">
        <v>18.576712234</v>
      </c>
      <c r="AKL112">
        <v>0.29825646</v>
      </c>
      <c r="AKM112">
        <v>0.171301983</v>
      </c>
      <c r="AKN112">
        <v>0.332109961</v>
      </c>
      <c r="AKO112">
        <v>0.379978976</v>
      </c>
      <c r="AKP112">
        <v>0.295126007</v>
      </c>
      <c r="AKQ112">
        <v>0.107197517</v>
      </c>
      <c r="AKR112">
        <v>0.062656421</v>
      </c>
      <c r="AKS112">
        <v>0.09498118</v>
      </c>
      <c r="AKT112">
        <v>0.081192393</v>
      </c>
      <c r="AKU112">
        <v>0.05252691</v>
      </c>
      <c r="AKV112">
        <v>165.310181604</v>
      </c>
      <c r="AKW112">
        <v>171.348016341</v>
      </c>
      <c r="AKX112">
        <v>192.208599103</v>
      </c>
      <c r="AKY112">
        <v>269.286545076</v>
      </c>
      <c r="AKZ112">
        <v>243.493841812</v>
      </c>
      <c r="ALA112">
        <v>59.414776692</v>
      </c>
      <c r="ALB112">
        <v>62.673258237</v>
      </c>
      <c r="ALC112">
        <v>54.970346393</v>
      </c>
      <c r="ALD112">
        <v>57.540075945</v>
      </c>
      <c r="ALE112">
        <v>43.337349771</v>
      </c>
      <c r="ALF112">
        <v>2.025606222</v>
      </c>
      <c r="ALG112">
        <v>2.586024564</v>
      </c>
      <c r="ALH112">
        <v>3.951160976</v>
      </c>
      <c r="ALI112">
        <v>5.736191603</v>
      </c>
      <c r="ALJ112">
        <v>7.636862084</v>
      </c>
      <c r="ALK112">
        <v>0.728031028</v>
      </c>
      <c r="ALL112">
        <v>0.945879554</v>
      </c>
      <c r="ALM112">
        <v>1.130005049</v>
      </c>
      <c r="ALN112">
        <v>1.225686565</v>
      </c>
      <c r="ALO112">
        <v>1.359218618</v>
      </c>
      <c r="ALP112">
        <v>76.190719379</v>
      </c>
      <c r="ALQ112">
        <v>71.88255808</v>
      </c>
      <c r="ALR112">
        <v>113.210533359</v>
      </c>
      <c r="ALS112">
        <v>80.723157707</v>
      </c>
      <c r="ALT112">
        <v>101.520084264</v>
      </c>
      <c r="ALU112" t="s">
        <v>1900</v>
      </c>
      <c r="ALV112">
        <v>0</v>
      </c>
      <c r="ALW112">
        <v>0</v>
      </c>
      <c r="ALX112" t="s">
        <v>1900</v>
      </c>
      <c r="ALY112">
        <v>0</v>
      </c>
      <c r="ALZ112">
        <v>98.5477909510374</v>
      </c>
      <c r="AMA112">
        <v>95.4896658977502</v>
      </c>
      <c r="AMB112">
        <v>98.6908318582153</v>
      </c>
      <c r="AMC112">
        <v>97.7196042673291</v>
      </c>
      <c r="AMD112">
        <v>98.41131182317049</v>
      </c>
      <c r="AME112" t="s">
        <v>1901</v>
      </c>
      <c r="AMF112" t="s">
        <v>1901</v>
      </c>
      <c r="AMG112" t="s">
        <v>1901</v>
      </c>
      <c r="AMH112" t="s">
        <v>1901</v>
      </c>
      <c r="AMI112" t="s">
        <v>1901</v>
      </c>
      <c r="AMJ112">
        <v>6786.06093395699</v>
      </c>
      <c r="AMK112">
        <v>2117.1306544701</v>
      </c>
      <c r="AML112">
        <v>7538.43824244571</v>
      </c>
      <c r="AMM112">
        <v>4285.20378578659</v>
      </c>
      <c r="AMN112">
        <v>6194.50192438759</v>
      </c>
      <c r="AMO112">
        <v>1.15523073667008</v>
      </c>
      <c r="AMP112">
        <v>1.24231700957097</v>
      </c>
      <c r="AMQ112">
        <v>1.02858502371915</v>
      </c>
      <c r="AMR112">
        <v>0.7681301011999619</v>
      </c>
      <c r="AMS112">
        <v>0.733698329481847</v>
      </c>
      <c r="AMT112">
        <v>1.15523073667008</v>
      </c>
      <c r="AMU112">
        <v>1.24231701025868</v>
      </c>
      <c r="AMV112">
        <v>1.02858502371915</v>
      </c>
      <c r="AMW112">
        <v>0.7681301011999619</v>
      </c>
      <c r="AMX112">
        <v>0.733698330428209</v>
      </c>
      <c r="AMY112">
        <v>1.15523073667008</v>
      </c>
      <c r="AMZ112">
        <v>1.24231701042532</v>
      </c>
      <c r="ANA112">
        <v>1.02858502371915</v>
      </c>
      <c r="ANB112">
        <v>0.7681301011999619</v>
      </c>
      <c r="ANC112">
        <v>0.733698330428209</v>
      </c>
      <c r="AND112">
        <v>13.2420699181133</v>
      </c>
      <c r="ANE112">
        <v>18.6254958860568</v>
      </c>
      <c r="ANF112">
        <v>2.74268019121031</v>
      </c>
      <c r="ANG112">
        <v>-29.4979128104068</v>
      </c>
      <c r="ANH112">
        <v>-35.7191717497414</v>
      </c>
      <c r="ANI112">
        <v>13.838506315065</v>
      </c>
      <c r="ANJ112">
        <v>21.4213151247536</v>
      </c>
      <c r="ANK112">
        <v>3.25968834988984</v>
      </c>
      <c r="ANL112">
        <v>-31.3713141883506</v>
      </c>
      <c r="ANM112">
        <v>-38.4840149863136</v>
      </c>
      <c r="ANN112">
        <v>15.2632386522071</v>
      </c>
      <c r="ANO112">
        <v>22.8886136866368</v>
      </c>
      <c r="ANP112">
        <v>2.82002444299564</v>
      </c>
      <c r="ANQ112">
        <v>-22.7786781811639</v>
      </c>
      <c r="ANR112">
        <v>-26.3184421841341</v>
      </c>
      <c r="ANS112">
        <v>5.38550064188693</v>
      </c>
      <c r="ANT112">
        <v>7.20947550783794</v>
      </c>
      <c r="ANU112">
        <v>0.969398765361464</v>
      </c>
      <c r="ANV112">
        <v>-6.9440795989822</v>
      </c>
      <c r="ANW112">
        <v>-7.43467185778515</v>
      </c>
      <c r="ANX112">
        <v>98.5477909510374</v>
      </c>
      <c r="ANY112">
        <v>95.4896658977502</v>
      </c>
      <c r="ANZ112">
        <v>98.6908318582153</v>
      </c>
      <c r="AOA112">
        <v>97.7196042673291</v>
      </c>
      <c r="AOB112">
        <v>98.41131195010649</v>
      </c>
      <c r="AOC112">
        <v>113.589375470372</v>
      </c>
      <c r="AOD112">
        <v>117.345926635746</v>
      </c>
      <c r="AOE112">
        <v>101.473937439613</v>
      </c>
      <c r="AOF112">
        <v>75.4603700913673</v>
      </c>
      <c r="AOG112">
        <v>72.5109876183414</v>
      </c>
      <c r="AOH112">
        <v>35.4194456510477</v>
      </c>
      <c r="AOI112">
        <v>34.9268618196756</v>
      </c>
      <c r="AOJ112">
        <v>28.2249037682291</v>
      </c>
      <c r="AOK112">
        <v>20.8803356636391</v>
      </c>
      <c r="AOL112">
        <v>17.5153729150655</v>
      </c>
      <c r="AOM112">
        <v>911.8570034784721</v>
      </c>
      <c r="AON112">
        <v>412.951578836834</v>
      </c>
      <c r="AOO112">
        <v>209.497932593391</v>
      </c>
      <c r="AOP112">
        <v>-1293.54358928998</v>
      </c>
      <c r="AOQ112">
        <v>-2248.34395601674</v>
      </c>
      <c r="AOR112">
        <v>15.5230736670082</v>
      </c>
      <c r="AOS112">
        <v>24.2317010258676</v>
      </c>
      <c r="AOT112">
        <v>2.85850237191539</v>
      </c>
      <c r="AOU112">
        <v>-23.1869898800038</v>
      </c>
      <c r="AOV112">
        <v>-26.6301669571791</v>
      </c>
      <c r="AOW112">
        <v>4.75938396229521</v>
      </c>
      <c r="AOX112">
        <v>6.81257092083481</v>
      </c>
      <c r="AOY112">
        <v>0.784387799822719</v>
      </c>
      <c r="AOZ112">
        <v>-6.30299647113877</v>
      </c>
      <c r="APA112">
        <v>-6.35734451480698</v>
      </c>
      <c r="APB112">
        <v>12.820504086934</v>
      </c>
      <c r="APC112">
        <v>17.5468611077886</v>
      </c>
      <c r="APD112">
        <v>1.19058972455062</v>
      </c>
      <c r="APE112">
        <v>-28.5523952576225</v>
      </c>
      <c r="APF112">
        <v>-40.1641527664116</v>
      </c>
      <c r="APG112">
        <v>13.3979527269126</v>
      </c>
      <c r="APH112">
        <v>20.1807696041857</v>
      </c>
      <c r="API112">
        <v>1.41502150599031</v>
      </c>
      <c r="APJ112">
        <v>-30.3657471704519</v>
      </c>
      <c r="APK112">
        <v>-43.2730598515729</v>
      </c>
      <c r="APL112">
        <v>882.827723466722</v>
      </c>
      <c r="APM112">
        <v>389.036836518072</v>
      </c>
      <c r="APN112">
        <v>90.9424608307035</v>
      </c>
      <c r="APO112">
        <v>-1252.08071777001</v>
      </c>
      <c r="APP112">
        <v>-2528.13337200485</v>
      </c>
      <c r="APQ112">
        <v>15.0288913002516</v>
      </c>
      <c r="APR112">
        <v>22.8284011823092</v>
      </c>
      <c r="APS112">
        <v>1.24086780606535</v>
      </c>
      <c r="APT112">
        <v>-22.4437608227927</v>
      </c>
      <c r="APU112">
        <v>-29.9440900073762</v>
      </c>
      <c r="APV112">
        <v>14.7773282221387</v>
      </c>
      <c r="APW112">
        <v>21.563094360881</v>
      </c>
      <c r="APX112">
        <v>1.22416464579874</v>
      </c>
      <c r="APY112">
        <v>-22.0485370288748</v>
      </c>
      <c r="APZ112">
        <v>-29.5935734418362</v>
      </c>
      <c r="AQA112">
        <v>4.60786734379269</v>
      </c>
      <c r="AQB112">
        <v>6.41804312036252</v>
      </c>
      <c r="AQC112">
        <v>0.340500528470177</v>
      </c>
      <c r="AQD112">
        <v>-6.10096204799489</v>
      </c>
      <c r="AQE112">
        <v>-7.14846800117264</v>
      </c>
      <c r="AQF112">
        <v>0.155230736670082</v>
      </c>
      <c r="AQG112">
        <v>0.242317010425317</v>
      </c>
      <c r="AQH112">
        <v>0.0285850237191539</v>
      </c>
      <c r="AQI112">
        <v>-0.231869898800038</v>
      </c>
      <c r="AQJ112">
        <v>-0.266301669571791</v>
      </c>
      <c r="AQK112">
        <v>8</v>
      </c>
      <c r="AQO112" t="s">
        <v>1903</v>
      </c>
      <c r="AQP112">
        <v>15</v>
      </c>
      <c r="AQQ112">
        <v>0</v>
      </c>
      <c r="AQS112" t="s">
        <v>1905</v>
      </c>
      <c r="AQU112" t="s">
        <v>1906</v>
      </c>
      <c r="AQV112">
        <v>1909374.14269083</v>
      </c>
      <c r="AQW112">
        <v>2090445.80461139</v>
      </c>
      <c r="AQX112">
        <v>1637780.06784477</v>
      </c>
      <c r="AQY112">
        <v>252840.658973496</v>
      </c>
      <c r="AQZ112">
        <v>389355.897338142</v>
      </c>
      <c r="ARA112">
        <v>44919.0694963694</v>
      </c>
      <c r="ARB112">
        <v>5637600.015146989</v>
      </c>
      <c r="ARC112">
        <v>687115.6258080073</v>
      </c>
      <c r="ARD112">
        <v>0.1387976552936379</v>
      </c>
      <c r="ARE112">
        <v>0.1387976552936379</v>
      </c>
      <c r="ARF112">
        <v>0.1387976552936379</v>
      </c>
      <c r="ARG112">
        <v>0.1387976552936379</v>
      </c>
      <c r="ARH112">
        <v>0.1387976552936379</v>
      </c>
      <c r="ARI112">
        <v>0.1387976552936379</v>
      </c>
      <c r="ARJ112" t="s">
        <v>1273</v>
      </c>
      <c r="ARK112" t="s">
        <v>1611</v>
      </c>
      <c r="ARL112" t="s">
        <v>1908</v>
      </c>
      <c r="ARM112" t="s">
        <v>1908</v>
      </c>
      <c r="ARN112" t="s">
        <v>1909</v>
      </c>
      <c r="ARO112" t="s">
        <v>1908</v>
      </c>
      <c r="ARP112" t="s">
        <v>1907</v>
      </c>
      <c r="ARQ112" t="s">
        <v>2005</v>
      </c>
      <c r="ARR112">
        <f>HYPERLINK("C:\Users\Usuario\Documents\Proyectos\llmthon\evidence\situm_com_000229.png", "Ver Evidencia")</f>
        <v>0</v>
      </c>
      <c r="ARS112">
        <v>100</v>
      </c>
    </row>
    <row r="113" spans="1:1163">
      <c r="A113">
        <v>462</v>
      </c>
      <c r="B113" t="s">
        <v>1274</v>
      </c>
      <c r="C113" t="s">
        <v>1397</v>
      </c>
      <c r="E113" s="2">
        <v>35557</v>
      </c>
      <c r="F113" t="s">
        <v>1431</v>
      </c>
      <c r="G113" t="s">
        <v>1433</v>
      </c>
      <c r="H113" t="s">
        <v>1434</v>
      </c>
      <c r="I113" t="s">
        <v>1437</v>
      </c>
      <c r="J113" t="s">
        <v>1453</v>
      </c>
      <c r="L113" t="s">
        <v>1612</v>
      </c>
      <c r="N113" t="s">
        <v>1624</v>
      </c>
      <c r="O113" t="s">
        <v>1648</v>
      </c>
      <c r="P113">
        <v>6209</v>
      </c>
      <c r="Q113">
        <v>6209</v>
      </c>
      <c r="R113" t="s">
        <v>1780</v>
      </c>
      <c r="S113" t="s">
        <v>1839</v>
      </c>
      <c r="T113" t="s">
        <v>1869</v>
      </c>
      <c r="U113" t="s">
        <v>1873</v>
      </c>
      <c r="X113" t="s">
        <v>1895</v>
      </c>
      <c r="Z113" t="s">
        <v>1899</v>
      </c>
      <c r="AA113" s="2">
        <v>45657</v>
      </c>
      <c r="AB113">
        <v>2024</v>
      </c>
      <c r="AC113">
        <v>1513758.50676584</v>
      </c>
      <c r="AD113" t="s">
        <v>1900</v>
      </c>
      <c r="AE113">
        <v>1901746.03428507</v>
      </c>
      <c r="AF113">
        <v>1264707.83799355</v>
      </c>
      <c r="AG113">
        <v>753655.074308163</v>
      </c>
      <c r="AH113">
        <v>1504373.08831334</v>
      </c>
      <c r="AI113" t="s">
        <v>1900</v>
      </c>
      <c r="AJ113">
        <v>1901746.03428507</v>
      </c>
      <c r="AK113">
        <v>1264707.83799355</v>
      </c>
      <c r="AL113">
        <v>753655.074308163</v>
      </c>
      <c r="AM113">
        <v>680520.609825976</v>
      </c>
      <c r="AN113" t="s">
        <v>1900</v>
      </c>
      <c r="AO113">
        <v>716242.579041403</v>
      </c>
      <c r="AP113">
        <v>300732.507409215</v>
      </c>
      <c r="AQ113">
        <v>325507.256465089</v>
      </c>
      <c r="AR113">
        <v>833237.896939868</v>
      </c>
      <c r="AS113" t="s">
        <v>1900</v>
      </c>
      <c r="AT113">
        <v>1185503.45524367</v>
      </c>
      <c r="AU113">
        <v>963975.330584335</v>
      </c>
      <c r="AV113">
        <v>428147.817843074</v>
      </c>
      <c r="AW113">
        <v>822590.828495901</v>
      </c>
      <c r="AX113" t="s">
        <v>1900</v>
      </c>
      <c r="AY113">
        <v>917595.091776884</v>
      </c>
      <c r="AZ113">
        <v>768467.7229743</v>
      </c>
      <c r="BA113">
        <v>507170.986785477</v>
      </c>
      <c r="BB113">
        <v>10647.0684439671</v>
      </c>
      <c r="BC113" t="s">
        <v>1900</v>
      </c>
      <c r="BD113">
        <v>267908.363466781</v>
      </c>
      <c r="BE113">
        <v>195507.607610035</v>
      </c>
      <c r="BF113">
        <v>-79023.1701695025</v>
      </c>
      <c r="BG113">
        <v>-3992.45976869702</v>
      </c>
      <c r="BH113" t="s">
        <v>1900</v>
      </c>
      <c r="BI113">
        <v>-5417.86676257253</v>
      </c>
      <c r="BJ113">
        <v>-10384.0533769369</v>
      </c>
      <c r="BK113">
        <v>-5218.4103376323</v>
      </c>
      <c r="BL113" t="s">
        <v>1900</v>
      </c>
      <c r="BM113" t="s">
        <v>1900</v>
      </c>
      <c r="BN113" t="s">
        <v>1900</v>
      </c>
      <c r="BO113" t="s">
        <v>1900</v>
      </c>
      <c r="BP113">
        <v>5.53421784043312</v>
      </c>
      <c r="BQ113">
        <v>3992.45976869702</v>
      </c>
      <c r="BR113" t="s">
        <v>1900</v>
      </c>
      <c r="BS113">
        <v>5417.86676257253</v>
      </c>
      <c r="BT113">
        <v>10384.0533769369</v>
      </c>
      <c r="BU113">
        <v>5223.94578257203</v>
      </c>
      <c r="BV113">
        <v>6654.60867527008</v>
      </c>
      <c r="BW113" t="s">
        <v>1900</v>
      </c>
      <c r="BX113">
        <v>262490.496704209</v>
      </c>
      <c r="BY113">
        <v>185123.554233098</v>
      </c>
      <c r="BZ113">
        <v>-84241.5817342341</v>
      </c>
      <c r="CA113">
        <v>1648.068675704</v>
      </c>
      <c r="CB113" t="s">
        <v>1900</v>
      </c>
      <c r="CC113" t="s">
        <v>1900</v>
      </c>
      <c r="CD113" t="s">
        <v>1900</v>
      </c>
      <c r="CE113" t="s">
        <v>1900</v>
      </c>
      <c r="CF113">
        <v>5006.53999956608</v>
      </c>
      <c r="CG113" t="s">
        <v>1900</v>
      </c>
      <c r="CH113">
        <v>262490.496704209</v>
      </c>
      <c r="CI113">
        <v>185123.554233098</v>
      </c>
      <c r="CJ113">
        <v>-84241.5817342341</v>
      </c>
      <c r="CK113" t="s">
        <v>1900</v>
      </c>
      <c r="CL113" t="s">
        <v>1900</v>
      </c>
      <c r="CM113" t="s">
        <v>1900</v>
      </c>
      <c r="CN113" t="s">
        <v>1900</v>
      </c>
      <c r="CO113" t="s">
        <v>1900</v>
      </c>
      <c r="CP113" t="s">
        <v>1900</v>
      </c>
      <c r="CQ113" t="s">
        <v>1900</v>
      </c>
      <c r="CR113" t="s">
        <v>1900</v>
      </c>
      <c r="CS113" t="s">
        <v>1900</v>
      </c>
      <c r="CT113" t="s">
        <v>1900</v>
      </c>
      <c r="CU113" t="s">
        <v>1900</v>
      </c>
      <c r="CV113" t="s">
        <v>1900</v>
      </c>
      <c r="CW113" t="s">
        <v>1900</v>
      </c>
      <c r="CX113" t="s">
        <v>1900</v>
      </c>
      <c r="CY113" t="s">
        <v>1900</v>
      </c>
      <c r="CZ113">
        <v>5006.53999956608</v>
      </c>
      <c r="DA113" t="s">
        <v>1900</v>
      </c>
      <c r="DB113">
        <v>262490.496704209</v>
      </c>
      <c r="DC113">
        <v>185123.554233098</v>
      </c>
      <c r="DD113">
        <v>-84241.5817342341</v>
      </c>
      <c r="DE113" t="s">
        <v>1900</v>
      </c>
      <c r="DF113" t="s">
        <v>1900</v>
      </c>
      <c r="DG113" t="s">
        <v>1900</v>
      </c>
      <c r="DH113" t="s">
        <v>1900</v>
      </c>
      <c r="DI113" t="s">
        <v>1900</v>
      </c>
      <c r="DJ113">
        <v>680520.609825976</v>
      </c>
      <c r="DK113" t="s">
        <v>1900</v>
      </c>
      <c r="DL113">
        <v>716242.579041403</v>
      </c>
      <c r="DM113">
        <v>300732.507409215</v>
      </c>
      <c r="DN113">
        <v>325507.256465089</v>
      </c>
      <c r="DO113">
        <v>672179.39969103</v>
      </c>
      <c r="DP113" t="s">
        <v>1900</v>
      </c>
      <c r="DQ113">
        <v>718400.757777935</v>
      </c>
      <c r="DR113">
        <v>522542.707153559</v>
      </c>
      <c r="DS113">
        <v>515481.481204993</v>
      </c>
      <c r="DT113">
        <v>26270.9747496259</v>
      </c>
      <c r="DU113" t="s">
        <v>1900</v>
      </c>
      <c r="DV113">
        <v>26050.8712191045</v>
      </c>
      <c r="DW113">
        <v>28186.6614197731</v>
      </c>
      <c r="DX113">
        <v>33426.3076264262</v>
      </c>
      <c r="DY113">
        <v>124140.454055245</v>
      </c>
      <c r="DZ113" t="s">
        <v>1900</v>
      </c>
      <c r="EA113">
        <v>173143.462779844</v>
      </c>
      <c r="EB113">
        <v>217738.354400969</v>
      </c>
      <c r="EC113">
        <v>-41736.8008188426</v>
      </c>
      <c r="ED113">
        <v>3992.45976869702</v>
      </c>
      <c r="EE113" t="s">
        <v>1900</v>
      </c>
      <c r="EF113">
        <v>5417.86676257253</v>
      </c>
      <c r="EG113">
        <v>5988.64677772522</v>
      </c>
      <c r="EH113">
        <v>5223.94578257203</v>
      </c>
      <c r="EI113" t="s">
        <v>1900</v>
      </c>
      <c r="EJ113" t="s">
        <v>1900</v>
      </c>
      <c r="EK113" t="s">
        <v>1900</v>
      </c>
      <c r="EL113" t="s">
        <v>1900</v>
      </c>
      <c r="EM113" t="s">
        <v>1900</v>
      </c>
      <c r="EN113">
        <v>31277.514749192</v>
      </c>
      <c r="EO113" t="s">
        <v>1900</v>
      </c>
      <c r="EP113">
        <v>288541.367923313</v>
      </c>
      <c r="EQ113">
        <v>213310.215652871</v>
      </c>
      <c r="ER113">
        <v>-50815.2741078079</v>
      </c>
      <c r="ES113">
        <v>709097.442884623</v>
      </c>
      <c r="ET113" t="s">
        <v>1900</v>
      </c>
      <c r="EU113">
        <v>1012359.99139722</v>
      </c>
      <c r="EV113">
        <v>741841.569584155</v>
      </c>
      <c r="EW113">
        <v>469890.152879757</v>
      </c>
      <c r="EX113">
        <v>36918.043193593</v>
      </c>
      <c r="EY113" t="s">
        <v>1900</v>
      </c>
      <c r="EZ113">
        <v>293959.234685886</v>
      </c>
      <c r="FA113">
        <v>223694.267897208</v>
      </c>
      <c r="FB113">
        <v>-45596.8625430763</v>
      </c>
      <c r="FC113">
        <v>139197.234451622</v>
      </c>
      <c r="FD113" t="s">
        <v>1900</v>
      </c>
      <c r="FE113">
        <v>191564.233237779</v>
      </c>
      <c r="FF113">
        <v>226628.994990492</v>
      </c>
      <c r="FG113">
        <v>262097.452361685</v>
      </c>
      <c r="FH113">
        <v>114848.110612613</v>
      </c>
      <c r="FI113" t="s">
        <v>1900</v>
      </c>
      <c r="FJ113">
        <v>169462.57461589</v>
      </c>
      <c r="FK113">
        <v>207320.039864731</v>
      </c>
      <c r="FL113">
        <v>254272.780052906</v>
      </c>
      <c r="FM113">
        <v>23185.5573920989</v>
      </c>
      <c r="FN113" t="s">
        <v>1900</v>
      </c>
      <c r="FO113">
        <v>4798.28978583813</v>
      </c>
      <c r="FP113">
        <v>957.511625933647</v>
      </c>
      <c r="FQ113">
        <v>1364.06812323332</v>
      </c>
      <c r="FR113">
        <v>1163.56748580933</v>
      </c>
      <c r="FS113" t="s">
        <v>1900</v>
      </c>
      <c r="FT113">
        <v>17303.3688360512</v>
      </c>
      <c r="FU113">
        <v>18351.4434998274</v>
      </c>
      <c r="FV113">
        <v>6460.60418554544</v>
      </c>
      <c r="FW113">
        <v>114848.110612613</v>
      </c>
      <c r="FX113" t="s">
        <v>1900</v>
      </c>
      <c r="FY113">
        <v>169462.57461589</v>
      </c>
      <c r="FZ113">
        <v>207320.039864731</v>
      </c>
      <c r="GA113">
        <v>254272.780052906</v>
      </c>
      <c r="GB113">
        <v>23185.5573920989</v>
      </c>
      <c r="GC113" t="s">
        <v>1900</v>
      </c>
      <c r="GD113">
        <v>4798.28978583813</v>
      </c>
      <c r="GE113">
        <v>957.511625933647</v>
      </c>
      <c r="GF113">
        <v>1364.06812323332</v>
      </c>
      <c r="GG113">
        <v>1163.56748580933</v>
      </c>
      <c r="GH113" t="s">
        <v>1900</v>
      </c>
      <c r="GI113">
        <v>17303.3688360512</v>
      </c>
      <c r="GJ113">
        <v>18351.4434998274</v>
      </c>
      <c r="GK113">
        <v>6460.60418554544</v>
      </c>
      <c r="GL113">
        <v>1027456.28062706</v>
      </c>
      <c r="GM113" t="s">
        <v>1900</v>
      </c>
      <c r="GN113">
        <v>1053513.74178075</v>
      </c>
      <c r="GO113">
        <v>606914.124787688</v>
      </c>
      <c r="GP113">
        <v>488272.615766937</v>
      </c>
      <c r="GQ113">
        <v>155662.920538191</v>
      </c>
      <c r="GR113" t="s">
        <v>1900</v>
      </c>
      <c r="GS113">
        <v>95469.33631895779</v>
      </c>
      <c r="GT113">
        <v>183055.935741806</v>
      </c>
      <c r="GU113">
        <v>135003.342041594</v>
      </c>
      <c r="GV113">
        <v>145753.107153424</v>
      </c>
      <c r="GW113" t="s">
        <v>1900</v>
      </c>
      <c r="GX113">
        <v>367669.130828762</v>
      </c>
      <c r="GY113">
        <v>305030.646294022</v>
      </c>
      <c r="GZ113">
        <v>172106.873596638</v>
      </c>
      <c r="HA113">
        <v>726040.252935446</v>
      </c>
      <c r="HB113" t="s">
        <v>1900</v>
      </c>
      <c r="HC113">
        <v>590375.274633026</v>
      </c>
      <c r="HD113">
        <v>118827.542751861</v>
      </c>
      <c r="HE113">
        <v>181162.400128704</v>
      </c>
      <c r="HF113">
        <v>725833.511926807</v>
      </c>
      <c r="HG113" t="s">
        <v>1900</v>
      </c>
      <c r="HH113">
        <v>590375.274633026</v>
      </c>
      <c r="HI113">
        <v>118827.542751861</v>
      </c>
      <c r="HJ113">
        <v>181162.400128704</v>
      </c>
      <c r="HK113">
        <v>1166653.51611758</v>
      </c>
      <c r="HL113" t="s">
        <v>1900</v>
      </c>
      <c r="HM113">
        <v>1245077.97501853</v>
      </c>
      <c r="HN113">
        <v>833543.11977818</v>
      </c>
      <c r="HO113">
        <v>750370.068128622</v>
      </c>
      <c r="HP113">
        <v>844082.21085067</v>
      </c>
      <c r="HQ113" t="s">
        <v>1900</v>
      </c>
      <c r="HR113">
        <v>804369.103171355</v>
      </c>
      <c r="HS113">
        <v>566378.518347573</v>
      </c>
      <c r="HT113">
        <v>413065.135411</v>
      </c>
      <c r="HU113">
        <v>279324.763963938</v>
      </c>
      <c r="HV113" t="s">
        <v>1900</v>
      </c>
      <c r="HW113">
        <v>424638.854663372</v>
      </c>
      <c r="HX113">
        <v>441884.009957314</v>
      </c>
      <c r="HY113">
        <v>478752.791672945</v>
      </c>
      <c r="HZ113">
        <v>564757.4468867331</v>
      </c>
      <c r="IA113" t="s">
        <v>1900</v>
      </c>
      <c r="IB113">
        <v>379730.248507983</v>
      </c>
      <c r="IC113">
        <v>124494.507257659</v>
      </c>
      <c r="ID113">
        <v>-65687.65626194479</v>
      </c>
      <c r="IE113">
        <v>85188.5780084205</v>
      </c>
      <c r="IF113" t="s">
        <v>1900</v>
      </c>
      <c r="IG113">
        <v>143487.335966498</v>
      </c>
      <c r="IH113">
        <v>169890.04611969</v>
      </c>
      <c r="II113">
        <v>220484.576301092</v>
      </c>
      <c r="IJ113">
        <v>79065.3145033443</v>
      </c>
      <c r="IK113" t="s">
        <v>1900</v>
      </c>
      <c r="IL113">
        <v>143487.335966498</v>
      </c>
      <c r="IM113">
        <v>169890.04611969</v>
      </c>
      <c r="IN113">
        <v>220484.576301092</v>
      </c>
      <c r="IO113">
        <v>6123.26350507617</v>
      </c>
      <c r="IP113" t="s">
        <v>1900</v>
      </c>
      <c r="IQ113">
        <v>0</v>
      </c>
      <c r="IR113">
        <v>0</v>
      </c>
      <c r="IS113">
        <v>0</v>
      </c>
      <c r="IT113" t="s">
        <v>1900</v>
      </c>
      <c r="IU113" t="s">
        <v>1900</v>
      </c>
      <c r="IV113">
        <v>0</v>
      </c>
      <c r="IW113">
        <v>0</v>
      </c>
      <c r="IX113">
        <v>0</v>
      </c>
      <c r="IY113">
        <v>237382.727258492</v>
      </c>
      <c r="IZ113" t="s">
        <v>1900</v>
      </c>
      <c r="JA113">
        <v>297221.535880673</v>
      </c>
      <c r="JB113">
        <v>97274.5553109169</v>
      </c>
      <c r="JC113">
        <v>116820.356416529</v>
      </c>
      <c r="JD113">
        <v>29155.8741067636</v>
      </c>
      <c r="JE113" t="s">
        <v>1900</v>
      </c>
      <c r="JF113">
        <v>11295.9712043285</v>
      </c>
      <c r="JG113">
        <v>11099.8680972576</v>
      </c>
      <c r="JH113">
        <v>0</v>
      </c>
      <c r="JI113">
        <v>92653.8399954558</v>
      </c>
      <c r="JJ113" t="s">
        <v>1900</v>
      </c>
      <c r="JK113">
        <v>117976.985370058</v>
      </c>
      <c r="JL113">
        <v>21134.1178692341</v>
      </c>
      <c r="JM113">
        <v>33287.3754437447</v>
      </c>
      <c r="JN113">
        <v>115573.013156272</v>
      </c>
      <c r="JO113" t="s">
        <v>1900</v>
      </c>
      <c r="JP113">
        <v>167948.579306287</v>
      </c>
      <c r="JQ113">
        <v>65040.5693444252</v>
      </c>
      <c r="JR113">
        <v>83532.9809727848</v>
      </c>
      <c r="JS113">
        <v>1166653.51611758</v>
      </c>
      <c r="JT113" t="s">
        <v>1900</v>
      </c>
      <c r="JU113">
        <v>1245077.97501853</v>
      </c>
      <c r="JV113">
        <v>833543.11977818</v>
      </c>
      <c r="JW113">
        <v>750370.068128622</v>
      </c>
      <c r="JX113">
        <v>208762.186657259</v>
      </c>
      <c r="JY113" t="s">
        <v>1900</v>
      </c>
      <c r="JZ113">
        <v>345161.481777662</v>
      </c>
      <c r="KA113">
        <v>466952.464166594</v>
      </c>
      <c r="KB113">
        <v>273822.840194488</v>
      </c>
      <c r="KC113" t="s">
        <v>1900</v>
      </c>
      <c r="KD113" t="s">
        <v>1900</v>
      </c>
      <c r="KE113" t="s">
        <v>1900</v>
      </c>
      <c r="KF113" t="s">
        <v>1900</v>
      </c>
      <c r="KG113" t="s">
        <v>1900</v>
      </c>
      <c r="KH113" t="s">
        <v>1900</v>
      </c>
      <c r="KI113" t="s">
        <v>1900</v>
      </c>
      <c r="KJ113" t="s">
        <v>1900</v>
      </c>
      <c r="KK113" t="s">
        <v>1900</v>
      </c>
      <c r="KL113" t="s">
        <v>1900</v>
      </c>
      <c r="KM113">
        <v>14</v>
      </c>
      <c r="KN113" t="s">
        <v>1900</v>
      </c>
      <c r="KO113">
        <v>12</v>
      </c>
      <c r="KP113">
        <v>11</v>
      </c>
      <c r="KQ113">
        <v>12</v>
      </c>
      <c r="KR113" t="s">
        <v>1900</v>
      </c>
      <c r="KS113" t="s">
        <v>1900</v>
      </c>
      <c r="KT113" t="s">
        <v>1900</v>
      </c>
      <c r="KU113" t="s">
        <v>1900</v>
      </c>
      <c r="KV113" t="s">
        <v>1900</v>
      </c>
      <c r="KW113" t="s">
        <v>1900</v>
      </c>
      <c r="KX113" t="s">
        <v>1900</v>
      </c>
      <c r="KY113" t="s">
        <v>1900</v>
      </c>
      <c r="KZ113" t="s">
        <v>1900</v>
      </c>
      <c r="LA113" t="s">
        <v>1900</v>
      </c>
      <c r="LB113" t="s">
        <v>1900</v>
      </c>
      <c r="LC113" t="s">
        <v>1900</v>
      </c>
      <c r="LD113" t="s">
        <v>1900</v>
      </c>
      <c r="LE113" t="s">
        <v>1900</v>
      </c>
      <c r="LF113" t="s">
        <v>1900</v>
      </c>
      <c r="LG113" t="s">
        <v>1900</v>
      </c>
      <c r="LH113" t="s">
        <v>1900</v>
      </c>
      <c r="LI113" t="s">
        <v>1900</v>
      </c>
      <c r="LJ113" t="s">
        <v>1900</v>
      </c>
      <c r="LK113" t="s">
        <v>1900</v>
      </c>
      <c r="LL113" t="s">
        <v>1900</v>
      </c>
      <c r="LM113" t="s">
        <v>1900</v>
      </c>
      <c r="LN113" t="s">
        <v>1900</v>
      </c>
      <c r="LO113" t="s">
        <v>1900</v>
      </c>
      <c r="LP113" t="s">
        <v>1900</v>
      </c>
      <c r="LQ113" t="s">
        <v>1900</v>
      </c>
      <c r="LR113" t="s">
        <v>1900</v>
      </c>
      <c r="LS113" t="s">
        <v>1900</v>
      </c>
      <c r="LT113" t="s">
        <v>1900</v>
      </c>
      <c r="LU113" t="s">
        <v>1900</v>
      </c>
      <c r="LV113" t="s">
        <v>1900</v>
      </c>
      <c r="LW113" t="s">
        <v>1900</v>
      </c>
      <c r="LX113" t="s">
        <v>1900</v>
      </c>
      <c r="LY113" t="s">
        <v>1900</v>
      </c>
      <c r="LZ113" t="s">
        <v>1900</v>
      </c>
      <c r="MA113" t="s">
        <v>1900</v>
      </c>
      <c r="MB113" t="s">
        <v>1900</v>
      </c>
      <c r="MC113" t="s">
        <v>1900</v>
      </c>
      <c r="MD113" t="s">
        <v>1900</v>
      </c>
      <c r="ME113" t="s">
        <v>1900</v>
      </c>
      <c r="MF113" t="s">
        <v>1900</v>
      </c>
      <c r="MG113" t="s">
        <v>1900</v>
      </c>
      <c r="MH113" t="s">
        <v>1900</v>
      </c>
      <c r="MI113" t="s">
        <v>1900</v>
      </c>
      <c r="MJ113" t="s">
        <v>1900</v>
      </c>
      <c r="MK113" t="s">
        <v>1900</v>
      </c>
      <c r="ML113" t="s">
        <v>1900</v>
      </c>
      <c r="MM113" t="s">
        <v>1900</v>
      </c>
      <c r="MN113" t="s">
        <v>1900</v>
      </c>
      <c r="MO113" t="s">
        <v>1900</v>
      </c>
      <c r="MP113">
        <v>726040.252935446</v>
      </c>
      <c r="MQ113" t="s">
        <v>1900</v>
      </c>
      <c r="MR113">
        <v>590375.274633026</v>
      </c>
      <c r="MS113">
        <v>118827.542751861</v>
      </c>
      <c r="MT113">
        <v>181162.400128704</v>
      </c>
      <c r="MU113" t="s">
        <v>1900</v>
      </c>
      <c r="MV113" t="s">
        <v>1900</v>
      </c>
      <c r="MW113" t="s">
        <v>1900</v>
      </c>
      <c r="MX113" t="s">
        <v>1900</v>
      </c>
      <c r="MY113" t="s">
        <v>1900</v>
      </c>
      <c r="MZ113" t="s">
        <v>1900</v>
      </c>
      <c r="NA113" t="s">
        <v>1900</v>
      </c>
      <c r="NB113" t="s">
        <v>1900</v>
      </c>
      <c r="NC113" t="s">
        <v>1900</v>
      </c>
      <c r="ND113" t="s">
        <v>1900</v>
      </c>
      <c r="NE113" t="s">
        <v>1900</v>
      </c>
      <c r="NF113" t="s">
        <v>1900</v>
      </c>
      <c r="NG113" t="s">
        <v>1900</v>
      </c>
      <c r="NH113" t="s">
        <v>1900</v>
      </c>
      <c r="NI113" t="s">
        <v>1900</v>
      </c>
      <c r="NJ113" t="s">
        <v>1900</v>
      </c>
      <c r="NK113" t="s">
        <v>1900</v>
      </c>
      <c r="NL113" t="s">
        <v>1900</v>
      </c>
      <c r="NM113" t="s">
        <v>1900</v>
      </c>
      <c r="NN113" t="s">
        <v>1900</v>
      </c>
      <c r="NO113" t="s">
        <v>1900</v>
      </c>
      <c r="NP113" t="s">
        <v>1900</v>
      </c>
      <c r="NQ113" t="s">
        <v>1900</v>
      </c>
      <c r="NR113" t="s">
        <v>1900</v>
      </c>
      <c r="NS113" t="s">
        <v>1900</v>
      </c>
      <c r="NT113">
        <v>139197.234451622</v>
      </c>
      <c r="NU113" t="s">
        <v>1900</v>
      </c>
      <c r="NV113">
        <v>191564.233237779</v>
      </c>
      <c r="NW113">
        <v>226628.994990492</v>
      </c>
      <c r="NX113">
        <v>262097.452361685</v>
      </c>
      <c r="NY113" t="s">
        <v>1900</v>
      </c>
      <c r="NZ113" t="s">
        <v>1900</v>
      </c>
      <c r="OA113" t="s">
        <v>1900</v>
      </c>
      <c r="OB113" t="s">
        <v>1900</v>
      </c>
      <c r="OC113" t="s">
        <v>1900</v>
      </c>
      <c r="OD113" t="s">
        <v>1900</v>
      </c>
      <c r="OE113" t="s">
        <v>1900</v>
      </c>
      <c r="OF113" t="s">
        <v>1900</v>
      </c>
      <c r="OG113" t="s">
        <v>1900</v>
      </c>
      <c r="OH113" t="s">
        <v>1900</v>
      </c>
      <c r="OI113" t="s">
        <v>1900</v>
      </c>
      <c r="OJ113" t="s">
        <v>1900</v>
      </c>
      <c r="OK113" t="s">
        <v>1900</v>
      </c>
      <c r="OL113" t="s">
        <v>1900</v>
      </c>
      <c r="OM113" t="s">
        <v>1900</v>
      </c>
      <c r="ON113" t="s">
        <v>1900</v>
      </c>
      <c r="OO113" t="s">
        <v>1900</v>
      </c>
      <c r="OP113" t="s">
        <v>1900</v>
      </c>
      <c r="OQ113" t="s">
        <v>1900</v>
      </c>
      <c r="OR113" t="s">
        <v>1900</v>
      </c>
      <c r="OS113" t="s">
        <v>1900</v>
      </c>
      <c r="OT113" t="s">
        <v>1900</v>
      </c>
      <c r="OU113" t="s">
        <v>1900</v>
      </c>
      <c r="OV113" t="s">
        <v>1900</v>
      </c>
      <c r="OW113" t="s">
        <v>1900</v>
      </c>
      <c r="OX113" t="s">
        <v>1900</v>
      </c>
      <c r="OY113" t="s">
        <v>1900</v>
      </c>
      <c r="OZ113" t="s">
        <v>1900</v>
      </c>
      <c r="PA113" t="s">
        <v>1900</v>
      </c>
      <c r="PB113" t="s">
        <v>1900</v>
      </c>
      <c r="PC113" t="s">
        <v>1900</v>
      </c>
      <c r="PD113" t="s">
        <v>1900</v>
      </c>
      <c r="PE113" t="s">
        <v>1900</v>
      </c>
      <c r="PF113" t="s">
        <v>1900</v>
      </c>
      <c r="PG113" t="s">
        <v>1900</v>
      </c>
      <c r="PH113" t="s">
        <v>1900</v>
      </c>
      <c r="PI113" t="s">
        <v>1900</v>
      </c>
      <c r="PJ113" t="s">
        <v>1900</v>
      </c>
      <c r="PK113" t="s">
        <v>1900</v>
      </c>
      <c r="PL113" t="s">
        <v>1900</v>
      </c>
      <c r="PM113" t="s">
        <v>1900</v>
      </c>
      <c r="PN113" t="s">
        <v>1900</v>
      </c>
      <c r="PO113" t="s">
        <v>1900</v>
      </c>
      <c r="PP113" t="s">
        <v>1900</v>
      </c>
      <c r="PQ113" t="s">
        <v>1900</v>
      </c>
      <c r="PR113" t="s">
        <v>1900</v>
      </c>
      <c r="PS113" t="s">
        <v>1900</v>
      </c>
      <c r="PT113" t="s">
        <v>1900</v>
      </c>
      <c r="PU113" t="s">
        <v>1900</v>
      </c>
      <c r="PV113" t="s">
        <v>1900</v>
      </c>
      <c r="PW113" t="s">
        <v>1900</v>
      </c>
      <c r="PX113" t="s">
        <v>1900</v>
      </c>
      <c r="PY113" t="s">
        <v>1900</v>
      </c>
      <c r="PZ113" t="s">
        <v>1900</v>
      </c>
      <c r="QA113" t="s">
        <v>1900</v>
      </c>
      <c r="QB113" t="s">
        <v>1900</v>
      </c>
      <c r="QC113" t="s">
        <v>1900</v>
      </c>
      <c r="QD113" t="s">
        <v>1900</v>
      </c>
      <c r="QE113" t="s">
        <v>1900</v>
      </c>
      <c r="QF113" t="s">
        <v>1900</v>
      </c>
      <c r="QG113" t="s">
        <v>1900</v>
      </c>
      <c r="QH113" t="s">
        <v>1900</v>
      </c>
      <c r="QI113" t="s">
        <v>1900</v>
      </c>
      <c r="QJ113" t="s">
        <v>1900</v>
      </c>
      <c r="QK113" t="s">
        <v>1900</v>
      </c>
      <c r="QL113" t="s">
        <v>1900</v>
      </c>
      <c r="QM113" t="s">
        <v>1900</v>
      </c>
      <c r="QN113" t="s">
        <v>1900</v>
      </c>
      <c r="QO113" t="s">
        <v>1900</v>
      </c>
      <c r="QP113" t="s">
        <v>1900</v>
      </c>
      <c r="QQ113" t="s">
        <v>1900</v>
      </c>
      <c r="QR113" t="s">
        <v>1900</v>
      </c>
      <c r="QS113" t="s">
        <v>1900</v>
      </c>
      <c r="QT113" t="s">
        <v>1900</v>
      </c>
      <c r="QU113" t="s">
        <v>1900</v>
      </c>
      <c r="QV113" t="s">
        <v>1900</v>
      </c>
      <c r="QW113" t="s">
        <v>1900</v>
      </c>
      <c r="QX113" t="s">
        <v>1900</v>
      </c>
      <c r="QY113" t="s">
        <v>1900</v>
      </c>
      <c r="QZ113" t="s">
        <v>1900</v>
      </c>
      <c r="RA113" t="s">
        <v>1900</v>
      </c>
      <c r="RB113" t="s">
        <v>1900</v>
      </c>
      <c r="RC113" t="s">
        <v>1900</v>
      </c>
      <c r="RD113" t="s">
        <v>1900</v>
      </c>
      <c r="RE113" t="s">
        <v>1900</v>
      </c>
      <c r="RF113" t="s">
        <v>1900</v>
      </c>
      <c r="RG113" t="s">
        <v>1900</v>
      </c>
      <c r="RH113" t="s">
        <v>1900</v>
      </c>
      <c r="RI113" t="s">
        <v>1900</v>
      </c>
      <c r="RJ113" t="s">
        <v>1900</v>
      </c>
      <c r="RK113" t="s">
        <v>1900</v>
      </c>
      <c r="RL113" t="s">
        <v>1900</v>
      </c>
      <c r="RM113" t="s">
        <v>1900</v>
      </c>
      <c r="RN113" t="s">
        <v>1900</v>
      </c>
      <c r="RO113" t="s">
        <v>1900</v>
      </c>
      <c r="RP113" t="s">
        <v>1900</v>
      </c>
      <c r="RQ113" t="s">
        <v>1900</v>
      </c>
      <c r="RR113" t="s">
        <v>1900</v>
      </c>
      <c r="RS113" t="s">
        <v>1900</v>
      </c>
      <c r="RT113" t="s">
        <v>1900</v>
      </c>
      <c r="RU113" t="s">
        <v>1900</v>
      </c>
      <c r="RV113" t="s">
        <v>1900</v>
      </c>
      <c r="RW113" t="s">
        <v>1900</v>
      </c>
      <c r="RX113" t="s">
        <v>1900</v>
      </c>
      <c r="RY113" t="s">
        <v>1900</v>
      </c>
      <c r="RZ113" t="s">
        <v>1900</v>
      </c>
      <c r="SA113" t="s">
        <v>1900</v>
      </c>
      <c r="SB113" t="s">
        <v>1900</v>
      </c>
      <c r="SC113" t="s">
        <v>1900</v>
      </c>
      <c r="SD113" t="s">
        <v>1900</v>
      </c>
      <c r="SE113" t="s">
        <v>1900</v>
      </c>
      <c r="SF113" t="s">
        <v>1900</v>
      </c>
      <c r="SG113" t="s">
        <v>1900</v>
      </c>
      <c r="SH113" t="s">
        <v>1900</v>
      </c>
      <c r="SI113" t="s">
        <v>1900</v>
      </c>
      <c r="SJ113">
        <v>1163.56748580933</v>
      </c>
      <c r="SK113" t="s">
        <v>1900</v>
      </c>
      <c r="SL113">
        <v>17303.3688360512</v>
      </c>
      <c r="SM113">
        <v>18351.4434998274</v>
      </c>
      <c r="SN113">
        <v>6460.60418554544</v>
      </c>
      <c r="SO113" t="s">
        <v>1900</v>
      </c>
      <c r="SP113" t="s">
        <v>1900</v>
      </c>
      <c r="SQ113" t="s">
        <v>1900</v>
      </c>
      <c r="SR113" t="s">
        <v>1900</v>
      </c>
      <c r="SS113" t="s">
        <v>1900</v>
      </c>
      <c r="ST113" t="s">
        <v>1900</v>
      </c>
      <c r="SU113" t="s">
        <v>1900</v>
      </c>
      <c r="SV113" t="s">
        <v>1900</v>
      </c>
      <c r="SW113" t="s">
        <v>1900</v>
      </c>
      <c r="SX113" t="s">
        <v>1900</v>
      </c>
      <c r="SY113" t="s">
        <v>1900</v>
      </c>
      <c r="SZ113" t="s">
        <v>1900</v>
      </c>
      <c r="TA113" t="s">
        <v>1900</v>
      </c>
      <c r="TB113" t="s">
        <v>1900</v>
      </c>
      <c r="TC113" t="s">
        <v>1900</v>
      </c>
      <c r="TD113" t="s">
        <v>1900</v>
      </c>
      <c r="TE113" t="s">
        <v>1900</v>
      </c>
      <c r="TF113" t="s">
        <v>1900</v>
      </c>
      <c r="TG113" t="s">
        <v>1900</v>
      </c>
      <c r="TH113" t="s">
        <v>1900</v>
      </c>
      <c r="TI113" t="s">
        <v>1900</v>
      </c>
      <c r="TJ113" t="s">
        <v>1900</v>
      </c>
      <c r="TK113" t="s">
        <v>1900</v>
      </c>
      <c r="TL113" t="s">
        <v>1900</v>
      </c>
      <c r="TM113" t="s">
        <v>1900</v>
      </c>
      <c r="TN113" t="s">
        <v>1900</v>
      </c>
      <c r="TO113" t="s">
        <v>1900</v>
      </c>
      <c r="TP113" t="s">
        <v>1900</v>
      </c>
      <c r="TQ113" t="s">
        <v>1900</v>
      </c>
      <c r="TR113" t="s">
        <v>1900</v>
      </c>
      <c r="TS113">
        <v>1166653.51611758</v>
      </c>
      <c r="TT113" t="s">
        <v>1900</v>
      </c>
      <c r="TU113">
        <v>1245077.97501853</v>
      </c>
      <c r="TV113">
        <v>833543.11977818</v>
      </c>
      <c r="TW113">
        <v>750370.068128622</v>
      </c>
      <c r="TX113" t="s">
        <v>1900</v>
      </c>
      <c r="TY113" t="s">
        <v>1900</v>
      </c>
      <c r="TZ113" t="s">
        <v>1900</v>
      </c>
      <c r="UA113" t="s">
        <v>1900</v>
      </c>
      <c r="UB113" t="s">
        <v>1900</v>
      </c>
      <c r="UC113">
        <v>29155.8741067636</v>
      </c>
      <c r="UD113" t="s">
        <v>1900</v>
      </c>
      <c r="UE113">
        <v>11295.9712043285</v>
      </c>
      <c r="UF113">
        <v>11099.8680972576</v>
      </c>
      <c r="UG113">
        <v>0</v>
      </c>
      <c r="UH113" t="s">
        <v>1900</v>
      </c>
      <c r="UI113" t="s">
        <v>1900</v>
      </c>
      <c r="UJ113" t="s">
        <v>1900</v>
      </c>
      <c r="UK113" t="s">
        <v>1900</v>
      </c>
      <c r="UL113" t="s">
        <v>1900</v>
      </c>
      <c r="UM113" t="s">
        <v>1900</v>
      </c>
      <c r="UN113" t="s">
        <v>1900</v>
      </c>
      <c r="UO113" t="s">
        <v>1900</v>
      </c>
      <c r="UP113" t="s">
        <v>1900</v>
      </c>
      <c r="UQ113" t="s">
        <v>1900</v>
      </c>
      <c r="UR113" t="s">
        <v>1900</v>
      </c>
      <c r="US113" t="s">
        <v>1900</v>
      </c>
      <c r="UT113" t="s">
        <v>1900</v>
      </c>
      <c r="UU113" t="s">
        <v>1900</v>
      </c>
      <c r="UV113" t="s">
        <v>1900</v>
      </c>
      <c r="UW113" t="s">
        <v>1900</v>
      </c>
      <c r="UX113" t="s">
        <v>1900</v>
      </c>
      <c r="UY113" t="s">
        <v>1900</v>
      </c>
      <c r="UZ113" t="s">
        <v>1900</v>
      </c>
      <c r="VA113" t="s">
        <v>1900</v>
      </c>
      <c r="VB113" t="s">
        <v>1900</v>
      </c>
      <c r="VC113" t="s">
        <v>1900</v>
      </c>
      <c r="VD113" t="s">
        <v>1900</v>
      </c>
      <c r="VE113" t="s">
        <v>1900</v>
      </c>
      <c r="VF113" t="s">
        <v>1900</v>
      </c>
      <c r="VG113" t="s">
        <v>1900</v>
      </c>
      <c r="VH113" t="s">
        <v>1900</v>
      </c>
      <c r="VI113" t="s">
        <v>1900</v>
      </c>
      <c r="VJ113" t="s">
        <v>1900</v>
      </c>
      <c r="VK113" t="s">
        <v>1900</v>
      </c>
      <c r="VL113" t="s">
        <v>1900</v>
      </c>
      <c r="VM113" t="s">
        <v>1900</v>
      </c>
      <c r="VN113" t="s">
        <v>1900</v>
      </c>
      <c r="VO113" t="s">
        <v>1900</v>
      </c>
      <c r="VP113" t="s">
        <v>1900</v>
      </c>
      <c r="VQ113" t="s">
        <v>1900</v>
      </c>
      <c r="VR113" t="s">
        <v>1900</v>
      </c>
      <c r="VS113" t="s">
        <v>1900</v>
      </c>
      <c r="VT113" t="s">
        <v>1900</v>
      </c>
      <c r="VU113" t="s">
        <v>1900</v>
      </c>
      <c r="VV113" t="s">
        <v>1900</v>
      </c>
      <c r="VW113" t="s">
        <v>1900</v>
      </c>
      <c r="VX113" t="s">
        <v>1900</v>
      </c>
      <c r="VY113" t="s">
        <v>1900</v>
      </c>
      <c r="VZ113" t="s">
        <v>1900</v>
      </c>
      <c r="WA113">
        <v>115573.013156272</v>
      </c>
      <c r="WB113" t="s">
        <v>1900</v>
      </c>
      <c r="WC113">
        <v>167948.579306287</v>
      </c>
      <c r="WD113">
        <v>65040.5693444252</v>
      </c>
      <c r="WE113">
        <v>83532.9809727848</v>
      </c>
      <c r="WF113" t="s">
        <v>1900</v>
      </c>
      <c r="WG113" t="s">
        <v>1900</v>
      </c>
      <c r="WH113" t="s">
        <v>1900</v>
      </c>
      <c r="WI113" t="s">
        <v>1900</v>
      </c>
      <c r="WJ113" t="s">
        <v>1900</v>
      </c>
      <c r="WK113" t="s">
        <v>1900</v>
      </c>
      <c r="WL113" t="s">
        <v>1900</v>
      </c>
      <c r="WM113" t="s">
        <v>1900</v>
      </c>
      <c r="WN113" t="s">
        <v>1900</v>
      </c>
      <c r="WO113" t="s">
        <v>1900</v>
      </c>
      <c r="WP113" t="s">
        <v>1900</v>
      </c>
      <c r="WQ113" t="s">
        <v>1900</v>
      </c>
      <c r="WR113" t="s">
        <v>1900</v>
      </c>
      <c r="WS113" t="s">
        <v>1900</v>
      </c>
      <c r="WT113" t="s">
        <v>1900</v>
      </c>
      <c r="WU113" t="s">
        <v>1900</v>
      </c>
      <c r="WV113" t="s">
        <v>1900</v>
      </c>
      <c r="WW113" t="s">
        <v>1900</v>
      </c>
      <c r="WX113" t="s">
        <v>1900</v>
      </c>
      <c r="WY113" t="s">
        <v>1900</v>
      </c>
      <c r="WZ113" t="s">
        <v>1900</v>
      </c>
      <c r="XA113" t="s">
        <v>1900</v>
      </c>
      <c r="XB113" t="s">
        <v>1900</v>
      </c>
      <c r="XC113" t="s">
        <v>1900</v>
      </c>
      <c r="XD113" t="s">
        <v>1900</v>
      </c>
      <c r="XE113" t="s">
        <v>1900</v>
      </c>
      <c r="XF113" t="s">
        <v>1900</v>
      </c>
      <c r="XG113" t="s">
        <v>1900</v>
      </c>
      <c r="XH113" t="s">
        <v>1900</v>
      </c>
      <c r="XI113" t="s">
        <v>1900</v>
      </c>
      <c r="XJ113">
        <v>6123.26350507617</v>
      </c>
      <c r="XK113" t="s">
        <v>1900</v>
      </c>
      <c r="XL113">
        <v>0</v>
      </c>
      <c r="XM113">
        <v>0</v>
      </c>
      <c r="XN113">
        <v>0</v>
      </c>
      <c r="XO113" t="s">
        <v>1900</v>
      </c>
      <c r="XP113" t="s">
        <v>1900</v>
      </c>
      <c r="XQ113" t="s">
        <v>1900</v>
      </c>
      <c r="XR113" t="s">
        <v>1900</v>
      </c>
      <c r="XS113" t="s">
        <v>1900</v>
      </c>
      <c r="XT113" t="s">
        <v>1900</v>
      </c>
      <c r="XU113" t="s">
        <v>1900</v>
      </c>
      <c r="XV113" t="s">
        <v>1900</v>
      </c>
      <c r="XW113" t="s">
        <v>1900</v>
      </c>
      <c r="XX113" t="s">
        <v>1900</v>
      </c>
      <c r="XY113" t="s">
        <v>1900</v>
      </c>
      <c r="XZ113" t="s">
        <v>1900</v>
      </c>
      <c r="YA113">
        <v>0</v>
      </c>
      <c r="YB113">
        <v>0</v>
      </c>
      <c r="YC113">
        <v>0</v>
      </c>
      <c r="YD113" t="s">
        <v>1900</v>
      </c>
      <c r="YE113" t="s">
        <v>1900</v>
      </c>
      <c r="YF113" t="s">
        <v>1900</v>
      </c>
      <c r="YG113" t="s">
        <v>1900</v>
      </c>
      <c r="YH113" t="s">
        <v>1900</v>
      </c>
      <c r="YI113" t="s">
        <v>1900</v>
      </c>
      <c r="YJ113" t="s">
        <v>1900</v>
      </c>
      <c r="YK113" t="s">
        <v>1900</v>
      </c>
      <c r="YL113" t="s">
        <v>1900</v>
      </c>
      <c r="YM113" t="s">
        <v>1900</v>
      </c>
      <c r="YN113" t="s">
        <v>1900</v>
      </c>
      <c r="YO113" t="s">
        <v>1900</v>
      </c>
      <c r="YP113" t="s">
        <v>1900</v>
      </c>
      <c r="YQ113" t="s">
        <v>1900</v>
      </c>
      <c r="YR113" t="s">
        <v>1900</v>
      </c>
      <c r="YS113" t="s">
        <v>1900</v>
      </c>
      <c r="YT113" t="s">
        <v>1900</v>
      </c>
      <c r="YU113" t="s">
        <v>1900</v>
      </c>
      <c r="YV113" t="s">
        <v>1900</v>
      </c>
      <c r="YW113" t="s">
        <v>1900</v>
      </c>
      <c r="YX113" t="s">
        <v>1900</v>
      </c>
      <c r="YY113" t="s">
        <v>1900</v>
      </c>
      <c r="YZ113" t="s">
        <v>1900</v>
      </c>
      <c r="ZA113" t="s">
        <v>1900</v>
      </c>
      <c r="ZB113" t="s">
        <v>1900</v>
      </c>
      <c r="ZC113" t="s">
        <v>1900</v>
      </c>
      <c r="ZD113" t="s">
        <v>1900</v>
      </c>
      <c r="ZE113" t="s">
        <v>1900</v>
      </c>
      <c r="ZF113" t="s">
        <v>1900</v>
      </c>
      <c r="ZG113" t="s">
        <v>1900</v>
      </c>
      <c r="ZH113" t="s">
        <v>1900</v>
      </c>
      <c r="ZI113" t="s">
        <v>1900</v>
      </c>
      <c r="ZJ113" t="s">
        <v>1900</v>
      </c>
      <c r="ZK113" t="s">
        <v>1900</v>
      </c>
      <c r="ZL113" t="s">
        <v>1900</v>
      </c>
      <c r="ZM113" t="s">
        <v>1900</v>
      </c>
      <c r="ZN113" t="s">
        <v>1900</v>
      </c>
      <c r="ZO113" t="s">
        <v>1900</v>
      </c>
      <c r="ZP113" t="s">
        <v>1900</v>
      </c>
      <c r="ZQ113" t="s">
        <v>1900</v>
      </c>
      <c r="ZR113" t="s">
        <v>1900</v>
      </c>
      <c r="ZS113" t="s">
        <v>1900</v>
      </c>
      <c r="ZT113" t="s">
        <v>1900</v>
      </c>
      <c r="ZU113" t="s">
        <v>1900</v>
      </c>
      <c r="ZV113" t="s">
        <v>1900</v>
      </c>
      <c r="ZW113" t="s">
        <v>1900</v>
      </c>
      <c r="ZX113" t="s">
        <v>1900</v>
      </c>
      <c r="ZY113" t="s">
        <v>1900</v>
      </c>
      <c r="ZZ113" t="s">
        <v>1900</v>
      </c>
      <c r="AAA113" t="s">
        <v>1900</v>
      </c>
      <c r="AAB113" t="s">
        <v>1900</v>
      </c>
      <c r="AAC113" t="s">
        <v>1900</v>
      </c>
      <c r="AAD113" t="s">
        <v>1900</v>
      </c>
      <c r="AAE113" t="s">
        <v>1900</v>
      </c>
      <c r="AAF113" t="s">
        <v>1900</v>
      </c>
      <c r="AAG113" t="s">
        <v>1900</v>
      </c>
      <c r="AAH113" t="s">
        <v>1900</v>
      </c>
      <c r="AAI113" t="s">
        <v>1900</v>
      </c>
      <c r="AAJ113" t="s">
        <v>1900</v>
      </c>
      <c r="AAK113" t="s">
        <v>1900</v>
      </c>
      <c r="AAL113" t="s">
        <v>1900</v>
      </c>
      <c r="AAM113" t="s">
        <v>1900</v>
      </c>
      <c r="AAN113" t="s">
        <v>1900</v>
      </c>
      <c r="AAO113" t="s">
        <v>1900</v>
      </c>
      <c r="AAP113" t="s">
        <v>1900</v>
      </c>
      <c r="AAQ113" t="s">
        <v>1900</v>
      </c>
      <c r="AAR113" t="s">
        <v>1900</v>
      </c>
      <c r="AAS113" t="s">
        <v>1900</v>
      </c>
      <c r="AAT113" t="s">
        <v>1900</v>
      </c>
      <c r="AAU113" t="s">
        <v>1900</v>
      </c>
      <c r="AAV113" t="s">
        <v>1900</v>
      </c>
      <c r="AAW113" t="s">
        <v>1900</v>
      </c>
      <c r="AAX113" t="s">
        <v>1900</v>
      </c>
      <c r="AAY113" t="s">
        <v>1900</v>
      </c>
      <c r="AAZ113" t="s">
        <v>1900</v>
      </c>
      <c r="ABA113" t="s">
        <v>1900</v>
      </c>
      <c r="ABB113" t="s">
        <v>1900</v>
      </c>
      <c r="ABC113" t="s">
        <v>1900</v>
      </c>
      <c r="ABD113" t="s">
        <v>1900</v>
      </c>
      <c r="ABE113" t="s">
        <v>1900</v>
      </c>
      <c r="ABF113" t="s">
        <v>1900</v>
      </c>
      <c r="ABG113" t="s">
        <v>1900</v>
      </c>
      <c r="ABH113" t="s">
        <v>1900</v>
      </c>
      <c r="ABI113" t="s">
        <v>1900</v>
      </c>
      <c r="ABJ113" t="s">
        <v>1900</v>
      </c>
      <c r="ABK113" t="s">
        <v>1900</v>
      </c>
      <c r="ABL113" t="s">
        <v>1900</v>
      </c>
      <c r="ABM113" t="s">
        <v>1900</v>
      </c>
      <c r="ABN113" t="s">
        <v>1900</v>
      </c>
      <c r="ABO113" t="s">
        <v>1900</v>
      </c>
      <c r="ABP113" t="s">
        <v>1900</v>
      </c>
      <c r="ABQ113" t="s">
        <v>1900</v>
      </c>
      <c r="ABR113" t="s">
        <v>1900</v>
      </c>
      <c r="ABS113" t="s">
        <v>1900</v>
      </c>
      <c r="ABT113" t="s">
        <v>1900</v>
      </c>
      <c r="ABU113" t="s">
        <v>1900</v>
      </c>
      <c r="ABV113" t="s">
        <v>1900</v>
      </c>
      <c r="ABW113" t="s">
        <v>1900</v>
      </c>
      <c r="ABX113" t="s">
        <v>1900</v>
      </c>
      <c r="ABY113" t="s">
        <v>1900</v>
      </c>
      <c r="ABZ113" t="s">
        <v>1900</v>
      </c>
      <c r="ACA113" t="s">
        <v>1900</v>
      </c>
      <c r="ACB113" t="s">
        <v>1900</v>
      </c>
      <c r="ACC113" t="s">
        <v>1900</v>
      </c>
      <c r="ACD113" t="s">
        <v>1900</v>
      </c>
      <c r="ACE113">
        <v>0.788</v>
      </c>
      <c r="ACF113" t="s">
        <v>1900</v>
      </c>
      <c r="ACG113">
        <v>32.633</v>
      </c>
      <c r="ACH113">
        <v>32.685</v>
      </c>
      <c r="ACI113">
        <v>-20.394</v>
      </c>
      <c r="ACJ113">
        <v>1.146</v>
      </c>
      <c r="ACK113" t="s">
        <v>1900</v>
      </c>
      <c r="ACL113">
        <v>28.265</v>
      </c>
      <c r="ACM113">
        <v>25.957</v>
      </c>
      <c r="ACN113">
        <v>-12.472</v>
      </c>
      <c r="ACO113">
        <v>0.57</v>
      </c>
      <c r="ACP113" t="s">
        <v>1900</v>
      </c>
      <c r="ACQ113">
        <v>21.082</v>
      </c>
      <c r="ACR113">
        <v>22.209</v>
      </c>
      <c r="ACS113">
        <v>-11.227</v>
      </c>
      <c r="ACT113">
        <v>0.593</v>
      </c>
      <c r="ACU113" t="s">
        <v>1900</v>
      </c>
      <c r="ACV113">
        <v>32.633</v>
      </c>
      <c r="ACW113">
        <v>32.685</v>
      </c>
      <c r="ACX113">
        <v>-20.394</v>
      </c>
      <c r="ACY113">
        <v>0.968</v>
      </c>
      <c r="ACZ113" t="s">
        <v>1900</v>
      </c>
      <c r="ADA113">
        <v>28.265</v>
      </c>
      <c r="ADB113">
        <v>25.957</v>
      </c>
      <c r="ADC113">
        <v>-12.472</v>
      </c>
      <c r="ADD113">
        <v>0.429</v>
      </c>
      <c r="ADE113" t="s">
        <v>1900</v>
      </c>
      <c r="ADF113">
        <v>21.082</v>
      </c>
      <c r="ADG113">
        <v>22.209</v>
      </c>
      <c r="ADH113">
        <v>-11.227</v>
      </c>
      <c r="ADI113">
        <v>0.44</v>
      </c>
      <c r="ADJ113" t="s">
        <v>1900</v>
      </c>
      <c r="ADK113">
        <v>13.803</v>
      </c>
      <c r="ADL113">
        <v>14.638</v>
      </c>
      <c r="ADM113">
        <v>-11.178</v>
      </c>
      <c r="ADN113">
        <v>55.044</v>
      </c>
      <c r="ADO113" t="s">
        <v>1900</v>
      </c>
      <c r="ADP113">
        <v>62.338</v>
      </c>
      <c r="ADQ113">
        <v>76.221</v>
      </c>
      <c r="ADR113">
        <v>56.81</v>
      </c>
      <c r="ADS113">
        <v>0.70335317</v>
      </c>
      <c r="ADT113" t="s">
        <v>1900</v>
      </c>
      <c r="ADU113">
        <v>14.087494262</v>
      </c>
      <c r="ADV113">
        <v>15.458717163</v>
      </c>
      <c r="ADW113">
        <v>-10.485323175</v>
      </c>
      <c r="ADX113">
        <v>2.439</v>
      </c>
      <c r="ADY113" t="s">
        <v>1900</v>
      </c>
      <c r="ADZ113">
        <v>15.457</v>
      </c>
      <c r="AEA113">
        <v>17.687</v>
      </c>
      <c r="AEB113">
        <v>-6.05</v>
      </c>
      <c r="AEC113">
        <v>0.703</v>
      </c>
      <c r="AED113" t="s">
        <v>1900</v>
      </c>
      <c r="AEE113">
        <v>14.087</v>
      </c>
      <c r="AEF113">
        <v>15.459</v>
      </c>
      <c r="AEG113">
        <v>-10.485</v>
      </c>
      <c r="AEH113">
        <v>2.066</v>
      </c>
      <c r="AEI113" t="s">
        <v>1900</v>
      </c>
      <c r="AEJ113">
        <v>15.172</v>
      </c>
      <c r="AEK113">
        <v>16.866</v>
      </c>
      <c r="AEL113">
        <v>-6.743</v>
      </c>
      <c r="AEM113">
        <v>0.708335269</v>
      </c>
      <c r="AEN113" t="s">
        <v>1900</v>
      </c>
      <c r="AEO113">
        <v>16.39748968</v>
      </c>
      <c r="AEP113">
        <v>18.285406424</v>
      </c>
      <c r="AEQ113">
        <v>-9.490240761000001</v>
      </c>
      <c r="AER113">
        <v>1.012943335</v>
      </c>
      <c r="AES113" t="s">
        <v>1900</v>
      </c>
      <c r="AET113">
        <v>1.291967956</v>
      </c>
      <c r="AEU113">
        <v>1.254412257</v>
      </c>
      <c r="AEV113">
        <v>0.844188307</v>
      </c>
      <c r="AEW113" t="s">
        <v>1900</v>
      </c>
      <c r="AEX113" t="s">
        <v>1900</v>
      </c>
      <c r="AEY113" t="s">
        <v>1900</v>
      </c>
      <c r="AEZ113" t="s">
        <v>1900</v>
      </c>
      <c r="AFA113" t="s">
        <v>1900</v>
      </c>
      <c r="AFB113" t="s">
        <v>1900</v>
      </c>
      <c r="AFC113" t="s">
        <v>1900</v>
      </c>
      <c r="AFD113" t="s">
        <v>1900</v>
      </c>
      <c r="AFE113" t="s">
        <v>1900</v>
      </c>
      <c r="AFF113" t="s">
        <v>1900</v>
      </c>
      <c r="AFG113">
        <v>1.629</v>
      </c>
      <c r="AFH113" t="s">
        <v>1900</v>
      </c>
      <c r="AFI113">
        <v>2.006</v>
      </c>
      <c r="AFJ113">
        <v>1.718</v>
      </c>
      <c r="AFK113">
        <v>1.19</v>
      </c>
      <c r="AFL113">
        <v>2.667</v>
      </c>
      <c r="AFM113" t="s">
        <v>1900</v>
      </c>
      <c r="AFN113">
        <v>49.449</v>
      </c>
      <c r="AFO113">
        <v>32.646</v>
      </c>
      <c r="AFP113">
        <v>-15.127</v>
      </c>
      <c r="AFQ113">
        <v>9.725</v>
      </c>
      <c r="AFR113" t="s">
        <v>1900</v>
      </c>
      <c r="AFS113">
        <v>19.92</v>
      </c>
      <c r="AFT113">
        <v>6.909</v>
      </c>
      <c r="AFU113">
        <v>5.582</v>
      </c>
      <c r="AFV113">
        <v>34.663</v>
      </c>
      <c r="AFW113" t="s">
        <v>1900</v>
      </c>
      <c r="AFX113">
        <v>69.59999999999999</v>
      </c>
      <c r="AFY113">
        <v>86.827</v>
      </c>
      <c r="AFZ113">
        <v>82.211</v>
      </c>
      <c r="AGA113">
        <v>22.035</v>
      </c>
      <c r="AGB113" t="s">
        <v>1900</v>
      </c>
      <c r="AGC113">
        <v>22.333</v>
      </c>
      <c r="AGD113">
        <v>6.016</v>
      </c>
      <c r="AGE113">
        <v>15.9</v>
      </c>
      <c r="AGF113" t="s">
        <v>1900</v>
      </c>
      <c r="AGG113" t="s">
        <v>1900</v>
      </c>
      <c r="AGH113" t="s">
        <v>1900</v>
      </c>
      <c r="AGI113" t="s">
        <v>1900</v>
      </c>
      <c r="AGJ113" t="s">
        <v>1900</v>
      </c>
      <c r="AGK113" t="s">
        <v>1900</v>
      </c>
      <c r="AGL113" t="s">
        <v>1900</v>
      </c>
      <c r="AGM113" t="s">
        <v>1900</v>
      </c>
      <c r="AGN113" t="s">
        <v>1900</v>
      </c>
      <c r="AGO113" t="s">
        <v>1900</v>
      </c>
      <c r="AGP113" t="s">
        <v>1900</v>
      </c>
      <c r="AGQ113" t="s">
        <v>1900</v>
      </c>
      <c r="AGR113" t="s">
        <v>1900</v>
      </c>
      <c r="AGS113" t="s">
        <v>1900</v>
      </c>
      <c r="AGT113" t="s">
        <v>1900</v>
      </c>
      <c r="AGU113">
        <v>0</v>
      </c>
      <c r="AGV113">
        <v>0</v>
      </c>
      <c r="AGW113">
        <v>0</v>
      </c>
      <c r="AGX113">
        <v>0</v>
      </c>
      <c r="AGY113">
        <v>0</v>
      </c>
      <c r="AGZ113">
        <v>4.328</v>
      </c>
      <c r="AHA113" t="s">
        <v>1900</v>
      </c>
      <c r="AHB113">
        <v>3.545</v>
      </c>
      <c r="AHC113">
        <v>6.239</v>
      </c>
      <c r="AHD113">
        <v>4.18</v>
      </c>
      <c r="AHE113">
        <v>3.673</v>
      </c>
      <c r="AHF113" t="s">
        <v>1900</v>
      </c>
      <c r="AHG113">
        <v>3.223</v>
      </c>
      <c r="AHH113">
        <v>4.357</v>
      </c>
      <c r="AHI113">
        <v>3.024</v>
      </c>
      <c r="AHJ113">
        <v>9.907999999999999</v>
      </c>
      <c r="AHK113" t="s">
        <v>1900</v>
      </c>
      <c r="AHL113">
        <v>5.606</v>
      </c>
      <c r="AHM113">
        <v>3.334</v>
      </c>
      <c r="AHN113">
        <v>1.873</v>
      </c>
      <c r="AHO113">
        <v>72.351</v>
      </c>
      <c r="AHP113" t="s">
        <v>1900</v>
      </c>
      <c r="AHQ113">
        <v>64.604</v>
      </c>
      <c r="AHR113">
        <v>67.94799999999999</v>
      </c>
      <c r="AHS113">
        <v>55.048</v>
      </c>
      <c r="AHT113" t="s">
        <v>1901</v>
      </c>
      <c r="AHU113" t="s">
        <v>1900</v>
      </c>
      <c r="AHV113" t="s">
        <v>1901</v>
      </c>
      <c r="AHW113" t="s">
        <v>1901</v>
      </c>
      <c r="AHX113" t="s">
        <v>1901</v>
      </c>
      <c r="AHY113">
        <v>13.547</v>
      </c>
      <c r="AHZ113" t="s">
        <v>1900</v>
      </c>
      <c r="AIA113">
        <v>19.243</v>
      </c>
      <c r="AIB113">
        <v>31.956</v>
      </c>
      <c r="AIC113">
        <v>53.378</v>
      </c>
      <c r="AID113">
        <v>0.09973548</v>
      </c>
      <c r="AIE113" t="s">
        <v>1900</v>
      </c>
      <c r="AIF113">
        <v>1.389741782</v>
      </c>
      <c r="AIG113">
        <v>2.201618976</v>
      </c>
      <c r="AIH113">
        <v>0.860989059</v>
      </c>
      <c r="AII113">
        <v>62.232723161</v>
      </c>
      <c r="AIJ113" t="s">
        <v>1900</v>
      </c>
      <c r="AIK113">
        <v>47.416731038</v>
      </c>
      <c r="AIL113">
        <v>14.255716343</v>
      </c>
      <c r="AIM113">
        <v>24.143073908</v>
      </c>
      <c r="AIN113">
        <v>9.906369934000001</v>
      </c>
      <c r="AIO113" t="s">
        <v>1900</v>
      </c>
      <c r="AIP113">
        <v>13.489000904</v>
      </c>
      <c r="AIQ113">
        <v>7.802903989</v>
      </c>
      <c r="AIR113">
        <v>11.132237881</v>
      </c>
      <c r="AIS113">
        <v>22.874093494</v>
      </c>
      <c r="AIT113" t="s">
        <v>1900</v>
      </c>
      <c r="AIU113">
        <v>13.329190293</v>
      </c>
      <c r="AIV113">
        <v>60.870019446</v>
      </c>
      <c r="AIW113">
        <v>41.47475651</v>
      </c>
      <c r="AIX113">
        <v>0.47532874584806</v>
      </c>
      <c r="AIY113" t="s">
        <v>1900</v>
      </c>
      <c r="AIZ113">
        <v>21.8742084142172</v>
      </c>
      <c r="AJA113">
        <v>16.8294144330454</v>
      </c>
      <c r="AJB113">
        <v>-7.02013201570272</v>
      </c>
      <c r="AJC113">
        <v>108.125607774546</v>
      </c>
      <c r="AJD113" t="s">
        <v>1900</v>
      </c>
      <c r="AJE113">
        <v>158.478836545956</v>
      </c>
      <c r="AJF113">
        <v>114.973439817595</v>
      </c>
      <c r="AJG113">
        <v>62.8045901392299</v>
      </c>
      <c r="AJH113">
        <v>44.405</v>
      </c>
      <c r="AJI113" t="s">
        <v>1900</v>
      </c>
      <c r="AJJ113">
        <v>37.776</v>
      </c>
      <c r="AJK113">
        <v>41.317</v>
      </c>
      <c r="AJL113">
        <v>68.398</v>
      </c>
      <c r="AJM113">
        <v>48.0128139668165</v>
      </c>
      <c r="AJN113" t="s">
        <v>1900</v>
      </c>
      <c r="AJO113">
        <v>59.8667296370614</v>
      </c>
      <c r="AJP113">
        <v>47.503882262578</v>
      </c>
      <c r="AJQ113">
        <v>42.9567903049326</v>
      </c>
      <c r="AJR113">
        <v>60.2915863409194</v>
      </c>
      <c r="AJS113" t="s">
        <v>1900</v>
      </c>
      <c r="AJT113">
        <v>67.03075841984629</v>
      </c>
      <c r="AJU113">
        <v>51.4889556985974</v>
      </c>
      <c r="AJV113">
        <v>34.4220950266165</v>
      </c>
      <c r="AJW113">
        <v>14.9115848354399</v>
      </c>
      <c r="AJX113" t="s">
        <v>1900</v>
      </c>
      <c r="AJY113">
        <v>28.7634566370386</v>
      </c>
      <c r="AJZ113">
        <v>42.4502242210722</v>
      </c>
      <c r="AKA113">
        <v>22.8185704252404</v>
      </c>
      <c r="AKB113">
        <v>83.33239385998451</v>
      </c>
      <c r="AKC113" t="s">
        <v>1900</v>
      </c>
      <c r="AKD113">
        <v>103.756497562677</v>
      </c>
      <c r="AKE113">
        <v>75.7766473555255</v>
      </c>
      <c r="AKF113">
        <v>62.5308390107185</v>
      </c>
      <c r="AKG113">
        <v>22.874093494</v>
      </c>
      <c r="AKH113" t="s">
        <v>1900</v>
      </c>
      <c r="AKI113">
        <v>13.329190293</v>
      </c>
      <c r="AKJ113">
        <v>60.870019446</v>
      </c>
      <c r="AKK113">
        <v>41.47475651</v>
      </c>
      <c r="AKL113">
        <v>10.283206987</v>
      </c>
      <c r="AKM113" t="s">
        <v>1900</v>
      </c>
      <c r="AKN113">
        <v>5.020088624</v>
      </c>
      <c r="AKO113">
        <v>14.474167886</v>
      </c>
      <c r="AKP113">
        <v>17.913147094</v>
      </c>
      <c r="AKQ113">
        <v>13.342686444</v>
      </c>
      <c r="AKR113" t="s">
        <v>1900</v>
      </c>
      <c r="AKS113">
        <v>7.66773955</v>
      </c>
      <c r="AKT113">
        <v>21.961183699</v>
      </c>
      <c r="AKU113">
        <v>17.991568131</v>
      </c>
      <c r="AKV113">
        <v>7.586950633</v>
      </c>
      <c r="AKW113" t="s">
        <v>1900</v>
      </c>
      <c r="AKX113">
        <v>8.910894071</v>
      </c>
      <c r="AKY113">
        <v>16.39272199</v>
      </c>
      <c r="AKZ113">
        <v>33.738614483</v>
      </c>
      <c r="ALA113">
        <v>9.84423473</v>
      </c>
      <c r="ALB113" t="s">
        <v>1900</v>
      </c>
      <c r="ALC113">
        <v>13.610599337</v>
      </c>
      <c r="ALD113">
        <v>24.872143378</v>
      </c>
      <c r="ALE113">
        <v>33.886317012</v>
      </c>
      <c r="ALF113">
        <v>1.531654969</v>
      </c>
      <c r="ALG113" t="s">
        <v>1900</v>
      </c>
      <c r="ALH113">
        <v>0.252309704</v>
      </c>
      <c r="ALI113">
        <v>0.075710105</v>
      </c>
      <c r="ALJ113">
        <v>0.180993689</v>
      </c>
      <c r="ALK113">
        <v>1.987355892</v>
      </c>
      <c r="ALL113" t="s">
        <v>1900</v>
      </c>
      <c r="ALM113">
        <v>0.385380665</v>
      </c>
      <c r="ALN113">
        <v>0.114872477</v>
      </c>
      <c r="ALO113">
        <v>0.181786052</v>
      </c>
      <c r="ALP113">
        <v>9.628557429000001</v>
      </c>
      <c r="ALQ113" t="s">
        <v>1900</v>
      </c>
      <c r="ALR113">
        <v>19.333240307</v>
      </c>
      <c r="ALS113">
        <v>24.11866497</v>
      </c>
      <c r="ALT113">
        <v>22.836292021</v>
      </c>
      <c r="ALU113">
        <v>63.569032458</v>
      </c>
      <c r="ALV113" t="s">
        <v>1900</v>
      </c>
      <c r="ALW113">
        <v>32.087813601</v>
      </c>
      <c r="ALX113">
        <v>6.928522798</v>
      </c>
      <c r="ALY113">
        <v>19.341107504</v>
      </c>
      <c r="ALZ113">
        <v>55.0443081386929</v>
      </c>
      <c r="AMA113" t="s">
        <v>1900</v>
      </c>
      <c r="AMB113">
        <v>62.3376325687639</v>
      </c>
      <c r="AMC113">
        <v>76.2211873466108</v>
      </c>
      <c r="AMD113">
        <v>56.8095183643662</v>
      </c>
      <c r="AME113">
        <v>55.3877162130086</v>
      </c>
      <c r="AMF113" t="s">
        <v>1900</v>
      </c>
      <c r="AMG113">
        <v>62.3376325687639</v>
      </c>
      <c r="AMH113">
        <v>76.2211873466108</v>
      </c>
      <c r="AMI113">
        <v>56.8095183643662</v>
      </c>
      <c r="AMJ113">
        <v>122.441243499289</v>
      </c>
      <c r="AMK113" t="s">
        <v>1900</v>
      </c>
      <c r="AML113">
        <v>165.517031510512</v>
      </c>
      <c r="AMM113">
        <v>320.542444476289</v>
      </c>
      <c r="AMN113">
        <v>131.532495617035</v>
      </c>
      <c r="AMO113">
        <v>1.01294333473598</v>
      </c>
      <c r="AMP113" t="s">
        <v>1900</v>
      </c>
      <c r="AMQ113">
        <v>1.29196795609269</v>
      </c>
      <c r="AMR113">
        <v>1.25441225670915</v>
      </c>
      <c r="AMS113">
        <v>0.8441883092657499</v>
      </c>
      <c r="AMT113">
        <v>1.01294333473598</v>
      </c>
      <c r="AMU113" t="s">
        <v>1900</v>
      </c>
      <c r="AMV113">
        <v>1.29196795609269</v>
      </c>
      <c r="AMW113">
        <v>1.25441225670915</v>
      </c>
      <c r="AMX113">
        <v>0.844188306846252</v>
      </c>
      <c r="AMY113">
        <v>1.01294333473598</v>
      </c>
      <c r="AMZ113" t="s">
        <v>1900</v>
      </c>
      <c r="ANA113">
        <v>1.29196795609269</v>
      </c>
      <c r="ANB113">
        <v>1.25441225670915</v>
      </c>
      <c r="ANC113">
        <v>0.844188307223238</v>
      </c>
      <c r="AND113">
        <v>0.703353170032031</v>
      </c>
      <c r="ANE113" t="s">
        <v>1900</v>
      </c>
      <c r="ANF113">
        <v>14.0874942624764</v>
      </c>
      <c r="ANG113">
        <v>15.458717162709</v>
      </c>
      <c r="ANH113">
        <v>-10.4853231754651</v>
      </c>
      <c r="ANI113">
        <v>0.707741219693333</v>
      </c>
      <c r="ANJ113" t="s">
        <v>1900</v>
      </c>
      <c r="ANK113">
        <v>14.0874942624764</v>
      </c>
      <c r="ANL113">
        <v>15.458717162709</v>
      </c>
      <c r="ANM113">
        <v>-10.4853231754651</v>
      </c>
      <c r="ANN113">
        <v>0.708335268598172</v>
      </c>
      <c r="ANO113" t="s">
        <v>1900</v>
      </c>
      <c r="ANP113">
        <v>16.3974896803917</v>
      </c>
      <c r="ANQ113">
        <v>18.285406423819</v>
      </c>
      <c r="ANR113">
        <v>-9.490240761492849</v>
      </c>
      <c r="ANS113">
        <v>1.14574444517287</v>
      </c>
      <c r="ANT113" t="s">
        <v>1900</v>
      </c>
      <c r="ANU113">
        <v>28.2646561657021</v>
      </c>
      <c r="ANV113">
        <v>26.5538442146443</v>
      </c>
      <c r="ANW113">
        <v>-12.4730812292459</v>
      </c>
      <c r="ANX113">
        <v>55.0443081386929</v>
      </c>
      <c r="ANY113" t="s">
        <v>1900</v>
      </c>
      <c r="ANZ113">
        <v>62.3376325687639</v>
      </c>
      <c r="AOA113">
        <v>76.2211873466108</v>
      </c>
      <c r="AOB113">
        <v>56.8095183643662</v>
      </c>
      <c r="AOC113">
        <v>55.4342063865951</v>
      </c>
      <c r="AOD113" t="s">
        <v>1900</v>
      </c>
      <c r="AOE113">
        <v>72.55943943622751</v>
      </c>
      <c r="AOF113">
        <v>90.1585412339991</v>
      </c>
      <c r="AOG113">
        <v>51.4181582961434</v>
      </c>
      <c r="AOH113">
        <v>71.42119621880001</v>
      </c>
      <c r="AOI113" t="s">
        <v>1900</v>
      </c>
      <c r="AOJ113">
        <v>95.2151976847897</v>
      </c>
      <c r="AOK113" t="s">
        <v>1901</v>
      </c>
      <c r="AOL113">
        <v>57.0582218065879</v>
      </c>
      <c r="AOM113">
        <v>1.56454753761092</v>
      </c>
      <c r="AON113" t="s">
        <v>1900</v>
      </c>
      <c r="AOO113">
        <v>37.404696579941</v>
      </c>
      <c r="AOP113">
        <v>65.0104670407321</v>
      </c>
      <c r="AOQ113">
        <v>-24.2769304216657</v>
      </c>
      <c r="AOR113">
        <v>1.2943334735977</v>
      </c>
      <c r="AOS113" t="s">
        <v>1900</v>
      </c>
      <c r="AOT113">
        <v>29.196795609269</v>
      </c>
      <c r="AOU113">
        <v>25.4412256709152</v>
      </c>
      <c r="AOV113">
        <v>-15.5811693153748</v>
      </c>
      <c r="AOW113">
        <v>0.912616153543057</v>
      </c>
      <c r="AOX113" t="s">
        <v>1900</v>
      </c>
      <c r="AOY113">
        <v>21.5173964074656</v>
      </c>
      <c r="AOZ113">
        <v>23.4550082618477</v>
      </c>
      <c r="APA113">
        <v>-10.5312263276415</v>
      </c>
      <c r="APB113">
        <v>0.330735713602204</v>
      </c>
      <c r="APC113" t="s">
        <v>1900</v>
      </c>
      <c r="APD113">
        <v>13.802605183446</v>
      </c>
      <c r="APE113">
        <v>14.6376537467179</v>
      </c>
      <c r="APF113">
        <v>-11.1777369523539</v>
      </c>
      <c r="APG113">
        <v>0.33279909342032</v>
      </c>
      <c r="APH113" t="s">
        <v>1900</v>
      </c>
      <c r="API113">
        <v>13.802605183446</v>
      </c>
      <c r="APJ113">
        <v>14.6376537467179</v>
      </c>
      <c r="APK113">
        <v>-11.1777369523539</v>
      </c>
      <c r="APL113">
        <v>0.735692634032988</v>
      </c>
      <c r="APM113" t="s">
        <v>1900</v>
      </c>
      <c r="APN113">
        <v>36.6482675542018</v>
      </c>
      <c r="APO113">
        <v>61.5575468804227</v>
      </c>
      <c r="APP113">
        <v>-25.8800933192926</v>
      </c>
      <c r="APQ113">
        <v>0.608630661336267</v>
      </c>
      <c r="APR113" t="s">
        <v>1900</v>
      </c>
      <c r="APS113">
        <v>28.6063536146327</v>
      </c>
      <c r="APT113">
        <v>24.0899583285802</v>
      </c>
      <c r="APU113">
        <v>-16.6100948061263</v>
      </c>
      <c r="APV113">
        <v>0.333078431307498</v>
      </c>
      <c r="APW113" t="s">
        <v>1900</v>
      </c>
      <c r="APX113">
        <v>16.0658859440267</v>
      </c>
      <c r="APY113">
        <v>17.3142082252167</v>
      </c>
      <c r="APZ113">
        <v>-10.1169428038892</v>
      </c>
      <c r="AQA113">
        <v>0.429136837149985</v>
      </c>
      <c r="AQB113" t="s">
        <v>1900</v>
      </c>
      <c r="AQC113">
        <v>21.0822536396006</v>
      </c>
      <c r="AQD113">
        <v>22.2092354721088</v>
      </c>
      <c r="AQE113">
        <v>-11.2266713868702</v>
      </c>
      <c r="AQF113">
        <v>0.012943334735977</v>
      </c>
      <c r="AQG113" t="s">
        <v>1900</v>
      </c>
      <c r="AQH113">
        <v>0.29196795609269</v>
      </c>
      <c r="AQI113">
        <v>0.254412256709152</v>
      </c>
      <c r="AQJ113">
        <v>-0.155811692776762</v>
      </c>
      <c r="AQK113">
        <v>2</v>
      </c>
      <c r="AQO113" t="s">
        <v>1903</v>
      </c>
      <c r="AQP113">
        <v>16</v>
      </c>
      <c r="AQQ113">
        <v>0</v>
      </c>
      <c r="AQS113" t="s">
        <v>1905</v>
      </c>
      <c r="AQU113" t="s">
        <v>1906</v>
      </c>
      <c r="AQV113">
        <v>1513758.50676584</v>
      </c>
      <c r="AQW113" t="s">
        <v>1900</v>
      </c>
      <c r="AQX113">
        <v>1901746.03428507</v>
      </c>
      <c r="AQY113">
        <v>10647.0684439671</v>
      </c>
      <c r="AQZ113" t="s">
        <v>1900</v>
      </c>
      <c r="ARA113">
        <v>267908.363466781</v>
      </c>
      <c r="ARB113">
        <v>3415504.54105091</v>
      </c>
      <c r="ARC113">
        <v>278555.4319107481</v>
      </c>
      <c r="ARD113">
        <v>0.08879819921181321</v>
      </c>
      <c r="ARE113">
        <v>0.08879819921181321</v>
      </c>
      <c r="ARF113">
        <v>0.08879819921181321</v>
      </c>
      <c r="ARG113">
        <v>0.08879819921181321</v>
      </c>
      <c r="ARH113">
        <v>0.08879819921181321</v>
      </c>
      <c r="ARI113">
        <v>0.08879819921181321</v>
      </c>
      <c r="ARJ113" t="s">
        <v>1274</v>
      </c>
      <c r="ARK113" t="s">
        <v>1612</v>
      </c>
      <c r="ARL113" t="s">
        <v>1908</v>
      </c>
      <c r="ARM113" t="s">
        <v>1908</v>
      </c>
      <c r="ARN113" t="s">
        <v>1909</v>
      </c>
      <c r="ARO113" t="s">
        <v>1908</v>
      </c>
      <c r="ARP113" t="s">
        <v>1907</v>
      </c>
      <c r="ARQ113" t="s">
        <v>2006</v>
      </c>
      <c r="ARR113">
        <f>HYPERLINK("C:\Users\Usuario\Documents\Proyectos\llmthon\evidence\spinmedia_es_000246.png", "Ver Evidencia")</f>
        <v>0</v>
      </c>
      <c r="ARS113">
        <v>95</v>
      </c>
    </row>
    <row r="114" spans="1:1163">
      <c r="A114">
        <v>161</v>
      </c>
      <c r="B114" t="s">
        <v>1275</v>
      </c>
      <c r="C114" t="s">
        <v>1398</v>
      </c>
      <c r="E114" s="2">
        <v>43480</v>
      </c>
      <c r="F114" t="s">
        <v>1431</v>
      </c>
      <c r="G114" t="s">
        <v>1433</v>
      </c>
      <c r="H114" t="s">
        <v>1434</v>
      </c>
      <c r="I114" t="s">
        <v>1437</v>
      </c>
      <c r="J114" t="s">
        <v>1453</v>
      </c>
      <c r="L114" t="s">
        <v>1613</v>
      </c>
      <c r="N114" t="s">
        <v>1626</v>
      </c>
      <c r="O114" t="s">
        <v>1650</v>
      </c>
      <c r="P114">
        <v>6920</v>
      </c>
      <c r="Q114">
        <v>6920</v>
      </c>
      <c r="R114" t="s">
        <v>1781</v>
      </c>
      <c r="S114" t="s">
        <v>1840</v>
      </c>
      <c r="Z114" t="s">
        <v>1899</v>
      </c>
      <c r="AA114" s="2">
        <v>45657</v>
      </c>
      <c r="AB114">
        <v>2024</v>
      </c>
      <c r="AC114">
        <v>5573287.08451957</v>
      </c>
      <c r="AD114">
        <v>3073078.53565989</v>
      </c>
      <c r="AE114">
        <v>1625675.34757847</v>
      </c>
      <c r="AF114">
        <v>610710.5670403</v>
      </c>
      <c r="AG114">
        <v>105093.385625631</v>
      </c>
      <c r="AH114">
        <v>5573287.08451957</v>
      </c>
      <c r="AI114">
        <v>3073078.53565989</v>
      </c>
      <c r="AJ114">
        <v>1625675.34757847</v>
      </c>
      <c r="AK114">
        <v>537431.882121491</v>
      </c>
      <c r="AL114">
        <v>105093.385625631</v>
      </c>
      <c r="AM114">
        <v>431306.073865064</v>
      </c>
      <c r="AN114">
        <v>855638.680500126</v>
      </c>
      <c r="AO114">
        <v>29198.1609910727</v>
      </c>
      <c r="AP114">
        <v>5663.001537323</v>
      </c>
      <c r="AQ114">
        <v>776.1403068900109</v>
      </c>
      <c r="AR114">
        <v>5141981.01065451</v>
      </c>
      <c r="AS114">
        <v>2217439.85405476</v>
      </c>
      <c r="AT114">
        <v>1596477.1865874</v>
      </c>
      <c r="AU114">
        <v>605047.565502977</v>
      </c>
      <c r="AV114">
        <v>104317.245318741</v>
      </c>
      <c r="AW114">
        <v>8125642.90592116</v>
      </c>
      <c r="AX114">
        <v>5028578.07740905</v>
      </c>
      <c r="AY114">
        <v>8387021.41815374</v>
      </c>
      <c r="AZ114">
        <v>2027992.29381016</v>
      </c>
      <c r="BA114">
        <v>1137010.8104127</v>
      </c>
      <c r="BB114">
        <v>-2983661.89526665</v>
      </c>
      <c r="BC114">
        <v>-2811138.22335429</v>
      </c>
      <c r="BD114">
        <v>-6790544.23156635</v>
      </c>
      <c r="BE114">
        <v>-1422944.72943978</v>
      </c>
      <c r="BF114">
        <v>-1032693.56509396</v>
      </c>
      <c r="BG114">
        <v>-171677.764741091</v>
      </c>
      <c r="BH114">
        <v>-11300.7185216236</v>
      </c>
      <c r="BI114">
        <v>-90265.7280615866</v>
      </c>
      <c r="BJ114">
        <v>4230.74916651249</v>
      </c>
      <c r="BK114">
        <v>1600.73876511455</v>
      </c>
      <c r="BL114">
        <v>12287.5115970409</v>
      </c>
      <c r="BM114">
        <v>8545.687085199361</v>
      </c>
      <c r="BN114" t="s">
        <v>1900</v>
      </c>
      <c r="BO114">
        <v>4230.74916651249</v>
      </c>
      <c r="BP114">
        <v>1600.73876511455</v>
      </c>
      <c r="BQ114">
        <v>183965.276338131</v>
      </c>
      <c r="BR114">
        <v>19846.405606823</v>
      </c>
      <c r="BS114">
        <v>90265.7280615866</v>
      </c>
      <c r="BT114" t="s">
        <v>1900</v>
      </c>
      <c r="BU114" t="s">
        <v>1900</v>
      </c>
      <c r="BV114">
        <v>-3155339.66000774</v>
      </c>
      <c r="BW114">
        <v>-2822438.94187592</v>
      </c>
      <c r="BX114">
        <v>-6880809.95962793</v>
      </c>
      <c r="BY114">
        <v>-1418713.98027327</v>
      </c>
      <c r="BZ114">
        <v>-1031092.82632884</v>
      </c>
      <c r="CA114" t="s">
        <v>1900</v>
      </c>
      <c r="CB114">
        <v>-15353.6393405247</v>
      </c>
      <c r="CC114">
        <v>-1672661.54021306</v>
      </c>
      <c r="CD114">
        <v>-762865.847875571</v>
      </c>
      <c r="CE114" t="s">
        <v>1900</v>
      </c>
      <c r="CF114">
        <v>-3155339.66000774</v>
      </c>
      <c r="CG114">
        <v>-2807085.30253539</v>
      </c>
      <c r="CH114">
        <v>-5208148.41941487</v>
      </c>
      <c r="CI114">
        <v>-655848.131265099</v>
      </c>
      <c r="CJ114">
        <v>-1031092.82632884</v>
      </c>
      <c r="CK114" t="s">
        <v>1900</v>
      </c>
      <c r="CL114" t="s">
        <v>1900</v>
      </c>
      <c r="CM114" t="s">
        <v>1900</v>
      </c>
      <c r="CN114" t="s">
        <v>1900</v>
      </c>
      <c r="CO114" t="s">
        <v>1900</v>
      </c>
      <c r="CP114" t="s">
        <v>1900</v>
      </c>
      <c r="CQ114" t="s">
        <v>1900</v>
      </c>
      <c r="CR114" t="s">
        <v>1900</v>
      </c>
      <c r="CS114" t="s">
        <v>1900</v>
      </c>
      <c r="CT114" t="s">
        <v>1900</v>
      </c>
      <c r="CU114" t="s">
        <v>1900</v>
      </c>
      <c r="CV114" t="s">
        <v>1900</v>
      </c>
      <c r="CW114" t="s">
        <v>1900</v>
      </c>
      <c r="CX114" t="s">
        <v>1900</v>
      </c>
      <c r="CY114" t="s">
        <v>1900</v>
      </c>
      <c r="CZ114">
        <v>-3155339.66000774</v>
      </c>
      <c r="DA114">
        <v>-2807085.30253539</v>
      </c>
      <c r="DB114">
        <v>-5208148.41941487</v>
      </c>
      <c r="DC114">
        <v>-655848.131265099</v>
      </c>
      <c r="DD114">
        <v>-1031092.82632884</v>
      </c>
      <c r="DE114" t="s">
        <v>1900</v>
      </c>
      <c r="DF114" t="s">
        <v>1900</v>
      </c>
      <c r="DG114" t="s">
        <v>1900</v>
      </c>
      <c r="DH114" t="s">
        <v>1900</v>
      </c>
      <c r="DI114" t="s">
        <v>1900</v>
      </c>
      <c r="DJ114">
        <v>431306.073865064</v>
      </c>
      <c r="DK114">
        <v>855638.680500126</v>
      </c>
      <c r="DL114">
        <v>29198.1609910727</v>
      </c>
      <c r="DM114">
        <v>5663.001537323</v>
      </c>
      <c r="DN114">
        <v>776.1403068900109</v>
      </c>
      <c r="DO114">
        <v>5079869.58087109</v>
      </c>
      <c r="DP114">
        <v>3910296.65899309</v>
      </c>
      <c r="DQ114">
        <v>2782618.64964696</v>
      </c>
      <c r="DR114">
        <v>982584.938998246</v>
      </c>
      <c r="DS114">
        <v>394955.223549217</v>
      </c>
      <c r="DT114">
        <v>841573.590518252</v>
      </c>
      <c r="DU114">
        <v>350539.417817783</v>
      </c>
      <c r="DV114">
        <v>123848.19957912</v>
      </c>
      <c r="DW114">
        <v>2705.66887450218</v>
      </c>
      <c r="DX114">
        <v>2005.82878584266</v>
      </c>
      <c r="DY114">
        <v>2204199.73453181</v>
      </c>
      <c r="DZ114">
        <v>767742.001703177</v>
      </c>
      <c r="EA114">
        <v>5480554.56892767</v>
      </c>
      <c r="EB114">
        <v>1042701.68593741</v>
      </c>
      <c r="EC114">
        <v>740049.758077639</v>
      </c>
      <c r="ED114">
        <v>183965.276338131</v>
      </c>
      <c r="EE114">
        <v>19846.405606823</v>
      </c>
      <c r="EF114">
        <v>89380.2584984243</v>
      </c>
      <c r="EG114" t="s">
        <v>1900</v>
      </c>
      <c r="EH114" t="s">
        <v>1900</v>
      </c>
      <c r="EI114" t="s">
        <v>1900</v>
      </c>
      <c r="EJ114" t="s">
        <v>1900</v>
      </c>
      <c r="EK114" t="s">
        <v>1900</v>
      </c>
      <c r="EL114" t="s">
        <v>1900</v>
      </c>
      <c r="EM114" t="s">
        <v>1900</v>
      </c>
      <c r="EN114">
        <v>-2313766.06948949</v>
      </c>
      <c r="EO114">
        <v>-2456545.88471761</v>
      </c>
      <c r="EP114">
        <v>-5084300.21983575</v>
      </c>
      <c r="EQ114">
        <v>-653142.462390597</v>
      </c>
      <c r="ER114">
        <v>-1029086.997543</v>
      </c>
      <c r="ES114">
        <v>2950068.78771974</v>
      </c>
      <c r="ET114">
        <v>1458243.53943678</v>
      </c>
      <c r="EU114">
        <v>-3884962.85190343</v>
      </c>
      <c r="EV114">
        <v>-433423.371267922</v>
      </c>
      <c r="EW114">
        <v>-634131.773993784</v>
      </c>
      <c r="EX114">
        <v>-2142088.3037095</v>
      </c>
      <c r="EY114">
        <v>-2460598.80553651</v>
      </c>
      <c r="EZ114">
        <v>-6666696.03198723</v>
      </c>
      <c r="FA114">
        <v>-1420239.06056528</v>
      </c>
      <c r="FB114">
        <v>-1030687.73630812</v>
      </c>
      <c r="FC114">
        <v>6761380.14190483</v>
      </c>
      <c r="FD114">
        <v>5857775.10269749</v>
      </c>
      <c r="FE114">
        <v>3942746.19915968</v>
      </c>
      <c r="FF114">
        <v>1195545.92867231</v>
      </c>
      <c r="FG114">
        <v>10178.8377727509</v>
      </c>
      <c r="FH114">
        <v>2925437.5392825</v>
      </c>
      <c r="FI114">
        <v>2216180.68499466</v>
      </c>
      <c r="FJ114">
        <v>1021737.56716257</v>
      </c>
      <c r="FK114">
        <v>405581.134734249</v>
      </c>
      <c r="FL114">
        <v>-357.184064078331</v>
      </c>
      <c r="FM114">
        <v>49834.3071817827</v>
      </c>
      <c r="FN114">
        <v>51516.5706700039</v>
      </c>
      <c r="FO114">
        <v>63289.0698186636</v>
      </c>
      <c r="FP114">
        <v>26691.2099518061</v>
      </c>
      <c r="FQ114">
        <v>10094.2660890341</v>
      </c>
      <c r="FR114">
        <v>3786108.29544055</v>
      </c>
      <c r="FS114">
        <v>3590077.84703282</v>
      </c>
      <c r="FT114">
        <v>2857719.56217844</v>
      </c>
      <c r="FU114">
        <v>763273.583986258</v>
      </c>
      <c r="FV114">
        <v>441.755747795105</v>
      </c>
      <c r="FW114">
        <v>2925437.5392825</v>
      </c>
      <c r="FX114">
        <v>2216180.68499466</v>
      </c>
      <c r="FY114">
        <v>1021737.56716257</v>
      </c>
      <c r="FZ114">
        <v>405581.134734249</v>
      </c>
      <c r="GA114">
        <v>-357.184064078331</v>
      </c>
      <c r="GB114">
        <v>49834.3071817827</v>
      </c>
      <c r="GC114">
        <v>51516.5706700039</v>
      </c>
      <c r="GD114">
        <v>63289.0698186636</v>
      </c>
      <c r="GE114">
        <v>26691.2099518061</v>
      </c>
      <c r="GF114">
        <v>10094.2660890341</v>
      </c>
      <c r="GG114">
        <v>3786108.29544055</v>
      </c>
      <c r="GH114">
        <v>3590077.84703282</v>
      </c>
      <c r="GI114">
        <v>2857719.56217844</v>
      </c>
      <c r="GJ114">
        <v>763273.583986258</v>
      </c>
      <c r="GK114">
        <v>441.755747795105</v>
      </c>
      <c r="GL114">
        <v>966541.912450655</v>
      </c>
      <c r="GM114">
        <v>1925695.80097861</v>
      </c>
      <c r="GN114">
        <v>3917149.60332862</v>
      </c>
      <c r="GO114">
        <v>474908.981326532</v>
      </c>
      <c r="GP114">
        <v>1253787.11396438</v>
      </c>
      <c r="GQ114">
        <v>207.779908180237</v>
      </c>
      <c r="GR114">
        <v>0</v>
      </c>
      <c r="GS114">
        <v>0</v>
      </c>
      <c r="GT114">
        <v>34466.0580224276</v>
      </c>
      <c r="GU114">
        <v>0</v>
      </c>
      <c r="GV114">
        <v>252927.178527262</v>
      </c>
      <c r="GW114">
        <v>125145.030013552</v>
      </c>
      <c r="GX114">
        <v>1070162.80516073</v>
      </c>
      <c r="GY114">
        <v>128086.142529273</v>
      </c>
      <c r="GZ114">
        <v>80313.3301019311</v>
      </c>
      <c r="HA114">
        <v>713406.954015212</v>
      </c>
      <c r="HB114">
        <v>1800550.77096506</v>
      </c>
      <c r="HC114">
        <v>2846986.79816789</v>
      </c>
      <c r="HD114">
        <v>312356.780774832</v>
      </c>
      <c r="HE114">
        <v>1173473.78386245</v>
      </c>
      <c r="HF114">
        <v>358034.961826211</v>
      </c>
      <c r="HG114">
        <v>865480.279016914</v>
      </c>
      <c r="HH114">
        <v>1556935.11176121</v>
      </c>
      <c r="HI114">
        <v>257702.881114054</v>
      </c>
      <c r="HJ114">
        <v>1131670.57242952</v>
      </c>
      <c r="HK114">
        <v>7727922.05435549</v>
      </c>
      <c r="HL114">
        <v>7783470.9036761</v>
      </c>
      <c r="HM114">
        <v>7859895.80248829</v>
      </c>
      <c r="HN114">
        <v>1670454.90999885</v>
      </c>
      <c r="HO114">
        <v>1263965.95173713</v>
      </c>
      <c r="HP114">
        <v>6882862.44681674</v>
      </c>
      <c r="HQ114">
        <v>6390861.76269023</v>
      </c>
      <c r="HR114">
        <v>7545050.39529134</v>
      </c>
      <c r="HS114">
        <v>1400813.05119774</v>
      </c>
      <c r="HT114">
        <v>1007494.74966334</v>
      </c>
      <c r="HU114">
        <v>234531.571358442</v>
      </c>
      <c r="HV114">
        <v>173661.877937317</v>
      </c>
      <c r="HW114">
        <v>167626.775574684</v>
      </c>
      <c r="HX114">
        <v>75204.6604156494</v>
      </c>
      <c r="HY114">
        <v>81479.3934822083</v>
      </c>
      <c r="HZ114">
        <v>6648330.8754583</v>
      </c>
      <c r="IA114">
        <v>6217199.88475291</v>
      </c>
      <c r="IB114">
        <v>7377423.61971666</v>
      </c>
      <c r="IC114">
        <v>1325608.38964949</v>
      </c>
      <c r="ID114">
        <v>926015.356181127</v>
      </c>
      <c r="IE114">
        <v>233752.396702766</v>
      </c>
      <c r="IF114">
        <v>331500.148773193</v>
      </c>
      <c r="IG114">
        <v>0</v>
      </c>
      <c r="IH114">
        <v>0</v>
      </c>
      <c r="II114">
        <v>0</v>
      </c>
      <c r="IJ114">
        <v>233752.396702766</v>
      </c>
      <c r="IK114">
        <v>331500.148773193</v>
      </c>
      <c r="IL114" t="s">
        <v>1900</v>
      </c>
      <c r="IM114" t="s">
        <v>1900</v>
      </c>
      <c r="IN114" t="s">
        <v>1900</v>
      </c>
      <c r="IO114">
        <v>0</v>
      </c>
      <c r="IP114">
        <v>0</v>
      </c>
      <c r="IQ114" t="s">
        <v>1900</v>
      </c>
      <c r="IR114" t="s">
        <v>1900</v>
      </c>
      <c r="IS114" t="s">
        <v>1900</v>
      </c>
      <c r="IT114">
        <v>0</v>
      </c>
      <c r="IU114">
        <v>0</v>
      </c>
      <c r="IV114" t="s">
        <v>1900</v>
      </c>
      <c r="IW114" t="s">
        <v>1900</v>
      </c>
      <c r="IX114" t="s">
        <v>1900</v>
      </c>
      <c r="IY114">
        <v>611307.210835984</v>
      </c>
      <c r="IZ114">
        <v>1061108.99221268</v>
      </c>
      <c r="JA114">
        <v>314845.407196951</v>
      </c>
      <c r="JB114">
        <v>269641.858801103</v>
      </c>
      <c r="JC114">
        <v>256471.202073795</v>
      </c>
      <c r="JD114">
        <v>0</v>
      </c>
      <c r="JE114">
        <v>44.2000198364258</v>
      </c>
      <c r="JF114">
        <v>834.720759510994</v>
      </c>
      <c r="JG114">
        <v>0</v>
      </c>
      <c r="JH114">
        <v>0</v>
      </c>
      <c r="JI114">
        <v>0</v>
      </c>
      <c r="JJ114">
        <v>7368.91680707931</v>
      </c>
      <c r="JK114">
        <v>10801.218365705</v>
      </c>
      <c r="JL114">
        <v>0</v>
      </c>
      <c r="JM114">
        <v>21816.598444581</v>
      </c>
      <c r="JN114">
        <v>611307.210835984</v>
      </c>
      <c r="JO114">
        <v>1053695.87538576</v>
      </c>
      <c r="JP114">
        <v>303209.468071735</v>
      </c>
      <c r="JQ114">
        <v>269641.858801103</v>
      </c>
      <c r="JR114">
        <v>234654.603629214</v>
      </c>
      <c r="JS114">
        <v>7727922.05435549</v>
      </c>
      <c r="JT114">
        <v>7783470.9036761</v>
      </c>
      <c r="JU114">
        <v>7859895.80248829</v>
      </c>
      <c r="JV114">
        <v>1670454.90999885</v>
      </c>
      <c r="JW114">
        <v>1263965.95173713</v>
      </c>
      <c r="JX114">
        <v>253134.958435442</v>
      </c>
      <c r="JY114">
        <v>117776.113206472</v>
      </c>
      <c r="JZ114">
        <v>1059361.58572842</v>
      </c>
      <c r="KA114">
        <v>162552.200551701</v>
      </c>
      <c r="KB114">
        <v>58496.7316573501</v>
      </c>
      <c r="KC114" t="s">
        <v>1900</v>
      </c>
      <c r="KD114" t="s">
        <v>1900</v>
      </c>
      <c r="KE114" t="s">
        <v>1900</v>
      </c>
      <c r="KF114" t="s">
        <v>1900</v>
      </c>
      <c r="KG114" t="s">
        <v>1900</v>
      </c>
      <c r="KH114" t="s">
        <v>1900</v>
      </c>
      <c r="KI114" t="s">
        <v>1900</v>
      </c>
      <c r="KJ114" t="s">
        <v>1900</v>
      </c>
      <c r="KK114" t="s">
        <v>1900</v>
      </c>
      <c r="KL114" t="s">
        <v>1900</v>
      </c>
      <c r="KM114">
        <v>123</v>
      </c>
      <c r="KN114">
        <v>140</v>
      </c>
      <c r="KO114">
        <v>57</v>
      </c>
      <c r="KP114">
        <v>21</v>
      </c>
      <c r="KQ114">
        <v>6</v>
      </c>
      <c r="KR114" t="s">
        <v>1900</v>
      </c>
      <c r="KS114" t="s">
        <v>1900</v>
      </c>
      <c r="KT114" t="s">
        <v>1900</v>
      </c>
      <c r="KU114" t="s">
        <v>1900</v>
      </c>
      <c r="KV114" t="s">
        <v>1900</v>
      </c>
      <c r="KW114" t="s">
        <v>1900</v>
      </c>
      <c r="KX114" t="s">
        <v>1900</v>
      </c>
      <c r="KY114" t="s">
        <v>1900</v>
      </c>
      <c r="KZ114" t="s">
        <v>1900</v>
      </c>
      <c r="LA114" t="s">
        <v>1900</v>
      </c>
      <c r="LB114" t="s">
        <v>1900</v>
      </c>
      <c r="LC114" t="s">
        <v>1900</v>
      </c>
      <c r="LD114" t="s">
        <v>1900</v>
      </c>
      <c r="LE114" t="s">
        <v>1900</v>
      </c>
      <c r="LF114" t="s">
        <v>1900</v>
      </c>
      <c r="LG114" t="s">
        <v>1900</v>
      </c>
      <c r="LH114" t="s">
        <v>1900</v>
      </c>
      <c r="LI114" t="s">
        <v>1900</v>
      </c>
      <c r="LJ114" t="s">
        <v>1900</v>
      </c>
      <c r="LK114" t="s">
        <v>1900</v>
      </c>
      <c r="LL114" t="s">
        <v>1900</v>
      </c>
      <c r="LM114" t="s">
        <v>1900</v>
      </c>
      <c r="LN114" t="s">
        <v>1900</v>
      </c>
      <c r="LO114" t="s">
        <v>1900</v>
      </c>
      <c r="LP114" t="s">
        <v>1900</v>
      </c>
      <c r="LQ114" t="s">
        <v>1900</v>
      </c>
      <c r="LR114" t="s">
        <v>1900</v>
      </c>
      <c r="LS114" t="s">
        <v>1900</v>
      </c>
      <c r="LT114" t="s">
        <v>1900</v>
      </c>
      <c r="LU114" t="s">
        <v>1900</v>
      </c>
      <c r="LV114" t="s">
        <v>1900</v>
      </c>
      <c r="LW114" t="s">
        <v>1900</v>
      </c>
      <c r="LX114" t="s">
        <v>1900</v>
      </c>
      <c r="LY114" t="s">
        <v>1900</v>
      </c>
      <c r="LZ114" t="s">
        <v>1900</v>
      </c>
      <c r="MA114" t="s">
        <v>1900</v>
      </c>
      <c r="MB114" t="s">
        <v>1900</v>
      </c>
      <c r="MC114" t="s">
        <v>1900</v>
      </c>
      <c r="MD114" t="s">
        <v>1900</v>
      </c>
      <c r="ME114" t="s">
        <v>1900</v>
      </c>
      <c r="MF114" t="s">
        <v>1900</v>
      </c>
      <c r="MG114" t="s">
        <v>1900</v>
      </c>
      <c r="MH114" t="s">
        <v>1900</v>
      </c>
      <c r="MI114" t="s">
        <v>1900</v>
      </c>
      <c r="MJ114" t="s">
        <v>1900</v>
      </c>
      <c r="MK114" t="s">
        <v>1900</v>
      </c>
      <c r="ML114" t="s">
        <v>1900</v>
      </c>
      <c r="MM114" t="s">
        <v>1900</v>
      </c>
      <c r="MN114" t="s">
        <v>1900</v>
      </c>
      <c r="MO114" t="s">
        <v>1900</v>
      </c>
      <c r="MP114">
        <v>713406.954015212</v>
      </c>
      <c r="MQ114">
        <v>1800550.77096506</v>
      </c>
      <c r="MR114">
        <v>2846986.79816789</v>
      </c>
      <c r="MS114">
        <v>312356.780774832</v>
      </c>
      <c r="MT114">
        <v>1173473.78386245</v>
      </c>
      <c r="MU114" t="s">
        <v>1900</v>
      </c>
      <c r="MV114" t="s">
        <v>1900</v>
      </c>
      <c r="MW114" t="s">
        <v>1900</v>
      </c>
      <c r="MX114" t="s">
        <v>1900</v>
      </c>
      <c r="MY114" t="s">
        <v>1900</v>
      </c>
      <c r="MZ114" t="s">
        <v>1900</v>
      </c>
      <c r="NA114" t="s">
        <v>1900</v>
      </c>
      <c r="NB114" t="s">
        <v>1900</v>
      </c>
      <c r="NC114" t="s">
        <v>1900</v>
      </c>
      <c r="ND114" t="s">
        <v>1900</v>
      </c>
      <c r="NE114" t="s">
        <v>1900</v>
      </c>
      <c r="NF114" t="s">
        <v>1900</v>
      </c>
      <c r="NG114" t="s">
        <v>1900</v>
      </c>
      <c r="NH114" t="s">
        <v>1900</v>
      </c>
      <c r="NI114" t="s">
        <v>1900</v>
      </c>
      <c r="NJ114" t="s">
        <v>1900</v>
      </c>
      <c r="NK114" t="s">
        <v>1900</v>
      </c>
      <c r="NL114" t="s">
        <v>1900</v>
      </c>
      <c r="NM114" t="s">
        <v>1900</v>
      </c>
      <c r="NN114" t="s">
        <v>1900</v>
      </c>
      <c r="NO114" t="s">
        <v>1900</v>
      </c>
      <c r="NP114" t="s">
        <v>1900</v>
      </c>
      <c r="NQ114" t="s">
        <v>1900</v>
      </c>
      <c r="NR114" t="s">
        <v>1900</v>
      </c>
      <c r="NS114" t="s">
        <v>1900</v>
      </c>
      <c r="NT114">
        <v>6761380.14190483</v>
      </c>
      <c r="NU114">
        <v>5857775.10269749</v>
      </c>
      <c r="NV114">
        <v>3942746.19915968</v>
      </c>
      <c r="NW114">
        <v>1195545.92867231</v>
      </c>
      <c r="NX114">
        <v>10178.8377727509</v>
      </c>
      <c r="NY114" t="s">
        <v>1900</v>
      </c>
      <c r="NZ114" t="s">
        <v>1900</v>
      </c>
      <c r="OA114" t="s">
        <v>1900</v>
      </c>
      <c r="OB114" t="s">
        <v>1900</v>
      </c>
      <c r="OC114" t="s">
        <v>1900</v>
      </c>
      <c r="OD114" t="s">
        <v>1900</v>
      </c>
      <c r="OE114" t="s">
        <v>1900</v>
      </c>
      <c r="OF114" t="s">
        <v>1900</v>
      </c>
      <c r="OG114" t="s">
        <v>1900</v>
      </c>
      <c r="OH114" t="s">
        <v>1900</v>
      </c>
      <c r="OI114" t="s">
        <v>1900</v>
      </c>
      <c r="OJ114" t="s">
        <v>1900</v>
      </c>
      <c r="OK114" t="s">
        <v>1900</v>
      </c>
      <c r="OL114" t="s">
        <v>1900</v>
      </c>
      <c r="OM114" t="s">
        <v>1900</v>
      </c>
      <c r="ON114" t="s">
        <v>1900</v>
      </c>
      <c r="OO114" t="s">
        <v>1900</v>
      </c>
      <c r="OP114" t="s">
        <v>1900</v>
      </c>
      <c r="OQ114" t="s">
        <v>1900</v>
      </c>
      <c r="OR114" t="s">
        <v>1900</v>
      </c>
      <c r="OS114" t="s">
        <v>1900</v>
      </c>
      <c r="OT114" t="s">
        <v>1900</v>
      </c>
      <c r="OU114" t="s">
        <v>1900</v>
      </c>
      <c r="OV114" t="s">
        <v>1900</v>
      </c>
      <c r="OW114" t="s">
        <v>1900</v>
      </c>
      <c r="OX114" t="s">
        <v>1900</v>
      </c>
      <c r="OY114" t="s">
        <v>1900</v>
      </c>
      <c r="OZ114" t="s">
        <v>1900</v>
      </c>
      <c r="PA114" t="s">
        <v>1900</v>
      </c>
      <c r="PB114" t="s">
        <v>1900</v>
      </c>
      <c r="PC114" t="s">
        <v>1900</v>
      </c>
      <c r="PD114" t="s">
        <v>1900</v>
      </c>
      <c r="PE114" t="s">
        <v>1900</v>
      </c>
      <c r="PF114" t="s">
        <v>1900</v>
      </c>
      <c r="PG114" t="s">
        <v>1900</v>
      </c>
      <c r="PH114" t="s">
        <v>1900</v>
      </c>
      <c r="PI114" t="s">
        <v>1900</v>
      </c>
      <c r="PJ114" t="s">
        <v>1900</v>
      </c>
      <c r="PK114" t="s">
        <v>1900</v>
      </c>
      <c r="PL114" t="s">
        <v>1900</v>
      </c>
      <c r="PM114" t="s">
        <v>1900</v>
      </c>
      <c r="PN114" t="s">
        <v>1900</v>
      </c>
      <c r="PO114" t="s">
        <v>1900</v>
      </c>
      <c r="PP114" t="s">
        <v>1900</v>
      </c>
      <c r="PQ114" t="s">
        <v>1900</v>
      </c>
      <c r="PR114" t="s">
        <v>1900</v>
      </c>
      <c r="PS114" t="s">
        <v>1900</v>
      </c>
      <c r="PT114" t="s">
        <v>1900</v>
      </c>
      <c r="PU114" t="s">
        <v>1900</v>
      </c>
      <c r="PV114" t="s">
        <v>1900</v>
      </c>
      <c r="PW114" t="s">
        <v>1900</v>
      </c>
      <c r="PX114" t="s">
        <v>1900</v>
      </c>
      <c r="PY114" t="s">
        <v>1900</v>
      </c>
      <c r="PZ114" t="s">
        <v>1900</v>
      </c>
      <c r="QA114" t="s">
        <v>1900</v>
      </c>
      <c r="QB114" t="s">
        <v>1900</v>
      </c>
      <c r="QC114" t="s">
        <v>1900</v>
      </c>
      <c r="QD114" t="s">
        <v>1900</v>
      </c>
      <c r="QE114" t="s">
        <v>1900</v>
      </c>
      <c r="QF114" t="s">
        <v>1900</v>
      </c>
      <c r="QG114" t="s">
        <v>1900</v>
      </c>
      <c r="QH114" t="s">
        <v>1900</v>
      </c>
      <c r="QI114" t="s">
        <v>1900</v>
      </c>
      <c r="QJ114" t="s">
        <v>1900</v>
      </c>
      <c r="QK114" t="s">
        <v>1900</v>
      </c>
      <c r="QL114" t="s">
        <v>1900</v>
      </c>
      <c r="QM114" t="s">
        <v>1900</v>
      </c>
      <c r="QN114" t="s">
        <v>1900</v>
      </c>
      <c r="QO114" t="s">
        <v>1900</v>
      </c>
      <c r="QP114" t="s">
        <v>1900</v>
      </c>
      <c r="QQ114" t="s">
        <v>1900</v>
      </c>
      <c r="QR114" t="s">
        <v>1900</v>
      </c>
      <c r="QS114" t="s">
        <v>1900</v>
      </c>
      <c r="QT114" t="s">
        <v>1900</v>
      </c>
      <c r="QU114" t="s">
        <v>1900</v>
      </c>
      <c r="QV114" t="s">
        <v>1900</v>
      </c>
      <c r="QW114" t="s">
        <v>1900</v>
      </c>
      <c r="QX114" t="s">
        <v>1900</v>
      </c>
      <c r="QY114" t="s">
        <v>1900</v>
      </c>
      <c r="QZ114" t="s">
        <v>1900</v>
      </c>
      <c r="RA114" t="s">
        <v>1900</v>
      </c>
      <c r="RB114" t="s">
        <v>1900</v>
      </c>
      <c r="RC114" t="s">
        <v>1900</v>
      </c>
      <c r="RD114" t="s">
        <v>1900</v>
      </c>
      <c r="RE114" t="s">
        <v>1900</v>
      </c>
      <c r="RF114" t="s">
        <v>1900</v>
      </c>
      <c r="RG114" t="s">
        <v>1900</v>
      </c>
      <c r="RH114" t="s">
        <v>1900</v>
      </c>
      <c r="RI114" t="s">
        <v>1900</v>
      </c>
      <c r="RJ114" t="s">
        <v>1900</v>
      </c>
      <c r="RK114" t="s">
        <v>1900</v>
      </c>
      <c r="RL114" t="s">
        <v>1900</v>
      </c>
      <c r="RM114" t="s">
        <v>1900</v>
      </c>
      <c r="RN114" t="s">
        <v>1900</v>
      </c>
      <c r="RO114" t="s">
        <v>1900</v>
      </c>
      <c r="RP114" t="s">
        <v>1900</v>
      </c>
      <c r="RQ114" t="s">
        <v>1900</v>
      </c>
      <c r="RR114" t="s">
        <v>1900</v>
      </c>
      <c r="RS114" t="s">
        <v>1900</v>
      </c>
      <c r="RT114" t="s">
        <v>1900</v>
      </c>
      <c r="RU114" t="s">
        <v>1900</v>
      </c>
      <c r="RV114" t="s">
        <v>1900</v>
      </c>
      <c r="RW114" t="s">
        <v>1900</v>
      </c>
      <c r="RX114" t="s">
        <v>1900</v>
      </c>
      <c r="RY114" t="s">
        <v>1900</v>
      </c>
      <c r="RZ114" t="s">
        <v>1900</v>
      </c>
      <c r="SA114" t="s">
        <v>1900</v>
      </c>
      <c r="SB114" t="s">
        <v>1900</v>
      </c>
      <c r="SC114" t="s">
        <v>1900</v>
      </c>
      <c r="SD114" t="s">
        <v>1900</v>
      </c>
      <c r="SE114" t="s">
        <v>1900</v>
      </c>
      <c r="SF114" t="s">
        <v>1900</v>
      </c>
      <c r="SG114" t="s">
        <v>1900</v>
      </c>
      <c r="SH114" t="s">
        <v>1900</v>
      </c>
      <c r="SI114" t="s">
        <v>1900</v>
      </c>
      <c r="SJ114">
        <v>3786108.29544055</v>
      </c>
      <c r="SK114">
        <v>3590077.84703282</v>
      </c>
      <c r="SL114">
        <v>2857719.56217844</v>
      </c>
      <c r="SM114">
        <v>763273.583986258</v>
      </c>
      <c r="SN114">
        <v>441.755747795105</v>
      </c>
      <c r="SO114" t="s">
        <v>1900</v>
      </c>
      <c r="SP114" t="s">
        <v>1900</v>
      </c>
      <c r="SQ114" t="s">
        <v>1900</v>
      </c>
      <c r="SR114" t="s">
        <v>1900</v>
      </c>
      <c r="SS114" t="s">
        <v>1900</v>
      </c>
      <c r="ST114" t="s">
        <v>1900</v>
      </c>
      <c r="SU114" t="s">
        <v>1900</v>
      </c>
      <c r="SV114" t="s">
        <v>1900</v>
      </c>
      <c r="SW114" t="s">
        <v>1900</v>
      </c>
      <c r="SX114" t="s">
        <v>1900</v>
      </c>
      <c r="SY114" t="s">
        <v>1900</v>
      </c>
      <c r="SZ114" t="s">
        <v>1900</v>
      </c>
      <c r="TA114" t="s">
        <v>1900</v>
      </c>
      <c r="TB114" t="s">
        <v>1900</v>
      </c>
      <c r="TC114" t="s">
        <v>1900</v>
      </c>
      <c r="TD114" t="s">
        <v>1900</v>
      </c>
      <c r="TE114" t="s">
        <v>1900</v>
      </c>
      <c r="TF114" t="s">
        <v>1900</v>
      </c>
      <c r="TG114" t="s">
        <v>1900</v>
      </c>
      <c r="TH114" t="s">
        <v>1900</v>
      </c>
      <c r="TI114" t="s">
        <v>1900</v>
      </c>
      <c r="TJ114" t="s">
        <v>1900</v>
      </c>
      <c r="TK114" t="s">
        <v>1900</v>
      </c>
      <c r="TL114" t="s">
        <v>1900</v>
      </c>
      <c r="TM114" t="s">
        <v>1900</v>
      </c>
      <c r="TN114" t="s">
        <v>1900</v>
      </c>
      <c r="TO114" t="s">
        <v>1900</v>
      </c>
      <c r="TP114" t="s">
        <v>1900</v>
      </c>
      <c r="TQ114" t="s">
        <v>1900</v>
      </c>
      <c r="TR114" t="s">
        <v>1900</v>
      </c>
      <c r="TS114">
        <v>7727922.05435549</v>
      </c>
      <c r="TT114">
        <v>7783470.9036761</v>
      </c>
      <c r="TU114">
        <v>7859895.80248829</v>
      </c>
      <c r="TV114">
        <v>1670454.90999885</v>
      </c>
      <c r="TW114">
        <v>1263965.95173713</v>
      </c>
      <c r="TX114" t="s">
        <v>1900</v>
      </c>
      <c r="TY114" t="s">
        <v>1900</v>
      </c>
      <c r="TZ114" t="s">
        <v>1900</v>
      </c>
      <c r="UA114" t="s">
        <v>1900</v>
      </c>
      <c r="UB114" t="s">
        <v>1900</v>
      </c>
      <c r="UC114">
        <v>0</v>
      </c>
      <c r="UD114">
        <v>44.2000198364258</v>
      </c>
      <c r="UE114">
        <v>834.720759510994</v>
      </c>
      <c r="UF114">
        <v>0</v>
      </c>
      <c r="UG114">
        <v>0</v>
      </c>
      <c r="UH114" t="s">
        <v>1900</v>
      </c>
      <c r="UI114" t="s">
        <v>1900</v>
      </c>
      <c r="UJ114" t="s">
        <v>1900</v>
      </c>
      <c r="UK114" t="s">
        <v>1900</v>
      </c>
      <c r="UL114" t="s">
        <v>1900</v>
      </c>
      <c r="UM114" t="s">
        <v>1900</v>
      </c>
      <c r="UN114" t="s">
        <v>1900</v>
      </c>
      <c r="UO114" t="s">
        <v>1900</v>
      </c>
      <c r="UP114" t="s">
        <v>1900</v>
      </c>
      <c r="UQ114" t="s">
        <v>1900</v>
      </c>
      <c r="UR114" t="s">
        <v>1900</v>
      </c>
      <c r="US114" t="s">
        <v>1900</v>
      </c>
      <c r="UT114" t="s">
        <v>1900</v>
      </c>
      <c r="UU114" t="s">
        <v>1900</v>
      </c>
      <c r="UV114" t="s">
        <v>1900</v>
      </c>
      <c r="UW114" t="s">
        <v>1900</v>
      </c>
      <c r="UX114" t="s">
        <v>1900</v>
      </c>
      <c r="UY114" t="s">
        <v>1900</v>
      </c>
      <c r="UZ114" t="s">
        <v>1900</v>
      </c>
      <c r="VA114" t="s">
        <v>1900</v>
      </c>
      <c r="VB114" t="s">
        <v>1900</v>
      </c>
      <c r="VC114" t="s">
        <v>1900</v>
      </c>
      <c r="VD114" t="s">
        <v>1900</v>
      </c>
      <c r="VE114" t="s">
        <v>1900</v>
      </c>
      <c r="VF114" t="s">
        <v>1900</v>
      </c>
      <c r="VG114" t="s">
        <v>1900</v>
      </c>
      <c r="VH114" t="s">
        <v>1900</v>
      </c>
      <c r="VI114" t="s">
        <v>1900</v>
      </c>
      <c r="VJ114" t="s">
        <v>1900</v>
      </c>
      <c r="VK114" t="s">
        <v>1900</v>
      </c>
      <c r="VL114" t="s">
        <v>1900</v>
      </c>
      <c r="VM114" t="s">
        <v>1900</v>
      </c>
      <c r="VN114" t="s">
        <v>1900</v>
      </c>
      <c r="VO114" t="s">
        <v>1900</v>
      </c>
      <c r="VP114" t="s">
        <v>1900</v>
      </c>
      <c r="VQ114" t="s">
        <v>1900</v>
      </c>
      <c r="VR114" t="s">
        <v>1900</v>
      </c>
      <c r="VS114" t="s">
        <v>1900</v>
      </c>
      <c r="VT114" t="s">
        <v>1900</v>
      </c>
      <c r="VU114" t="s">
        <v>1900</v>
      </c>
      <c r="VV114" t="s">
        <v>1900</v>
      </c>
      <c r="VW114" t="s">
        <v>1900</v>
      </c>
      <c r="VX114" t="s">
        <v>1900</v>
      </c>
      <c r="VY114" t="s">
        <v>1900</v>
      </c>
      <c r="VZ114" t="s">
        <v>1900</v>
      </c>
      <c r="WA114">
        <v>611307.210835984</v>
      </c>
      <c r="WB114">
        <v>1053695.87538576</v>
      </c>
      <c r="WC114">
        <v>303209.468071735</v>
      </c>
      <c r="WD114">
        <v>269641.858801103</v>
      </c>
      <c r="WE114">
        <v>234654.603629214</v>
      </c>
      <c r="WF114" t="s">
        <v>1900</v>
      </c>
      <c r="WG114" t="s">
        <v>1900</v>
      </c>
      <c r="WH114" t="s">
        <v>1900</v>
      </c>
      <c r="WI114" t="s">
        <v>1900</v>
      </c>
      <c r="WJ114" t="s">
        <v>1900</v>
      </c>
      <c r="WK114" t="s">
        <v>1900</v>
      </c>
      <c r="WL114" t="s">
        <v>1900</v>
      </c>
      <c r="WM114" t="s">
        <v>1900</v>
      </c>
      <c r="WN114" t="s">
        <v>1900</v>
      </c>
      <c r="WO114" t="s">
        <v>1900</v>
      </c>
      <c r="WP114" t="s">
        <v>1900</v>
      </c>
      <c r="WQ114" t="s">
        <v>1900</v>
      </c>
      <c r="WR114" t="s">
        <v>1900</v>
      </c>
      <c r="WS114" t="s">
        <v>1900</v>
      </c>
      <c r="WT114" t="s">
        <v>1900</v>
      </c>
      <c r="WU114" t="s">
        <v>1900</v>
      </c>
      <c r="WV114" t="s">
        <v>1900</v>
      </c>
      <c r="WW114" t="s">
        <v>1900</v>
      </c>
      <c r="WX114" t="s">
        <v>1900</v>
      </c>
      <c r="WY114" t="s">
        <v>1900</v>
      </c>
      <c r="WZ114" t="s">
        <v>1900</v>
      </c>
      <c r="XA114" t="s">
        <v>1900</v>
      </c>
      <c r="XB114" t="s">
        <v>1900</v>
      </c>
      <c r="XC114" t="s">
        <v>1900</v>
      </c>
      <c r="XD114" t="s">
        <v>1900</v>
      </c>
      <c r="XE114" t="s">
        <v>1900</v>
      </c>
      <c r="XF114" t="s">
        <v>1900</v>
      </c>
      <c r="XG114" t="s">
        <v>1900</v>
      </c>
      <c r="XH114" t="s">
        <v>1900</v>
      </c>
      <c r="XI114" t="s">
        <v>1900</v>
      </c>
      <c r="XJ114">
        <v>0</v>
      </c>
      <c r="XK114">
        <v>0</v>
      </c>
      <c r="XL114" t="s">
        <v>1900</v>
      </c>
      <c r="XM114" t="s">
        <v>1900</v>
      </c>
      <c r="XN114" t="s">
        <v>1900</v>
      </c>
      <c r="XO114" t="s">
        <v>1900</v>
      </c>
      <c r="XP114" t="s">
        <v>1900</v>
      </c>
      <c r="XQ114" t="s">
        <v>1900</v>
      </c>
      <c r="XR114" t="s">
        <v>1900</v>
      </c>
      <c r="XS114" t="s">
        <v>1900</v>
      </c>
      <c r="XT114" t="s">
        <v>1900</v>
      </c>
      <c r="XU114" t="s">
        <v>1900</v>
      </c>
      <c r="XV114" t="s">
        <v>1900</v>
      </c>
      <c r="XW114" t="s">
        <v>1900</v>
      </c>
      <c r="XX114" t="s">
        <v>1900</v>
      </c>
      <c r="XY114">
        <v>0</v>
      </c>
      <c r="XZ114">
        <v>0</v>
      </c>
      <c r="YA114" t="s">
        <v>1900</v>
      </c>
      <c r="YB114" t="s">
        <v>1900</v>
      </c>
      <c r="YC114" t="s">
        <v>1900</v>
      </c>
      <c r="YD114" t="s">
        <v>1900</v>
      </c>
      <c r="YE114" t="s">
        <v>1900</v>
      </c>
      <c r="YF114" t="s">
        <v>1900</v>
      </c>
      <c r="YG114" t="s">
        <v>1900</v>
      </c>
      <c r="YH114" t="s">
        <v>1900</v>
      </c>
      <c r="YI114" t="s">
        <v>1900</v>
      </c>
      <c r="YJ114" t="s">
        <v>1900</v>
      </c>
      <c r="YK114" t="s">
        <v>1900</v>
      </c>
      <c r="YL114" t="s">
        <v>1900</v>
      </c>
      <c r="YM114" t="s">
        <v>1900</v>
      </c>
      <c r="YN114" t="s">
        <v>1900</v>
      </c>
      <c r="YO114" t="s">
        <v>1900</v>
      </c>
      <c r="YP114" t="s">
        <v>1900</v>
      </c>
      <c r="YQ114" t="s">
        <v>1900</v>
      </c>
      <c r="YR114" t="s">
        <v>1900</v>
      </c>
      <c r="YS114" t="s">
        <v>1900</v>
      </c>
      <c r="YT114" t="s">
        <v>1900</v>
      </c>
      <c r="YU114" t="s">
        <v>1900</v>
      </c>
      <c r="YV114" t="s">
        <v>1900</v>
      </c>
      <c r="YW114" t="s">
        <v>1900</v>
      </c>
      <c r="YX114" t="s">
        <v>1900</v>
      </c>
      <c r="YY114" t="s">
        <v>1900</v>
      </c>
      <c r="YZ114" t="s">
        <v>1900</v>
      </c>
      <c r="ZA114" t="s">
        <v>1900</v>
      </c>
      <c r="ZB114" t="s">
        <v>1900</v>
      </c>
      <c r="ZC114" t="s">
        <v>1900</v>
      </c>
      <c r="ZD114" t="s">
        <v>1900</v>
      </c>
      <c r="ZE114" t="s">
        <v>1900</v>
      </c>
      <c r="ZF114" t="s">
        <v>1900</v>
      </c>
      <c r="ZG114" t="s">
        <v>1900</v>
      </c>
      <c r="ZH114" t="s">
        <v>1900</v>
      </c>
      <c r="ZI114" t="s">
        <v>1900</v>
      </c>
      <c r="ZJ114" t="s">
        <v>1900</v>
      </c>
      <c r="ZK114" t="s">
        <v>1900</v>
      </c>
      <c r="ZL114" t="s">
        <v>1900</v>
      </c>
      <c r="ZM114" t="s">
        <v>1900</v>
      </c>
      <c r="ZN114" t="s">
        <v>1900</v>
      </c>
      <c r="ZO114" t="s">
        <v>1900</v>
      </c>
      <c r="ZP114" t="s">
        <v>1900</v>
      </c>
      <c r="ZQ114" t="s">
        <v>1900</v>
      </c>
      <c r="ZR114" t="s">
        <v>1900</v>
      </c>
      <c r="ZS114" t="s">
        <v>1900</v>
      </c>
      <c r="ZT114" t="s">
        <v>1900</v>
      </c>
      <c r="ZU114" t="s">
        <v>1900</v>
      </c>
      <c r="ZV114" t="s">
        <v>1900</v>
      </c>
      <c r="ZW114" t="s">
        <v>1900</v>
      </c>
      <c r="ZX114" t="s">
        <v>1900</v>
      </c>
      <c r="ZY114" t="s">
        <v>1900</v>
      </c>
      <c r="ZZ114" t="s">
        <v>1900</v>
      </c>
      <c r="AAA114" t="s">
        <v>1900</v>
      </c>
      <c r="AAB114" t="s">
        <v>1900</v>
      </c>
      <c r="AAC114" t="s">
        <v>1900</v>
      </c>
      <c r="AAD114" t="s">
        <v>1900</v>
      </c>
      <c r="AAE114" t="s">
        <v>1900</v>
      </c>
      <c r="AAF114" t="s">
        <v>1900</v>
      </c>
      <c r="AAG114" t="s">
        <v>1900</v>
      </c>
      <c r="AAH114" t="s">
        <v>1900</v>
      </c>
      <c r="AAI114" t="s">
        <v>1900</v>
      </c>
      <c r="AAJ114" t="s">
        <v>1900</v>
      </c>
      <c r="AAK114" t="s">
        <v>1900</v>
      </c>
      <c r="AAL114" t="s">
        <v>1900</v>
      </c>
      <c r="AAM114" t="s">
        <v>1900</v>
      </c>
      <c r="AAN114" t="s">
        <v>1900</v>
      </c>
      <c r="AAO114" t="s">
        <v>1900</v>
      </c>
      <c r="AAP114" t="s">
        <v>1900</v>
      </c>
      <c r="AAQ114" t="s">
        <v>1900</v>
      </c>
      <c r="AAR114" t="s">
        <v>1900</v>
      </c>
      <c r="AAS114" t="s">
        <v>1900</v>
      </c>
      <c r="AAT114" t="s">
        <v>1900</v>
      </c>
      <c r="AAU114" t="s">
        <v>1900</v>
      </c>
      <c r="AAV114" t="s">
        <v>1900</v>
      </c>
      <c r="AAW114" t="s">
        <v>1900</v>
      </c>
      <c r="AAX114" t="s">
        <v>1900</v>
      </c>
      <c r="AAY114" t="s">
        <v>1900</v>
      </c>
      <c r="AAZ114" t="s">
        <v>1900</v>
      </c>
      <c r="ABA114" t="s">
        <v>1900</v>
      </c>
      <c r="ABB114" t="s">
        <v>1900</v>
      </c>
      <c r="ABC114" t="s">
        <v>1900</v>
      </c>
      <c r="ABD114" t="s">
        <v>1900</v>
      </c>
      <c r="ABE114" t="s">
        <v>1900</v>
      </c>
      <c r="ABF114" t="s">
        <v>1900</v>
      </c>
      <c r="ABG114" t="s">
        <v>1900</v>
      </c>
      <c r="ABH114" t="s">
        <v>1900</v>
      </c>
      <c r="ABI114" t="s">
        <v>1900</v>
      </c>
      <c r="ABJ114" t="s">
        <v>1900</v>
      </c>
      <c r="ABK114" t="s">
        <v>1900</v>
      </c>
      <c r="ABL114" t="s">
        <v>1900</v>
      </c>
      <c r="ABM114" t="s">
        <v>1900</v>
      </c>
      <c r="ABN114" t="s">
        <v>1900</v>
      </c>
      <c r="ABO114" t="s">
        <v>1900</v>
      </c>
      <c r="ABP114" t="s">
        <v>1900</v>
      </c>
      <c r="ABQ114" t="s">
        <v>1900</v>
      </c>
      <c r="ABR114" t="s">
        <v>1900</v>
      </c>
      <c r="ABS114" t="s">
        <v>1900</v>
      </c>
      <c r="ABT114" t="s">
        <v>1900</v>
      </c>
      <c r="ABU114" t="s">
        <v>1900</v>
      </c>
      <c r="ABV114" t="s">
        <v>1900</v>
      </c>
      <c r="ABW114" t="s">
        <v>1900</v>
      </c>
      <c r="ABX114" t="s">
        <v>1900</v>
      </c>
      <c r="ABY114" t="s">
        <v>1900</v>
      </c>
      <c r="ABZ114" t="s">
        <v>1900</v>
      </c>
      <c r="ACA114" t="s">
        <v>1900</v>
      </c>
      <c r="ACB114" t="s">
        <v>1900</v>
      </c>
      <c r="ACC114" t="s">
        <v>1900</v>
      </c>
      <c r="ACD114" t="s">
        <v>1900</v>
      </c>
      <c r="ACE114">
        <v>-45.843</v>
      </c>
      <c r="ACF114">
        <v>-44.164</v>
      </c>
      <c r="ACG114">
        <v>-91.196</v>
      </c>
      <c r="ACH114">
        <v>-101.278</v>
      </c>
      <c r="ACI114">
        <v>-102.342</v>
      </c>
      <c r="ACJ114">
        <v>-41.753</v>
      </c>
      <c r="ACK114">
        <v>-41.691</v>
      </c>
      <c r="ACL114">
        <v>-90.012</v>
      </c>
      <c r="ACM114" t="s">
        <v>1900</v>
      </c>
      <c r="ACN114" t="s">
        <v>1900</v>
      </c>
      <c r="ACO114">
        <v>-40.83</v>
      </c>
      <c r="ACP114">
        <v>-36.262</v>
      </c>
      <c r="ACQ114">
        <v>-87.54300000000001</v>
      </c>
      <c r="ACR114">
        <v>-84.93000000000001</v>
      </c>
      <c r="ACS114">
        <v>-81.57599999999999</v>
      </c>
      <c r="ACT114">
        <v>-45.843</v>
      </c>
      <c r="ACU114">
        <v>-43.923</v>
      </c>
      <c r="ACV114">
        <v>-69.027</v>
      </c>
      <c r="ACW114">
        <v>-46.819</v>
      </c>
      <c r="ACX114">
        <v>-102.342</v>
      </c>
      <c r="ACY114">
        <v>-41.753</v>
      </c>
      <c r="ACZ114">
        <v>-41.462</v>
      </c>
      <c r="ADA114">
        <v>-67.843</v>
      </c>
      <c r="ADB114" t="s">
        <v>1900</v>
      </c>
      <c r="ADC114" t="s">
        <v>1900</v>
      </c>
      <c r="ADD114">
        <v>-40.83</v>
      </c>
      <c r="ADE114">
        <v>-36.065</v>
      </c>
      <c r="ADF114">
        <v>-66.262</v>
      </c>
      <c r="ADG114">
        <v>-39.262</v>
      </c>
      <c r="ADH114">
        <v>-81.57599999999999</v>
      </c>
      <c r="ADI114">
        <v>-56.615</v>
      </c>
      <c r="ADJ114">
        <v>-91.84399999999999</v>
      </c>
      <c r="ADK114" t="s">
        <v>1901</v>
      </c>
      <c r="ADL114" t="s">
        <v>1901</v>
      </c>
      <c r="ADM114" t="s">
        <v>1901</v>
      </c>
      <c r="ADN114">
        <v>92.261</v>
      </c>
      <c r="ADO114">
        <v>72.157</v>
      </c>
      <c r="ADP114">
        <v>98.20399999999999</v>
      </c>
      <c r="ADQ114">
        <v>99.07299999999999</v>
      </c>
      <c r="ADR114">
        <v>99.261</v>
      </c>
      <c r="ADS114">
        <v>-53.53504763</v>
      </c>
      <c r="ADT114">
        <v>-91.476289679</v>
      </c>
      <c r="ADU114">
        <v>-417.706047009</v>
      </c>
      <c r="ADV114">
        <v>-232.998216542</v>
      </c>
      <c r="ADW114">
        <v>-982.64373057</v>
      </c>
      <c r="ADX114">
        <v>-38.435</v>
      </c>
      <c r="ADY114">
        <v>-80.06999999999999</v>
      </c>
      <c r="ADZ114" t="s">
        <v>1901</v>
      </c>
      <c r="AEA114" t="s">
        <v>1901</v>
      </c>
      <c r="AEB114" t="s">
        <v>1901</v>
      </c>
      <c r="AEC114">
        <v>-53.535</v>
      </c>
      <c r="AED114">
        <v>-91.476</v>
      </c>
      <c r="AEE114" t="s">
        <v>1901</v>
      </c>
      <c r="AEF114" t="s">
        <v>1901</v>
      </c>
      <c r="AEG114" t="s">
        <v>1901</v>
      </c>
      <c r="AEH114">
        <v>-41.515</v>
      </c>
      <c r="AEI114">
        <v>-79.938</v>
      </c>
      <c r="AEJ114" t="s">
        <v>1901</v>
      </c>
      <c r="AEK114" t="s">
        <v>1901</v>
      </c>
      <c r="AEL114" t="s">
        <v>1901</v>
      </c>
      <c r="AEM114">
        <v>-34.868291284</v>
      </c>
      <c r="AEN114">
        <v>-47.774212584</v>
      </c>
      <c r="AEO114">
        <v>-80.684019324</v>
      </c>
      <c r="AEP114">
        <v>-69.96980913599999</v>
      </c>
      <c r="AEQ114">
        <v>-90.763351121</v>
      </c>
      <c r="AER114">
        <v>0.632809129</v>
      </c>
      <c r="AES114">
        <v>0.44096757</v>
      </c>
      <c r="AET114">
        <v>0.190350913</v>
      </c>
      <c r="AEU114">
        <v>0.298348059</v>
      </c>
      <c r="AEV114">
        <v>0.09174692499999999</v>
      </c>
      <c r="AEW114" t="s">
        <v>1900</v>
      </c>
      <c r="AEX114" t="s">
        <v>1900</v>
      </c>
      <c r="AEY114" t="s">
        <v>1900</v>
      </c>
      <c r="AEZ114" t="s">
        <v>1900</v>
      </c>
      <c r="AFA114" t="s">
        <v>1900</v>
      </c>
      <c r="AFB114" t="s">
        <v>1900</v>
      </c>
      <c r="AFC114" t="s">
        <v>1900</v>
      </c>
      <c r="AFD114" t="s">
        <v>1900</v>
      </c>
      <c r="AFE114" t="s">
        <v>1900</v>
      </c>
      <c r="AFF114" t="s">
        <v>1900</v>
      </c>
      <c r="AFG114">
        <v>0.783</v>
      </c>
      <c r="AFH114">
        <v>0.457</v>
      </c>
      <c r="AFI114">
        <v>0.215</v>
      </c>
      <c r="AFJ114">
        <v>0.436</v>
      </c>
      <c r="AFK114">
        <v>0.104</v>
      </c>
      <c r="AFL114">
        <v>-16.219</v>
      </c>
      <c r="AFM114" t="s">
        <v>1901</v>
      </c>
      <c r="AFN114">
        <v>-75.974</v>
      </c>
      <c r="AFO114" t="s">
        <v>1900</v>
      </c>
      <c r="AFP114" t="s">
        <v>1900</v>
      </c>
      <c r="AFQ114" t="s">
        <v>1901</v>
      </c>
      <c r="AFR114" t="s">
        <v>1901</v>
      </c>
      <c r="AFS114" t="s">
        <v>1901</v>
      </c>
      <c r="AFT114">
        <v>17.719</v>
      </c>
      <c r="AFU114" t="s">
        <v>1901</v>
      </c>
      <c r="AFV114">
        <v>16.338</v>
      </c>
      <c r="AFW114">
        <v>14.66</v>
      </c>
      <c r="AFX114">
        <v>236.984</v>
      </c>
      <c r="AFY114">
        <v>75.504</v>
      </c>
      <c r="AFZ114">
        <v>275.115</v>
      </c>
      <c r="AGA114">
        <v>0</v>
      </c>
      <c r="AGB114">
        <v>0.863</v>
      </c>
      <c r="AGC114">
        <v>2.392</v>
      </c>
      <c r="AGD114">
        <v>0</v>
      </c>
      <c r="AGE114">
        <v>74.733</v>
      </c>
      <c r="AGF114" t="s">
        <v>1900</v>
      </c>
      <c r="AGG114" t="s">
        <v>1900</v>
      </c>
      <c r="AGH114" t="s">
        <v>1900</v>
      </c>
      <c r="AGI114" t="s">
        <v>1900</v>
      </c>
      <c r="AGJ114" t="s">
        <v>1900</v>
      </c>
      <c r="AGK114" t="s">
        <v>1900</v>
      </c>
      <c r="AGL114" t="s">
        <v>1900</v>
      </c>
      <c r="AGM114" t="s">
        <v>1900</v>
      </c>
      <c r="AGN114" t="s">
        <v>1900</v>
      </c>
      <c r="AGO114" t="s">
        <v>1900</v>
      </c>
      <c r="AGP114" t="s">
        <v>1900</v>
      </c>
      <c r="AGQ114" t="s">
        <v>1900</v>
      </c>
      <c r="AGR114" t="s">
        <v>1900</v>
      </c>
      <c r="AGS114" t="s">
        <v>1900</v>
      </c>
      <c r="AGT114" t="s">
        <v>1900</v>
      </c>
      <c r="AGU114">
        <v>0</v>
      </c>
      <c r="AGV114">
        <v>0</v>
      </c>
      <c r="AGW114">
        <v>0</v>
      </c>
      <c r="AGX114">
        <v>0</v>
      </c>
      <c r="AGY114">
        <v>0</v>
      </c>
      <c r="AGZ114">
        <v>1.581</v>
      </c>
      <c r="AHA114">
        <v>1.815</v>
      </c>
      <c r="AHB114">
        <v>12.442</v>
      </c>
      <c r="AHC114">
        <v>1.761</v>
      </c>
      <c r="AHD114">
        <v>4.889</v>
      </c>
      <c r="AHE114">
        <v>1.581</v>
      </c>
      <c r="AHF114">
        <v>1.815</v>
      </c>
      <c r="AHG114">
        <v>12.442</v>
      </c>
      <c r="AHH114">
        <v>1.633</v>
      </c>
      <c r="AHI114">
        <v>4.889</v>
      </c>
      <c r="AHJ114">
        <v>29.445</v>
      </c>
      <c r="AHK114">
        <v>19.279</v>
      </c>
      <c r="AHL114" t="s">
        <v>1901</v>
      </c>
      <c r="AHM114" t="s">
        <v>1901</v>
      </c>
      <c r="AHN114" t="s">
        <v>1901</v>
      </c>
      <c r="AHO114">
        <v>89.065</v>
      </c>
      <c r="AHP114">
        <v>82.108</v>
      </c>
      <c r="AHQ114">
        <v>95.994</v>
      </c>
      <c r="AHR114">
        <v>83.858</v>
      </c>
      <c r="AHS114">
        <v>79.709</v>
      </c>
      <c r="AHT114" t="s">
        <v>1901</v>
      </c>
      <c r="AHU114" t="s">
        <v>1901</v>
      </c>
      <c r="AHV114" t="s">
        <v>1901</v>
      </c>
      <c r="AHW114" t="s">
        <v>1901</v>
      </c>
      <c r="AHX114" t="s">
        <v>1901</v>
      </c>
      <c r="AHY114">
        <v>3.396</v>
      </c>
      <c r="AHZ114">
        <v>5.188</v>
      </c>
      <c r="AIA114">
        <v>0.011</v>
      </c>
      <c r="AIB114">
        <v>0</v>
      </c>
      <c r="AIC114">
        <v>0</v>
      </c>
      <c r="AID114">
        <v>48.992578714</v>
      </c>
      <c r="AIE114">
        <v>46.12438193</v>
      </c>
      <c r="AIF114">
        <v>36.358237234</v>
      </c>
      <c r="AIG114">
        <v>45.692558322</v>
      </c>
      <c r="AIH114">
        <v>0.034949972</v>
      </c>
      <c r="AII114">
        <v>9.231549555000001</v>
      </c>
      <c r="AIJ114">
        <v>23.133005741</v>
      </c>
      <c r="AIK114">
        <v>36.221686263</v>
      </c>
      <c r="AIL114">
        <v>18.698905245</v>
      </c>
      <c r="AIM114">
        <v>92.84061665199999</v>
      </c>
      <c r="AIN114">
        <v>7.91036978</v>
      </c>
      <c r="AIO114">
        <v>13.537609229</v>
      </c>
      <c r="AIP114">
        <v>3.85767796</v>
      </c>
      <c r="AIQ114">
        <v>16.141822038</v>
      </c>
      <c r="AIR114">
        <v>18.564946572</v>
      </c>
      <c r="AIS114">
        <v>0.048174584</v>
      </c>
      <c r="AIT114">
        <v>0</v>
      </c>
      <c r="AIU114">
        <v>0</v>
      </c>
      <c r="AIV114">
        <v>608.6182</v>
      </c>
      <c r="AIW114">
        <v>0</v>
      </c>
      <c r="AIX114">
        <v>-25.65316820404</v>
      </c>
      <c r="AIY114">
        <v>-20.1602776826849</v>
      </c>
      <c r="AIZ114" t="s">
        <v>1901</v>
      </c>
      <c r="AJA114">
        <v>-67.55780863837479</v>
      </c>
      <c r="AJB114" t="s">
        <v>1901</v>
      </c>
      <c r="AJC114">
        <v>45.3112772619493</v>
      </c>
      <c r="AJD114">
        <v>21.950560811142</v>
      </c>
      <c r="AJE114">
        <v>28.5206196651489</v>
      </c>
      <c r="AJF114">
        <v>29.0814553036809</v>
      </c>
      <c r="AJG114">
        <v>17.5155638619053</v>
      </c>
      <c r="AJH114">
        <v>91.14700000000001</v>
      </c>
      <c r="AJI114" t="s">
        <v>1901</v>
      </c>
      <c r="AJJ114" t="s">
        <v>1901</v>
      </c>
      <c r="AJK114" t="s">
        <v>1901</v>
      </c>
      <c r="AJL114" t="s">
        <v>1901</v>
      </c>
      <c r="AJM114">
        <v>41.2997526477772</v>
      </c>
      <c r="AJN114">
        <v>27.9306908949509</v>
      </c>
      <c r="AJO114">
        <v>48.817871401971</v>
      </c>
      <c r="AJP114">
        <v>46.7897585145164</v>
      </c>
      <c r="AJQ114">
        <v>65.8258705915362</v>
      </c>
      <c r="AJR114">
        <v>55.9582314269669</v>
      </c>
      <c r="AJS114">
        <v>45.6490125117159</v>
      </c>
      <c r="AJT114">
        <v>132.369305554795</v>
      </c>
      <c r="AJU114">
        <v>66.7053830667686</v>
      </c>
      <c r="AJV114">
        <v>167.915792019589</v>
      </c>
      <c r="AJW114">
        <v>2.0580080455482</v>
      </c>
      <c r="AJX114">
        <v>0.841257872546196</v>
      </c>
      <c r="AJY114">
        <v>18.5852912958002</v>
      </c>
      <c r="AJZ114">
        <v>7.74058124831915</v>
      </c>
      <c r="AKA114">
        <v>9.749454867191909</v>
      </c>
      <c r="AKB114">
        <v>62.8286340814757</v>
      </c>
      <c r="AKC114">
        <v>55.5962203459005</v>
      </c>
      <c r="AKD114">
        <v>137.892908591037</v>
      </c>
      <c r="AKE114">
        <v>79.5454722822404</v>
      </c>
      <c r="AKF114">
        <v>210.660992365221</v>
      </c>
      <c r="AKG114">
        <v>0.048174584</v>
      </c>
      <c r="AKH114">
        <v>0</v>
      </c>
      <c r="AKI114">
        <v>0</v>
      </c>
      <c r="AKJ114">
        <v>608.6182</v>
      </c>
      <c r="AKK114">
        <v>0</v>
      </c>
      <c r="AKL114">
        <v>0.003728139</v>
      </c>
      <c r="AKM114">
        <v>0</v>
      </c>
      <c r="AKN114">
        <v>0</v>
      </c>
      <c r="AKO114">
        <v>5.643599421</v>
      </c>
      <c r="AKP114">
        <v>0</v>
      </c>
      <c r="AKQ114">
        <v>0.002688691</v>
      </c>
      <c r="AKR114">
        <v>0</v>
      </c>
      <c r="AKS114">
        <v>0</v>
      </c>
      <c r="AKT114">
        <v>2.063273771</v>
      </c>
      <c r="AKU114">
        <v>0</v>
      </c>
      <c r="AKV114">
        <v>52.490343579</v>
      </c>
      <c r="AKW114">
        <v>72.11597944099999</v>
      </c>
      <c r="AKX114">
        <v>62.850037597</v>
      </c>
      <c r="AKY114">
        <v>66.41135042099999</v>
      </c>
      <c r="AKZ114">
        <v>-0.339873021</v>
      </c>
      <c r="ALA114">
        <v>37.855422437</v>
      </c>
      <c r="ALB114">
        <v>28.472910253</v>
      </c>
      <c r="ALC114">
        <v>12.999378018</v>
      </c>
      <c r="ALD114">
        <v>24.279681679</v>
      </c>
      <c r="ALE114">
        <v>-0.028258994</v>
      </c>
      <c r="ALF114">
        <v>0.894163649</v>
      </c>
      <c r="ALG114">
        <v>1.676383147</v>
      </c>
      <c r="ALH114">
        <v>3.893094025</v>
      </c>
      <c r="ALI114">
        <v>4.370517131</v>
      </c>
      <c r="ALJ114">
        <v>9.605044151</v>
      </c>
      <c r="ALK114">
        <v>0.644860376</v>
      </c>
      <c r="ALL114">
        <v>0.661871436</v>
      </c>
      <c r="ALM114">
        <v>0.805215125</v>
      </c>
      <c r="ALN114">
        <v>1.597840791</v>
      </c>
      <c r="ALO114">
        <v>0.798618513</v>
      </c>
      <c r="ALP114">
        <v>4.538204738</v>
      </c>
      <c r="ALQ114">
        <v>4.072301718</v>
      </c>
      <c r="ALR114">
        <v>65.828814268</v>
      </c>
      <c r="ALS114">
        <v>20.973297245</v>
      </c>
      <c r="ALT114">
        <v>76.420918047</v>
      </c>
      <c r="ALU114">
        <v>0</v>
      </c>
      <c r="ALV114">
        <v>5.888301602</v>
      </c>
      <c r="ALW114">
        <v>1.00930609</v>
      </c>
      <c r="ALX114">
        <v>0</v>
      </c>
      <c r="ALY114">
        <v>27.164355428</v>
      </c>
      <c r="ALZ114">
        <v>92.26119043709291</v>
      </c>
      <c r="AMA114">
        <v>72.1569536321208</v>
      </c>
      <c r="AMB114">
        <v>98.20393653415699</v>
      </c>
      <c r="AMC114">
        <v>99.0727192482082</v>
      </c>
      <c r="AMD114">
        <v>99.261475589287</v>
      </c>
      <c r="AME114">
        <v>92.26119043709291</v>
      </c>
      <c r="AMF114">
        <v>72.1569536321208</v>
      </c>
      <c r="AMG114">
        <v>98.20393653415699</v>
      </c>
      <c r="AMH114" t="s">
        <v>1901</v>
      </c>
      <c r="AMI114">
        <v>99.261475589287</v>
      </c>
      <c r="AMJ114">
        <v>1192.18840684891</v>
      </c>
      <c r="AMK114">
        <v>259.156102288252</v>
      </c>
      <c r="AML114">
        <v>5467.73198173516</v>
      </c>
      <c r="AMM114">
        <v>10684.2204</v>
      </c>
      <c r="AMN114">
        <v>13440.5138339921</v>
      </c>
      <c r="AMO114">
        <v>0.632809129097655</v>
      </c>
      <c r="AMP114">
        <v>0.440967569742356</v>
      </c>
      <c r="AMQ114">
        <v>0.190350913273193</v>
      </c>
      <c r="AMR114">
        <v>0.298348059482131</v>
      </c>
      <c r="AMS114">
        <v>0.09174692479913781</v>
      </c>
      <c r="AMT114">
        <v>0.632809129097655</v>
      </c>
      <c r="AMU114">
        <v>0.440967569742356</v>
      </c>
      <c r="AMV114">
        <v>0.190350913273193</v>
      </c>
      <c r="AMW114">
        <v>0.298348058923648</v>
      </c>
      <c r="AMX114">
        <v>0.09174692479913769</v>
      </c>
      <c r="AMY114">
        <v>0.632809129097655</v>
      </c>
      <c r="AMZ114">
        <v>0.4409675698652</v>
      </c>
      <c r="ANA114">
        <v>0.190350913273193</v>
      </c>
      <c r="ANB114">
        <v>0.298348059315509</v>
      </c>
      <c r="ANC114">
        <v>0.09174692479913781</v>
      </c>
      <c r="AND114">
        <v>-53.5350476302235</v>
      </c>
      <c r="ANE114">
        <v>-91.4762896793542</v>
      </c>
      <c r="ANF114" t="s">
        <v>1901</v>
      </c>
      <c r="ANG114" t="s">
        <v>1901</v>
      </c>
      <c r="ANH114" t="s">
        <v>1901</v>
      </c>
      <c r="ANI114">
        <v>-53.5350476302235</v>
      </c>
      <c r="ANJ114">
        <v>-91.4762896793542</v>
      </c>
      <c r="ANK114" t="s">
        <v>1901</v>
      </c>
      <c r="ANL114" t="s">
        <v>1901</v>
      </c>
      <c r="ANM114" t="s">
        <v>1901</v>
      </c>
      <c r="ANN114">
        <v>-34.8682912836672</v>
      </c>
      <c r="ANO114">
        <v>-47.7742125839916</v>
      </c>
      <c r="ANP114">
        <v>-80.6840193237489</v>
      </c>
      <c r="ANQ114">
        <v>-69.9698091364186</v>
      </c>
      <c r="ANR114">
        <v>-90.7633511213005</v>
      </c>
      <c r="ANS114">
        <v>-41.9252968001158</v>
      </c>
      <c r="ANT114">
        <v>-41.8177161595622</v>
      </c>
      <c r="ANU114">
        <v>-89.9999851002206</v>
      </c>
      <c r="ANV114">
        <v>-101.579916622216</v>
      </c>
      <c r="ANW114">
        <v>-102.501136153716</v>
      </c>
      <c r="ANX114">
        <v>92.26119043709291</v>
      </c>
      <c r="ANY114">
        <v>72.1569536680782</v>
      </c>
      <c r="ANZ114">
        <v>98.20393653415699</v>
      </c>
      <c r="AOA114">
        <v>99.0727192482082</v>
      </c>
      <c r="AOB114">
        <v>99.261475589287</v>
      </c>
      <c r="AOC114">
        <v>60.0912898137085</v>
      </c>
      <c r="AOD114">
        <v>37.6845372097792</v>
      </c>
      <c r="AOE114">
        <v>18.9690534042556</v>
      </c>
      <c r="AOF114">
        <v>29.751726683977</v>
      </c>
      <c r="AOG114">
        <v>9.1684339719985</v>
      </c>
      <c r="AOH114">
        <v>66.5376924674915</v>
      </c>
      <c r="AOI114">
        <v>28.489087728297</v>
      </c>
      <c r="AOJ114">
        <v>20.3116838531369</v>
      </c>
      <c r="AOK114">
        <v>36.2205266290842</v>
      </c>
      <c r="AOL114">
        <v>8.25316893824334</v>
      </c>
      <c r="AOM114">
        <v>-691.773679078792</v>
      </c>
      <c r="AON114">
        <v>-328.542676648415</v>
      </c>
      <c r="AOO114">
        <v>-23256.7531689498</v>
      </c>
      <c r="AOP114">
        <v>-25127.0412</v>
      </c>
      <c r="AOQ114">
        <v>-133055.01027668</v>
      </c>
      <c r="AOR114">
        <v>-36.7190870902345</v>
      </c>
      <c r="AOS114">
        <v>-55.9032430257644</v>
      </c>
      <c r="AOT114">
        <v>-80.96490867268071</v>
      </c>
      <c r="AOU114">
        <v>-70.1651941076352</v>
      </c>
      <c r="AOV114">
        <v>-90.8253075200862</v>
      </c>
      <c r="AOW114">
        <v>-38.6088507917215</v>
      </c>
      <c r="AOX114">
        <v>-36.1167692170161</v>
      </c>
      <c r="AOY114">
        <v>-86.3948378223613</v>
      </c>
      <c r="AOZ114">
        <v>-85.1830672544622</v>
      </c>
      <c r="APA114">
        <v>-81.7026410936685</v>
      </c>
      <c r="APB114">
        <v>-56.6154158606336</v>
      </c>
      <c r="APC114">
        <v>-91.3444049659675</v>
      </c>
      <c r="APD114">
        <v>-320.368296608095</v>
      </c>
      <c r="APE114">
        <v>-107.390991193021</v>
      </c>
      <c r="APF114">
        <v>-981.120572137488</v>
      </c>
      <c r="APG114">
        <v>-56.6154158606336</v>
      </c>
      <c r="APH114">
        <v>-91.3444049659675</v>
      </c>
      <c r="API114">
        <v>-320.368296608095</v>
      </c>
      <c r="APJ114">
        <v>-122.033722427513</v>
      </c>
      <c r="APK114">
        <v>-981.120572137488</v>
      </c>
      <c r="APL114">
        <v>-731.577840240409</v>
      </c>
      <c r="APM114">
        <v>-328.069004652131</v>
      </c>
      <c r="APN114">
        <v>-17837.248109589</v>
      </c>
      <c r="APO114">
        <v>-11581.28118</v>
      </c>
      <c r="APP114">
        <v>-132848.766798419</v>
      </c>
      <c r="APQ114">
        <v>-38.8318770162598</v>
      </c>
      <c r="APR114">
        <v>-55.8226452751376</v>
      </c>
      <c r="APS114">
        <v>-62.0977121644379</v>
      </c>
      <c r="APT114">
        <v>-32.3397743308433</v>
      </c>
      <c r="APU114">
        <v>-90.6845226875714</v>
      </c>
      <c r="APV114">
        <v>-36.8745877468884</v>
      </c>
      <c r="APW114">
        <v>-47.7053347539441</v>
      </c>
      <c r="APX114">
        <v>-61.8822782656543</v>
      </c>
      <c r="APY114">
        <v>-32.2497196255561</v>
      </c>
      <c r="APZ114">
        <v>-90.6226623250278</v>
      </c>
      <c r="AQA114">
        <v>-40.830376365266</v>
      </c>
      <c r="AQB114">
        <v>-36.064698349545</v>
      </c>
      <c r="AQC114">
        <v>-66.2623086907345</v>
      </c>
      <c r="AQD114">
        <v>-39.2616482695455</v>
      </c>
      <c r="AQE114">
        <v>-81.57599695717779</v>
      </c>
      <c r="AQF114">
        <v>-0.367190870902345</v>
      </c>
      <c r="AQG114">
        <v>-0.5590324301348</v>
      </c>
      <c r="AQH114">
        <v>-0.809649086726807</v>
      </c>
      <c r="AQI114">
        <v>-0.701651940684491</v>
      </c>
      <c r="AQJ114">
        <v>-0.908253075200862</v>
      </c>
      <c r="AQK114">
        <v>6</v>
      </c>
      <c r="AQO114" t="s">
        <v>1902</v>
      </c>
      <c r="AQP114">
        <v>22</v>
      </c>
      <c r="AQQ114">
        <v>0</v>
      </c>
      <c r="AQS114" t="s">
        <v>1905</v>
      </c>
      <c r="AQU114" t="s">
        <v>1906</v>
      </c>
      <c r="AQV114">
        <v>5573287.08451957</v>
      </c>
      <c r="AQW114">
        <v>3073078.53565989</v>
      </c>
      <c r="AQX114">
        <v>1625675.34757847</v>
      </c>
      <c r="AQY114">
        <v>-2983661.89526665</v>
      </c>
      <c r="AQZ114">
        <v>-2811138.22335429</v>
      </c>
      <c r="ARA114">
        <v>-6790544.23156635</v>
      </c>
      <c r="ARB114">
        <v>10272040.96775793</v>
      </c>
      <c r="ARC114">
        <v>-12585344.35018729</v>
      </c>
      <c r="ARD114">
        <v>-0.5506029747114863</v>
      </c>
      <c r="ARE114">
        <v>-0.5506029747114863</v>
      </c>
      <c r="ARF114">
        <v>-0.5506029747114863</v>
      </c>
      <c r="ARG114" t="s">
        <v>1907</v>
      </c>
      <c r="ARH114" t="s">
        <v>1907</v>
      </c>
      <c r="ARI114" t="s">
        <v>1907</v>
      </c>
      <c r="ARJ114" t="s">
        <v>1275</v>
      </c>
      <c r="ARK114" t="s">
        <v>1613</v>
      </c>
      <c r="ARL114" t="s">
        <v>1908</v>
      </c>
      <c r="ARM114" t="s">
        <v>1908</v>
      </c>
      <c r="ARN114" t="s">
        <v>1909</v>
      </c>
      <c r="ARO114" t="s">
        <v>1908</v>
      </c>
      <c r="ARP114" t="s">
        <v>1907</v>
      </c>
      <c r="ARQ114" t="s">
        <v>2007</v>
      </c>
      <c r="ARR114">
        <f>HYPERLINK("C:\Users\Usuario\Documents\Proyectos\llmthon\evidence\taxdown_es_000306.png", "Ver Evidencia")</f>
        <v>0</v>
      </c>
      <c r="ARS114">
        <v>90</v>
      </c>
    </row>
    <row r="115" spans="1:1163">
      <c r="A115">
        <v>71</v>
      </c>
      <c r="B115" t="s">
        <v>1276</v>
      </c>
      <c r="C115" t="s">
        <v>1399</v>
      </c>
      <c r="D115" t="s">
        <v>1426</v>
      </c>
      <c r="E115" s="2">
        <v>37978</v>
      </c>
      <c r="F115" t="s">
        <v>1431</v>
      </c>
      <c r="G115" t="s">
        <v>1433</v>
      </c>
      <c r="H115" t="s">
        <v>1434</v>
      </c>
      <c r="I115" t="s">
        <v>1435</v>
      </c>
      <c r="J115" t="s">
        <v>1497</v>
      </c>
      <c r="L115" t="s">
        <v>1614</v>
      </c>
      <c r="N115" t="s">
        <v>1631</v>
      </c>
      <c r="O115" t="s">
        <v>1655</v>
      </c>
      <c r="P115">
        <v>6202</v>
      </c>
      <c r="Q115">
        <v>6202</v>
      </c>
      <c r="R115" t="s">
        <v>1782</v>
      </c>
      <c r="S115" t="s">
        <v>1814</v>
      </c>
      <c r="T115" t="s">
        <v>1858</v>
      </c>
      <c r="U115" t="s">
        <v>1873</v>
      </c>
      <c r="X115" t="s">
        <v>1885</v>
      </c>
      <c r="Z115" t="s">
        <v>1899</v>
      </c>
      <c r="AA115" s="2">
        <v>45657</v>
      </c>
      <c r="AB115">
        <v>2024</v>
      </c>
      <c r="AC115">
        <v>13069263.8040337</v>
      </c>
      <c r="AD115">
        <v>11335869.0404487</v>
      </c>
      <c r="AE115">
        <v>9586229.24651162</v>
      </c>
      <c r="AF115">
        <v>11393968.4936764</v>
      </c>
      <c r="AG115">
        <v>9102174.71193373</v>
      </c>
      <c r="AH115">
        <v>13064188.4369396</v>
      </c>
      <c r="AI115">
        <v>11272101.0861805</v>
      </c>
      <c r="AJ115">
        <v>9577059.041151971</v>
      </c>
      <c r="AK115">
        <v>11383551.3230665</v>
      </c>
      <c r="AL115">
        <v>9092440.574947091</v>
      </c>
      <c r="AM115">
        <v>3077411.85738972</v>
      </c>
      <c r="AN115">
        <v>2354590.26251118</v>
      </c>
      <c r="AO115">
        <v>2093514.13734903</v>
      </c>
      <c r="AP115">
        <v>3094146.74790544</v>
      </c>
      <c r="AQ115">
        <v>2430156.69265057</v>
      </c>
      <c r="AR115">
        <v>9991851.946644019</v>
      </c>
      <c r="AS115">
        <v>8981278.777937559</v>
      </c>
      <c r="AT115">
        <v>7492715.10916258</v>
      </c>
      <c r="AU115">
        <v>8299821.74577098</v>
      </c>
      <c r="AV115">
        <v>6672018.01928316</v>
      </c>
      <c r="AW115">
        <v>7227442.95209769</v>
      </c>
      <c r="AX115">
        <v>6962759.0335457</v>
      </c>
      <c r="AY115">
        <v>5795065.75717497</v>
      </c>
      <c r="AZ115">
        <v>6811767.56223607</v>
      </c>
      <c r="BA115">
        <v>4639624.47242472</v>
      </c>
      <c r="BB115">
        <v>2764408.99350743</v>
      </c>
      <c r="BC115">
        <v>2018519.74328686</v>
      </c>
      <c r="BD115">
        <v>1697649.35305421</v>
      </c>
      <c r="BE115">
        <v>1488054.18353491</v>
      </c>
      <c r="BF115">
        <v>2032393.54685844</v>
      </c>
      <c r="BG115">
        <v>-40059.9237022685</v>
      </c>
      <c r="BH115">
        <v>8114.07389149666</v>
      </c>
      <c r="BI115">
        <v>3982.41583928466</v>
      </c>
      <c r="BJ115">
        <v>-7162.76821246147</v>
      </c>
      <c r="BK115">
        <v>31218.6946317852</v>
      </c>
      <c r="BL115">
        <v>14138.4461860967</v>
      </c>
      <c r="BM115">
        <v>10410.6947671919</v>
      </c>
      <c r="BN115">
        <v>6633.97150110006</v>
      </c>
      <c r="BO115" t="s">
        <v>1900</v>
      </c>
      <c r="BP115">
        <v>31218.6946317852</v>
      </c>
      <c r="BQ115">
        <v>54198.3709272647</v>
      </c>
      <c r="BR115">
        <v>2296.62087569523</v>
      </c>
      <c r="BS115">
        <v>2651.55566181541</v>
      </c>
      <c r="BT115">
        <v>7162.76821246147</v>
      </c>
      <c r="BU115" t="s">
        <v>1900</v>
      </c>
      <c r="BV115">
        <v>2724349.06876626</v>
      </c>
      <c r="BW115">
        <v>2026633.81717835</v>
      </c>
      <c r="BX115">
        <v>1701631.76889349</v>
      </c>
      <c r="BY115">
        <v>1480891.41532245</v>
      </c>
      <c r="BZ115">
        <v>2063612.24149023</v>
      </c>
      <c r="CA115">
        <v>483201.391512069</v>
      </c>
      <c r="CB115">
        <v>437971.466006212</v>
      </c>
      <c r="CC115">
        <v>364389.881368107</v>
      </c>
      <c r="CD115">
        <v>389395.177718282</v>
      </c>
      <c r="CE115">
        <v>384332.421249932</v>
      </c>
      <c r="CF115">
        <v>2241147.67725419</v>
      </c>
      <c r="CG115">
        <v>1588662.35006714</v>
      </c>
      <c r="CH115">
        <v>1337241.88752539</v>
      </c>
      <c r="CI115">
        <v>1091496.23760416</v>
      </c>
      <c r="CJ115">
        <v>1679279.82024029</v>
      </c>
      <c r="CK115" t="s">
        <v>1900</v>
      </c>
      <c r="CL115" t="s">
        <v>1900</v>
      </c>
      <c r="CM115" t="s">
        <v>1900</v>
      </c>
      <c r="CN115" t="s">
        <v>1900</v>
      </c>
      <c r="CO115" t="s">
        <v>1900</v>
      </c>
      <c r="CP115" t="s">
        <v>1900</v>
      </c>
      <c r="CQ115" t="s">
        <v>1900</v>
      </c>
      <c r="CR115" t="s">
        <v>1900</v>
      </c>
      <c r="CS115" t="s">
        <v>1900</v>
      </c>
      <c r="CT115" t="s">
        <v>1900</v>
      </c>
      <c r="CU115" t="s">
        <v>1900</v>
      </c>
      <c r="CV115" t="s">
        <v>1900</v>
      </c>
      <c r="CW115" t="s">
        <v>1900</v>
      </c>
      <c r="CX115" t="s">
        <v>1900</v>
      </c>
      <c r="CY115" t="s">
        <v>1900</v>
      </c>
      <c r="CZ115">
        <v>2241147.67725419</v>
      </c>
      <c r="DA115">
        <v>1588662.35006714</v>
      </c>
      <c r="DB115">
        <v>1337241.88752539</v>
      </c>
      <c r="DC115">
        <v>1091496.23760416</v>
      </c>
      <c r="DD115">
        <v>1679279.82024029</v>
      </c>
      <c r="DE115" t="s">
        <v>1900</v>
      </c>
      <c r="DF115" t="s">
        <v>1900</v>
      </c>
      <c r="DG115" t="s">
        <v>1900</v>
      </c>
      <c r="DH115" t="s">
        <v>1900</v>
      </c>
      <c r="DI115" t="s">
        <v>1900</v>
      </c>
      <c r="DJ115">
        <v>3077411.85738972</v>
      </c>
      <c r="DK115">
        <v>2354590.26251118</v>
      </c>
      <c r="DL115">
        <v>2093514.13734903</v>
      </c>
      <c r="DM115">
        <v>3094146.74790544</v>
      </c>
      <c r="DN115">
        <v>2430156.69265057</v>
      </c>
      <c r="DO115">
        <v>6632380.44302693</v>
      </c>
      <c r="DP115">
        <v>6734438.29613316</v>
      </c>
      <c r="DQ115">
        <v>5272863.84206319</v>
      </c>
      <c r="DR115">
        <v>4903063.11013613</v>
      </c>
      <c r="DS115">
        <v>4013158.3386705</v>
      </c>
      <c r="DT115">
        <v>533363.731223891</v>
      </c>
      <c r="DU115">
        <v>516181.898306093</v>
      </c>
      <c r="DV115">
        <v>373755.019516826</v>
      </c>
      <c r="DW115">
        <v>83966.2412001371</v>
      </c>
      <c r="DX115">
        <v>89817.20190503</v>
      </c>
      <c r="DY115">
        <v>61698.7778468691</v>
      </c>
      <c r="DZ115">
        <v>-287861.159788551</v>
      </c>
      <c r="EA115">
        <v>148446.894528361</v>
      </c>
      <c r="EB115">
        <v>1824738.21089981</v>
      </c>
      <c r="EC115">
        <v>536648.931849182</v>
      </c>
      <c r="ED115">
        <v>1107.26951968789</v>
      </c>
      <c r="EE115">
        <v>2296.62087569523</v>
      </c>
      <c r="EF115">
        <v>2651.55566181541</v>
      </c>
      <c r="EG115">
        <v>3932.29765949249</v>
      </c>
      <c r="EH115" t="s">
        <v>1900</v>
      </c>
      <c r="EI115" t="s">
        <v>1900</v>
      </c>
      <c r="EJ115" t="s">
        <v>1900</v>
      </c>
      <c r="EK115" t="s">
        <v>1900</v>
      </c>
      <c r="EL115" t="s">
        <v>1900</v>
      </c>
      <c r="EM115" t="s">
        <v>1900</v>
      </c>
      <c r="EN115">
        <v>2774511.40847808</v>
      </c>
      <c r="EO115">
        <v>2104844.24837324</v>
      </c>
      <c r="EP115">
        <v>1710996.90704221</v>
      </c>
      <c r="EQ115">
        <v>1175462.4788043</v>
      </c>
      <c r="ER115">
        <v>1769097.02214533</v>
      </c>
      <c r="ES115">
        <v>9891200.51253677</v>
      </c>
      <c r="ET115">
        <v>9279550.631388299</v>
      </c>
      <c r="EU115">
        <v>7350902.18613532</v>
      </c>
      <c r="EV115">
        <v>6471853.0643182</v>
      </c>
      <c r="EW115">
        <v>6166587.78206576</v>
      </c>
      <c r="EX115">
        <v>3297772.72473132</v>
      </c>
      <c r="EY115">
        <v>2534701.64159295</v>
      </c>
      <c r="EZ115">
        <v>2071404.37257103</v>
      </c>
      <c r="FA115">
        <v>1572020.42473505</v>
      </c>
      <c r="FB115">
        <v>2122210.74876347</v>
      </c>
      <c r="FC115">
        <v>1683284.087218</v>
      </c>
      <c r="FD115">
        <v>1880753.98325928</v>
      </c>
      <c r="FE115">
        <v>1486747.82041823</v>
      </c>
      <c r="FF115">
        <v>1267655.61150978</v>
      </c>
      <c r="FG115">
        <v>1045756.79793797</v>
      </c>
      <c r="FH115">
        <v>1196597.75914096</v>
      </c>
      <c r="FI115">
        <v>1267702.97892952</v>
      </c>
      <c r="FJ115">
        <v>1066966.41981431</v>
      </c>
      <c r="FK115">
        <v>892297.417636085</v>
      </c>
      <c r="FL115">
        <v>675838.351356882</v>
      </c>
      <c r="FM115">
        <v>363234.22807961</v>
      </c>
      <c r="FN115">
        <v>381126.925495081</v>
      </c>
      <c r="FO115">
        <v>358007.606014246</v>
      </c>
      <c r="FP115">
        <v>264794.408767176</v>
      </c>
      <c r="FQ115">
        <v>250129.724688238</v>
      </c>
      <c r="FR115">
        <v>123452.099997435</v>
      </c>
      <c r="FS115">
        <v>231924.078834677</v>
      </c>
      <c r="FT115">
        <v>61773.7945896745</v>
      </c>
      <c r="FU115">
        <v>110563.785106516</v>
      </c>
      <c r="FV115">
        <v>119788.721892846</v>
      </c>
      <c r="FW115">
        <v>1196597.75914096</v>
      </c>
      <c r="FX115">
        <v>1267702.97892952</v>
      </c>
      <c r="FY115">
        <v>1066966.41981431</v>
      </c>
      <c r="FZ115">
        <v>892297.417636085</v>
      </c>
      <c r="GA115">
        <v>675838.351356882</v>
      </c>
      <c r="GB115">
        <v>363234.22807961</v>
      </c>
      <c r="GC115">
        <v>381126.925495081</v>
      </c>
      <c r="GD115">
        <v>358007.606014246</v>
      </c>
      <c r="GE115">
        <v>264794.408767176</v>
      </c>
      <c r="GF115">
        <v>250129.724688238</v>
      </c>
      <c r="GG115">
        <v>123452.099997435</v>
      </c>
      <c r="GH115">
        <v>231924.078834677</v>
      </c>
      <c r="GI115">
        <v>61773.7945896745</v>
      </c>
      <c r="GJ115">
        <v>110563.785106516</v>
      </c>
      <c r="GK115">
        <v>119788.721892846</v>
      </c>
      <c r="GL115">
        <v>7026047.63325195</v>
      </c>
      <c r="GM115">
        <v>5769486.56862468</v>
      </c>
      <c r="GN115">
        <v>4653402.55937528</v>
      </c>
      <c r="GO115">
        <v>4792967.82401419</v>
      </c>
      <c r="GP115">
        <v>4291951.2500735</v>
      </c>
      <c r="GQ115">
        <v>0</v>
      </c>
      <c r="GR115">
        <v>0</v>
      </c>
      <c r="GS115">
        <v>0</v>
      </c>
      <c r="GT115">
        <v>0</v>
      </c>
      <c r="GU115">
        <v>0</v>
      </c>
      <c r="GV115">
        <v>3136711.74451258</v>
      </c>
      <c r="GW115">
        <v>3528813.59183818</v>
      </c>
      <c r="GX115">
        <v>2630115.23088027</v>
      </c>
      <c r="GY115">
        <v>2910855.35588572</v>
      </c>
      <c r="GZ115">
        <v>2223198.99639279</v>
      </c>
      <c r="HA115">
        <v>3889335.88873937</v>
      </c>
      <c r="HB115">
        <v>2240672.9767865</v>
      </c>
      <c r="HC115">
        <v>2023287.32742841</v>
      </c>
      <c r="HD115">
        <v>1882112.46926107</v>
      </c>
      <c r="HE115">
        <v>2068752.25368072</v>
      </c>
      <c r="HF115">
        <v>3888039.34211233</v>
      </c>
      <c r="HG115">
        <v>2236860.41567547</v>
      </c>
      <c r="HH115">
        <v>2008273.73544036</v>
      </c>
      <c r="HI115">
        <v>1860635.45664876</v>
      </c>
      <c r="HJ115">
        <v>2050156.39822537</v>
      </c>
      <c r="HK115">
        <v>8709331.72046995</v>
      </c>
      <c r="HL115">
        <v>7650240.55188395</v>
      </c>
      <c r="HM115">
        <v>6140150.37979351</v>
      </c>
      <c r="HN115">
        <v>6060623.43665657</v>
      </c>
      <c r="HO115">
        <v>5337708.04801147</v>
      </c>
      <c r="HP115">
        <v>6892816.392654</v>
      </c>
      <c r="HQ115">
        <v>5712164.73419934</v>
      </c>
      <c r="HR115">
        <v>4733031.34672434</v>
      </c>
      <c r="HS115">
        <v>4401341.57206085</v>
      </c>
      <c r="HT115">
        <v>4076843.41795975</v>
      </c>
      <c r="HU115">
        <v>36361.4839315414</v>
      </c>
      <c r="HV115">
        <v>38675.0173568726</v>
      </c>
      <c r="HW115">
        <v>37330.9820890427</v>
      </c>
      <c r="HX115">
        <v>39641.010761261</v>
      </c>
      <c r="HY115">
        <v>42948.4754800797</v>
      </c>
      <c r="HZ115">
        <v>6856454.90872246</v>
      </c>
      <c r="IA115">
        <v>5673489.71684247</v>
      </c>
      <c r="IB115">
        <v>4695700.3635687</v>
      </c>
      <c r="IC115">
        <v>4361700.56129959</v>
      </c>
      <c r="ID115">
        <v>4033894.94247967</v>
      </c>
      <c r="IE115">
        <v>59528.8813596654</v>
      </c>
      <c r="IF115">
        <v>253265.837412596</v>
      </c>
      <c r="IG115">
        <v>425004.591627896</v>
      </c>
      <c r="IH115">
        <v>687445.075995255</v>
      </c>
      <c r="II115">
        <v>0</v>
      </c>
      <c r="IJ115">
        <v>59528.8813596654</v>
      </c>
      <c r="IK115">
        <v>253265.837412596</v>
      </c>
      <c r="IL115">
        <v>425004.591627896</v>
      </c>
      <c r="IM115">
        <v>687445.075995255</v>
      </c>
      <c r="IN115" t="s">
        <v>1900</v>
      </c>
      <c r="IO115">
        <v>0</v>
      </c>
      <c r="IP115">
        <v>0</v>
      </c>
      <c r="IQ115">
        <v>0</v>
      </c>
      <c r="IR115">
        <v>0</v>
      </c>
      <c r="IS115" t="s">
        <v>1900</v>
      </c>
      <c r="IT115">
        <v>0</v>
      </c>
      <c r="IU115">
        <v>0</v>
      </c>
      <c r="IV115">
        <v>0</v>
      </c>
      <c r="IW115">
        <v>0</v>
      </c>
      <c r="IX115" t="s">
        <v>1900</v>
      </c>
      <c r="IY115">
        <v>1756986.44645628</v>
      </c>
      <c r="IZ115">
        <v>1684809.98027202</v>
      </c>
      <c r="JA115">
        <v>982114.441441274</v>
      </c>
      <c r="JB115">
        <v>971836.788600469</v>
      </c>
      <c r="JC115">
        <v>1260864.63005172</v>
      </c>
      <c r="JD115">
        <v>0</v>
      </c>
      <c r="JE115">
        <v>0</v>
      </c>
      <c r="JF115">
        <v>0</v>
      </c>
      <c r="JG115">
        <v>0</v>
      </c>
      <c r="JH115">
        <v>0</v>
      </c>
      <c r="JI115">
        <v>904114.729929774</v>
      </c>
      <c r="JJ115">
        <v>760196.881517019</v>
      </c>
      <c r="JK115">
        <v>646581.942527741</v>
      </c>
      <c r="JL115">
        <v>592687.362435579</v>
      </c>
      <c r="JM115">
        <v>622674.826403725</v>
      </c>
      <c r="JN115">
        <v>852871.716526511</v>
      </c>
      <c r="JO115">
        <v>924613.097649997</v>
      </c>
      <c r="JP115">
        <v>335532.498913533</v>
      </c>
      <c r="JQ115">
        <v>379149.426164889</v>
      </c>
      <c r="JR115">
        <v>638189.803647995</v>
      </c>
      <c r="JS115">
        <v>8709331.72046995</v>
      </c>
      <c r="JT115">
        <v>7650240.55188395</v>
      </c>
      <c r="JU115">
        <v>6140150.37979351</v>
      </c>
      <c r="JV115">
        <v>6060623.43665657</v>
      </c>
      <c r="JW115">
        <v>5337708.04801147</v>
      </c>
      <c r="JX115">
        <v>2232597.0145828</v>
      </c>
      <c r="JY115">
        <v>2768616.71032116</v>
      </c>
      <c r="JZ115">
        <v>1983533.28835253</v>
      </c>
      <c r="KA115">
        <v>2318167.99345014</v>
      </c>
      <c r="KB115">
        <v>1600524.16998906</v>
      </c>
      <c r="KC115" t="s">
        <v>1900</v>
      </c>
      <c r="KD115" t="s">
        <v>1900</v>
      </c>
      <c r="KE115" t="s">
        <v>1900</v>
      </c>
      <c r="KF115" t="s">
        <v>1900</v>
      </c>
      <c r="KG115" t="s">
        <v>1900</v>
      </c>
      <c r="KH115" t="s">
        <v>1900</v>
      </c>
      <c r="KI115" t="s">
        <v>1900</v>
      </c>
      <c r="KJ115" t="s">
        <v>1900</v>
      </c>
      <c r="KK115" t="s">
        <v>1900</v>
      </c>
      <c r="KL115" t="s">
        <v>1900</v>
      </c>
      <c r="KM115">
        <v>127</v>
      </c>
      <c r="KN115">
        <v>120</v>
      </c>
      <c r="KO115">
        <v>116</v>
      </c>
      <c r="KP115">
        <v>91</v>
      </c>
      <c r="KQ115">
        <v>82</v>
      </c>
      <c r="KR115" t="s">
        <v>1900</v>
      </c>
      <c r="KS115" t="s">
        <v>1900</v>
      </c>
      <c r="KT115" t="s">
        <v>1900</v>
      </c>
      <c r="KU115" t="s">
        <v>1900</v>
      </c>
      <c r="KV115" t="s">
        <v>1900</v>
      </c>
      <c r="KW115" t="s">
        <v>1900</v>
      </c>
      <c r="KX115" t="s">
        <v>1900</v>
      </c>
      <c r="KY115" t="s">
        <v>1900</v>
      </c>
      <c r="KZ115" t="s">
        <v>1900</v>
      </c>
      <c r="LA115" t="s">
        <v>1900</v>
      </c>
      <c r="LB115" t="s">
        <v>1900</v>
      </c>
      <c r="LC115" t="s">
        <v>1900</v>
      </c>
      <c r="LD115" t="s">
        <v>1900</v>
      </c>
      <c r="LE115" t="s">
        <v>1900</v>
      </c>
      <c r="LF115" t="s">
        <v>1900</v>
      </c>
      <c r="LG115" t="s">
        <v>1900</v>
      </c>
      <c r="LH115" t="s">
        <v>1900</v>
      </c>
      <c r="LI115" t="s">
        <v>1900</v>
      </c>
      <c r="LJ115" t="s">
        <v>1900</v>
      </c>
      <c r="LK115" t="s">
        <v>1900</v>
      </c>
      <c r="LL115" t="s">
        <v>1900</v>
      </c>
      <c r="LM115" t="s">
        <v>1900</v>
      </c>
      <c r="LN115" t="s">
        <v>1900</v>
      </c>
      <c r="LO115" t="s">
        <v>1900</v>
      </c>
      <c r="LP115" t="s">
        <v>1900</v>
      </c>
      <c r="LQ115" t="s">
        <v>1900</v>
      </c>
      <c r="LR115" t="s">
        <v>1900</v>
      </c>
      <c r="LS115" t="s">
        <v>1900</v>
      </c>
      <c r="LT115" t="s">
        <v>1900</v>
      </c>
      <c r="LU115" t="s">
        <v>1900</v>
      </c>
      <c r="LV115" t="s">
        <v>1900</v>
      </c>
      <c r="LW115" t="s">
        <v>1900</v>
      </c>
      <c r="LX115" t="s">
        <v>1900</v>
      </c>
      <c r="LY115" t="s">
        <v>1900</v>
      </c>
      <c r="LZ115" t="s">
        <v>1900</v>
      </c>
      <c r="MA115" t="s">
        <v>1900</v>
      </c>
      <c r="MB115" t="s">
        <v>1900</v>
      </c>
      <c r="MC115" t="s">
        <v>1900</v>
      </c>
      <c r="MD115" t="s">
        <v>1900</v>
      </c>
      <c r="ME115" t="s">
        <v>1900</v>
      </c>
      <c r="MF115" t="s">
        <v>1900</v>
      </c>
      <c r="MG115" t="s">
        <v>1900</v>
      </c>
      <c r="MH115" t="s">
        <v>1900</v>
      </c>
      <c r="MI115" t="s">
        <v>1900</v>
      </c>
      <c r="MJ115" t="s">
        <v>1900</v>
      </c>
      <c r="MK115" t="s">
        <v>1900</v>
      </c>
      <c r="ML115" t="s">
        <v>1900</v>
      </c>
      <c r="MM115" t="s">
        <v>1900</v>
      </c>
      <c r="MN115" t="s">
        <v>1900</v>
      </c>
      <c r="MO115" t="s">
        <v>1900</v>
      </c>
      <c r="MP115">
        <v>3889335.88873937</v>
      </c>
      <c r="MQ115">
        <v>2240672.9767865</v>
      </c>
      <c r="MR115">
        <v>2023287.32742841</v>
      </c>
      <c r="MS115">
        <v>1882112.46926107</v>
      </c>
      <c r="MT115">
        <v>2068752.25368072</v>
      </c>
      <c r="MU115" t="s">
        <v>1900</v>
      </c>
      <c r="MV115" t="s">
        <v>1900</v>
      </c>
      <c r="MW115" t="s">
        <v>1900</v>
      </c>
      <c r="MX115" t="s">
        <v>1900</v>
      </c>
      <c r="MY115" t="s">
        <v>1900</v>
      </c>
      <c r="MZ115" t="s">
        <v>1900</v>
      </c>
      <c r="NA115" t="s">
        <v>1900</v>
      </c>
      <c r="NB115" t="s">
        <v>1900</v>
      </c>
      <c r="NC115" t="s">
        <v>1900</v>
      </c>
      <c r="ND115" t="s">
        <v>1900</v>
      </c>
      <c r="NE115" t="s">
        <v>1900</v>
      </c>
      <c r="NF115" t="s">
        <v>1900</v>
      </c>
      <c r="NG115" t="s">
        <v>1900</v>
      </c>
      <c r="NH115" t="s">
        <v>1900</v>
      </c>
      <c r="NI115" t="s">
        <v>1900</v>
      </c>
      <c r="NJ115" t="s">
        <v>1900</v>
      </c>
      <c r="NK115" t="s">
        <v>1900</v>
      </c>
      <c r="NL115" t="s">
        <v>1900</v>
      </c>
      <c r="NM115" t="s">
        <v>1900</v>
      </c>
      <c r="NN115" t="s">
        <v>1900</v>
      </c>
      <c r="NO115" t="s">
        <v>1900</v>
      </c>
      <c r="NP115" t="s">
        <v>1900</v>
      </c>
      <c r="NQ115" t="s">
        <v>1900</v>
      </c>
      <c r="NR115" t="s">
        <v>1900</v>
      </c>
      <c r="NS115" t="s">
        <v>1900</v>
      </c>
      <c r="NT115">
        <v>1683284.087218</v>
      </c>
      <c r="NU115">
        <v>1880753.98325928</v>
      </c>
      <c r="NV115">
        <v>1486747.82041823</v>
      </c>
      <c r="NW115">
        <v>1267655.61150978</v>
      </c>
      <c r="NX115">
        <v>1045756.79793797</v>
      </c>
      <c r="NY115" t="s">
        <v>1900</v>
      </c>
      <c r="NZ115" t="s">
        <v>1900</v>
      </c>
      <c r="OA115" t="s">
        <v>1900</v>
      </c>
      <c r="OB115" t="s">
        <v>1900</v>
      </c>
      <c r="OC115" t="s">
        <v>1900</v>
      </c>
      <c r="OD115" t="s">
        <v>1900</v>
      </c>
      <c r="OE115" t="s">
        <v>1900</v>
      </c>
      <c r="OF115" t="s">
        <v>1900</v>
      </c>
      <c r="OG115" t="s">
        <v>1900</v>
      </c>
      <c r="OH115" t="s">
        <v>1900</v>
      </c>
      <c r="OI115" t="s">
        <v>1900</v>
      </c>
      <c r="OJ115" t="s">
        <v>1900</v>
      </c>
      <c r="OK115" t="s">
        <v>1900</v>
      </c>
      <c r="OL115" t="s">
        <v>1900</v>
      </c>
      <c r="OM115" t="s">
        <v>1900</v>
      </c>
      <c r="ON115" t="s">
        <v>1900</v>
      </c>
      <c r="OO115" t="s">
        <v>1900</v>
      </c>
      <c r="OP115" t="s">
        <v>1900</v>
      </c>
      <c r="OQ115" t="s">
        <v>1900</v>
      </c>
      <c r="OR115" t="s">
        <v>1900</v>
      </c>
      <c r="OS115" t="s">
        <v>1900</v>
      </c>
      <c r="OT115" t="s">
        <v>1900</v>
      </c>
      <c r="OU115" t="s">
        <v>1900</v>
      </c>
      <c r="OV115" t="s">
        <v>1900</v>
      </c>
      <c r="OW115" t="s">
        <v>1900</v>
      </c>
      <c r="OX115" t="s">
        <v>1900</v>
      </c>
      <c r="OY115" t="s">
        <v>1900</v>
      </c>
      <c r="OZ115" t="s">
        <v>1900</v>
      </c>
      <c r="PA115" t="s">
        <v>1900</v>
      </c>
      <c r="PB115" t="s">
        <v>1900</v>
      </c>
      <c r="PC115" t="s">
        <v>1900</v>
      </c>
      <c r="PD115" t="s">
        <v>1900</v>
      </c>
      <c r="PE115" t="s">
        <v>1900</v>
      </c>
      <c r="PF115" t="s">
        <v>1900</v>
      </c>
      <c r="PG115" t="s">
        <v>1900</v>
      </c>
      <c r="PH115" t="s">
        <v>1900</v>
      </c>
      <c r="PI115" t="s">
        <v>1900</v>
      </c>
      <c r="PJ115" t="s">
        <v>1900</v>
      </c>
      <c r="PK115" t="s">
        <v>1900</v>
      </c>
      <c r="PL115" t="s">
        <v>1900</v>
      </c>
      <c r="PM115" t="s">
        <v>1900</v>
      </c>
      <c r="PN115" t="s">
        <v>1900</v>
      </c>
      <c r="PO115" t="s">
        <v>1900</v>
      </c>
      <c r="PP115" t="s">
        <v>1900</v>
      </c>
      <c r="PQ115" t="s">
        <v>1900</v>
      </c>
      <c r="PR115" t="s">
        <v>1900</v>
      </c>
      <c r="PS115" t="s">
        <v>1900</v>
      </c>
      <c r="PT115" t="s">
        <v>1900</v>
      </c>
      <c r="PU115" t="s">
        <v>1900</v>
      </c>
      <c r="PV115" t="s">
        <v>1900</v>
      </c>
      <c r="PW115" t="s">
        <v>1900</v>
      </c>
      <c r="PX115" t="s">
        <v>1900</v>
      </c>
      <c r="PY115" t="s">
        <v>1900</v>
      </c>
      <c r="PZ115" t="s">
        <v>1900</v>
      </c>
      <c r="QA115" t="s">
        <v>1900</v>
      </c>
      <c r="QB115" t="s">
        <v>1900</v>
      </c>
      <c r="QC115" t="s">
        <v>1900</v>
      </c>
      <c r="QD115" t="s">
        <v>1900</v>
      </c>
      <c r="QE115" t="s">
        <v>1900</v>
      </c>
      <c r="QF115" t="s">
        <v>1900</v>
      </c>
      <c r="QG115" t="s">
        <v>1900</v>
      </c>
      <c r="QH115" t="s">
        <v>1900</v>
      </c>
      <c r="QI115" t="s">
        <v>1900</v>
      </c>
      <c r="QJ115" t="s">
        <v>1900</v>
      </c>
      <c r="QK115" t="s">
        <v>1900</v>
      </c>
      <c r="QL115" t="s">
        <v>1900</v>
      </c>
      <c r="QM115" t="s">
        <v>1900</v>
      </c>
      <c r="QN115" t="s">
        <v>1900</v>
      </c>
      <c r="QO115" t="s">
        <v>1900</v>
      </c>
      <c r="QP115" t="s">
        <v>1900</v>
      </c>
      <c r="QQ115" t="s">
        <v>1900</v>
      </c>
      <c r="QR115" t="s">
        <v>1900</v>
      </c>
      <c r="QS115" t="s">
        <v>1900</v>
      </c>
      <c r="QT115" t="s">
        <v>1900</v>
      </c>
      <c r="QU115" t="s">
        <v>1900</v>
      </c>
      <c r="QV115" t="s">
        <v>1900</v>
      </c>
      <c r="QW115" t="s">
        <v>1900</v>
      </c>
      <c r="QX115" t="s">
        <v>1900</v>
      </c>
      <c r="QY115" t="s">
        <v>1900</v>
      </c>
      <c r="QZ115" t="s">
        <v>1900</v>
      </c>
      <c r="RA115" t="s">
        <v>1900</v>
      </c>
      <c r="RB115" t="s">
        <v>1900</v>
      </c>
      <c r="RC115" t="s">
        <v>1900</v>
      </c>
      <c r="RD115" t="s">
        <v>1900</v>
      </c>
      <c r="RE115" t="s">
        <v>1900</v>
      </c>
      <c r="RF115" t="s">
        <v>1900</v>
      </c>
      <c r="RG115" t="s">
        <v>1900</v>
      </c>
      <c r="RH115" t="s">
        <v>1900</v>
      </c>
      <c r="RI115" t="s">
        <v>1900</v>
      </c>
      <c r="RJ115" t="s">
        <v>1900</v>
      </c>
      <c r="RK115" t="s">
        <v>1900</v>
      </c>
      <c r="RL115" t="s">
        <v>1900</v>
      </c>
      <c r="RM115" t="s">
        <v>1900</v>
      </c>
      <c r="RN115" t="s">
        <v>1900</v>
      </c>
      <c r="RO115" t="s">
        <v>1900</v>
      </c>
      <c r="RP115" t="s">
        <v>1900</v>
      </c>
      <c r="RQ115" t="s">
        <v>1900</v>
      </c>
      <c r="RR115" t="s">
        <v>1900</v>
      </c>
      <c r="RS115" t="s">
        <v>1900</v>
      </c>
      <c r="RT115" t="s">
        <v>1900</v>
      </c>
      <c r="RU115" t="s">
        <v>1900</v>
      </c>
      <c r="RV115" t="s">
        <v>1900</v>
      </c>
      <c r="RW115" t="s">
        <v>1900</v>
      </c>
      <c r="RX115" t="s">
        <v>1900</v>
      </c>
      <c r="RY115" t="s">
        <v>1900</v>
      </c>
      <c r="RZ115" t="s">
        <v>1900</v>
      </c>
      <c r="SA115" t="s">
        <v>1900</v>
      </c>
      <c r="SB115" t="s">
        <v>1900</v>
      </c>
      <c r="SC115" t="s">
        <v>1900</v>
      </c>
      <c r="SD115" t="s">
        <v>1900</v>
      </c>
      <c r="SE115" t="s">
        <v>1900</v>
      </c>
      <c r="SF115" t="s">
        <v>1900</v>
      </c>
      <c r="SG115" t="s">
        <v>1900</v>
      </c>
      <c r="SH115" t="s">
        <v>1900</v>
      </c>
      <c r="SI115" t="s">
        <v>1900</v>
      </c>
      <c r="SJ115">
        <v>123452.099997435</v>
      </c>
      <c r="SK115">
        <v>231924.078834677</v>
      </c>
      <c r="SL115">
        <v>61773.7945896745</v>
      </c>
      <c r="SM115">
        <v>110563.785106516</v>
      </c>
      <c r="SN115">
        <v>119788.721892846</v>
      </c>
      <c r="SO115" t="s">
        <v>1900</v>
      </c>
      <c r="SP115" t="s">
        <v>1900</v>
      </c>
      <c r="SQ115" t="s">
        <v>1900</v>
      </c>
      <c r="SR115" t="s">
        <v>1900</v>
      </c>
      <c r="SS115" t="s">
        <v>1900</v>
      </c>
      <c r="ST115" t="s">
        <v>1900</v>
      </c>
      <c r="SU115" t="s">
        <v>1900</v>
      </c>
      <c r="SV115" t="s">
        <v>1900</v>
      </c>
      <c r="SW115" t="s">
        <v>1900</v>
      </c>
      <c r="SX115" t="s">
        <v>1900</v>
      </c>
      <c r="SY115" t="s">
        <v>1900</v>
      </c>
      <c r="SZ115" t="s">
        <v>1900</v>
      </c>
      <c r="TA115" t="s">
        <v>1900</v>
      </c>
      <c r="TB115" t="s">
        <v>1900</v>
      </c>
      <c r="TC115" t="s">
        <v>1900</v>
      </c>
      <c r="TD115" t="s">
        <v>1900</v>
      </c>
      <c r="TE115" t="s">
        <v>1900</v>
      </c>
      <c r="TF115" t="s">
        <v>1900</v>
      </c>
      <c r="TG115" t="s">
        <v>1900</v>
      </c>
      <c r="TH115" t="s">
        <v>1900</v>
      </c>
      <c r="TI115" t="s">
        <v>1900</v>
      </c>
      <c r="TJ115" t="s">
        <v>1900</v>
      </c>
      <c r="TK115" t="s">
        <v>1900</v>
      </c>
      <c r="TL115" t="s">
        <v>1900</v>
      </c>
      <c r="TM115" t="s">
        <v>1900</v>
      </c>
      <c r="TN115" t="s">
        <v>1900</v>
      </c>
      <c r="TO115" t="s">
        <v>1900</v>
      </c>
      <c r="TP115" t="s">
        <v>1900</v>
      </c>
      <c r="TQ115" t="s">
        <v>1900</v>
      </c>
      <c r="TR115" t="s">
        <v>1900</v>
      </c>
      <c r="TS115">
        <v>8709331.72046995</v>
      </c>
      <c r="TT115">
        <v>7650240.55188395</v>
      </c>
      <c r="TU115">
        <v>6140150.37979351</v>
      </c>
      <c r="TV115">
        <v>6060623.43665657</v>
      </c>
      <c r="TW115">
        <v>5337708.04801147</v>
      </c>
      <c r="TX115" t="s">
        <v>1900</v>
      </c>
      <c r="TY115" t="s">
        <v>1900</v>
      </c>
      <c r="TZ115" t="s">
        <v>1900</v>
      </c>
      <c r="UA115" t="s">
        <v>1900</v>
      </c>
      <c r="UB115" t="s">
        <v>1900</v>
      </c>
      <c r="UC115">
        <v>0</v>
      </c>
      <c r="UD115">
        <v>0</v>
      </c>
      <c r="UE115">
        <v>0</v>
      </c>
      <c r="UF115">
        <v>0</v>
      </c>
      <c r="UG115">
        <v>0</v>
      </c>
      <c r="UH115" t="s">
        <v>1900</v>
      </c>
      <c r="UI115" t="s">
        <v>1900</v>
      </c>
      <c r="UJ115" t="s">
        <v>1900</v>
      </c>
      <c r="UK115" t="s">
        <v>1900</v>
      </c>
      <c r="UL115" t="s">
        <v>1900</v>
      </c>
      <c r="UM115" t="s">
        <v>1900</v>
      </c>
      <c r="UN115" t="s">
        <v>1900</v>
      </c>
      <c r="UO115" t="s">
        <v>1900</v>
      </c>
      <c r="UP115" t="s">
        <v>1900</v>
      </c>
      <c r="UQ115" t="s">
        <v>1900</v>
      </c>
      <c r="UR115" t="s">
        <v>1900</v>
      </c>
      <c r="US115" t="s">
        <v>1900</v>
      </c>
      <c r="UT115" t="s">
        <v>1900</v>
      </c>
      <c r="UU115" t="s">
        <v>1900</v>
      </c>
      <c r="UV115" t="s">
        <v>1900</v>
      </c>
      <c r="UW115" t="s">
        <v>1900</v>
      </c>
      <c r="UX115" t="s">
        <v>1900</v>
      </c>
      <c r="UY115" t="s">
        <v>1900</v>
      </c>
      <c r="UZ115" t="s">
        <v>1900</v>
      </c>
      <c r="VA115" t="s">
        <v>1900</v>
      </c>
      <c r="VB115" t="s">
        <v>1900</v>
      </c>
      <c r="VC115" t="s">
        <v>1900</v>
      </c>
      <c r="VD115" t="s">
        <v>1900</v>
      </c>
      <c r="VE115" t="s">
        <v>1900</v>
      </c>
      <c r="VF115" t="s">
        <v>1900</v>
      </c>
      <c r="VG115" t="s">
        <v>1900</v>
      </c>
      <c r="VH115" t="s">
        <v>1900</v>
      </c>
      <c r="VI115" t="s">
        <v>1900</v>
      </c>
      <c r="VJ115" t="s">
        <v>1900</v>
      </c>
      <c r="VK115" t="s">
        <v>1900</v>
      </c>
      <c r="VL115" t="s">
        <v>1900</v>
      </c>
      <c r="VM115" t="s">
        <v>1900</v>
      </c>
      <c r="VN115" t="s">
        <v>1900</v>
      </c>
      <c r="VO115" t="s">
        <v>1900</v>
      </c>
      <c r="VP115" t="s">
        <v>1900</v>
      </c>
      <c r="VQ115" t="s">
        <v>1900</v>
      </c>
      <c r="VR115" t="s">
        <v>1900</v>
      </c>
      <c r="VS115" t="s">
        <v>1900</v>
      </c>
      <c r="VT115" t="s">
        <v>1900</v>
      </c>
      <c r="VU115" t="s">
        <v>1900</v>
      </c>
      <c r="VV115" t="s">
        <v>1900</v>
      </c>
      <c r="VW115" t="s">
        <v>1900</v>
      </c>
      <c r="VX115" t="s">
        <v>1900</v>
      </c>
      <c r="VY115" t="s">
        <v>1900</v>
      </c>
      <c r="VZ115" t="s">
        <v>1900</v>
      </c>
      <c r="WA115">
        <v>852871.716526511</v>
      </c>
      <c r="WB115">
        <v>924613.097649997</v>
      </c>
      <c r="WC115">
        <v>335532.498913533</v>
      </c>
      <c r="WD115">
        <v>379149.426164889</v>
      </c>
      <c r="WE115">
        <v>638189.803647995</v>
      </c>
      <c r="WF115" t="s">
        <v>1900</v>
      </c>
      <c r="WG115" t="s">
        <v>1900</v>
      </c>
      <c r="WH115" t="s">
        <v>1900</v>
      </c>
      <c r="WI115" t="s">
        <v>1900</v>
      </c>
      <c r="WJ115" t="s">
        <v>1900</v>
      </c>
      <c r="WK115" t="s">
        <v>1900</v>
      </c>
      <c r="WL115" t="s">
        <v>1900</v>
      </c>
      <c r="WM115" t="s">
        <v>1900</v>
      </c>
      <c r="WN115" t="s">
        <v>1900</v>
      </c>
      <c r="WO115" t="s">
        <v>1900</v>
      </c>
      <c r="WP115" t="s">
        <v>1900</v>
      </c>
      <c r="WQ115" t="s">
        <v>1900</v>
      </c>
      <c r="WR115" t="s">
        <v>1900</v>
      </c>
      <c r="WS115" t="s">
        <v>1900</v>
      </c>
      <c r="WT115" t="s">
        <v>1900</v>
      </c>
      <c r="WU115" t="s">
        <v>1900</v>
      </c>
      <c r="WV115" t="s">
        <v>1900</v>
      </c>
      <c r="WW115" t="s">
        <v>1900</v>
      </c>
      <c r="WX115" t="s">
        <v>1900</v>
      </c>
      <c r="WY115" t="s">
        <v>1900</v>
      </c>
      <c r="WZ115" t="s">
        <v>1900</v>
      </c>
      <c r="XA115" t="s">
        <v>1900</v>
      </c>
      <c r="XB115" t="s">
        <v>1900</v>
      </c>
      <c r="XC115" t="s">
        <v>1900</v>
      </c>
      <c r="XD115" t="s">
        <v>1900</v>
      </c>
      <c r="XE115" t="s">
        <v>1900</v>
      </c>
      <c r="XF115" t="s">
        <v>1900</v>
      </c>
      <c r="XG115" t="s">
        <v>1900</v>
      </c>
      <c r="XH115" t="s">
        <v>1900</v>
      </c>
      <c r="XI115" t="s">
        <v>1900</v>
      </c>
      <c r="XJ115">
        <v>0</v>
      </c>
      <c r="XK115">
        <v>0</v>
      </c>
      <c r="XL115">
        <v>0</v>
      </c>
      <c r="XM115">
        <v>0</v>
      </c>
      <c r="XN115" t="s">
        <v>1900</v>
      </c>
      <c r="XO115" t="s">
        <v>1900</v>
      </c>
      <c r="XP115" t="s">
        <v>1900</v>
      </c>
      <c r="XQ115" t="s">
        <v>1900</v>
      </c>
      <c r="XR115" t="s">
        <v>1900</v>
      </c>
      <c r="XS115" t="s">
        <v>1900</v>
      </c>
      <c r="XT115" t="s">
        <v>1900</v>
      </c>
      <c r="XU115" t="s">
        <v>1900</v>
      </c>
      <c r="XV115" t="s">
        <v>1900</v>
      </c>
      <c r="XW115" t="s">
        <v>1900</v>
      </c>
      <c r="XX115" t="s">
        <v>1900</v>
      </c>
      <c r="XY115">
        <v>0</v>
      </c>
      <c r="XZ115">
        <v>0</v>
      </c>
      <c r="YA115">
        <v>0</v>
      </c>
      <c r="YB115">
        <v>0</v>
      </c>
      <c r="YC115" t="s">
        <v>1900</v>
      </c>
      <c r="YD115" t="s">
        <v>1900</v>
      </c>
      <c r="YE115" t="s">
        <v>1900</v>
      </c>
      <c r="YF115" t="s">
        <v>1900</v>
      </c>
      <c r="YG115" t="s">
        <v>1900</v>
      </c>
      <c r="YH115" t="s">
        <v>1900</v>
      </c>
      <c r="YI115" t="s">
        <v>1900</v>
      </c>
      <c r="YJ115" t="s">
        <v>1900</v>
      </c>
      <c r="YK115" t="s">
        <v>1900</v>
      </c>
      <c r="YL115" t="s">
        <v>1900</v>
      </c>
      <c r="YM115" t="s">
        <v>1900</v>
      </c>
      <c r="YN115" t="s">
        <v>1900</v>
      </c>
      <c r="YO115" t="s">
        <v>1900</v>
      </c>
      <c r="YP115" t="s">
        <v>1900</v>
      </c>
      <c r="YQ115" t="s">
        <v>1900</v>
      </c>
      <c r="YR115" t="s">
        <v>1900</v>
      </c>
      <c r="YS115" t="s">
        <v>1900</v>
      </c>
      <c r="YT115" t="s">
        <v>1900</v>
      </c>
      <c r="YU115" t="s">
        <v>1900</v>
      </c>
      <c r="YV115" t="s">
        <v>1900</v>
      </c>
      <c r="YW115" t="s">
        <v>1900</v>
      </c>
      <c r="YX115" t="s">
        <v>1900</v>
      </c>
      <c r="YY115" t="s">
        <v>1900</v>
      </c>
      <c r="YZ115" t="s">
        <v>1900</v>
      </c>
      <c r="ZA115" t="s">
        <v>1900</v>
      </c>
      <c r="ZB115" t="s">
        <v>1900</v>
      </c>
      <c r="ZC115" t="s">
        <v>1900</v>
      </c>
      <c r="ZD115" t="s">
        <v>1900</v>
      </c>
      <c r="ZE115" t="s">
        <v>1900</v>
      </c>
      <c r="ZF115" t="s">
        <v>1900</v>
      </c>
      <c r="ZG115" t="s">
        <v>1900</v>
      </c>
      <c r="ZH115" t="s">
        <v>1900</v>
      </c>
      <c r="ZI115" t="s">
        <v>1900</v>
      </c>
      <c r="ZJ115" t="s">
        <v>1900</v>
      </c>
      <c r="ZK115" t="s">
        <v>1900</v>
      </c>
      <c r="ZL115" t="s">
        <v>1900</v>
      </c>
      <c r="ZM115" t="s">
        <v>1900</v>
      </c>
      <c r="ZN115" t="s">
        <v>1900</v>
      </c>
      <c r="ZO115" t="s">
        <v>1900</v>
      </c>
      <c r="ZP115" t="s">
        <v>1900</v>
      </c>
      <c r="ZQ115" t="s">
        <v>1900</v>
      </c>
      <c r="ZR115" t="s">
        <v>1900</v>
      </c>
      <c r="ZS115" t="s">
        <v>1900</v>
      </c>
      <c r="ZT115" t="s">
        <v>1900</v>
      </c>
      <c r="ZU115" t="s">
        <v>1900</v>
      </c>
      <c r="ZV115" t="s">
        <v>1900</v>
      </c>
      <c r="ZW115" t="s">
        <v>1900</v>
      </c>
      <c r="ZX115" t="s">
        <v>1900</v>
      </c>
      <c r="ZY115" t="s">
        <v>1900</v>
      </c>
      <c r="ZZ115" t="s">
        <v>1900</v>
      </c>
      <c r="AAA115" t="s">
        <v>1900</v>
      </c>
      <c r="AAB115" t="s">
        <v>1900</v>
      </c>
      <c r="AAC115" t="s">
        <v>1900</v>
      </c>
      <c r="AAD115" t="s">
        <v>1900</v>
      </c>
      <c r="AAE115" t="s">
        <v>1900</v>
      </c>
      <c r="AAF115" t="s">
        <v>1900</v>
      </c>
      <c r="AAG115" t="s">
        <v>1900</v>
      </c>
      <c r="AAH115" t="s">
        <v>1900</v>
      </c>
      <c r="AAI115" t="s">
        <v>1900</v>
      </c>
      <c r="AAJ115" t="s">
        <v>1900</v>
      </c>
      <c r="AAK115" t="s">
        <v>1900</v>
      </c>
      <c r="AAL115" t="s">
        <v>1900</v>
      </c>
      <c r="AAM115" t="s">
        <v>1900</v>
      </c>
      <c r="AAN115" t="s">
        <v>1900</v>
      </c>
      <c r="AAO115" t="s">
        <v>1900</v>
      </c>
      <c r="AAP115" t="s">
        <v>1900</v>
      </c>
      <c r="AAQ115" t="s">
        <v>1900</v>
      </c>
      <c r="AAR115" t="s">
        <v>1900</v>
      </c>
      <c r="AAS115" t="s">
        <v>1900</v>
      </c>
      <c r="AAT115" t="s">
        <v>1900</v>
      </c>
      <c r="AAU115" t="s">
        <v>1900</v>
      </c>
      <c r="AAV115" t="s">
        <v>1900</v>
      </c>
      <c r="AAW115" t="s">
        <v>1900</v>
      </c>
      <c r="AAX115" t="s">
        <v>1900</v>
      </c>
      <c r="AAY115" t="s">
        <v>1900</v>
      </c>
      <c r="AAZ115" t="s">
        <v>1900</v>
      </c>
      <c r="ABA115" t="s">
        <v>1900</v>
      </c>
      <c r="ABB115" t="s">
        <v>1900</v>
      </c>
      <c r="ABC115" t="s">
        <v>1900</v>
      </c>
      <c r="ABD115" t="s">
        <v>1900</v>
      </c>
      <c r="ABE115" t="s">
        <v>1900</v>
      </c>
      <c r="ABF115" t="s">
        <v>1900</v>
      </c>
      <c r="ABG115" t="s">
        <v>1900</v>
      </c>
      <c r="ABH115" t="s">
        <v>1900</v>
      </c>
      <c r="ABI115" t="s">
        <v>1900</v>
      </c>
      <c r="ABJ115" t="s">
        <v>1900</v>
      </c>
      <c r="ABK115" t="s">
        <v>1900</v>
      </c>
      <c r="ABL115" t="s">
        <v>1900</v>
      </c>
      <c r="ABM115" t="s">
        <v>1900</v>
      </c>
      <c r="ABN115" t="s">
        <v>1900</v>
      </c>
      <c r="ABO115" t="s">
        <v>1900</v>
      </c>
      <c r="ABP115" t="s">
        <v>1900</v>
      </c>
      <c r="ABQ115" t="s">
        <v>1900</v>
      </c>
      <c r="ABR115" t="s">
        <v>1900</v>
      </c>
      <c r="ABS115" t="s">
        <v>1900</v>
      </c>
      <c r="ABT115" t="s">
        <v>1900</v>
      </c>
      <c r="ABU115" t="s">
        <v>1900</v>
      </c>
      <c r="ABV115" t="s">
        <v>1900</v>
      </c>
      <c r="ABW115" t="s">
        <v>1900</v>
      </c>
      <c r="ABX115" t="s">
        <v>1900</v>
      </c>
      <c r="ABY115" t="s">
        <v>1900</v>
      </c>
      <c r="ABZ115" t="s">
        <v>1900</v>
      </c>
      <c r="ACA115" t="s">
        <v>1900</v>
      </c>
      <c r="ACB115" t="s">
        <v>1900</v>
      </c>
      <c r="ACC115" t="s">
        <v>1900</v>
      </c>
      <c r="ACD115" t="s">
        <v>1900</v>
      </c>
      <c r="ACE115">
        <v>39.524</v>
      </c>
      <c r="ACF115">
        <v>35.479</v>
      </c>
      <c r="ACG115">
        <v>35.952</v>
      </c>
      <c r="ACH115">
        <v>33.646</v>
      </c>
      <c r="ACI115">
        <v>50.618</v>
      </c>
      <c r="ACJ115">
        <v>39.202</v>
      </c>
      <c r="ACK115">
        <v>34.011</v>
      </c>
      <c r="ACL115">
        <v>33.041</v>
      </c>
      <c r="ACM115">
        <v>29.178</v>
      </c>
      <c r="ACN115" t="s">
        <v>1900</v>
      </c>
      <c r="ACO115">
        <v>31.281</v>
      </c>
      <c r="ACP115">
        <v>26.491</v>
      </c>
      <c r="ACQ115">
        <v>27.713</v>
      </c>
      <c r="ACR115">
        <v>24.435</v>
      </c>
      <c r="ACS115">
        <v>38.661</v>
      </c>
      <c r="ACT115">
        <v>32.514</v>
      </c>
      <c r="ACU115">
        <v>27.812</v>
      </c>
      <c r="ACV115">
        <v>28.253</v>
      </c>
      <c r="ACW115">
        <v>24.799</v>
      </c>
      <c r="ACX115">
        <v>41.191</v>
      </c>
      <c r="ACY115">
        <v>32.252</v>
      </c>
      <c r="ACZ115">
        <v>26.67</v>
      </c>
      <c r="ADA115">
        <v>25.977</v>
      </c>
      <c r="ADB115">
        <v>21.526</v>
      </c>
      <c r="ADC115" t="s">
        <v>1900</v>
      </c>
      <c r="ADD115">
        <v>25.733</v>
      </c>
      <c r="ADE115">
        <v>20.766</v>
      </c>
      <c r="ADF115">
        <v>21.779</v>
      </c>
      <c r="ADG115">
        <v>18.01</v>
      </c>
      <c r="ADH115">
        <v>31.461</v>
      </c>
      <c r="ADI115">
        <v>20.845</v>
      </c>
      <c r="ADJ115">
        <v>17.878</v>
      </c>
      <c r="ADK115">
        <v>17.751</v>
      </c>
      <c r="ADL115">
        <v>12.997</v>
      </c>
      <c r="ADM115">
        <v>22.672</v>
      </c>
      <c r="ADN115">
        <v>76.453</v>
      </c>
      <c r="ADO115">
        <v>79.229</v>
      </c>
      <c r="ADP115">
        <v>78.161</v>
      </c>
      <c r="ADQ115">
        <v>72.84399999999999</v>
      </c>
      <c r="ADR115">
        <v>73.301</v>
      </c>
      <c r="ADS115">
        <v>21.151987097</v>
      </c>
      <c r="ADT115">
        <v>17.806484321</v>
      </c>
      <c r="ADU115">
        <v>17.709250524</v>
      </c>
      <c r="ADV115">
        <v>13.06001666</v>
      </c>
      <c r="ADW115">
        <v>22.328658932</v>
      </c>
      <c r="ADX115">
        <v>25.233</v>
      </c>
      <c r="ADY115">
        <v>22.36</v>
      </c>
      <c r="ADZ115">
        <v>21.608</v>
      </c>
      <c r="AEA115">
        <v>13.797</v>
      </c>
      <c r="AEB115">
        <v>23.315</v>
      </c>
      <c r="AEC115">
        <v>21.152</v>
      </c>
      <c r="AED115">
        <v>17.806</v>
      </c>
      <c r="AEE115">
        <v>17.709</v>
      </c>
      <c r="AEF115">
        <v>13.06</v>
      </c>
      <c r="AEG115">
        <v>22.329</v>
      </c>
      <c r="AEH115">
        <v>21.229</v>
      </c>
      <c r="AEI115">
        <v>18.568</v>
      </c>
      <c r="AEJ115">
        <v>17.848</v>
      </c>
      <c r="AEK115">
        <v>10.317</v>
      </c>
      <c r="AEL115">
        <v>19.436</v>
      </c>
      <c r="AEM115">
        <v>26.826277947</v>
      </c>
      <c r="AEN115">
        <v>21.66409865</v>
      </c>
      <c r="AEO115">
        <v>21.52034176</v>
      </c>
      <c r="AEP115">
        <v>15.021876194</v>
      </c>
      <c r="AEQ115">
        <v>28.747616078</v>
      </c>
      <c r="AER115">
        <v>1.382487833</v>
      </c>
      <c r="AES115">
        <v>1.289902283</v>
      </c>
      <c r="AET115">
        <v>1.292947384</v>
      </c>
      <c r="AEU115">
        <v>1.218453459</v>
      </c>
      <c r="AEV115">
        <v>1.438051303</v>
      </c>
      <c r="AEW115" t="s">
        <v>1900</v>
      </c>
      <c r="AEX115" t="s">
        <v>1900</v>
      </c>
      <c r="AEY115" t="s">
        <v>1900</v>
      </c>
      <c r="AEZ115" t="s">
        <v>1900</v>
      </c>
      <c r="AFA115" t="s">
        <v>1900</v>
      </c>
      <c r="AFB115" t="s">
        <v>1900</v>
      </c>
      <c r="AFC115" t="s">
        <v>1900</v>
      </c>
      <c r="AFD115" t="s">
        <v>1900</v>
      </c>
      <c r="AFE115" t="s">
        <v>1900</v>
      </c>
      <c r="AFF115" t="s">
        <v>1900</v>
      </c>
      <c r="AFG115">
        <v>1.88</v>
      </c>
      <c r="AFH115">
        <v>1.9</v>
      </c>
      <c r="AFI115">
        <v>1.859</v>
      </c>
      <c r="AFJ115">
        <v>2.239</v>
      </c>
      <c r="AFK115">
        <v>2.233</v>
      </c>
      <c r="AFL115" t="s">
        <v>1901</v>
      </c>
      <c r="AFM115">
        <v>878.909</v>
      </c>
      <c r="AFN115">
        <v>640.247</v>
      </c>
      <c r="AFO115">
        <v>378.419</v>
      </c>
      <c r="AFP115" t="s">
        <v>1900</v>
      </c>
      <c r="AFQ115" t="s">
        <v>1901</v>
      </c>
      <c r="AFR115" t="s">
        <v>1901</v>
      </c>
      <c r="AFS115" t="s">
        <v>1901</v>
      </c>
      <c r="AFT115" t="s">
        <v>1901</v>
      </c>
      <c r="AFU115" t="s">
        <v>1901</v>
      </c>
      <c r="AFV115">
        <v>86.402</v>
      </c>
      <c r="AFW115">
        <v>112.067</v>
      </c>
      <c r="AFX115">
        <v>98.771</v>
      </c>
      <c r="AFY115">
        <v>91.97</v>
      </c>
      <c r="AFZ115">
        <v>87.93000000000001</v>
      </c>
      <c r="AGA115">
        <v>24.904</v>
      </c>
      <c r="AGB115">
        <v>24.142</v>
      </c>
      <c r="AGC115">
        <v>24.282</v>
      </c>
      <c r="AGD115">
        <v>18.726</v>
      </c>
      <c r="AGE115">
        <v>24.627</v>
      </c>
      <c r="AGF115" t="s">
        <v>1900</v>
      </c>
      <c r="AGG115" t="s">
        <v>1900</v>
      </c>
      <c r="AGH115" t="s">
        <v>1900</v>
      </c>
      <c r="AGI115" t="s">
        <v>1900</v>
      </c>
      <c r="AGJ115" t="s">
        <v>1900</v>
      </c>
      <c r="AGK115" t="s">
        <v>1900</v>
      </c>
      <c r="AGL115" t="s">
        <v>1900</v>
      </c>
      <c r="AGM115" t="s">
        <v>1900</v>
      </c>
      <c r="AGN115" t="s">
        <v>1900</v>
      </c>
      <c r="AGO115" t="s">
        <v>1900</v>
      </c>
      <c r="AGP115" t="s">
        <v>1900</v>
      </c>
      <c r="AGQ115" t="s">
        <v>1900</v>
      </c>
      <c r="AGR115" t="s">
        <v>1900</v>
      </c>
      <c r="AGS115" t="s">
        <v>1900</v>
      </c>
      <c r="AGT115" t="s">
        <v>1900</v>
      </c>
      <c r="AGU115">
        <v>0</v>
      </c>
      <c r="AGV115">
        <v>0</v>
      </c>
      <c r="AGW115">
        <v>0</v>
      </c>
      <c r="AGX115">
        <v>0</v>
      </c>
      <c r="AGY115">
        <v>0</v>
      </c>
      <c r="AGZ115">
        <v>3.999</v>
      </c>
      <c r="AHA115">
        <v>3.424</v>
      </c>
      <c r="AHB115">
        <v>4.738</v>
      </c>
      <c r="AHC115">
        <v>4.932</v>
      </c>
      <c r="AHD115">
        <v>3.404</v>
      </c>
      <c r="AHE115">
        <v>3.999</v>
      </c>
      <c r="AHF115">
        <v>3.424</v>
      </c>
      <c r="AHG115">
        <v>4.738</v>
      </c>
      <c r="AHH115">
        <v>4.932</v>
      </c>
      <c r="AHI115">
        <v>3.404</v>
      </c>
      <c r="AHJ115">
        <v>115.789</v>
      </c>
      <c r="AHK115">
        <v>22.554</v>
      </c>
      <c r="AHL115">
        <v>11.136</v>
      </c>
      <c r="AHM115">
        <v>6.402</v>
      </c>
      <c r="AHN115" t="s">
        <v>1901</v>
      </c>
      <c r="AHO115">
        <v>79.143</v>
      </c>
      <c r="AHP115">
        <v>74.666</v>
      </c>
      <c r="AHQ115">
        <v>77.083</v>
      </c>
      <c r="AHR115">
        <v>72.622</v>
      </c>
      <c r="AHS115">
        <v>76.378</v>
      </c>
      <c r="AHT115" t="s">
        <v>1901</v>
      </c>
      <c r="AHU115" t="s">
        <v>1901</v>
      </c>
      <c r="AHV115" t="s">
        <v>1901</v>
      </c>
      <c r="AHW115" t="s">
        <v>1901</v>
      </c>
      <c r="AHX115" t="s">
        <v>1901</v>
      </c>
      <c r="AHY115">
        <v>0.864</v>
      </c>
      <c r="AHZ115">
        <v>4.434</v>
      </c>
      <c r="AIA115">
        <v>8.98</v>
      </c>
      <c r="AIB115">
        <v>15.619</v>
      </c>
      <c r="AIC115">
        <v>0</v>
      </c>
      <c r="AID115">
        <v>1.417469261</v>
      </c>
      <c r="AIE115">
        <v>3.031591978</v>
      </c>
      <c r="AIF115">
        <v>1.006063219</v>
      </c>
      <c r="AIG115">
        <v>1.824297224</v>
      </c>
      <c r="AIH115">
        <v>2.244197712</v>
      </c>
      <c r="AII115">
        <v>44.657110483</v>
      </c>
      <c r="AIJ115">
        <v>29.288921853</v>
      </c>
      <c r="AIK115">
        <v>32.951755287</v>
      </c>
      <c r="AIL115">
        <v>31.054766707</v>
      </c>
      <c r="AIM115">
        <v>38.757313721</v>
      </c>
      <c r="AIN115">
        <v>9.792619502000001</v>
      </c>
      <c r="AIO115">
        <v>12.086065678</v>
      </c>
      <c r="AIP115">
        <v>5.464564842</v>
      </c>
      <c r="AIQ115">
        <v>6.255947596</v>
      </c>
      <c r="AIR115">
        <v>11.956251595</v>
      </c>
      <c r="AIS115">
        <v>0</v>
      </c>
      <c r="AIT115">
        <v>0</v>
      </c>
      <c r="AIU115">
        <v>0</v>
      </c>
      <c r="AIV115">
        <v>0</v>
      </c>
      <c r="AIW115">
        <v>0</v>
      </c>
      <c r="AIX115">
        <v>21.4515675687642</v>
      </c>
      <c r="AIY115">
        <v>16.8886154194031</v>
      </c>
      <c r="AIZ115">
        <v>14.669239276675</v>
      </c>
      <c r="AJA115">
        <v>16.2735319369411</v>
      </c>
      <c r="AJB115">
        <v>25.1660027953565</v>
      </c>
      <c r="AJC115">
        <v>102.907589384434</v>
      </c>
      <c r="AJD115">
        <v>94.4655752449894</v>
      </c>
      <c r="AJE115">
        <v>82.63990756416381</v>
      </c>
      <c r="AJF115">
        <v>125.208445259271</v>
      </c>
      <c r="AJG115">
        <v>111.002130124541</v>
      </c>
      <c r="AJH115">
        <v>50.748</v>
      </c>
      <c r="AJI115">
        <v>59.408</v>
      </c>
      <c r="AJJ115">
        <v>55.005</v>
      </c>
      <c r="AJK115">
        <v>43.032</v>
      </c>
      <c r="AJL115">
        <v>44.09</v>
      </c>
      <c r="AJM115">
        <v>52.2234675726918</v>
      </c>
      <c r="AJN115">
        <v>56.1203187661095</v>
      </c>
      <c r="AJO115">
        <v>45.4557226292896</v>
      </c>
      <c r="AJP115">
        <v>53.8798149198389</v>
      </c>
      <c r="AJQ115">
        <v>48.9409547809845</v>
      </c>
      <c r="AJR115">
        <v>54.2741451430794</v>
      </c>
      <c r="AJS115">
        <v>47.6013726929111</v>
      </c>
      <c r="AJT115">
        <v>40.8019944050926</v>
      </c>
      <c r="AJU115">
        <v>48.3663913747215</v>
      </c>
      <c r="AJV115">
        <v>49.7176031069845</v>
      </c>
      <c r="AJW115">
        <v>17.5795037900631</v>
      </c>
      <c r="AJX115">
        <v>23.071805919343</v>
      </c>
      <c r="AJY115">
        <v>17.0994254145008</v>
      </c>
      <c r="AJZ115">
        <v>25.4743736290741</v>
      </c>
      <c r="AKA115">
        <v>19.5185874987495</v>
      </c>
      <c r="AKB115">
        <v>68.57741481913909</v>
      </c>
      <c r="AKC115">
        <v>63.7520046911163</v>
      </c>
      <c r="AKD115">
        <v>52.9323311913025</v>
      </c>
      <c r="AKE115">
        <v>66.6002573714304</v>
      </c>
      <c r="AKF115">
        <v>65.0940003460717</v>
      </c>
      <c r="AKG115">
        <v>0</v>
      </c>
      <c r="AKH115">
        <v>0</v>
      </c>
      <c r="AKI115">
        <v>0</v>
      </c>
      <c r="AKJ115">
        <v>0</v>
      </c>
      <c r="AKK115">
        <v>0</v>
      </c>
      <c r="AKL115">
        <v>0</v>
      </c>
      <c r="AKM115">
        <v>0</v>
      </c>
      <c r="AKN115">
        <v>0</v>
      </c>
      <c r="AKO115">
        <v>0</v>
      </c>
      <c r="AKP115">
        <v>0</v>
      </c>
      <c r="AKQ115">
        <v>0</v>
      </c>
      <c r="AKR115">
        <v>0</v>
      </c>
      <c r="AKS115">
        <v>0</v>
      </c>
      <c r="AKT115">
        <v>0</v>
      </c>
      <c r="AKU115">
        <v>0</v>
      </c>
      <c r="AKV115">
        <v>9.155816097000001</v>
      </c>
      <c r="AKW115">
        <v>11.183112423</v>
      </c>
      <c r="AKX115">
        <v>11.130199293</v>
      </c>
      <c r="AKY115">
        <v>7.831313718</v>
      </c>
      <c r="AKZ115">
        <v>7.425020643</v>
      </c>
      <c r="ALA115">
        <v>13.739260342</v>
      </c>
      <c r="ALB115">
        <v>16.570759708</v>
      </c>
      <c r="ALC115">
        <v>17.376877663</v>
      </c>
      <c r="ALD115">
        <v>14.72286518</v>
      </c>
      <c r="ALE115">
        <v>12.66158331</v>
      </c>
      <c r="ALF115">
        <v>2.779301371</v>
      </c>
      <c r="ALG115">
        <v>3.362132397</v>
      </c>
      <c r="ALH115">
        <v>3.73460301</v>
      </c>
      <c r="ALI115">
        <v>2.323987546</v>
      </c>
      <c r="ALJ115">
        <v>2.748021573</v>
      </c>
      <c r="ALK115">
        <v>4.170632601</v>
      </c>
      <c r="ALL115">
        <v>4.98189466</v>
      </c>
      <c r="ALM115">
        <v>5.830599967</v>
      </c>
      <c r="ALN115">
        <v>4.369095218</v>
      </c>
      <c r="ALO115">
        <v>4.686088532</v>
      </c>
      <c r="ALP115">
        <v>24.000676638</v>
      </c>
      <c r="ALQ115">
        <v>31.129625609</v>
      </c>
      <c r="ALR115">
        <v>27.43638988</v>
      </c>
      <c r="ALS115">
        <v>25.547335483</v>
      </c>
      <c r="ALT115">
        <v>24.424921151</v>
      </c>
      <c r="ALU115">
        <v>28.823647296</v>
      </c>
      <c r="ALV115">
        <v>21.542562726</v>
      </c>
      <c r="ALW115">
        <v>24.58378762</v>
      </c>
      <c r="ALX115">
        <v>20.361278386</v>
      </c>
      <c r="ALY115">
        <v>28.008056292</v>
      </c>
      <c r="ALZ115">
        <v>76.45305884452419</v>
      </c>
      <c r="AMA115">
        <v>79.2288508793679</v>
      </c>
      <c r="AMB115">
        <v>78.1612343757494</v>
      </c>
      <c r="AMC115">
        <v>72.84399417443819</v>
      </c>
      <c r="AMD115">
        <v>73.301361822198</v>
      </c>
      <c r="AME115">
        <v>76.4827604475729</v>
      </c>
      <c r="AMF115">
        <v>79.6770602860239</v>
      </c>
      <c r="AMG115">
        <v>78.236075155921</v>
      </c>
      <c r="AMH115">
        <v>72.910654243312</v>
      </c>
      <c r="AMI115">
        <v>73.3798364068162</v>
      </c>
      <c r="AMJ115">
        <v>324.683611088675</v>
      </c>
      <c r="AMK115">
        <v>381.437013519244</v>
      </c>
      <c r="AML115">
        <v>357.901338017733</v>
      </c>
      <c r="AMM115">
        <v>268.242666621726</v>
      </c>
      <c r="AMN115">
        <v>274.550939018092</v>
      </c>
      <c r="AMO115">
        <v>1.3824878332307</v>
      </c>
      <c r="AMP115">
        <v>1.28990228365895</v>
      </c>
      <c r="AMQ115">
        <v>1.29294738370927</v>
      </c>
      <c r="AMR115">
        <v>1.21845345865654</v>
      </c>
      <c r="AMS115">
        <v>1.43805130327634</v>
      </c>
      <c r="AMT115">
        <v>1.38248783308695</v>
      </c>
      <c r="AMU115">
        <v>1.28990228350025</v>
      </c>
      <c r="AMV115">
        <v>1.29294738389333</v>
      </c>
      <c r="AMW115">
        <v>1.21845345865654</v>
      </c>
      <c r="AMX115">
        <v>1.43805130327634</v>
      </c>
      <c r="AMY115">
        <v>1.38248783303197</v>
      </c>
      <c r="AMZ115">
        <v>1.28990228345424</v>
      </c>
      <c r="ANA115">
        <v>1.29294738394724</v>
      </c>
      <c r="ANB115">
        <v>1.21845345865654</v>
      </c>
      <c r="ANC115">
        <v>1.43805130327634</v>
      </c>
      <c r="AND115">
        <v>21.1519870970407</v>
      </c>
      <c r="ANE115">
        <v>17.8064843205612</v>
      </c>
      <c r="ANF115">
        <v>17.7092505238384</v>
      </c>
      <c r="ANG115">
        <v>13.0600166602248</v>
      </c>
      <c r="ANH115">
        <v>22.3286589323956</v>
      </c>
      <c r="ANI115">
        <v>21.1602045305083</v>
      </c>
      <c r="ANJ115">
        <v>17.9072182537606</v>
      </c>
      <c r="ANK115">
        <v>17.7262074480227</v>
      </c>
      <c r="ANL115">
        <v>13.071967976458</v>
      </c>
      <c r="ANM115">
        <v>22.3525634300917</v>
      </c>
      <c r="ANN115">
        <v>26.8262779470082</v>
      </c>
      <c r="ANO115">
        <v>21.664098649835</v>
      </c>
      <c r="ANP115">
        <v>21.5203417596391</v>
      </c>
      <c r="ANQ115">
        <v>15.0218761938155</v>
      </c>
      <c r="ANR115">
        <v>28.7476160775451</v>
      </c>
      <c r="ANS115">
        <v>39.7622512196018</v>
      </c>
      <c r="ANT115">
        <v>33.8369497231686</v>
      </c>
      <c r="ANU115">
        <v>32.9127088943186</v>
      </c>
      <c r="ANV115">
        <v>29.2418269117912</v>
      </c>
      <c r="ANW115">
        <v>49.85213653056</v>
      </c>
      <c r="ANX115">
        <v>76.45305884452419</v>
      </c>
      <c r="ANY115">
        <v>79.2288508793679</v>
      </c>
      <c r="ANZ115">
        <v>78.1612343757494</v>
      </c>
      <c r="AOA115">
        <v>72.84399417443819</v>
      </c>
      <c r="AOB115">
        <v>73.301361822198</v>
      </c>
      <c r="AOC115">
        <v>96.962568909146</v>
      </c>
      <c r="AOD115">
        <v>96.3930672930048</v>
      </c>
      <c r="AOE115">
        <v>94.9817991369632</v>
      </c>
      <c r="AOF115">
        <v>83.7865287939525</v>
      </c>
      <c r="AOG115">
        <v>94.3737558984558</v>
      </c>
      <c r="AOH115" t="s">
        <v>1901</v>
      </c>
      <c r="AOI115" t="s">
        <v>1901</v>
      </c>
      <c r="AOJ115" t="s">
        <v>1901</v>
      </c>
      <c r="AOK115" t="s">
        <v>1901</v>
      </c>
      <c r="AOL115" t="s">
        <v>1901</v>
      </c>
      <c r="AOM115">
        <v>89.82902262072319</v>
      </c>
      <c r="AON115">
        <v>85.7270063256824</v>
      </c>
      <c r="AOO115">
        <v>81.09089510156829</v>
      </c>
      <c r="AOP115">
        <v>48.0925536108536</v>
      </c>
      <c r="AOQ115">
        <v>83.6322017014347</v>
      </c>
      <c r="AOR115">
        <v>38.2487833086955</v>
      </c>
      <c r="AOS115">
        <v>28.9902283500245</v>
      </c>
      <c r="AOT115">
        <v>29.2947383893326</v>
      </c>
      <c r="AOU115">
        <v>21.8453458656542</v>
      </c>
      <c r="AOV115">
        <v>43.8051303276339</v>
      </c>
      <c r="AOW115">
        <v>31.7407705003371</v>
      </c>
      <c r="AOX115">
        <v>26.3850493274983</v>
      </c>
      <c r="AOY115">
        <v>27.6483351065955</v>
      </c>
      <c r="AOZ115">
        <v>24.5528236341939</v>
      </c>
      <c r="APA115">
        <v>38.0761467014967</v>
      </c>
      <c r="APB115">
        <v>17.1482319957646</v>
      </c>
      <c r="APC115">
        <v>14.0144733888374</v>
      </c>
      <c r="APD115">
        <v>13.9496130661803</v>
      </c>
      <c r="APE115">
        <v>9.579596768324731</v>
      </c>
      <c r="APF115">
        <v>18.4492154170433</v>
      </c>
      <c r="APG115">
        <v>17.1548939918629</v>
      </c>
      <c r="APH115">
        <v>14.0937553515629</v>
      </c>
      <c r="API115">
        <v>13.9629700702413</v>
      </c>
      <c r="APJ115">
        <v>9.5883631270012</v>
      </c>
      <c r="APK115">
        <v>18.4689666805996</v>
      </c>
      <c r="APL115">
        <v>72.8257308774766</v>
      </c>
      <c r="APM115">
        <v>67.4708621436678</v>
      </c>
      <c r="APN115">
        <v>63.8754648783362</v>
      </c>
      <c r="APO115">
        <v>35.2761625912877</v>
      </c>
      <c r="APP115">
        <v>69.10170958600629</v>
      </c>
      <c r="APQ115">
        <v>31.0088601474706</v>
      </c>
      <c r="APR115">
        <v>22.8165636985736</v>
      </c>
      <c r="APS115">
        <v>23.0755256895873</v>
      </c>
      <c r="APT115">
        <v>16.0236858881583</v>
      </c>
      <c r="APU115">
        <v>36.1943047378291</v>
      </c>
      <c r="APV115">
        <v>21.7484643739462</v>
      </c>
      <c r="APW115">
        <v>17.05058272905</v>
      </c>
      <c r="APX115">
        <v>16.9516174721696</v>
      </c>
      <c r="APY115">
        <v>11.0186319347292</v>
      </c>
      <c r="APZ115">
        <v>23.7529250344542</v>
      </c>
      <c r="AQA115">
        <v>25.7327169200217</v>
      </c>
      <c r="AQB115">
        <v>20.7661751194989</v>
      </c>
      <c r="AQC115">
        <v>21.7786504370656</v>
      </c>
      <c r="AQD115">
        <v>18.009636285971</v>
      </c>
      <c r="AQE115">
        <v>31.4606907147329</v>
      </c>
      <c r="AQF115">
        <v>0.382487833031974</v>
      </c>
      <c r="AQG115">
        <v>0.289902283454237</v>
      </c>
      <c r="AQH115">
        <v>0.292947383947244</v>
      </c>
      <c r="AQI115">
        <v>0.218453458656542</v>
      </c>
      <c r="AQJ115">
        <v>0.438051303276339</v>
      </c>
      <c r="AQK115">
        <v>2</v>
      </c>
      <c r="AQO115" t="s">
        <v>1902</v>
      </c>
      <c r="AQP115">
        <v>8</v>
      </c>
      <c r="AQQ115">
        <v>0</v>
      </c>
      <c r="AQS115" t="s">
        <v>1905</v>
      </c>
      <c r="AQU115" t="s">
        <v>1906</v>
      </c>
      <c r="AQV115">
        <v>13069263.8040337</v>
      </c>
      <c r="AQW115">
        <v>11335869.0404487</v>
      </c>
      <c r="AQX115">
        <v>9586229.24651162</v>
      </c>
      <c r="AQY115">
        <v>2764408.99350743</v>
      </c>
      <c r="AQZ115">
        <v>2018519.74328686</v>
      </c>
      <c r="ARA115">
        <v>1697649.35305421</v>
      </c>
      <c r="ARB115">
        <v>33991362.09099402</v>
      </c>
      <c r="ARC115">
        <v>6480578.0898485</v>
      </c>
      <c r="ARD115">
        <v>0.2355650093279296</v>
      </c>
      <c r="ARE115">
        <v>0.2355650093279296</v>
      </c>
      <c r="ARF115">
        <v>0.2355650093279296</v>
      </c>
      <c r="ARG115">
        <v>0.2355650093279296</v>
      </c>
      <c r="ARH115">
        <v>0.2355650093279296</v>
      </c>
      <c r="ARI115">
        <v>0.2355650093279296</v>
      </c>
      <c r="ARJ115" t="s">
        <v>1276</v>
      </c>
      <c r="ARK115" t="s">
        <v>1614</v>
      </c>
      <c r="ARL115" t="s">
        <v>1908</v>
      </c>
      <c r="ARM115" t="s">
        <v>1908</v>
      </c>
      <c r="ARN115" t="s">
        <v>1909</v>
      </c>
      <c r="ARO115" t="s">
        <v>1908</v>
      </c>
      <c r="ARP115" t="s">
        <v>1907</v>
      </c>
      <c r="ARQ115" t="s">
        <v>2008</v>
      </c>
      <c r="ARR115">
        <f>HYPERLINK("C:\Users\Usuario\Documents\Proyectos\llmthon\evidence\t2client_com_000327.png", "Ver Evidencia")</f>
        <v>0</v>
      </c>
      <c r="ARS115">
        <v>95</v>
      </c>
    </row>
    <row r="116" spans="1:1163">
      <c r="A116">
        <v>24</v>
      </c>
      <c r="B116" t="s">
        <v>1277</v>
      </c>
      <c r="C116" t="s">
        <v>1400</v>
      </c>
      <c r="E116" s="2">
        <v>35775</v>
      </c>
      <c r="F116" t="s">
        <v>1431</v>
      </c>
      <c r="G116" t="s">
        <v>1433</v>
      </c>
      <c r="H116" t="s">
        <v>1434</v>
      </c>
      <c r="I116" t="s">
        <v>1437</v>
      </c>
      <c r="J116" t="s">
        <v>1495</v>
      </c>
      <c r="L116" t="s">
        <v>1615</v>
      </c>
      <c r="N116" t="s">
        <v>1630</v>
      </c>
      <c r="O116" t="s">
        <v>1654</v>
      </c>
      <c r="P116">
        <v>6209</v>
      </c>
      <c r="Q116">
        <v>6209</v>
      </c>
      <c r="R116" t="s">
        <v>1783</v>
      </c>
      <c r="S116" t="s">
        <v>1841</v>
      </c>
      <c r="T116" t="s">
        <v>1870</v>
      </c>
      <c r="U116" t="s">
        <v>1873</v>
      </c>
      <c r="X116" t="s">
        <v>1896</v>
      </c>
      <c r="Z116" t="s">
        <v>1899</v>
      </c>
      <c r="AA116" s="2">
        <v>45657</v>
      </c>
      <c r="AB116">
        <v>2024</v>
      </c>
      <c r="AC116">
        <v>37341500.4229826</v>
      </c>
      <c r="AD116">
        <v>36294740.6064336</v>
      </c>
      <c r="AE116">
        <v>33649331.6904304</v>
      </c>
      <c r="AF116">
        <v>31858910.3450687</v>
      </c>
      <c r="AG116">
        <v>32470967.1493552</v>
      </c>
      <c r="AH116">
        <v>37332365.2754295</v>
      </c>
      <c r="AI116">
        <v>36284201.0896036</v>
      </c>
      <c r="AJ116">
        <v>33627823.6584197</v>
      </c>
      <c r="AK116">
        <v>31856463.9284046</v>
      </c>
      <c r="AL116">
        <v>32459130.6844939</v>
      </c>
      <c r="AM116">
        <v>14386164.1768799</v>
      </c>
      <c r="AN116">
        <v>13818031.7759629</v>
      </c>
      <c r="AO116">
        <v>12487219.9510457</v>
      </c>
      <c r="AP116">
        <v>12063133.9217053</v>
      </c>
      <c r="AQ116">
        <v>11833666.4859766</v>
      </c>
      <c r="AR116">
        <v>22955336.2461026</v>
      </c>
      <c r="AS116">
        <v>22476708.8304707</v>
      </c>
      <c r="AT116">
        <v>21162111.7393847</v>
      </c>
      <c r="AU116">
        <v>19795776.4233634</v>
      </c>
      <c r="AV116">
        <v>20637300.6633786</v>
      </c>
      <c r="AW116">
        <v>15097273.6668944</v>
      </c>
      <c r="AX116">
        <v>15106106.4103299</v>
      </c>
      <c r="AY116">
        <v>13752849.7836317</v>
      </c>
      <c r="AZ116">
        <v>13796974.3548713</v>
      </c>
      <c r="BA116">
        <v>14710600.2781106</v>
      </c>
      <c r="BB116">
        <v>7858062.57920825</v>
      </c>
      <c r="BC116">
        <v>7370602.4190358</v>
      </c>
      <c r="BD116">
        <v>7409261.955753</v>
      </c>
      <c r="BE116">
        <v>5998802.06849205</v>
      </c>
      <c r="BF116">
        <v>5926700.38526803</v>
      </c>
      <c r="BG116">
        <v>2411239.08395231</v>
      </c>
      <c r="BH116">
        <v>1171010.55143515</v>
      </c>
      <c r="BI116">
        <v>-1032117.77737827</v>
      </c>
      <c r="BJ116">
        <v>211409.95018301</v>
      </c>
      <c r="BK116">
        <v>44550.2069685274</v>
      </c>
      <c r="BL116">
        <v>2424536.68640598</v>
      </c>
      <c r="BM116">
        <v>1171010.55143515</v>
      </c>
      <c r="BN116">
        <v>294595.813258463</v>
      </c>
      <c r="BO116">
        <v>213933.225103998</v>
      </c>
      <c r="BP116">
        <v>229433.394278079</v>
      </c>
      <c r="BQ116">
        <v>13297.6024536729</v>
      </c>
      <c r="BR116" t="s">
        <v>1900</v>
      </c>
      <c r="BS116">
        <v>1326713.59063674</v>
      </c>
      <c r="BT116">
        <v>2523.27492098808</v>
      </c>
      <c r="BU116">
        <v>184883.186082453</v>
      </c>
      <c r="BV116">
        <v>10269301.6631606</v>
      </c>
      <c r="BW116">
        <v>8541612.970470941</v>
      </c>
      <c r="BX116">
        <v>6377144.17837473</v>
      </c>
      <c r="BY116">
        <v>6210212.01867507</v>
      </c>
      <c r="BZ116">
        <v>5971250.59346365</v>
      </c>
      <c r="CA116">
        <v>2727357.66989173</v>
      </c>
      <c r="CB116">
        <v>2097695.62557002</v>
      </c>
      <c r="CC116">
        <v>1555964.54889088</v>
      </c>
      <c r="CD116">
        <v>1491825.21023662</v>
      </c>
      <c r="CE116">
        <v>1420360.73912903</v>
      </c>
      <c r="CF116">
        <v>7541943.99222992</v>
      </c>
      <c r="CG116">
        <v>6443917.34379592</v>
      </c>
      <c r="CH116">
        <v>4821179.62948385</v>
      </c>
      <c r="CI116">
        <v>4718386.80730584</v>
      </c>
      <c r="CJ116">
        <v>4550889.85433462</v>
      </c>
      <c r="CK116" t="s">
        <v>1900</v>
      </c>
      <c r="CL116" t="s">
        <v>1900</v>
      </c>
      <c r="CM116" t="s">
        <v>1900</v>
      </c>
      <c r="CN116" t="s">
        <v>1900</v>
      </c>
      <c r="CO116" t="s">
        <v>1900</v>
      </c>
      <c r="CP116" t="s">
        <v>1900</v>
      </c>
      <c r="CQ116" t="s">
        <v>1900</v>
      </c>
      <c r="CR116" t="s">
        <v>1900</v>
      </c>
      <c r="CS116" t="s">
        <v>1900</v>
      </c>
      <c r="CT116" t="s">
        <v>1900</v>
      </c>
      <c r="CU116" t="s">
        <v>1900</v>
      </c>
      <c r="CV116" t="s">
        <v>1900</v>
      </c>
      <c r="CW116" t="s">
        <v>1900</v>
      </c>
      <c r="CX116" t="s">
        <v>1900</v>
      </c>
      <c r="CY116" t="s">
        <v>1900</v>
      </c>
      <c r="CZ116">
        <v>7541943.99222992</v>
      </c>
      <c r="DA116">
        <v>6443917.34379592</v>
      </c>
      <c r="DB116">
        <v>4821179.62948385</v>
      </c>
      <c r="DC116">
        <v>4718386.80730584</v>
      </c>
      <c r="DD116">
        <v>4550889.85433462</v>
      </c>
      <c r="DE116" t="s">
        <v>1900</v>
      </c>
      <c r="DF116" t="s">
        <v>1900</v>
      </c>
      <c r="DG116" t="s">
        <v>1900</v>
      </c>
      <c r="DH116" t="s">
        <v>1900</v>
      </c>
      <c r="DI116" t="s">
        <v>1900</v>
      </c>
      <c r="DJ116">
        <v>14386164.1768799</v>
      </c>
      <c r="DK116">
        <v>13818031.7759629</v>
      </c>
      <c r="DL116">
        <v>12487219.9510457</v>
      </c>
      <c r="DM116">
        <v>12063133.9217053</v>
      </c>
      <c r="DN116">
        <v>11833666.4859766</v>
      </c>
      <c r="DO116">
        <v>10514402.5621103</v>
      </c>
      <c r="DP116">
        <v>10413813.8078917</v>
      </c>
      <c r="DQ116">
        <v>9412189.30792849</v>
      </c>
      <c r="DR116">
        <v>9581224.52003267</v>
      </c>
      <c r="DS116">
        <v>10043148.7644337</v>
      </c>
      <c r="DT116">
        <v>2157956.77839498</v>
      </c>
      <c r="DU116">
        <v>2226366.62376598</v>
      </c>
      <c r="DV116">
        <v>1894116.60548158</v>
      </c>
      <c r="DW116">
        <v>1935291.30425942</v>
      </c>
      <c r="DX116">
        <v>2027832.97095714</v>
      </c>
      <c r="DY116">
        <v>2424914.3263891</v>
      </c>
      <c r="DZ116">
        <v>2465925.97867228</v>
      </c>
      <c r="EA116">
        <v>2446543.8702216</v>
      </c>
      <c r="EB116">
        <v>2280458.52944663</v>
      </c>
      <c r="EC116">
        <v>2639618.5427197</v>
      </c>
      <c r="ED116">
        <v>13297.6024536729</v>
      </c>
      <c r="EE116" t="s">
        <v>1900</v>
      </c>
      <c r="EF116">
        <v>69.0729828596115</v>
      </c>
      <c r="EG116">
        <v>2523.27492098808</v>
      </c>
      <c r="EH116">
        <v>6896.46985670328</v>
      </c>
      <c r="EI116" t="s">
        <v>1900</v>
      </c>
      <c r="EJ116" t="s">
        <v>1900</v>
      </c>
      <c r="EK116" t="s">
        <v>1900</v>
      </c>
      <c r="EL116" t="s">
        <v>1900</v>
      </c>
      <c r="EM116" t="s">
        <v>1900</v>
      </c>
      <c r="EN116">
        <v>9699900.7706249</v>
      </c>
      <c r="EO116">
        <v>8670283.967561901</v>
      </c>
      <c r="EP116">
        <v>6715296.23496543</v>
      </c>
      <c r="EQ116">
        <v>6653678.11156526</v>
      </c>
      <c r="ER116">
        <v>6578722.82529176</v>
      </c>
      <c r="ES116">
        <v>22954958.6050806</v>
      </c>
      <c r="ET116">
        <v>21181793.4021286</v>
      </c>
      <c r="EU116">
        <v>17683519.1647677</v>
      </c>
      <c r="EV116">
        <v>17729251.1178881</v>
      </c>
      <c r="EW116">
        <v>18049128.7987112</v>
      </c>
      <c r="EX116">
        <v>10016019.3576032</v>
      </c>
      <c r="EY116">
        <v>9596969.042801781</v>
      </c>
      <c r="EZ116">
        <v>9303378.56123458</v>
      </c>
      <c r="FA116">
        <v>7934093.37275147</v>
      </c>
      <c r="FB116">
        <v>7954533.35622517</v>
      </c>
      <c r="FC116">
        <v>54563709.5814213</v>
      </c>
      <c r="FD116">
        <v>64548690.9542593</v>
      </c>
      <c r="FE116">
        <v>62556514.5710548</v>
      </c>
      <c r="FF116">
        <v>60304035.6514285</v>
      </c>
      <c r="FG116">
        <v>60704204.2104763</v>
      </c>
      <c r="FH116">
        <v>3739972.1797325</v>
      </c>
      <c r="FI116">
        <v>3747168.9938834</v>
      </c>
      <c r="FJ116">
        <v>3901479.53962092</v>
      </c>
      <c r="FK116">
        <v>3597976.03250091</v>
      </c>
      <c r="FL116">
        <v>3471201.36792376</v>
      </c>
      <c r="FM116">
        <v>14158942.5104712</v>
      </c>
      <c r="FN116">
        <v>15653564.8957276</v>
      </c>
      <c r="FO116">
        <v>15462305.3690854</v>
      </c>
      <c r="FP116">
        <v>16818772.1921024</v>
      </c>
      <c r="FQ116">
        <v>18471817.5585459</v>
      </c>
      <c r="FR116">
        <v>36664794.8912177</v>
      </c>
      <c r="FS116">
        <v>45147957.0646484</v>
      </c>
      <c r="FT116">
        <v>43192729.6623485</v>
      </c>
      <c r="FU116">
        <v>39887287.4268252</v>
      </c>
      <c r="FV116">
        <v>38761185.2827795</v>
      </c>
      <c r="FW116">
        <v>3739972.1797325</v>
      </c>
      <c r="FX116">
        <v>3747168.9938834</v>
      </c>
      <c r="FY116">
        <v>3901479.53962092</v>
      </c>
      <c r="FZ116">
        <v>3597976.03250091</v>
      </c>
      <c r="GA116">
        <v>3471201.36792376</v>
      </c>
      <c r="GB116">
        <v>14158942.5104712</v>
      </c>
      <c r="GC116">
        <v>15653564.8957276</v>
      </c>
      <c r="GD116">
        <v>15462305.3690854</v>
      </c>
      <c r="GE116">
        <v>16818772.1921024</v>
      </c>
      <c r="GF116">
        <v>18471817.5585459</v>
      </c>
      <c r="GG116">
        <v>36664794.8912177</v>
      </c>
      <c r="GH116">
        <v>45147957.0646484</v>
      </c>
      <c r="GI116">
        <v>43192729.6623485</v>
      </c>
      <c r="GJ116">
        <v>39887287.4268252</v>
      </c>
      <c r="GK116">
        <v>38761185.2827795</v>
      </c>
      <c r="GL116">
        <v>25065850.9081767</v>
      </c>
      <c r="GM116">
        <v>42973581.2225152</v>
      </c>
      <c r="GN116">
        <v>32634097.3083396</v>
      </c>
      <c r="GO116">
        <v>21407801.2536683</v>
      </c>
      <c r="GP116">
        <v>28731426.8725481</v>
      </c>
      <c r="GQ116">
        <v>0</v>
      </c>
      <c r="GR116">
        <v>0</v>
      </c>
      <c r="GS116">
        <v>0</v>
      </c>
      <c r="GT116">
        <v>0</v>
      </c>
      <c r="GU116">
        <v>0</v>
      </c>
      <c r="GV116">
        <v>12396341.3937801</v>
      </c>
      <c r="GW116">
        <v>11535794.5591228</v>
      </c>
      <c r="GX116">
        <v>7716320.36540406</v>
      </c>
      <c r="GY116">
        <v>7815688.98080049</v>
      </c>
      <c r="GZ116">
        <v>7900870.79452892</v>
      </c>
      <c r="HA116">
        <v>12669509.5143967</v>
      </c>
      <c r="HB116">
        <v>31437786.6633924</v>
      </c>
      <c r="HC116">
        <v>24917776.9429356</v>
      </c>
      <c r="HD116">
        <v>13592112.2728678</v>
      </c>
      <c r="HE116">
        <v>20830556.0780192</v>
      </c>
      <c r="HF116">
        <v>11501500.5356591</v>
      </c>
      <c r="HG116">
        <v>23969972.9086293</v>
      </c>
      <c r="HH116">
        <v>23904523.6947323</v>
      </c>
      <c r="HI116">
        <v>11879457.7287312</v>
      </c>
      <c r="HJ116">
        <v>19779144.1070629</v>
      </c>
      <c r="HK116">
        <v>79629560.4895981</v>
      </c>
      <c r="HL116">
        <v>107522272.176775</v>
      </c>
      <c r="HM116">
        <v>95190611.8793944</v>
      </c>
      <c r="HN116">
        <v>81711836.9050968</v>
      </c>
      <c r="HO116">
        <v>89435631.0830244</v>
      </c>
      <c r="HP116">
        <v>43197613.4875869</v>
      </c>
      <c r="HQ116">
        <v>58355242.5358158</v>
      </c>
      <c r="HR116">
        <v>53397760.810145</v>
      </c>
      <c r="HS116">
        <v>54202918.7976932</v>
      </c>
      <c r="HT116">
        <v>55033258.695795</v>
      </c>
      <c r="HU116">
        <v>6119118.29590797</v>
      </c>
      <c r="HV116">
        <v>6508452.9209137</v>
      </c>
      <c r="HW116">
        <v>6282270.98584175</v>
      </c>
      <c r="HX116">
        <v>6671015.81096649</v>
      </c>
      <c r="HY116">
        <v>7227614.87364769</v>
      </c>
      <c r="HZ116">
        <v>37078495.1916789</v>
      </c>
      <c r="IA116">
        <v>51846789.6149021</v>
      </c>
      <c r="IB116">
        <v>47115489.8243032</v>
      </c>
      <c r="IC116">
        <v>47531902.9855941</v>
      </c>
      <c r="ID116">
        <v>47805643.8221474</v>
      </c>
      <c r="IE116">
        <v>3208707.96059082</v>
      </c>
      <c r="IF116">
        <v>3843612.8073162</v>
      </c>
      <c r="IG116">
        <v>3327300.49288914</v>
      </c>
      <c r="IH116">
        <v>3151608.54494448</v>
      </c>
      <c r="II116">
        <v>3346784.44468722</v>
      </c>
      <c r="IJ116">
        <v>0</v>
      </c>
      <c r="IK116">
        <v>0</v>
      </c>
      <c r="IL116">
        <v>0</v>
      </c>
      <c r="IM116">
        <v>0</v>
      </c>
      <c r="IN116">
        <v>120235.017908049</v>
      </c>
      <c r="IO116">
        <v>3208707.96059082</v>
      </c>
      <c r="IP116">
        <v>3843612.8073162</v>
      </c>
      <c r="IQ116">
        <v>3327300.49288914</v>
      </c>
      <c r="IR116">
        <v>3151608.54494448</v>
      </c>
      <c r="IS116">
        <v>3226549.42677917</v>
      </c>
      <c r="IT116">
        <v>3208707.96059082</v>
      </c>
      <c r="IU116">
        <v>3843612.8073162</v>
      </c>
      <c r="IV116">
        <v>3327300.49288914</v>
      </c>
      <c r="IW116">
        <v>3151608.54494448</v>
      </c>
      <c r="IX116">
        <v>3226549.42677917</v>
      </c>
      <c r="IY116">
        <v>33223239.0414204</v>
      </c>
      <c r="IZ116">
        <v>45323416.8336425</v>
      </c>
      <c r="JA116">
        <v>38465550.5763603</v>
      </c>
      <c r="JB116">
        <v>24357309.5624591</v>
      </c>
      <c r="JC116">
        <v>31055587.9425422</v>
      </c>
      <c r="JD116">
        <v>0</v>
      </c>
      <c r="JE116">
        <v>0</v>
      </c>
      <c r="JF116">
        <v>0</v>
      </c>
      <c r="JG116">
        <v>110975.666534328</v>
      </c>
      <c r="JH116">
        <v>719152.686493087</v>
      </c>
      <c r="JI116">
        <v>0</v>
      </c>
      <c r="JJ116">
        <v>0</v>
      </c>
      <c r="JK116">
        <v>0</v>
      </c>
      <c r="JL116" t="s">
        <v>1900</v>
      </c>
      <c r="JM116">
        <v>0</v>
      </c>
      <c r="JN116">
        <v>33223239.0414204</v>
      </c>
      <c r="JO116">
        <v>45323416.8336425</v>
      </c>
      <c r="JP116">
        <v>38465550.5763603</v>
      </c>
      <c r="JQ116">
        <v>24246333.8959248</v>
      </c>
      <c r="JR116">
        <v>30336435.2560491</v>
      </c>
      <c r="JS116">
        <v>79629560.4895981</v>
      </c>
      <c r="JT116">
        <v>107522272.176775</v>
      </c>
      <c r="JU116">
        <v>95190611.8793944</v>
      </c>
      <c r="JV116">
        <v>81711836.9050968</v>
      </c>
      <c r="JW116">
        <v>89435631.0830244</v>
      </c>
      <c r="JX116">
        <v>12396341.3937801</v>
      </c>
      <c r="JY116">
        <v>11535794.5591228</v>
      </c>
      <c r="JZ116">
        <v>7716320.36540406</v>
      </c>
      <c r="KA116">
        <v>7815688.98080049</v>
      </c>
      <c r="KB116">
        <v>7900870.79452892</v>
      </c>
      <c r="KC116" t="s">
        <v>1900</v>
      </c>
      <c r="KD116" t="s">
        <v>1900</v>
      </c>
      <c r="KE116" t="s">
        <v>1900</v>
      </c>
      <c r="KF116" t="s">
        <v>1900</v>
      </c>
      <c r="KG116" t="s">
        <v>1900</v>
      </c>
      <c r="KH116" t="s">
        <v>1900</v>
      </c>
      <c r="KI116" t="s">
        <v>1900</v>
      </c>
      <c r="KJ116" t="s">
        <v>1900</v>
      </c>
      <c r="KK116" t="s">
        <v>1900</v>
      </c>
      <c r="KL116" t="s">
        <v>1900</v>
      </c>
      <c r="KM116">
        <v>127</v>
      </c>
      <c r="KN116">
        <v>126</v>
      </c>
      <c r="KO116">
        <v>122</v>
      </c>
      <c r="KP116">
        <v>122</v>
      </c>
      <c r="KQ116">
        <v>121</v>
      </c>
      <c r="KR116" t="s">
        <v>1900</v>
      </c>
      <c r="KS116" t="s">
        <v>1900</v>
      </c>
      <c r="KT116" t="s">
        <v>1900</v>
      </c>
      <c r="KU116" t="s">
        <v>1900</v>
      </c>
      <c r="KV116" t="s">
        <v>1900</v>
      </c>
      <c r="KW116" t="s">
        <v>1900</v>
      </c>
      <c r="KX116" t="s">
        <v>1900</v>
      </c>
      <c r="KY116" t="s">
        <v>1900</v>
      </c>
      <c r="KZ116" t="s">
        <v>1900</v>
      </c>
      <c r="LA116" t="s">
        <v>1900</v>
      </c>
      <c r="LB116" t="s">
        <v>1900</v>
      </c>
      <c r="LC116" t="s">
        <v>1900</v>
      </c>
      <c r="LD116" t="s">
        <v>1900</v>
      </c>
      <c r="LE116" t="s">
        <v>1900</v>
      </c>
      <c r="LF116" t="s">
        <v>1900</v>
      </c>
      <c r="LG116" t="s">
        <v>1900</v>
      </c>
      <c r="LH116" t="s">
        <v>1900</v>
      </c>
      <c r="LI116" t="s">
        <v>1900</v>
      </c>
      <c r="LJ116" t="s">
        <v>1900</v>
      </c>
      <c r="LK116" t="s">
        <v>1900</v>
      </c>
      <c r="LL116" t="s">
        <v>1900</v>
      </c>
      <c r="LM116" t="s">
        <v>1900</v>
      </c>
      <c r="LN116" t="s">
        <v>1900</v>
      </c>
      <c r="LO116" t="s">
        <v>1900</v>
      </c>
      <c r="LP116" t="s">
        <v>1900</v>
      </c>
      <c r="LQ116" t="s">
        <v>1900</v>
      </c>
      <c r="LR116" t="s">
        <v>1900</v>
      </c>
      <c r="LS116" t="s">
        <v>1900</v>
      </c>
      <c r="LT116" t="s">
        <v>1900</v>
      </c>
      <c r="LU116" t="s">
        <v>1900</v>
      </c>
      <c r="LV116" t="s">
        <v>1900</v>
      </c>
      <c r="LW116" t="s">
        <v>1900</v>
      </c>
      <c r="LX116" t="s">
        <v>1900</v>
      </c>
      <c r="LY116" t="s">
        <v>1900</v>
      </c>
      <c r="LZ116" t="s">
        <v>1900</v>
      </c>
      <c r="MA116" t="s">
        <v>1900</v>
      </c>
      <c r="MB116" t="s">
        <v>1900</v>
      </c>
      <c r="MC116" t="s">
        <v>1900</v>
      </c>
      <c r="MD116" t="s">
        <v>1900</v>
      </c>
      <c r="ME116" t="s">
        <v>1900</v>
      </c>
      <c r="MF116" t="s">
        <v>1900</v>
      </c>
      <c r="MG116" t="s">
        <v>1900</v>
      </c>
      <c r="MH116" t="s">
        <v>1900</v>
      </c>
      <c r="MI116" t="s">
        <v>1900</v>
      </c>
      <c r="MJ116" t="s">
        <v>1900</v>
      </c>
      <c r="MK116" t="s">
        <v>1900</v>
      </c>
      <c r="ML116" t="s">
        <v>1900</v>
      </c>
      <c r="MM116" t="s">
        <v>1900</v>
      </c>
      <c r="MN116" t="s">
        <v>1900</v>
      </c>
      <c r="MO116" t="s">
        <v>1900</v>
      </c>
      <c r="MP116">
        <v>12669509.5143967</v>
      </c>
      <c r="MQ116">
        <v>31437786.6633924</v>
      </c>
      <c r="MR116">
        <v>24917776.9429356</v>
      </c>
      <c r="MS116">
        <v>13592112.2728678</v>
      </c>
      <c r="MT116">
        <v>20830556.0780192</v>
      </c>
      <c r="MU116" t="s">
        <v>1900</v>
      </c>
      <c r="MV116" t="s">
        <v>1900</v>
      </c>
      <c r="MW116" t="s">
        <v>1900</v>
      </c>
      <c r="MX116" t="s">
        <v>1900</v>
      </c>
      <c r="MY116" t="s">
        <v>1900</v>
      </c>
      <c r="MZ116" t="s">
        <v>1900</v>
      </c>
      <c r="NA116" t="s">
        <v>1900</v>
      </c>
      <c r="NB116" t="s">
        <v>1900</v>
      </c>
      <c r="NC116" t="s">
        <v>1900</v>
      </c>
      <c r="ND116" t="s">
        <v>1900</v>
      </c>
      <c r="NE116" t="s">
        <v>1900</v>
      </c>
      <c r="NF116" t="s">
        <v>1900</v>
      </c>
      <c r="NG116" t="s">
        <v>1900</v>
      </c>
      <c r="NH116" t="s">
        <v>1900</v>
      </c>
      <c r="NI116" t="s">
        <v>1900</v>
      </c>
      <c r="NJ116" t="s">
        <v>1900</v>
      </c>
      <c r="NK116" t="s">
        <v>1900</v>
      </c>
      <c r="NL116" t="s">
        <v>1900</v>
      </c>
      <c r="NM116" t="s">
        <v>1900</v>
      </c>
      <c r="NN116" t="s">
        <v>1900</v>
      </c>
      <c r="NO116" t="s">
        <v>1900</v>
      </c>
      <c r="NP116" t="s">
        <v>1900</v>
      </c>
      <c r="NQ116" t="s">
        <v>1900</v>
      </c>
      <c r="NR116" t="s">
        <v>1900</v>
      </c>
      <c r="NS116" t="s">
        <v>1900</v>
      </c>
      <c r="NT116">
        <v>54563709.5814213</v>
      </c>
      <c r="NU116">
        <v>64548690.9542593</v>
      </c>
      <c r="NV116">
        <v>62556514.5710548</v>
      </c>
      <c r="NW116">
        <v>60304035.6514285</v>
      </c>
      <c r="NX116">
        <v>60704204.2104763</v>
      </c>
      <c r="NY116" t="s">
        <v>1900</v>
      </c>
      <c r="NZ116" t="s">
        <v>1900</v>
      </c>
      <c r="OA116" t="s">
        <v>1900</v>
      </c>
      <c r="OB116" t="s">
        <v>1900</v>
      </c>
      <c r="OC116" t="s">
        <v>1900</v>
      </c>
      <c r="OD116" t="s">
        <v>1900</v>
      </c>
      <c r="OE116" t="s">
        <v>1900</v>
      </c>
      <c r="OF116" t="s">
        <v>1900</v>
      </c>
      <c r="OG116" t="s">
        <v>1900</v>
      </c>
      <c r="OH116" t="s">
        <v>1900</v>
      </c>
      <c r="OI116" t="s">
        <v>1900</v>
      </c>
      <c r="OJ116" t="s">
        <v>1900</v>
      </c>
      <c r="OK116" t="s">
        <v>1900</v>
      </c>
      <c r="OL116" t="s">
        <v>1900</v>
      </c>
      <c r="OM116" t="s">
        <v>1900</v>
      </c>
      <c r="ON116" t="s">
        <v>1900</v>
      </c>
      <c r="OO116" t="s">
        <v>1900</v>
      </c>
      <c r="OP116" t="s">
        <v>1900</v>
      </c>
      <c r="OQ116" t="s">
        <v>1900</v>
      </c>
      <c r="OR116" t="s">
        <v>1900</v>
      </c>
      <c r="OS116" t="s">
        <v>1900</v>
      </c>
      <c r="OT116" t="s">
        <v>1900</v>
      </c>
      <c r="OU116" t="s">
        <v>1900</v>
      </c>
      <c r="OV116" t="s">
        <v>1900</v>
      </c>
      <c r="OW116" t="s">
        <v>1900</v>
      </c>
      <c r="OX116" t="s">
        <v>1900</v>
      </c>
      <c r="OY116" t="s">
        <v>1900</v>
      </c>
      <c r="OZ116" t="s">
        <v>1900</v>
      </c>
      <c r="PA116" t="s">
        <v>1900</v>
      </c>
      <c r="PB116" t="s">
        <v>1900</v>
      </c>
      <c r="PC116" t="s">
        <v>1900</v>
      </c>
      <c r="PD116" t="s">
        <v>1900</v>
      </c>
      <c r="PE116" t="s">
        <v>1900</v>
      </c>
      <c r="PF116" t="s">
        <v>1900</v>
      </c>
      <c r="PG116" t="s">
        <v>1900</v>
      </c>
      <c r="PH116" t="s">
        <v>1900</v>
      </c>
      <c r="PI116" t="s">
        <v>1900</v>
      </c>
      <c r="PJ116" t="s">
        <v>1900</v>
      </c>
      <c r="PK116" t="s">
        <v>1900</v>
      </c>
      <c r="PL116" t="s">
        <v>1900</v>
      </c>
      <c r="PM116" t="s">
        <v>1900</v>
      </c>
      <c r="PN116" t="s">
        <v>1900</v>
      </c>
      <c r="PO116" t="s">
        <v>1900</v>
      </c>
      <c r="PP116" t="s">
        <v>1900</v>
      </c>
      <c r="PQ116" t="s">
        <v>1900</v>
      </c>
      <c r="PR116" t="s">
        <v>1900</v>
      </c>
      <c r="PS116" t="s">
        <v>1900</v>
      </c>
      <c r="PT116" t="s">
        <v>1900</v>
      </c>
      <c r="PU116" t="s">
        <v>1900</v>
      </c>
      <c r="PV116" t="s">
        <v>1900</v>
      </c>
      <c r="PW116" t="s">
        <v>1900</v>
      </c>
      <c r="PX116" t="s">
        <v>1900</v>
      </c>
      <c r="PY116" t="s">
        <v>1900</v>
      </c>
      <c r="PZ116" t="s">
        <v>1900</v>
      </c>
      <c r="QA116" t="s">
        <v>1900</v>
      </c>
      <c r="QB116" t="s">
        <v>1900</v>
      </c>
      <c r="QC116" t="s">
        <v>1900</v>
      </c>
      <c r="QD116" t="s">
        <v>1900</v>
      </c>
      <c r="QE116" t="s">
        <v>1900</v>
      </c>
      <c r="QF116" t="s">
        <v>1900</v>
      </c>
      <c r="QG116" t="s">
        <v>1900</v>
      </c>
      <c r="QH116" t="s">
        <v>1900</v>
      </c>
      <c r="QI116" t="s">
        <v>1900</v>
      </c>
      <c r="QJ116" t="s">
        <v>1900</v>
      </c>
      <c r="QK116" t="s">
        <v>1900</v>
      </c>
      <c r="QL116" t="s">
        <v>1900</v>
      </c>
      <c r="QM116" t="s">
        <v>1900</v>
      </c>
      <c r="QN116" t="s">
        <v>1900</v>
      </c>
      <c r="QO116" t="s">
        <v>1900</v>
      </c>
      <c r="QP116" t="s">
        <v>1900</v>
      </c>
      <c r="QQ116" t="s">
        <v>1900</v>
      </c>
      <c r="QR116" t="s">
        <v>1900</v>
      </c>
      <c r="QS116" t="s">
        <v>1900</v>
      </c>
      <c r="QT116" t="s">
        <v>1900</v>
      </c>
      <c r="QU116" t="s">
        <v>1900</v>
      </c>
      <c r="QV116" t="s">
        <v>1900</v>
      </c>
      <c r="QW116" t="s">
        <v>1900</v>
      </c>
      <c r="QX116" t="s">
        <v>1900</v>
      </c>
      <c r="QY116" t="s">
        <v>1900</v>
      </c>
      <c r="QZ116" t="s">
        <v>1900</v>
      </c>
      <c r="RA116" t="s">
        <v>1900</v>
      </c>
      <c r="RB116" t="s">
        <v>1900</v>
      </c>
      <c r="RC116" t="s">
        <v>1900</v>
      </c>
      <c r="RD116" t="s">
        <v>1900</v>
      </c>
      <c r="RE116" t="s">
        <v>1900</v>
      </c>
      <c r="RF116" t="s">
        <v>1900</v>
      </c>
      <c r="RG116" t="s">
        <v>1900</v>
      </c>
      <c r="RH116" t="s">
        <v>1900</v>
      </c>
      <c r="RI116" t="s">
        <v>1900</v>
      </c>
      <c r="RJ116" t="s">
        <v>1900</v>
      </c>
      <c r="RK116" t="s">
        <v>1900</v>
      </c>
      <c r="RL116" t="s">
        <v>1900</v>
      </c>
      <c r="RM116" t="s">
        <v>1900</v>
      </c>
      <c r="RN116" t="s">
        <v>1900</v>
      </c>
      <c r="RO116" t="s">
        <v>1900</v>
      </c>
      <c r="RP116" t="s">
        <v>1900</v>
      </c>
      <c r="RQ116" t="s">
        <v>1900</v>
      </c>
      <c r="RR116" t="s">
        <v>1900</v>
      </c>
      <c r="RS116" t="s">
        <v>1900</v>
      </c>
      <c r="RT116" t="s">
        <v>1900</v>
      </c>
      <c r="RU116" t="s">
        <v>1900</v>
      </c>
      <c r="RV116" t="s">
        <v>1900</v>
      </c>
      <c r="RW116" t="s">
        <v>1900</v>
      </c>
      <c r="RX116" t="s">
        <v>1900</v>
      </c>
      <c r="RY116" t="s">
        <v>1900</v>
      </c>
      <c r="RZ116" t="s">
        <v>1900</v>
      </c>
      <c r="SA116" t="s">
        <v>1900</v>
      </c>
      <c r="SB116" t="s">
        <v>1900</v>
      </c>
      <c r="SC116" t="s">
        <v>1900</v>
      </c>
      <c r="SD116" t="s">
        <v>1900</v>
      </c>
      <c r="SE116" t="s">
        <v>1900</v>
      </c>
      <c r="SF116" t="s">
        <v>1900</v>
      </c>
      <c r="SG116" t="s">
        <v>1900</v>
      </c>
      <c r="SH116" t="s">
        <v>1900</v>
      </c>
      <c r="SI116" t="s">
        <v>1900</v>
      </c>
      <c r="SJ116">
        <v>36664794.8912177</v>
      </c>
      <c r="SK116">
        <v>45147957.0646484</v>
      </c>
      <c r="SL116">
        <v>43192729.6623485</v>
      </c>
      <c r="SM116">
        <v>39887287.4268252</v>
      </c>
      <c r="SN116">
        <v>38761185.2827795</v>
      </c>
      <c r="SO116" t="s">
        <v>1900</v>
      </c>
      <c r="SP116" t="s">
        <v>1900</v>
      </c>
      <c r="SQ116" t="s">
        <v>1900</v>
      </c>
      <c r="SR116" t="s">
        <v>1900</v>
      </c>
      <c r="SS116" t="s">
        <v>1900</v>
      </c>
      <c r="ST116" t="s">
        <v>1900</v>
      </c>
      <c r="SU116" t="s">
        <v>1900</v>
      </c>
      <c r="SV116" t="s">
        <v>1900</v>
      </c>
      <c r="SW116" t="s">
        <v>1900</v>
      </c>
      <c r="SX116" t="s">
        <v>1900</v>
      </c>
      <c r="SY116" t="s">
        <v>1900</v>
      </c>
      <c r="SZ116" t="s">
        <v>1900</v>
      </c>
      <c r="TA116" t="s">
        <v>1900</v>
      </c>
      <c r="TB116" t="s">
        <v>1900</v>
      </c>
      <c r="TC116" t="s">
        <v>1900</v>
      </c>
      <c r="TD116" t="s">
        <v>1900</v>
      </c>
      <c r="TE116" t="s">
        <v>1900</v>
      </c>
      <c r="TF116" t="s">
        <v>1900</v>
      </c>
      <c r="TG116" t="s">
        <v>1900</v>
      </c>
      <c r="TH116" t="s">
        <v>1900</v>
      </c>
      <c r="TI116" t="s">
        <v>1900</v>
      </c>
      <c r="TJ116" t="s">
        <v>1900</v>
      </c>
      <c r="TK116" t="s">
        <v>1900</v>
      </c>
      <c r="TL116" t="s">
        <v>1900</v>
      </c>
      <c r="TM116" t="s">
        <v>1900</v>
      </c>
      <c r="TN116" t="s">
        <v>1900</v>
      </c>
      <c r="TO116" t="s">
        <v>1900</v>
      </c>
      <c r="TP116" t="s">
        <v>1900</v>
      </c>
      <c r="TQ116" t="s">
        <v>1900</v>
      </c>
      <c r="TR116" t="s">
        <v>1900</v>
      </c>
      <c r="TS116">
        <v>79629560.4895981</v>
      </c>
      <c r="TT116">
        <v>107522272.176775</v>
      </c>
      <c r="TU116">
        <v>95190611.8793944</v>
      </c>
      <c r="TV116">
        <v>81711836.9050968</v>
      </c>
      <c r="TW116">
        <v>89435631.0830244</v>
      </c>
      <c r="TX116" t="s">
        <v>1900</v>
      </c>
      <c r="TY116" t="s">
        <v>1900</v>
      </c>
      <c r="TZ116" t="s">
        <v>1900</v>
      </c>
      <c r="UA116" t="s">
        <v>1900</v>
      </c>
      <c r="UB116" t="s">
        <v>1900</v>
      </c>
      <c r="UC116">
        <v>0</v>
      </c>
      <c r="UD116">
        <v>0</v>
      </c>
      <c r="UE116">
        <v>0</v>
      </c>
      <c r="UF116">
        <v>110975.666534328</v>
      </c>
      <c r="UG116">
        <v>719152.686493087</v>
      </c>
      <c r="UH116" t="s">
        <v>1900</v>
      </c>
      <c r="UI116" t="s">
        <v>1900</v>
      </c>
      <c r="UJ116" t="s">
        <v>1900</v>
      </c>
      <c r="UK116" t="s">
        <v>1900</v>
      </c>
      <c r="UL116" t="s">
        <v>1900</v>
      </c>
      <c r="UM116" t="s">
        <v>1900</v>
      </c>
      <c r="UN116" t="s">
        <v>1900</v>
      </c>
      <c r="UO116" t="s">
        <v>1900</v>
      </c>
      <c r="UP116" t="s">
        <v>1900</v>
      </c>
      <c r="UQ116" t="s">
        <v>1900</v>
      </c>
      <c r="UR116" t="s">
        <v>1900</v>
      </c>
      <c r="US116" t="s">
        <v>1900</v>
      </c>
      <c r="UT116" t="s">
        <v>1900</v>
      </c>
      <c r="UU116" t="s">
        <v>1900</v>
      </c>
      <c r="UV116" t="s">
        <v>1900</v>
      </c>
      <c r="UW116" t="s">
        <v>1900</v>
      </c>
      <c r="UX116" t="s">
        <v>1900</v>
      </c>
      <c r="UY116" t="s">
        <v>1900</v>
      </c>
      <c r="UZ116" t="s">
        <v>1900</v>
      </c>
      <c r="VA116" t="s">
        <v>1900</v>
      </c>
      <c r="VB116" t="s">
        <v>1900</v>
      </c>
      <c r="VC116" t="s">
        <v>1900</v>
      </c>
      <c r="VD116" t="s">
        <v>1900</v>
      </c>
      <c r="VE116" t="s">
        <v>1900</v>
      </c>
      <c r="VF116" t="s">
        <v>1900</v>
      </c>
      <c r="VG116" t="s">
        <v>1900</v>
      </c>
      <c r="VH116" t="s">
        <v>1900</v>
      </c>
      <c r="VI116" t="s">
        <v>1900</v>
      </c>
      <c r="VJ116" t="s">
        <v>1900</v>
      </c>
      <c r="VK116" t="s">
        <v>1900</v>
      </c>
      <c r="VL116" t="s">
        <v>1900</v>
      </c>
      <c r="VM116" t="s">
        <v>1900</v>
      </c>
      <c r="VN116" t="s">
        <v>1900</v>
      </c>
      <c r="VO116" t="s">
        <v>1900</v>
      </c>
      <c r="VP116" t="s">
        <v>1900</v>
      </c>
      <c r="VQ116" t="s">
        <v>1900</v>
      </c>
      <c r="VR116" t="s">
        <v>1900</v>
      </c>
      <c r="VS116" t="s">
        <v>1900</v>
      </c>
      <c r="VT116" t="s">
        <v>1900</v>
      </c>
      <c r="VU116" t="s">
        <v>1900</v>
      </c>
      <c r="VV116" t="s">
        <v>1900</v>
      </c>
      <c r="VW116" t="s">
        <v>1900</v>
      </c>
      <c r="VX116" t="s">
        <v>1900</v>
      </c>
      <c r="VY116" t="s">
        <v>1900</v>
      </c>
      <c r="VZ116" t="s">
        <v>1900</v>
      </c>
      <c r="WA116">
        <v>33223239.0414204</v>
      </c>
      <c r="WB116">
        <v>45323416.8336425</v>
      </c>
      <c r="WC116">
        <v>38465550.5763603</v>
      </c>
      <c r="WD116">
        <v>24246333.8959248</v>
      </c>
      <c r="WE116">
        <v>30336435.2560491</v>
      </c>
      <c r="WF116" t="s">
        <v>1900</v>
      </c>
      <c r="WG116" t="s">
        <v>1900</v>
      </c>
      <c r="WH116" t="s">
        <v>1900</v>
      </c>
      <c r="WI116" t="s">
        <v>1900</v>
      </c>
      <c r="WJ116" t="s">
        <v>1900</v>
      </c>
      <c r="WK116" t="s">
        <v>1900</v>
      </c>
      <c r="WL116" t="s">
        <v>1900</v>
      </c>
      <c r="WM116" t="s">
        <v>1900</v>
      </c>
      <c r="WN116" t="s">
        <v>1900</v>
      </c>
      <c r="WO116" t="s">
        <v>1900</v>
      </c>
      <c r="WP116" t="s">
        <v>1900</v>
      </c>
      <c r="WQ116" t="s">
        <v>1900</v>
      </c>
      <c r="WR116" t="s">
        <v>1900</v>
      </c>
      <c r="WS116" t="s">
        <v>1900</v>
      </c>
      <c r="WT116" t="s">
        <v>1900</v>
      </c>
      <c r="WU116" t="s">
        <v>1900</v>
      </c>
      <c r="WV116" t="s">
        <v>1900</v>
      </c>
      <c r="WW116" t="s">
        <v>1900</v>
      </c>
      <c r="WX116" t="s">
        <v>1900</v>
      </c>
      <c r="WY116" t="s">
        <v>1900</v>
      </c>
      <c r="WZ116" t="s">
        <v>1900</v>
      </c>
      <c r="XA116" t="s">
        <v>1900</v>
      </c>
      <c r="XB116" t="s">
        <v>1900</v>
      </c>
      <c r="XC116" t="s">
        <v>1900</v>
      </c>
      <c r="XD116" t="s">
        <v>1900</v>
      </c>
      <c r="XE116" t="s">
        <v>1900</v>
      </c>
      <c r="XF116" t="s">
        <v>1900</v>
      </c>
      <c r="XG116" t="s">
        <v>1900</v>
      </c>
      <c r="XH116" t="s">
        <v>1900</v>
      </c>
      <c r="XI116" t="s">
        <v>1900</v>
      </c>
      <c r="XJ116">
        <v>3208707.96059082</v>
      </c>
      <c r="XK116">
        <v>3843612.8073162</v>
      </c>
      <c r="XL116">
        <v>3327300.49288914</v>
      </c>
      <c r="XM116">
        <v>3151608.54494448</v>
      </c>
      <c r="XN116">
        <v>3226549.42677917</v>
      </c>
      <c r="XO116" t="s">
        <v>1900</v>
      </c>
      <c r="XP116" t="s">
        <v>1900</v>
      </c>
      <c r="XQ116" t="s">
        <v>1900</v>
      </c>
      <c r="XR116" t="s">
        <v>1900</v>
      </c>
      <c r="XS116" t="s">
        <v>1900</v>
      </c>
      <c r="XT116" t="s">
        <v>1900</v>
      </c>
      <c r="XU116" t="s">
        <v>1900</v>
      </c>
      <c r="XV116" t="s">
        <v>1900</v>
      </c>
      <c r="XW116" t="s">
        <v>1900</v>
      </c>
      <c r="XX116" t="s">
        <v>1900</v>
      </c>
      <c r="XY116">
        <v>3208707.96059082</v>
      </c>
      <c r="XZ116">
        <v>3843612.8073162</v>
      </c>
      <c r="YA116">
        <v>3327300.49288914</v>
      </c>
      <c r="YB116">
        <v>3151608.54494448</v>
      </c>
      <c r="YC116">
        <v>3226549.42677917</v>
      </c>
      <c r="YD116" t="s">
        <v>1900</v>
      </c>
      <c r="YE116" t="s">
        <v>1900</v>
      </c>
      <c r="YF116" t="s">
        <v>1900</v>
      </c>
      <c r="YG116" t="s">
        <v>1900</v>
      </c>
      <c r="YH116" t="s">
        <v>1900</v>
      </c>
      <c r="YI116" t="s">
        <v>1900</v>
      </c>
      <c r="YJ116" t="s">
        <v>1900</v>
      </c>
      <c r="YK116" t="s">
        <v>1900</v>
      </c>
      <c r="YL116" t="s">
        <v>1900</v>
      </c>
      <c r="YM116" t="s">
        <v>1900</v>
      </c>
      <c r="YN116" t="s">
        <v>1900</v>
      </c>
      <c r="YO116" t="s">
        <v>1900</v>
      </c>
      <c r="YP116" t="s">
        <v>1900</v>
      </c>
      <c r="YQ116" t="s">
        <v>1900</v>
      </c>
      <c r="YR116" t="s">
        <v>1900</v>
      </c>
      <c r="YS116" t="s">
        <v>1900</v>
      </c>
      <c r="YT116" t="s">
        <v>1900</v>
      </c>
      <c r="YU116" t="s">
        <v>1900</v>
      </c>
      <c r="YV116" t="s">
        <v>1900</v>
      </c>
      <c r="YW116" t="s">
        <v>1900</v>
      </c>
      <c r="YX116" t="s">
        <v>1900</v>
      </c>
      <c r="YY116" t="s">
        <v>1900</v>
      </c>
      <c r="YZ116" t="s">
        <v>1900</v>
      </c>
      <c r="ZA116" t="s">
        <v>1900</v>
      </c>
      <c r="ZB116" t="s">
        <v>1900</v>
      </c>
      <c r="ZC116" t="s">
        <v>1900</v>
      </c>
      <c r="ZD116" t="s">
        <v>1900</v>
      </c>
      <c r="ZE116" t="s">
        <v>1900</v>
      </c>
      <c r="ZF116" t="s">
        <v>1900</v>
      </c>
      <c r="ZG116" t="s">
        <v>1900</v>
      </c>
      <c r="ZH116" t="s">
        <v>1900</v>
      </c>
      <c r="ZI116" t="s">
        <v>1900</v>
      </c>
      <c r="ZJ116" t="s">
        <v>1900</v>
      </c>
      <c r="ZK116" t="s">
        <v>1900</v>
      </c>
      <c r="ZL116" t="s">
        <v>1900</v>
      </c>
      <c r="ZM116" t="s">
        <v>1900</v>
      </c>
      <c r="ZN116" t="s">
        <v>1900</v>
      </c>
      <c r="ZO116" t="s">
        <v>1900</v>
      </c>
      <c r="ZP116" t="s">
        <v>1900</v>
      </c>
      <c r="ZQ116" t="s">
        <v>1900</v>
      </c>
      <c r="ZR116" t="s">
        <v>1900</v>
      </c>
      <c r="ZS116" t="s">
        <v>1900</v>
      </c>
      <c r="ZT116" t="s">
        <v>1900</v>
      </c>
      <c r="ZU116" t="s">
        <v>1900</v>
      </c>
      <c r="ZV116" t="s">
        <v>1900</v>
      </c>
      <c r="ZW116" t="s">
        <v>1900</v>
      </c>
      <c r="ZX116" t="s">
        <v>1900</v>
      </c>
      <c r="ZY116" t="s">
        <v>1900</v>
      </c>
      <c r="ZZ116" t="s">
        <v>1900</v>
      </c>
      <c r="AAA116" t="s">
        <v>1900</v>
      </c>
      <c r="AAB116" t="s">
        <v>1900</v>
      </c>
      <c r="AAC116" t="s">
        <v>1900</v>
      </c>
      <c r="AAD116" t="s">
        <v>1900</v>
      </c>
      <c r="AAE116" t="s">
        <v>1900</v>
      </c>
      <c r="AAF116" t="s">
        <v>1900</v>
      </c>
      <c r="AAG116" t="s">
        <v>1900</v>
      </c>
      <c r="AAH116" t="s">
        <v>1900</v>
      </c>
      <c r="AAI116" t="s">
        <v>1900</v>
      </c>
      <c r="AAJ116" t="s">
        <v>1900</v>
      </c>
      <c r="AAK116" t="s">
        <v>1900</v>
      </c>
      <c r="AAL116" t="s">
        <v>1900</v>
      </c>
      <c r="AAM116" t="s">
        <v>1900</v>
      </c>
      <c r="AAN116" t="s">
        <v>1900</v>
      </c>
      <c r="AAO116" t="s">
        <v>1900</v>
      </c>
      <c r="AAP116" t="s">
        <v>1900</v>
      </c>
      <c r="AAQ116" t="s">
        <v>1900</v>
      </c>
      <c r="AAR116" t="s">
        <v>1900</v>
      </c>
      <c r="AAS116" t="s">
        <v>1900</v>
      </c>
      <c r="AAT116" t="s">
        <v>1900</v>
      </c>
      <c r="AAU116" t="s">
        <v>1900</v>
      </c>
      <c r="AAV116" t="s">
        <v>1900</v>
      </c>
      <c r="AAW116" t="s">
        <v>1900</v>
      </c>
      <c r="AAX116" t="s">
        <v>1900</v>
      </c>
      <c r="AAY116" t="s">
        <v>1900</v>
      </c>
      <c r="AAZ116" t="s">
        <v>1900</v>
      </c>
      <c r="ABA116" t="s">
        <v>1900</v>
      </c>
      <c r="ABB116" t="s">
        <v>1900</v>
      </c>
      <c r="ABC116" t="s">
        <v>1900</v>
      </c>
      <c r="ABD116" t="s">
        <v>1900</v>
      </c>
      <c r="ABE116" t="s">
        <v>1900</v>
      </c>
      <c r="ABF116" t="s">
        <v>1900</v>
      </c>
      <c r="ABG116" t="s">
        <v>1900</v>
      </c>
      <c r="ABH116" t="s">
        <v>1900</v>
      </c>
      <c r="ABI116" t="s">
        <v>1900</v>
      </c>
      <c r="ABJ116" t="s">
        <v>1900</v>
      </c>
      <c r="ABK116" t="s">
        <v>1900</v>
      </c>
      <c r="ABL116" t="s">
        <v>1900</v>
      </c>
      <c r="ABM116" t="s">
        <v>1900</v>
      </c>
      <c r="ABN116" t="s">
        <v>1900</v>
      </c>
      <c r="ABO116" t="s">
        <v>1900</v>
      </c>
      <c r="ABP116" t="s">
        <v>1900</v>
      </c>
      <c r="ABQ116" t="s">
        <v>1900</v>
      </c>
      <c r="ABR116" t="s">
        <v>1900</v>
      </c>
      <c r="ABS116" t="s">
        <v>1900</v>
      </c>
      <c r="ABT116" t="s">
        <v>1900</v>
      </c>
      <c r="ABU116" t="s">
        <v>1900</v>
      </c>
      <c r="ABV116" t="s">
        <v>1900</v>
      </c>
      <c r="ABW116" t="s">
        <v>1900</v>
      </c>
      <c r="ABX116" t="s">
        <v>1900</v>
      </c>
      <c r="ABY116" t="s">
        <v>1900</v>
      </c>
      <c r="ABZ116" t="s">
        <v>1900</v>
      </c>
      <c r="ACA116" t="s">
        <v>1900</v>
      </c>
      <c r="ACB116" t="s">
        <v>1900</v>
      </c>
      <c r="ACC116" t="s">
        <v>1900</v>
      </c>
      <c r="ACD116" t="s">
        <v>1900</v>
      </c>
      <c r="ACE116">
        <v>23.773</v>
      </c>
      <c r="ACF116">
        <v>14.637</v>
      </c>
      <c r="ACG116">
        <v>11.943</v>
      </c>
      <c r="ACH116">
        <v>11.457</v>
      </c>
      <c r="ACI116">
        <v>10.85</v>
      </c>
      <c r="ACJ116">
        <v>22.158</v>
      </c>
      <c r="ACK116" t="s">
        <v>1900</v>
      </c>
      <c r="ACL116">
        <v>11.242</v>
      </c>
      <c r="ACM116">
        <v>10.832</v>
      </c>
      <c r="ACN116">
        <v>10.24</v>
      </c>
      <c r="ACO116">
        <v>12.896</v>
      </c>
      <c r="ACP116">
        <v>7.944</v>
      </c>
      <c r="ACQ116">
        <v>6.699</v>
      </c>
      <c r="ACR116">
        <v>7.6</v>
      </c>
      <c r="ACS116">
        <v>6.677</v>
      </c>
      <c r="ACT116">
        <v>17.459</v>
      </c>
      <c r="ACU116">
        <v>11.043</v>
      </c>
      <c r="ACV116">
        <v>9.029</v>
      </c>
      <c r="ACW116">
        <v>8.705</v>
      </c>
      <c r="ACX116">
        <v>8.269</v>
      </c>
      <c r="ACY116">
        <v>16.281</v>
      </c>
      <c r="ACZ116" t="s">
        <v>1900</v>
      </c>
      <c r="ADA116">
        <v>8.499000000000001</v>
      </c>
      <c r="ADB116">
        <v>8.231</v>
      </c>
      <c r="ADC116">
        <v>7.807</v>
      </c>
      <c r="ADD116">
        <v>9.471</v>
      </c>
      <c r="ADE116">
        <v>5.993</v>
      </c>
      <c r="ADF116">
        <v>5.065</v>
      </c>
      <c r="ADG116">
        <v>5.774</v>
      </c>
      <c r="ADH116">
        <v>5.088</v>
      </c>
      <c r="ADI116">
        <v>27.501</v>
      </c>
      <c r="ADJ116">
        <v>23.534</v>
      </c>
      <c r="ADK116">
        <v>18.952</v>
      </c>
      <c r="ADL116">
        <v>19.493</v>
      </c>
      <c r="ADM116">
        <v>18.39</v>
      </c>
      <c r="ADN116">
        <v>61.474</v>
      </c>
      <c r="ADO116">
        <v>61.928</v>
      </c>
      <c r="ADP116">
        <v>62.89</v>
      </c>
      <c r="ADQ116">
        <v>62.136</v>
      </c>
      <c r="ADR116">
        <v>63.556</v>
      </c>
      <c r="ADS116">
        <v>21.043778344</v>
      </c>
      <c r="ADT116">
        <v>20.307632169</v>
      </c>
      <c r="ADU116">
        <v>22.019046393</v>
      </c>
      <c r="ADV116">
        <v>18.829275714</v>
      </c>
      <c r="ADW116">
        <v>18.252306308</v>
      </c>
      <c r="ADX116">
        <v>26.823</v>
      </c>
      <c r="ADY116">
        <v>26.442</v>
      </c>
      <c r="ADZ116">
        <v>27.648</v>
      </c>
      <c r="AEA116">
        <v>24.904</v>
      </c>
      <c r="AEB116">
        <v>24.497</v>
      </c>
      <c r="AEC116">
        <v>21.044</v>
      </c>
      <c r="AED116">
        <v>20.308</v>
      </c>
      <c r="AEE116">
        <v>22.019</v>
      </c>
      <c r="AEF116">
        <v>18.829</v>
      </c>
      <c r="AEG116">
        <v>18.252</v>
      </c>
      <c r="AEH116">
        <v>25.976</v>
      </c>
      <c r="AEI116">
        <v>23.889</v>
      </c>
      <c r="AEJ116">
        <v>19.957</v>
      </c>
      <c r="AEK116">
        <v>20.885</v>
      </c>
      <c r="AEL116">
        <v>20.26</v>
      </c>
      <c r="AEM116">
        <v>26.652463735</v>
      </c>
      <c r="AEN116">
        <v>25.482530789</v>
      </c>
      <c r="AEO116">
        <v>28.236441559</v>
      </c>
      <c r="AEP116">
        <v>23.197126649</v>
      </c>
      <c r="AEQ116">
        <v>22.327610094</v>
      </c>
      <c r="AER116">
        <v>1.520495472</v>
      </c>
      <c r="AES116">
        <v>1.487922051</v>
      </c>
      <c r="AET116">
        <v>1.538743757</v>
      </c>
      <c r="AEU116">
        <v>1.43479113</v>
      </c>
      <c r="AEV116">
        <v>1.402886373</v>
      </c>
      <c r="AEW116" t="s">
        <v>1900</v>
      </c>
      <c r="AEX116" t="s">
        <v>1900</v>
      </c>
      <c r="AEY116" t="s">
        <v>1900</v>
      </c>
      <c r="AEZ116" t="s">
        <v>1900</v>
      </c>
      <c r="AFA116" t="s">
        <v>1900</v>
      </c>
      <c r="AFB116" t="s">
        <v>1900</v>
      </c>
      <c r="AFC116" t="s">
        <v>1900</v>
      </c>
      <c r="AFD116" t="s">
        <v>1900</v>
      </c>
      <c r="AFE116" t="s">
        <v>1900</v>
      </c>
      <c r="AFF116" t="s">
        <v>1900</v>
      </c>
      <c r="AFG116">
        <v>0.805</v>
      </c>
      <c r="AFH116">
        <v>0.584</v>
      </c>
      <c r="AFI116">
        <v>0.593</v>
      </c>
      <c r="AFJ116">
        <v>0.555</v>
      </c>
      <c r="AFK116">
        <v>0.556</v>
      </c>
      <c r="AFL116">
        <v>590.938</v>
      </c>
      <c r="AFM116" t="s">
        <v>1900</v>
      </c>
      <c r="AFN116" t="s">
        <v>1901</v>
      </c>
      <c r="AFO116" t="s">
        <v>1901</v>
      </c>
      <c r="AFP116">
        <v>859.3819999999999</v>
      </c>
      <c r="AFQ116" t="s">
        <v>1901</v>
      </c>
      <c r="AFR116" t="s">
        <v>1901</v>
      </c>
      <c r="AFS116" t="s">
        <v>1901</v>
      </c>
      <c r="AFT116" t="s">
        <v>1901</v>
      </c>
      <c r="AFU116" t="s">
        <v>1901</v>
      </c>
      <c r="AFV116">
        <v>119.51</v>
      </c>
      <c r="AFW116">
        <v>114.421</v>
      </c>
      <c r="AFX116">
        <v>82.554</v>
      </c>
      <c r="AFY116">
        <v>88.316</v>
      </c>
      <c r="AFZ116">
        <v>87.596</v>
      </c>
      <c r="AGA116">
        <v>0</v>
      </c>
      <c r="AGB116">
        <v>0</v>
      </c>
      <c r="AGC116">
        <v>0</v>
      </c>
      <c r="AGD116" t="s">
        <v>1900</v>
      </c>
      <c r="AGE116">
        <v>0</v>
      </c>
      <c r="AGF116" t="s">
        <v>1900</v>
      </c>
      <c r="AGG116" t="s">
        <v>1900</v>
      </c>
      <c r="AGH116" t="s">
        <v>1900</v>
      </c>
      <c r="AGI116" t="s">
        <v>1900</v>
      </c>
      <c r="AGJ116" t="s">
        <v>1900</v>
      </c>
      <c r="AGK116" t="s">
        <v>1900</v>
      </c>
      <c r="AGL116" t="s">
        <v>1900</v>
      </c>
      <c r="AGM116" t="s">
        <v>1900</v>
      </c>
      <c r="AGN116" t="s">
        <v>1900</v>
      </c>
      <c r="AGO116" t="s">
        <v>1900</v>
      </c>
      <c r="AGP116" t="s">
        <v>1900</v>
      </c>
      <c r="AGQ116" t="s">
        <v>1900</v>
      </c>
      <c r="AGR116" t="s">
        <v>1900</v>
      </c>
      <c r="AGS116" t="s">
        <v>1900</v>
      </c>
      <c r="AGT116" t="s">
        <v>1900</v>
      </c>
      <c r="AGU116">
        <v>0</v>
      </c>
      <c r="AGV116">
        <v>0</v>
      </c>
      <c r="AGW116">
        <v>0</v>
      </c>
      <c r="AGX116">
        <v>0</v>
      </c>
      <c r="AGY116">
        <v>0</v>
      </c>
      <c r="AGZ116">
        <v>0.754</v>
      </c>
      <c r="AHA116">
        <v>0.948</v>
      </c>
      <c r="AHB116">
        <v>0.848</v>
      </c>
      <c r="AHC116">
        <v>0.879</v>
      </c>
      <c r="AHD116">
        <v>0.925</v>
      </c>
      <c r="AHE116">
        <v>0.754</v>
      </c>
      <c r="AHF116">
        <v>0.948</v>
      </c>
      <c r="AHG116">
        <v>0.848</v>
      </c>
      <c r="AHH116">
        <v>0.879</v>
      </c>
      <c r="AHI116">
        <v>0.925</v>
      </c>
      <c r="AHJ116">
        <v>13.463</v>
      </c>
      <c r="AHK116">
        <v>15.182</v>
      </c>
      <c r="AHL116">
        <v>16.048</v>
      </c>
      <c r="AHM116">
        <v>17.198</v>
      </c>
      <c r="AHN116">
        <v>16.444</v>
      </c>
      <c r="AHO116">
        <v>54.248</v>
      </c>
      <c r="AHP116">
        <v>54.273</v>
      </c>
      <c r="AHQ116">
        <v>56.096</v>
      </c>
      <c r="AHR116">
        <v>66.334</v>
      </c>
      <c r="AHS116">
        <v>61.534</v>
      </c>
      <c r="AHT116" t="s">
        <v>1901</v>
      </c>
      <c r="AHU116" t="s">
        <v>1901</v>
      </c>
      <c r="AHV116" t="s">
        <v>1901</v>
      </c>
      <c r="AHW116" t="s">
        <v>1901</v>
      </c>
      <c r="AHX116" t="s">
        <v>1901</v>
      </c>
      <c r="AHY116">
        <v>7.428</v>
      </c>
      <c r="AHZ116">
        <v>6.587</v>
      </c>
      <c r="AIA116">
        <v>6.231</v>
      </c>
      <c r="AIB116">
        <v>6.019</v>
      </c>
      <c r="AIC116">
        <v>7.388</v>
      </c>
      <c r="AID116">
        <v>46.044201005</v>
      </c>
      <c r="AIE116">
        <v>41.989400103</v>
      </c>
      <c r="AIF116">
        <v>45.374988993</v>
      </c>
      <c r="AIG116">
        <v>48.814576856</v>
      </c>
      <c r="AIH116">
        <v>43.339757112</v>
      </c>
      <c r="AII116">
        <v>15.910560647</v>
      </c>
      <c r="AIJ116">
        <v>29.238395011</v>
      </c>
      <c r="AIK116">
        <v>26.176716854</v>
      </c>
      <c r="AIL116">
        <v>16.634202323</v>
      </c>
      <c r="AIM116">
        <v>23.291115438</v>
      </c>
      <c r="AIN116">
        <v>41.722243394</v>
      </c>
      <c r="AIO116">
        <v>42.152584684</v>
      </c>
      <c r="AIP116">
        <v>40.408975021</v>
      </c>
      <c r="AIQ116">
        <v>29.672976174</v>
      </c>
      <c r="AIR116">
        <v>33.919853741</v>
      </c>
      <c r="AIS116">
        <v>0</v>
      </c>
      <c r="AIT116">
        <v>0</v>
      </c>
      <c r="AIU116">
        <v>0</v>
      </c>
      <c r="AIV116">
        <v>0</v>
      </c>
      <c r="AIW116">
        <v>0</v>
      </c>
      <c r="AIX116">
        <v>80.8606430333729</v>
      </c>
      <c r="AIY116">
        <v>67.790579288579</v>
      </c>
      <c r="AIZ116">
        <v>52.2716730686784</v>
      </c>
      <c r="AJA116">
        <v>50.9033775550318</v>
      </c>
      <c r="AJB116">
        <v>49.3491788133234</v>
      </c>
      <c r="AJC116">
        <v>294.027562197542</v>
      </c>
      <c r="AJD116">
        <v>288.05349727987</v>
      </c>
      <c r="AJE116">
        <v>275.814194061459</v>
      </c>
      <c r="AJF116">
        <v>261.138609422944</v>
      </c>
      <c r="AJG116">
        <v>268.355100458601</v>
      </c>
      <c r="AJH116">
        <v>28.157</v>
      </c>
      <c r="AJI116">
        <v>28.692</v>
      </c>
      <c r="AJJ116">
        <v>27.971</v>
      </c>
      <c r="AJK116">
        <v>30.074</v>
      </c>
      <c r="AJL116">
        <v>30.93</v>
      </c>
      <c r="AJM116">
        <v>82.79057138792059</v>
      </c>
      <c r="AJN116">
        <v>82.64931542699721</v>
      </c>
      <c r="AJO116">
        <v>77.14909286279079</v>
      </c>
      <c r="AJP116">
        <v>78.5346276404285</v>
      </c>
      <c r="AJQ116">
        <v>83.00122976236941</v>
      </c>
      <c r="AJR116">
        <v>340.138689254931</v>
      </c>
      <c r="AJS116">
        <v>463.136845645125</v>
      </c>
      <c r="AJT116">
        <v>437.686564070038</v>
      </c>
      <c r="AJU116">
        <v>444.286220098836</v>
      </c>
      <c r="AJV116">
        <v>454.820319404448</v>
      </c>
      <c r="AJW116">
        <v>97.6089877125325</v>
      </c>
      <c r="AJX116">
        <v>91.55392545827679</v>
      </c>
      <c r="AJY116">
        <v>63.2485273055154</v>
      </c>
      <c r="AJZ116">
        <v>64.0630242842531</v>
      </c>
      <c r="AKA116">
        <v>65.2964533239883</v>
      </c>
      <c r="AKB116">
        <v>627.0044135820521</v>
      </c>
      <c r="AKC116">
        <v>853.351365938607</v>
      </c>
      <c r="AKD116">
        <v>780.250916624571</v>
      </c>
      <c r="AKE116">
        <v>669.76915495981</v>
      </c>
      <c r="AKF116">
        <v>739.137446561492</v>
      </c>
      <c r="AKG116">
        <v>0</v>
      </c>
      <c r="AKH116">
        <v>0</v>
      </c>
      <c r="AKI116">
        <v>0</v>
      </c>
      <c r="AKJ116">
        <v>0</v>
      </c>
      <c r="AKK116">
        <v>0</v>
      </c>
      <c r="AKL116">
        <v>0</v>
      </c>
      <c r="AKM116">
        <v>0</v>
      </c>
      <c r="AKN116">
        <v>0</v>
      </c>
      <c r="AKO116">
        <v>0</v>
      </c>
      <c r="AKP116">
        <v>0</v>
      </c>
      <c r="AKQ116">
        <v>0</v>
      </c>
      <c r="AKR116">
        <v>0</v>
      </c>
      <c r="AKS116">
        <v>0</v>
      </c>
      <c r="AKT116">
        <v>0</v>
      </c>
      <c r="AKU116">
        <v>0</v>
      </c>
      <c r="AKV116">
        <v>10.0155916</v>
      </c>
      <c r="AKW116">
        <v>10.324275449</v>
      </c>
      <c r="AKX116">
        <v>11.594523111</v>
      </c>
      <c r="AKY116">
        <v>11.293468589</v>
      </c>
      <c r="AKZ116">
        <v>10.690169319</v>
      </c>
      <c r="ALA116">
        <v>4.696713327</v>
      </c>
      <c r="ALB116">
        <v>3.485016563</v>
      </c>
      <c r="ALC116">
        <v>4.098596976</v>
      </c>
      <c r="ALD116">
        <v>4.403249479</v>
      </c>
      <c r="ALE116">
        <v>3.881228685</v>
      </c>
      <c r="ALF116">
        <v>37.917443997</v>
      </c>
      <c r="ALG116">
        <v>43.129017136</v>
      </c>
      <c r="ALH116">
        <v>45.951300048</v>
      </c>
      <c r="ALI116">
        <v>52.791423215</v>
      </c>
      <c r="ALJ116">
        <v>56.887180088</v>
      </c>
      <c r="ALK116">
        <v>17.78101301</v>
      </c>
      <c r="ALL116">
        <v>14.558439455</v>
      </c>
      <c r="ALM116">
        <v>16.243519254</v>
      </c>
      <c r="ALN116">
        <v>20.583030353</v>
      </c>
      <c r="ALO116">
        <v>20.653756601</v>
      </c>
      <c r="ALP116">
        <v>33.197223607</v>
      </c>
      <c r="ALQ116">
        <v>31.783653406</v>
      </c>
      <c r="ALR116">
        <v>22.931570934</v>
      </c>
      <c r="ALS116">
        <v>24.532191767</v>
      </c>
      <c r="ALT116">
        <v>24.332107997</v>
      </c>
      <c r="ALU116">
        <v>0</v>
      </c>
      <c r="ALV116">
        <v>0</v>
      </c>
      <c r="ALW116">
        <v>0</v>
      </c>
      <c r="ALX116" t="s">
        <v>1900</v>
      </c>
      <c r="ALY116">
        <v>0</v>
      </c>
      <c r="ALZ116">
        <v>61.4740596550168</v>
      </c>
      <c r="AMA116">
        <v>61.9282806679889</v>
      </c>
      <c r="AMB116">
        <v>62.8901397925922</v>
      </c>
      <c r="AMC116">
        <v>62.1357611071826</v>
      </c>
      <c r="AMD116">
        <v>63.5561625511619</v>
      </c>
      <c r="AME116">
        <v>61.4891022220091</v>
      </c>
      <c r="AMF116">
        <v>61.9462690523753</v>
      </c>
      <c r="AMG116">
        <v>62.9303637200624</v>
      </c>
      <c r="AMH116">
        <v>62.1405328220142</v>
      </c>
      <c r="AMI116">
        <v>63.5793387813596</v>
      </c>
      <c r="AMJ116">
        <v>159.565371031941</v>
      </c>
      <c r="AMK116">
        <v>162.662159089618</v>
      </c>
      <c r="AML116">
        <v>169.470160871256</v>
      </c>
      <c r="AMM116">
        <v>164.101439574874</v>
      </c>
      <c r="AMN116">
        <v>174.394814048838</v>
      </c>
      <c r="AMO116">
        <v>1.52049547173802</v>
      </c>
      <c r="AMP116">
        <v>1.48792205085359</v>
      </c>
      <c r="AMQ116">
        <v>1.53874375655374</v>
      </c>
      <c r="AMR116">
        <v>1.43479112986639</v>
      </c>
      <c r="AMS116">
        <v>1.40288637263069</v>
      </c>
      <c r="AMT116">
        <v>1.52049547173802</v>
      </c>
      <c r="AMU116">
        <v>1.48792205078044</v>
      </c>
      <c r="AMV116">
        <v>1.53874375655374</v>
      </c>
      <c r="AMW116">
        <v>1.43479112986639</v>
      </c>
      <c r="AMX116">
        <v>1.40288637263069</v>
      </c>
      <c r="AMY116">
        <v>1.52049547173802</v>
      </c>
      <c r="AMZ116">
        <v>1.48792205074475</v>
      </c>
      <c r="ANA116">
        <v>1.53874375655374</v>
      </c>
      <c r="ANB116">
        <v>1.43479112986639</v>
      </c>
      <c r="ANC116">
        <v>1.40288637263069</v>
      </c>
      <c r="AND116">
        <v>21.0437783436572</v>
      </c>
      <c r="ANE116">
        <v>20.3076321689685</v>
      </c>
      <c r="ANF116">
        <v>22.0190463927108</v>
      </c>
      <c r="ANG116">
        <v>18.8292757144488</v>
      </c>
      <c r="ANH116">
        <v>18.2523063079928</v>
      </c>
      <c r="ANI116">
        <v>21.048927709866</v>
      </c>
      <c r="ANJ116">
        <v>20.3135309520365</v>
      </c>
      <c r="ANK116">
        <v>22.033129562632</v>
      </c>
      <c r="ANL116">
        <v>18.8307217083917</v>
      </c>
      <c r="ANM116">
        <v>18.2589621480506</v>
      </c>
      <c r="ANN116">
        <v>26.6524637352206</v>
      </c>
      <c r="ANO116">
        <v>25.4825307889282</v>
      </c>
      <c r="ANP116">
        <v>28.2364415593048</v>
      </c>
      <c r="ANQ116">
        <v>23.1971266490233</v>
      </c>
      <c r="ANR116">
        <v>22.3276100935155</v>
      </c>
      <c r="ANS116">
        <v>16.9331727531634</v>
      </c>
      <c r="ANT116">
        <v>11.8500611922429</v>
      </c>
      <c r="ANU116">
        <v>13.0617081507794</v>
      </c>
      <c r="ANV116">
        <v>10.459160499493</v>
      </c>
      <c r="ANW116">
        <v>10.1519287524443</v>
      </c>
      <c r="ANX116">
        <v>61.4740596550168</v>
      </c>
      <c r="ANY116">
        <v>61.9282806679889</v>
      </c>
      <c r="ANZ116">
        <v>62.8901397925922</v>
      </c>
      <c r="AOA116">
        <v>62.1357611071826</v>
      </c>
      <c r="AOB116">
        <v>63.5561625511619</v>
      </c>
      <c r="AOC116">
        <v>77.858411111138</v>
      </c>
      <c r="AOD116">
        <v>77.70917385626311</v>
      </c>
      <c r="AOE116">
        <v>80.6480773616926</v>
      </c>
      <c r="AOF116">
        <v>76.5494723055503</v>
      </c>
      <c r="AOG116">
        <v>77.74673471598619</v>
      </c>
      <c r="AOH116">
        <v>28.8276565950672</v>
      </c>
      <c r="AOI116">
        <v>20.9042353509023</v>
      </c>
      <c r="AOJ116">
        <v>22.2313013033227</v>
      </c>
      <c r="AOK116">
        <v>24.2263265313139</v>
      </c>
      <c r="AOL116">
        <v>23.0750321918349</v>
      </c>
      <c r="AOM116">
        <v>54.622361336853</v>
      </c>
      <c r="AON116">
        <v>53.3404651149907</v>
      </c>
      <c r="AOO116">
        <v>59.3347597367543</v>
      </c>
      <c r="AOP116">
        <v>49.7283882233815</v>
      </c>
      <c r="AOQ116">
        <v>50.083381953441</v>
      </c>
      <c r="AOR116">
        <v>52.0495471738024</v>
      </c>
      <c r="AOS116">
        <v>48.7922050780444</v>
      </c>
      <c r="AOT116">
        <v>53.8743756553739</v>
      </c>
      <c r="AOU116">
        <v>43.4791129866386</v>
      </c>
      <c r="AOV116">
        <v>40.2886372630693</v>
      </c>
      <c r="AOW116">
        <v>9.86827320268174</v>
      </c>
      <c r="AOX116">
        <v>6.85495411305853</v>
      </c>
      <c r="AOY116">
        <v>7.78360576685909</v>
      </c>
      <c r="AOZ116">
        <v>7.34141134956896</v>
      </c>
      <c r="APA116">
        <v>6.62677762039403</v>
      </c>
      <c r="APB116">
        <v>20.1972173233513</v>
      </c>
      <c r="APC116">
        <v>17.7544107937602</v>
      </c>
      <c r="APD116">
        <v>14.3277128765531</v>
      </c>
      <c r="APE116">
        <v>14.8102579661397</v>
      </c>
      <c r="APF116">
        <v>14.0152581024215</v>
      </c>
      <c r="APG116">
        <v>20.2021595379431</v>
      </c>
      <c r="APH116">
        <v>17.7595679394531</v>
      </c>
      <c r="API116">
        <v>14.3368767436627</v>
      </c>
      <c r="APJ116">
        <v>14.8113953196755</v>
      </c>
      <c r="APK116">
        <v>14.0203688711498</v>
      </c>
      <c r="APL116">
        <v>52.4249820834842</v>
      </c>
      <c r="APM116">
        <v>46.6341187245309</v>
      </c>
      <c r="APN116">
        <v>38.6089109376193</v>
      </c>
      <c r="APO116">
        <v>39.1141044933273</v>
      </c>
      <c r="APP116">
        <v>38.457141408604</v>
      </c>
      <c r="APQ116">
        <v>49.9556685441031</v>
      </c>
      <c r="APR116">
        <v>42.6576986071633</v>
      </c>
      <c r="APS116">
        <v>35.055859006196</v>
      </c>
      <c r="APT116">
        <v>34.1987068029877</v>
      </c>
      <c r="APU116">
        <v>30.9361261151686</v>
      </c>
      <c r="APV116">
        <v>25.5802733459812</v>
      </c>
      <c r="APW116">
        <v>22.278683990673</v>
      </c>
      <c r="APX116">
        <v>18.373349149726</v>
      </c>
      <c r="APY116">
        <v>18.2458122635922</v>
      </c>
      <c r="APZ116">
        <v>17.14453028513</v>
      </c>
      <c r="AQA116">
        <v>9.471286725505809</v>
      </c>
      <c r="AQB116">
        <v>5.99310004647376</v>
      </c>
      <c r="AQC116">
        <v>5.06476377690716</v>
      </c>
      <c r="AQD116">
        <v>5.77442263693809</v>
      </c>
      <c r="AQE116">
        <v>5.08845277796493</v>
      </c>
      <c r="AQF116">
        <v>0.520495471738024</v>
      </c>
      <c r="AQG116">
        <v>0.487922050744753</v>
      </c>
      <c r="AQH116">
        <v>0.538743756553739</v>
      </c>
      <c r="AQI116">
        <v>0.434791129866386</v>
      </c>
      <c r="AQJ116">
        <v>0.402886372630693</v>
      </c>
      <c r="AQK116">
        <v>53</v>
      </c>
      <c r="AQO116" t="s">
        <v>1903</v>
      </c>
      <c r="AQP116">
        <v>26</v>
      </c>
      <c r="AQQ116">
        <v>0</v>
      </c>
      <c r="AQS116" t="s">
        <v>1905</v>
      </c>
      <c r="AQU116" t="s">
        <v>1906</v>
      </c>
      <c r="AQV116">
        <v>37341500.4229826</v>
      </c>
      <c r="AQW116">
        <v>36294740.6064336</v>
      </c>
      <c r="AQX116">
        <v>33649331.6904304</v>
      </c>
      <c r="AQY116">
        <v>7858062.57920825</v>
      </c>
      <c r="AQZ116">
        <v>7370602.4190358</v>
      </c>
      <c r="ARA116">
        <v>7409261.955753</v>
      </c>
      <c r="ARB116">
        <v>107285572.7198466</v>
      </c>
      <c r="ARC116">
        <v>22637926.95399705</v>
      </c>
      <c r="ARD116">
        <v>0.2674371714556313</v>
      </c>
      <c r="ARE116">
        <v>0.2674371714556313</v>
      </c>
      <c r="ARF116">
        <v>0.2674371714556313</v>
      </c>
      <c r="ARG116">
        <v>0.2674371714556313</v>
      </c>
      <c r="ARH116">
        <v>0.2674371714556313</v>
      </c>
      <c r="ARI116">
        <v>0.2674371714556313</v>
      </c>
      <c r="ARJ116" t="s">
        <v>1277</v>
      </c>
      <c r="ARK116" t="s">
        <v>1615</v>
      </c>
      <c r="ARL116" t="s">
        <v>1909</v>
      </c>
      <c r="ARP116" t="s">
        <v>1907</v>
      </c>
      <c r="ARQ116" t="s">
        <v>1926</v>
      </c>
    </row>
    <row r="117" spans="1:1163">
      <c r="A117">
        <v>704</v>
      </c>
      <c r="B117" t="s">
        <v>1278</v>
      </c>
      <c r="C117" t="s">
        <v>1401</v>
      </c>
      <c r="D117" t="s">
        <v>1427</v>
      </c>
      <c r="E117" s="2">
        <v>41117</v>
      </c>
      <c r="F117" t="s">
        <v>1431</v>
      </c>
      <c r="G117" t="s">
        <v>1433</v>
      </c>
      <c r="H117" t="s">
        <v>1434</v>
      </c>
      <c r="I117" t="s">
        <v>1437</v>
      </c>
      <c r="J117" t="s">
        <v>1453</v>
      </c>
      <c r="L117" t="s">
        <v>1616</v>
      </c>
      <c r="N117" t="s">
        <v>1632</v>
      </c>
      <c r="O117" t="s">
        <v>1656</v>
      </c>
      <c r="P117">
        <v>7022</v>
      </c>
      <c r="Q117">
        <v>7022</v>
      </c>
      <c r="R117" t="s">
        <v>1784</v>
      </c>
      <c r="Z117" t="s">
        <v>1899</v>
      </c>
      <c r="AA117" s="2">
        <v>45291</v>
      </c>
      <c r="AB117">
        <v>2023</v>
      </c>
      <c r="AC117" t="s">
        <v>1900</v>
      </c>
      <c r="AD117">
        <v>330951.935927162</v>
      </c>
      <c r="AE117">
        <v>289739.40446651</v>
      </c>
      <c r="AF117">
        <v>87982.38526039119</v>
      </c>
      <c r="AG117">
        <v>31972.3912924886</v>
      </c>
      <c r="AH117" t="s">
        <v>1900</v>
      </c>
      <c r="AI117">
        <v>330951.935927162</v>
      </c>
      <c r="AJ117">
        <v>289739.40446651</v>
      </c>
      <c r="AK117">
        <v>78921.5828006744</v>
      </c>
      <c r="AL117">
        <v>27063.9940947652</v>
      </c>
      <c r="AM117" t="s">
        <v>1900</v>
      </c>
      <c r="AN117">
        <v>1129.70830699921</v>
      </c>
      <c r="AO117">
        <v>551.538595378399</v>
      </c>
      <c r="AP117">
        <v>867.481227493286</v>
      </c>
      <c r="AQ117">
        <v>2138.49049110413</v>
      </c>
      <c r="AR117" t="s">
        <v>1900</v>
      </c>
      <c r="AS117">
        <v>329822.227620163</v>
      </c>
      <c r="AT117">
        <v>289187.865871131</v>
      </c>
      <c r="AU117">
        <v>87114.9040328979</v>
      </c>
      <c r="AV117">
        <v>29833.8995742851</v>
      </c>
      <c r="AW117" t="s">
        <v>1900</v>
      </c>
      <c r="AX117">
        <v>941942.810482359</v>
      </c>
      <c r="AY117">
        <v>878411.714358598</v>
      </c>
      <c r="AZ117">
        <v>680447.2936695809</v>
      </c>
      <c r="BA117">
        <v>886961.11714077</v>
      </c>
      <c r="BB117" t="s">
        <v>1900</v>
      </c>
      <c r="BC117">
        <v>-612120.582862196</v>
      </c>
      <c r="BD117">
        <v>-589223.848487467</v>
      </c>
      <c r="BE117">
        <v>-593332.389636684</v>
      </c>
      <c r="BF117">
        <v>-857127.216339386</v>
      </c>
      <c r="BG117" t="s">
        <v>1900</v>
      </c>
      <c r="BH117">
        <v>-222287.876705068</v>
      </c>
      <c r="BI117">
        <v>-66077.5000596082</v>
      </c>
      <c r="BJ117">
        <v>-24971.8434030533</v>
      </c>
      <c r="BK117">
        <v>-15835.2747034073</v>
      </c>
      <c r="BL117" t="s">
        <v>1900</v>
      </c>
      <c r="BM117">
        <v>9272.31331130028</v>
      </c>
      <c r="BN117">
        <v>6167.39822095633</v>
      </c>
      <c r="BO117">
        <v>920.418965864181</v>
      </c>
      <c r="BP117">
        <v>13.2772144198418</v>
      </c>
      <c r="BQ117" t="s">
        <v>1900</v>
      </c>
      <c r="BR117">
        <v>231560.190016368</v>
      </c>
      <c r="BS117">
        <v>72244.899347164</v>
      </c>
      <c r="BT117">
        <v>25892.2623689175</v>
      </c>
      <c r="BU117">
        <v>15848.5519178271</v>
      </c>
      <c r="BV117" t="s">
        <v>1900</v>
      </c>
      <c r="BW117">
        <v>-834408.460672264</v>
      </c>
      <c r="BX117">
        <v>-655301.350680274</v>
      </c>
      <c r="BY117">
        <v>-618304.233039737</v>
      </c>
      <c r="BZ117">
        <v>-872962.491042793</v>
      </c>
      <c r="CA117" t="s">
        <v>1900</v>
      </c>
      <c r="CB117">
        <v>-191913.94462862</v>
      </c>
      <c r="CC117">
        <v>-163352.858095258</v>
      </c>
      <c r="CD117" t="s">
        <v>1900</v>
      </c>
      <c r="CE117" t="s">
        <v>1900</v>
      </c>
      <c r="CF117" t="s">
        <v>1900</v>
      </c>
      <c r="CG117">
        <v>-642494.516043644</v>
      </c>
      <c r="CH117">
        <v>-491948.491518416</v>
      </c>
      <c r="CI117">
        <v>-618304.233039737</v>
      </c>
      <c r="CJ117">
        <v>-872962.491042793</v>
      </c>
      <c r="CK117" t="s">
        <v>1900</v>
      </c>
      <c r="CL117" t="s">
        <v>1900</v>
      </c>
      <c r="CM117" t="s">
        <v>1900</v>
      </c>
      <c r="CN117" t="s">
        <v>1900</v>
      </c>
      <c r="CO117" t="s">
        <v>1900</v>
      </c>
      <c r="CP117" t="s">
        <v>1900</v>
      </c>
      <c r="CQ117" t="s">
        <v>1900</v>
      </c>
      <c r="CR117" t="s">
        <v>1900</v>
      </c>
      <c r="CS117" t="s">
        <v>1900</v>
      </c>
      <c r="CT117" t="s">
        <v>1900</v>
      </c>
      <c r="CU117" t="s">
        <v>1900</v>
      </c>
      <c r="CV117" t="s">
        <v>1900</v>
      </c>
      <c r="CW117" t="s">
        <v>1900</v>
      </c>
      <c r="CX117" t="s">
        <v>1900</v>
      </c>
      <c r="CY117" t="s">
        <v>1900</v>
      </c>
      <c r="CZ117" t="s">
        <v>1900</v>
      </c>
      <c r="DA117">
        <v>-642494.516043644</v>
      </c>
      <c r="DB117">
        <v>-491948.491518416</v>
      </c>
      <c r="DC117">
        <v>-618304.233039737</v>
      </c>
      <c r="DD117">
        <v>-872962.491042793</v>
      </c>
      <c r="DE117" t="s">
        <v>1900</v>
      </c>
      <c r="DF117" t="s">
        <v>1900</v>
      </c>
      <c r="DG117" t="s">
        <v>1900</v>
      </c>
      <c r="DH117" t="s">
        <v>1900</v>
      </c>
      <c r="DI117" t="s">
        <v>1900</v>
      </c>
      <c r="DJ117" t="s">
        <v>1900</v>
      </c>
      <c r="DK117">
        <v>1129.70830699921</v>
      </c>
      <c r="DL117">
        <v>551.538595378399</v>
      </c>
      <c r="DM117">
        <v>867.481227493286</v>
      </c>
      <c r="DN117">
        <v>2138.49049110413</v>
      </c>
      <c r="DO117" t="s">
        <v>1900</v>
      </c>
      <c r="DP117">
        <v>432190.744311895</v>
      </c>
      <c r="DQ117">
        <v>423947.548871052</v>
      </c>
      <c r="DR117">
        <v>447782.297882509</v>
      </c>
      <c r="DS117">
        <v>578927.141149926</v>
      </c>
      <c r="DT117" t="s">
        <v>1900</v>
      </c>
      <c r="DU117">
        <v>58534.274119463</v>
      </c>
      <c r="DV117">
        <v>49190.9391047776</v>
      </c>
      <c r="DW117">
        <v>57901.1326982975</v>
      </c>
      <c r="DX117">
        <v>47757.6003444791</v>
      </c>
      <c r="DY117" t="s">
        <v>1900</v>
      </c>
      <c r="DZ117">
        <v>451217.792051001</v>
      </c>
      <c r="EA117">
        <v>405273.225316169</v>
      </c>
      <c r="EB117">
        <v>174763.863088775</v>
      </c>
      <c r="EC117">
        <v>260276.375646365</v>
      </c>
      <c r="ED117" t="s">
        <v>1900</v>
      </c>
      <c r="EE117">
        <v>231074.68705348</v>
      </c>
      <c r="EF117">
        <v>72210.3319243491</v>
      </c>
      <c r="EG117">
        <v>25892.2623689175</v>
      </c>
      <c r="EH117">
        <v>15848.5519178271</v>
      </c>
      <c r="EI117" t="s">
        <v>1900</v>
      </c>
      <c r="EJ117" t="s">
        <v>1900</v>
      </c>
      <c r="EK117" t="s">
        <v>1900</v>
      </c>
      <c r="EL117" t="s">
        <v>1900</v>
      </c>
      <c r="EM117" t="s">
        <v>1900</v>
      </c>
      <c r="EN117" t="s">
        <v>1900</v>
      </c>
      <c r="EO117">
        <v>-583960.240819181</v>
      </c>
      <c r="EP117">
        <v>-442757.553480238</v>
      </c>
      <c r="EQ117">
        <v>-560403.100341439</v>
      </c>
      <c r="ER117">
        <v>-825204.8906983139</v>
      </c>
      <c r="ES117" t="s">
        <v>1900</v>
      </c>
      <c r="ET117">
        <v>-112608.754082425</v>
      </c>
      <c r="EU117">
        <v>-109952.529713495</v>
      </c>
      <c r="EV117">
        <v>-86728.5400900125</v>
      </c>
      <c r="EW117">
        <v>-230429.19763056</v>
      </c>
      <c r="EX117" t="s">
        <v>1900</v>
      </c>
      <c r="EY117">
        <v>-553586.308742733</v>
      </c>
      <c r="EZ117">
        <v>-540032.909382689</v>
      </c>
      <c r="FA117">
        <v>-535431.256938386</v>
      </c>
      <c r="FB117">
        <v>-809369.615994907</v>
      </c>
      <c r="FC117" t="s">
        <v>1900</v>
      </c>
      <c r="FD117">
        <v>1555214.45026114</v>
      </c>
      <c r="FE117">
        <v>1228834.87006977</v>
      </c>
      <c r="FF117">
        <v>1023872.26358843</v>
      </c>
      <c r="FG117">
        <v>942137.048132014</v>
      </c>
      <c r="FH117" t="s">
        <v>1900</v>
      </c>
      <c r="FI117">
        <v>897638.102898951</v>
      </c>
      <c r="FJ117">
        <v>777668.054236197</v>
      </c>
      <c r="FK117">
        <v>731495.560251546</v>
      </c>
      <c r="FL117">
        <v>620554.0920394839</v>
      </c>
      <c r="FM117" t="s">
        <v>1900</v>
      </c>
      <c r="FN117">
        <v>11762.1998787308</v>
      </c>
      <c r="FO117">
        <v>13040.5653232932</v>
      </c>
      <c r="FP117">
        <v>600.4254009962081</v>
      </c>
      <c r="FQ117">
        <v>5462.19938254952</v>
      </c>
      <c r="FR117" t="s">
        <v>1900</v>
      </c>
      <c r="FS117">
        <v>645814.147483454</v>
      </c>
      <c r="FT117">
        <v>438126.250510281</v>
      </c>
      <c r="FU117">
        <v>291776.277935886</v>
      </c>
      <c r="FV117">
        <v>316120.756709981</v>
      </c>
      <c r="FW117" t="s">
        <v>1900</v>
      </c>
      <c r="FX117">
        <v>897638.102898951</v>
      </c>
      <c r="FY117">
        <v>777668.054236197</v>
      </c>
      <c r="FZ117">
        <v>731495.560251546</v>
      </c>
      <c r="GA117">
        <v>620554.0920394839</v>
      </c>
      <c r="GB117" t="s">
        <v>1900</v>
      </c>
      <c r="GC117">
        <v>11762.1998787308</v>
      </c>
      <c r="GD117">
        <v>13040.5653232932</v>
      </c>
      <c r="GE117">
        <v>600.4254009962081</v>
      </c>
      <c r="GF117">
        <v>5462.19938254952</v>
      </c>
      <c r="GG117" t="s">
        <v>1900</v>
      </c>
      <c r="GH117">
        <v>645814.147483454</v>
      </c>
      <c r="GI117">
        <v>438126.250510281</v>
      </c>
      <c r="GJ117">
        <v>291776.277935886</v>
      </c>
      <c r="GK117">
        <v>316120.756709981</v>
      </c>
      <c r="GL117" t="s">
        <v>1900</v>
      </c>
      <c r="GM117">
        <v>3156339.27327628</v>
      </c>
      <c r="GN117">
        <v>1012314.74731353</v>
      </c>
      <c r="GO117">
        <v>408098.474829626</v>
      </c>
      <c r="GP117">
        <v>151645.311824447</v>
      </c>
      <c r="GQ117" t="s">
        <v>1900</v>
      </c>
      <c r="GR117">
        <v>9532.88347824097</v>
      </c>
      <c r="GS117">
        <v>13911.9664392054</v>
      </c>
      <c r="GT117">
        <v>0</v>
      </c>
      <c r="GU117">
        <v>0</v>
      </c>
      <c r="GV117" t="s">
        <v>1900</v>
      </c>
      <c r="GW117">
        <v>2874217.03301329</v>
      </c>
      <c r="GX117">
        <v>937363.681344151</v>
      </c>
      <c r="GY117">
        <v>355456.560333037</v>
      </c>
      <c r="GZ117">
        <v>106341.775097907</v>
      </c>
      <c r="HA117" t="s">
        <v>1900</v>
      </c>
      <c r="HB117">
        <v>272589.356784754</v>
      </c>
      <c r="HC117">
        <v>61039.0984635729</v>
      </c>
      <c r="HD117">
        <v>52641.9133639884</v>
      </c>
      <c r="HE117">
        <v>45303.5367265403</v>
      </c>
      <c r="HF117" t="s">
        <v>1900</v>
      </c>
      <c r="HG117">
        <v>230653.482964449</v>
      </c>
      <c r="HH117">
        <v>34045.4503574014</v>
      </c>
      <c r="HI117">
        <v>37234.7889494491</v>
      </c>
      <c r="HJ117">
        <v>31314.6047130287</v>
      </c>
      <c r="HK117" t="s">
        <v>1900</v>
      </c>
      <c r="HL117">
        <v>4711553.72353742</v>
      </c>
      <c r="HM117">
        <v>2241149.6173833</v>
      </c>
      <c r="HN117">
        <v>1431970.73841805</v>
      </c>
      <c r="HO117">
        <v>1093782.35995646</v>
      </c>
      <c r="HP117" t="s">
        <v>1900</v>
      </c>
      <c r="HQ117">
        <v>756045.383603878</v>
      </c>
      <c r="HR117">
        <v>30242.1912341595</v>
      </c>
      <c r="HS117">
        <v>13433.1266646624</v>
      </c>
      <c r="HT117">
        <v>315799.673907292</v>
      </c>
      <c r="HU117" t="s">
        <v>1900</v>
      </c>
      <c r="HV117">
        <v>324402.730587959</v>
      </c>
      <c r="HW117">
        <v>313129.077964425</v>
      </c>
      <c r="HX117">
        <v>320736.55066967</v>
      </c>
      <c r="HY117">
        <v>331774.518885016</v>
      </c>
      <c r="HZ117" t="s">
        <v>1900</v>
      </c>
      <c r="IA117">
        <v>431642.653015919</v>
      </c>
      <c r="IB117">
        <v>-282886.886730266</v>
      </c>
      <c r="IC117">
        <v>-307303.424005008</v>
      </c>
      <c r="ID117">
        <v>-15974.8449777246</v>
      </c>
      <c r="IE117" t="s">
        <v>1900</v>
      </c>
      <c r="IF117">
        <v>590562.1115870191</v>
      </c>
      <c r="IG117">
        <v>927402.538067389</v>
      </c>
      <c r="IH117">
        <v>936645.923011279</v>
      </c>
      <c r="II117">
        <v>401698.563684344</v>
      </c>
      <c r="IJ117" t="s">
        <v>1900</v>
      </c>
      <c r="IK117">
        <v>590562.1115870191</v>
      </c>
      <c r="IL117">
        <v>927402.538067389</v>
      </c>
      <c r="IM117">
        <v>936645.923011279</v>
      </c>
      <c r="IN117">
        <v>401698.563684344</v>
      </c>
      <c r="IO117" t="s">
        <v>1900</v>
      </c>
      <c r="IP117">
        <v>0</v>
      </c>
      <c r="IQ117">
        <v>0</v>
      </c>
      <c r="IR117">
        <v>0</v>
      </c>
      <c r="IS117">
        <v>0</v>
      </c>
      <c r="IT117" t="s">
        <v>1900</v>
      </c>
      <c r="IU117">
        <v>0</v>
      </c>
      <c r="IV117">
        <v>0</v>
      </c>
      <c r="IW117">
        <v>0</v>
      </c>
      <c r="IX117">
        <v>0</v>
      </c>
      <c r="IY117" t="s">
        <v>1900</v>
      </c>
      <c r="IZ117">
        <v>3364946.22834652</v>
      </c>
      <c r="JA117">
        <v>1283504.88808175</v>
      </c>
      <c r="JB117">
        <v>481891.688742113</v>
      </c>
      <c r="JC117">
        <v>376284.122364825</v>
      </c>
      <c r="JD117" t="s">
        <v>1900</v>
      </c>
      <c r="JE117">
        <v>213457.244246988</v>
      </c>
      <c r="JF117">
        <v>264449.807966155</v>
      </c>
      <c r="JG117">
        <v>237265.652214003</v>
      </c>
      <c r="JH117">
        <v>96658.9799459577</v>
      </c>
      <c r="JI117" t="s">
        <v>1900</v>
      </c>
      <c r="JJ117" t="s">
        <v>1900</v>
      </c>
      <c r="JK117">
        <v>0</v>
      </c>
      <c r="JL117">
        <v>0</v>
      </c>
      <c r="JM117">
        <v>0</v>
      </c>
      <c r="JN117" t="s">
        <v>1900</v>
      </c>
      <c r="JO117">
        <v>3151488.98409953</v>
      </c>
      <c r="JP117">
        <v>1019055.0801156</v>
      </c>
      <c r="JQ117">
        <v>244626.036528111</v>
      </c>
      <c r="JR117">
        <v>279625.142418867</v>
      </c>
      <c r="JS117" t="s">
        <v>1900</v>
      </c>
      <c r="JT117">
        <v>4711553.72353742</v>
      </c>
      <c r="JU117">
        <v>2241149.6173833</v>
      </c>
      <c r="JV117">
        <v>1431970.73841805</v>
      </c>
      <c r="JW117">
        <v>1093782.35995646</v>
      </c>
      <c r="JX117" t="s">
        <v>1900</v>
      </c>
      <c r="JY117">
        <v>2883749.91649153</v>
      </c>
      <c r="JZ117">
        <v>951275.647783357</v>
      </c>
      <c r="KA117">
        <v>355456.560333037</v>
      </c>
      <c r="KB117">
        <v>106341.775097907</v>
      </c>
      <c r="KC117" t="s">
        <v>1900</v>
      </c>
      <c r="KD117" t="s">
        <v>1900</v>
      </c>
      <c r="KE117" t="s">
        <v>1900</v>
      </c>
      <c r="KF117" t="s">
        <v>1900</v>
      </c>
      <c r="KG117" t="s">
        <v>1900</v>
      </c>
      <c r="KH117" t="s">
        <v>1900</v>
      </c>
      <c r="KI117" t="s">
        <v>1900</v>
      </c>
      <c r="KJ117" t="s">
        <v>1900</v>
      </c>
      <c r="KK117" t="s">
        <v>1900</v>
      </c>
      <c r="KL117" t="s">
        <v>1900</v>
      </c>
      <c r="KM117" t="s">
        <v>1900</v>
      </c>
      <c r="KN117">
        <v>7</v>
      </c>
      <c r="KO117">
        <v>7</v>
      </c>
      <c r="KP117">
        <v>8</v>
      </c>
      <c r="KQ117">
        <v>8</v>
      </c>
      <c r="KR117" t="s">
        <v>1900</v>
      </c>
      <c r="KS117" t="s">
        <v>1900</v>
      </c>
      <c r="KT117" t="s">
        <v>1900</v>
      </c>
      <c r="KU117" t="s">
        <v>1900</v>
      </c>
      <c r="KV117" t="s">
        <v>1900</v>
      </c>
      <c r="KW117" t="s">
        <v>1900</v>
      </c>
      <c r="KX117" t="s">
        <v>1900</v>
      </c>
      <c r="KY117" t="s">
        <v>1900</v>
      </c>
      <c r="KZ117" t="s">
        <v>1900</v>
      </c>
      <c r="LA117" t="s">
        <v>1900</v>
      </c>
      <c r="LB117" t="s">
        <v>1900</v>
      </c>
      <c r="LC117" t="s">
        <v>1900</v>
      </c>
      <c r="LD117" t="s">
        <v>1900</v>
      </c>
      <c r="LE117" t="s">
        <v>1900</v>
      </c>
      <c r="LF117" t="s">
        <v>1900</v>
      </c>
      <c r="LG117" t="s">
        <v>1900</v>
      </c>
      <c r="LH117" t="s">
        <v>1900</v>
      </c>
      <c r="LI117" t="s">
        <v>1900</v>
      </c>
      <c r="LJ117" t="s">
        <v>1900</v>
      </c>
      <c r="LK117" t="s">
        <v>1900</v>
      </c>
      <c r="LL117" t="s">
        <v>1900</v>
      </c>
      <c r="LM117" t="s">
        <v>1900</v>
      </c>
      <c r="LN117" t="s">
        <v>1900</v>
      </c>
      <c r="LO117" t="s">
        <v>1900</v>
      </c>
      <c r="LP117" t="s">
        <v>1900</v>
      </c>
      <c r="LQ117" t="s">
        <v>1900</v>
      </c>
      <c r="LR117" t="s">
        <v>1900</v>
      </c>
      <c r="LS117" t="s">
        <v>1900</v>
      </c>
      <c r="LT117" t="s">
        <v>1900</v>
      </c>
      <c r="LU117" t="s">
        <v>1900</v>
      </c>
      <c r="LV117" t="s">
        <v>1900</v>
      </c>
      <c r="LW117" t="s">
        <v>1900</v>
      </c>
      <c r="LX117" t="s">
        <v>1900</v>
      </c>
      <c r="LY117" t="s">
        <v>1900</v>
      </c>
      <c r="LZ117" t="s">
        <v>1900</v>
      </c>
      <c r="MA117" t="s">
        <v>1900</v>
      </c>
      <c r="MB117" t="s">
        <v>1900</v>
      </c>
      <c r="MC117" t="s">
        <v>1900</v>
      </c>
      <c r="MD117" t="s">
        <v>1900</v>
      </c>
      <c r="ME117" t="s">
        <v>1900</v>
      </c>
      <c r="MF117" t="s">
        <v>1900</v>
      </c>
      <c r="MG117" t="s">
        <v>1900</v>
      </c>
      <c r="MH117" t="s">
        <v>1900</v>
      </c>
      <c r="MI117" t="s">
        <v>1900</v>
      </c>
      <c r="MJ117" t="s">
        <v>1900</v>
      </c>
      <c r="MK117" t="s">
        <v>1900</v>
      </c>
      <c r="ML117" t="s">
        <v>1900</v>
      </c>
      <c r="MM117" t="s">
        <v>1900</v>
      </c>
      <c r="MN117" t="s">
        <v>1900</v>
      </c>
      <c r="MO117" t="s">
        <v>1900</v>
      </c>
      <c r="MP117" t="s">
        <v>1900</v>
      </c>
      <c r="MQ117">
        <v>272589.356784754</v>
      </c>
      <c r="MR117">
        <v>61039.0984635729</v>
      </c>
      <c r="MS117">
        <v>52641.9133639884</v>
      </c>
      <c r="MT117">
        <v>45303.5367265403</v>
      </c>
      <c r="MU117" t="s">
        <v>1900</v>
      </c>
      <c r="MV117" t="s">
        <v>1900</v>
      </c>
      <c r="MW117" t="s">
        <v>1900</v>
      </c>
      <c r="MX117" t="s">
        <v>1900</v>
      </c>
      <c r="MY117" t="s">
        <v>1900</v>
      </c>
      <c r="MZ117" t="s">
        <v>1900</v>
      </c>
      <c r="NA117" t="s">
        <v>1900</v>
      </c>
      <c r="NB117" t="s">
        <v>1900</v>
      </c>
      <c r="NC117" t="s">
        <v>1900</v>
      </c>
      <c r="ND117" t="s">
        <v>1900</v>
      </c>
      <c r="NE117" t="s">
        <v>1900</v>
      </c>
      <c r="NF117" t="s">
        <v>1900</v>
      </c>
      <c r="NG117" t="s">
        <v>1900</v>
      </c>
      <c r="NH117" t="s">
        <v>1900</v>
      </c>
      <c r="NI117" t="s">
        <v>1900</v>
      </c>
      <c r="NJ117" t="s">
        <v>1900</v>
      </c>
      <c r="NK117" t="s">
        <v>1900</v>
      </c>
      <c r="NL117" t="s">
        <v>1900</v>
      </c>
      <c r="NM117" t="s">
        <v>1900</v>
      </c>
      <c r="NN117" t="s">
        <v>1900</v>
      </c>
      <c r="NO117" t="s">
        <v>1900</v>
      </c>
      <c r="NP117" t="s">
        <v>1900</v>
      </c>
      <c r="NQ117" t="s">
        <v>1900</v>
      </c>
      <c r="NR117" t="s">
        <v>1900</v>
      </c>
      <c r="NS117" t="s">
        <v>1900</v>
      </c>
      <c r="NT117" t="s">
        <v>1900</v>
      </c>
      <c r="NU117">
        <v>1555214.45026114</v>
      </c>
      <c r="NV117">
        <v>1228834.87006977</v>
      </c>
      <c r="NW117">
        <v>1023872.26358843</v>
      </c>
      <c r="NX117">
        <v>942137.048132014</v>
      </c>
      <c r="NY117" t="s">
        <v>1900</v>
      </c>
      <c r="NZ117" t="s">
        <v>1900</v>
      </c>
      <c r="OA117" t="s">
        <v>1900</v>
      </c>
      <c r="OB117" t="s">
        <v>1900</v>
      </c>
      <c r="OC117" t="s">
        <v>1900</v>
      </c>
      <c r="OD117" t="s">
        <v>1900</v>
      </c>
      <c r="OE117" t="s">
        <v>1900</v>
      </c>
      <c r="OF117" t="s">
        <v>1900</v>
      </c>
      <c r="OG117" t="s">
        <v>1900</v>
      </c>
      <c r="OH117" t="s">
        <v>1900</v>
      </c>
      <c r="OI117" t="s">
        <v>1900</v>
      </c>
      <c r="OJ117" t="s">
        <v>1900</v>
      </c>
      <c r="OK117" t="s">
        <v>1900</v>
      </c>
      <c r="OL117" t="s">
        <v>1900</v>
      </c>
      <c r="OM117" t="s">
        <v>1900</v>
      </c>
      <c r="ON117" t="s">
        <v>1900</v>
      </c>
      <c r="OO117" t="s">
        <v>1900</v>
      </c>
      <c r="OP117" t="s">
        <v>1900</v>
      </c>
      <c r="OQ117" t="s">
        <v>1900</v>
      </c>
      <c r="OR117" t="s">
        <v>1900</v>
      </c>
      <c r="OS117" t="s">
        <v>1900</v>
      </c>
      <c r="OT117" t="s">
        <v>1900</v>
      </c>
      <c r="OU117" t="s">
        <v>1900</v>
      </c>
      <c r="OV117" t="s">
        <v>1900</v>
      </c>
      <c r="OW117" t="s">
        <v>1900</v>
      </c>
      <c r="OX117" t="s">
        <v>1900</v>
      </c>
      <c r="OY117" t="s">
        <v>1900</v>
      </c>
      <c r="OZ117" t="s">
        <v>1900</v>
      </c>
      <c r="PA117" t="s">
        <v>1900</v>
      </c>
      <c r="PB117" t="s">
        <v>1900</v>
      </c>
      <c r="PC117" t="s">
        <v>1900</v>
      </c>
      <c r="PD117" t="s">
        <v>1900</v>
      </c>
      <c r="PE117" t="s">
        <v>1900</v>
      </c>
      <c r="PF117" t="s">
        <v>1900</v>
      </c>
      <c r="PG117" t="s">
        <v>1900</v>
      </c>
      <c r="PH117" t="s">
        <v>1900</v>
      </c>
      <c r="PI117" t="s">
        <v>1900</v>
      </c>
      <c r="PJ117" t="s">
        <v>1900</v>
      </c>
      <c r="PK117" t="s">
        <v>1900</v>
      </c>
      <c r="PL117" t="s">
        <v>1900</v>
      </c>
      <c r="PM117" t="s">
        <v>1900</v>
      </c>
      <c r="PN117" t="s">
        <v>1900</v>
      </c>
      <c r="PO117" t="s">
        <v>1900</v>
      </c>
      <c r="PP117" t="s">
        <v>1900</v>
      </c>
      <c r="PQ117" t="s">
        <v>1900</v>
      </c>
      <c r="PR117" t="s">
        <v>1900</v>
      </c>
      <c r="PS117" t="s">
        <v>1900</v>
      </c>
      <c r="PT117" t="s">
        <v>1900</v>
      </c>
      <c r="PU117" t="s">
        <v>1900</v>
      </c>
      <c r="PV117" t="s">
        <v>1900</v>
      </c>
      <c r="PW117" t="s">
        <v>1900</v>
      </c>
      <c r="PX117" t="s">
        <v>1900</v>
      </c>
      <c r="PY117" t="s">
        <v>1900</v>
      </c>
      <c r="PZ117" t="s">
        <v>1900</v>
      </c>
      <c r="QA117" t="s">
        <v>1900</v>
      </c>
      <c r="QB117" t="s">
        <v>1900</v>
      </c>
      <c r="QC117" t="s">
        <v>1900</v>
      </c>
      <c r="QD117" t="s">
        <v>1900</v>
      </c>
      <c r="QE117" t="s">
        <v>1900</v>
      </c>
      <c r="QF117" t="s">
        <v>1900</v>
      </c>
      <c r="QG117" t="s">
        <v>1900</v>
      </c>
      <c r="QH117" t="s">
        <v>1900</v>
      </c>
      <c r="QI117" t="s">
        <v>1900</v>
      </c>
      <c r="QJ117" t="s">
        <v>1900</v>
      </c>
      <c r="QK117" t="s">
        <v>1900</v>
      </c>
      <c r="QL117" t="s">
        <v>1900</v>
      </c>
      <c r="QM117" t="s">
        <v>1900</v>
      </c>
      <c r="QN117" t="s">
        <v>1900</v>
      </c>
      <c r="QO117" t="s">
        <v>1900</v>
      </c>
      <c r="QP117" t="s">
        <v>1900</v>
      </c>
      <c r="QQ117" t="s">
        <v>1900</v>
      </c>
      <c r="QR117" t="s">
        <v>1900</v>
      </c>
      <c r="QS117" t="s">
        <v>1900</v>
      </c>
      <c r="QT117" t="s">
        <v>1900</v>
      </c>
      <c r="QU117" t="s">
        <v>1900</v>
      </c>
      <c r="QV117" t="s">
        <v>1900</v>
      </c>
      <c r="QW117" t="s">
        <v>1900</v>
      </c>
      <c r="QX117" t="s">
        <v>1900</v>
      </c>
      <c r="QY117" t="s">
        <v>1900</v>
      </c>
      <c r="QZ117" t="s">
        <v>1900</v>
      </c>
      <c r="RA117" t="s">
        <v>1900</v>
      </c>
      <c r="RB117" t="s">
        <v>1900</v>
      </c>
      <c r="RC117" t="s">
        <v>1900</v>
      </c>
      <c r="RD117" t="s">
        <v>1900</v>
      </c>
      <c r="RE117" t="s">
        <v>1900</v>
      </c>
      <c r="RF117" t="s">
        <v>1900</v>
      </c>
      <c r="RG117" t="s">
        <v>1900</v>
      </c>
      <c r="RH117" t="s">
        <v>1900</v>
      </c>
      <c r="RI117" t="s">
        <v>1900</v>
      </c>
      <c r="RJ117" t="s">
        <v>1900</v>
      </c>
      <c r="RK117" t="s">
        <v>1900</v>
      </c>
      <c r="RL117" t="s">
        <v>1900</v>
      </c>
      <c r="RM117" t="s">
        <v>1900</v>
      </c>
      <c r="RN117" t="s">
        <v>1900</v>
      </c>
      <c r="RO117" t="s">
        <v>1900</v>
      </c>
      <c r="RP117" t="s">
        <v>1900</v>
      </c>
      <c r="RQ117" t="s">
        <v>1900</v>
      </c>
      <c r="RR117" t="s">
        <v>1900</v>
      </c>
      <c r="RS117" t="s">
        <v>1900</v>
      </c>
      <c r="RT117" t="s">
        <v>1900</v>
      </c>
      <c r="RU117" t="s">
        <v>1900</v>
      </c>
      <c r="RV117" t="s">
        <v>1900</v>
      </c>
      <c r="RW117" t="s">
        <v>1900</v>
      </c>
      <c r="RX117" t="s">
        <v>1900</v>
      </c>
      <c r="RY117" t="s">
        <v>1900</v>
      </c>
      <c r="RZ117" t="s">
        <v>1900</v>
      </c>
      <c r="SA117" t="s">
        <v>1900</v>
      </c>
      <c r="SB117" t="s">
        <v>1900</v>
      </c>
      <c r="SC117" t="s">
        <v>1900</v>
      </c>
      <c r="SD117" t="s">
        <v>1900</v>
      </c>
      <c r="SE117" t="s">
        <v>1900</v>
      </c>
      <c r="SF117" t="s">
        <v>1900</v>
      </c>
      <c r="SG117" t="s">
        <v>1900</v>
      </c>
      <c r="SH117" t="s">
        <v>1900</v>
      </c>
      <c r="SI117" t="s">
        <v>1900</v>
      </c>
      <c r="SJ117" t="s">
        <v>1900</v>
      </c>
      <c r="SK117">
        <v>645814.147483454</v>
      </c>
      <c r="SL117">
        <v>438126.250510281</v>
      </c>
      <c r="SM117">
        <v>291776.277935886</v>
      </c>
      <c r="SN117">
        <v>316120.756709981</v>
      </c>
      <c r="SO117" t="s">
        <v>1900</v>
      </c>
      <c r="SP117" t="s">
        <v>1900</v>
      </c>
      <c r="SQ117" t="s">
        <v>1900</v>
      </c>
      <c r="SR117" t="s">
        <v>1900</v>
      </c>
      <c r="SS117" t="s">
        <v>1900</v>
      </c>
      <c r="ST117" t="s">
        <v>1900</v>
      </c>
      <c r="SU117" t="s">
        <v>1900</v>
      </c>
      <c r="SV117" t="s">
        <v>1900</v>
      </c>
      <c r="SW117" t="s">
        <v>1900</v>
      </c>
      <c r="SX117" t="s">
        <v>1900</v>
      </c>
      <c r="SY117" t="s">
        <v>1900</v>
      </c>
      <c r="SZ117" t="s">
        <v>1900</v>
      </c>
      <c r="TA117" t="s">
        <v>1900</v>
      </c>
      <c r="TB117" t="s">
        <v>1900</v>
      </c>
      <c r="TC117" t="s">
        <v>1900</v>
      </c>
      <c r="TD117" t="s">
        <v>1900</v>
      </c>
      <c r="TE117" t="s">
        <v>1900</v>
      </c>
      <c r="TF117" t="s">
        <v>1900</v>
      </c>
      <c r="TG117" t="s">
        <v>1900</v>
      </c>
      <c r="TH117" t="s">
        <v>1900</v>
      </c>
      <c r="TI117" t="s">
        <v>1900</v>
      </c>
      <c r="TJ117" t="s">
        <v>1900</v>
      </c>
      <c r="TK117" t="s">
        <v>1900</v>
      </c>
      <c r="TL117" t="s">
        <v>1900</v>
      </c>
      <c r="TM117" t="s">
        <v>1900</v>
      </c>
      <c r="TN117" t="s">
        <v>1900</v>
      </c>
      <c r="TO117" t="s">
        <v>1900</v>
      </c>
      <c r="TP117" t="s">
        <v>1900</v>
      </c>
      <c r="TQ117" t="s">
        <v>1900</v>
      </c>
      <c r="TR117" t="s">
        <v>1900</v>
      </c>
      <c r="TS117" t="s">
        <v>1900</v>
      </c>
      <c r="TT117">
        <v>4711553.72353742</v>
      </c>
      <c r="TU117">
        <v>2241149.6173833</v>
      </c>
      <c r="TV117">
        <v>1431970.73841805</v>
      </c>
      <c r="TW117">
        <v>1093782.35995646</v>
      </c>
      <c r="TX117" t="s">
        <v>1900</v>
      </c>
      <c r="TY117" t="s">
        <v>1900</v>
      </c>
      <c r="TZ117" t="s">
        <v>1900</v>
      </c>
      <c r="UA117" t="s">
        <v>1900</v>
      </c>
      <c r="UB117" t="s">
        <v>1900</v>
      </c>
      <c r="UC117" t="s">
        <v>1900</v>
      </c>
      <c r="UD117">
        <v>213457.244246988</v>
      </c>
      <c r="UE117">
        <v>264449.807966155</v>
      </c>
      <c r="UF117">
        <v>237265.652214003</v>
      </c>
      <c r="UG117">
        <v>96658.9799459577</v>
      </c>
      <c r="UH117" t="s">
        <v>1900</v>
      </c>
      <c r="UI117" t="s">
        <v>1900</v>
      </c>
      <c r="UJ117" t="s">
        <v>1900</v>
      </c>
      <c r="UK117" t="s">
        <v>1900</v>
      </c>
      <c r="UL117" t="s">
        <v>1900</v>
      </c>
      <c r="UM117" t="s">
        <v>1900</v>
      </c>
      <c r="UN117" t="s">
        <v>1900</v>
      </c>
      <c r="UO117" t="s">
        <v>1900</v>
      </c>
      <c r="UP117" t="s">
        <v>1900</v>
      </c>
      <c r="UQ117" t="s">
        <v>1900</v>
      </c>
      <c r="UR117" t="s">
        <v>1900</v>
      </c>
      <c r="US117" t="s">
        <v>1900</v>
      </c>
      <c r="UT117" t="s">
        <v>1900</v>
      </c>
      <c r="UU117" t="s">
        <v>1900</v>
      </c>
      <c r="UV117" t="s">
        <v>1900</v>
      </c>
      <c r="UW117" t="s">
        <v>1900</v>
      </c>
      <c r="UX117" t="s">
        <v>1900</v>
      </c>
      <c r="UY117" t="s">
        <v>1900</v>
      </c>
      <c r="UZ117" t="s">
        <v>1900</v>
      </c>
      <c r="VA117" t="s">
        <v>1900</v>
      </c>
      <c r="VB117" t="s">
        <v>1900</v>
      </c>
      <c r="VC117" t="s">
        <v>1900</v>
      </c>
      <c r="VD117" t="s">
        <v>1900</v>
      </c>
      <c r="VE117" t="s">
        <v>1900</v>
      </c>
      <c r="VF117" t="s">
        <v>1900</v>
      </c>
      <c r="VG117" t="s">
        <v>1900</v>
      </c>
      <c r="VH117" t="s">
        <v>1900</v>
      </c>
      <c r="VI117" t="s">
        <v>1900</v>
      </c>
      <c r="VJ117" t="s">
        <v>1900</v>
      </c>
      <c r="VK117" t="s">
        <v>1900</v>
      </c>
      <c r="VL117" t="s">
        <v>1900</v>
      </c>
      <c r="VM117" t="s">
        <v>1900</v>
      </c>
      <c r="VN117" t="s">
        <v>1900</v>
      </c>
      <c r="VO117" t="s">
        <v>1900</v>
      </c>
      <c r="VP117" t="s">
        <v>1900</v>
      </c>
      <c r="VQ117" t="s">
        <v>1900</v>
      </c>
      <c r="VR117" t="s">
        <v>1900</v>
      </c>
      <c r="VS117" t="s">
        <v>1900</v>
      </c>
      <c r="VT117" t="s">
        <v>1900</v>
      </c>
      <c r="VU117" t="s">
        <v>1900</v>
      </c>
      <c r="VV117" t="s">
        <v>1900</v>
      </c>
      <c r="VW117" t="s">
        <v>1900</v>
      </c>
      <c r="VX117" t="s">
        <v>1900</v>
      </c>
      <c r="VY117" t="s">
        <v>1900</v>
      </c>
      <c r="VZ117" t="s">
        <v>1900</v>
      </c>
      <c r="WA117" t="s">
        <v>1900</v>
      </c>
      <c r="WB117">
        <v>3151488.98409953</v>
      </c>
      <c r="WC117">
        <v>1019055.0801156</v>
      </c>
      <c r="WD117">
        <v>244626.036528111</v>
      </c>
      <c r="WE117">
        <v>279625.142418867</v>
      </c>
      <c r="WF117" t="s">
        <v>1900</v>
      </c>
      <c r="WG117" t="s">
        <v>1900</v>
      </c>
      <c r="WH117" t="s">
        <v>1900</v>
      </c>
      <c r="WI117" t="s">
        <v>1900</v>
      </c>
      <c r="WJ117" t="s">
        <v>1900</v>
      </c>
      <c r="WK117" t="s">
        <v>1900</v>
      </c>
      <c r="WL117" t="s">
        <v>1900</v>
      </c>
      <c r="WM117" t="s">
        <v>1900</v>
      </c>
      <c r="WN117" t="s">
        <v>1900</v>
      </c>
      <c r="WO117" t="s">
        <v>1900</v>
      </c>
      <c r="WP117" t="s">
        <v>1900</v>
      </c>
      <c r="WQ117" t="s">
        <v>1900</v>
      </c>
      <c r="WR117" t="s">
        <v>1900</v>
      </c>
      <c r="WS117" t="s">
        <v>1900</v>
      </c>
      <c r="WT117" t="s">
        <v>1900</v>
      </c>
      <c r="WU117" t="s">
        <v>1900</v>
      </c>
      <c r="WV117" t="s">
        <v>1900</v>
      </c>
      <c r="WW117" t="s">
        <v>1900</v>
      </c>
      <c r="WX117" t="s">
        <v>1900</v>
      </c>
      <c r="WY117" t="s">
        <v>1900</v>
      </c>
      <c r="WZ117" t="s">
        <v>1900</v>
      </c>
      <c r="XA117" t="s">
        <v>1900</v>
      </c>
      <c r="XB117" t="s">
        <v>1900</v>
      </c>
      <c r="XC117" t="s">
        <v>1900</v>
      </c>
      <c r="XD117" t="s">
        <v>1900</v>
      </c>
      <c r="XE117" t="s">
        <v>1900</v>
      </c>
      <c r="XF117" t="s">
        <v>1900</v>
      </c>
      <c r="XG117" t="s">
        <v>1900</v>
      </c>
      <c r="XH117" t="s">
        <v>1900</v>
      </c>
      <c r="XI117" t="s">
        <v>1900</v>
      </c>
      <c r="XJ117" t="s">
        <v>1900</v>
      </c>
      <c r="XK117">
        <v>0</v>
      </c>
      <c r="XL117">
        <v>0</v>
      </c>
      <c r="XM117">
        <v>0</v>
      </c>
      <c r="XN117">
        <v>0</v>
      </c>
      <c r="XO117" t="s">
        <v>1900</v>
      </c>
      <c r="XP117" t="s">
        <v>1900</v>
      </c>
      <c r="XQ117" t="s">
        <v>1900</v>
      </c>
      <c r="XR117" t="s">
        <v>1900</v>
      </c>
      <c r="XS117" t="s">
        <v>1900</v>
      </c>
      <c r="XT117" t="s">
        <v>1900</v>
      </c>
      <c r="XU117" t="s">
        <v>1900</v>
      </c>
      <c r="XV117" t="s">
        <v>1900</v>
      </c>
      <c r="XW117" t="s">
        <v>1900</v>
      </c>
      <c r="XX117" t="s">
        <v>1900</v>
      </c>
      <c r="XY117" t="s">
        <v>1900</v>
      </c>
      <c r="XZ117">
        <v>0</v>
      </c>
      <c r="YA117">
        <v>0</v>
      </c>
      <c r="YB117">
        <v>0</v>
      </c>
      <c r="YC117">
        <v>0</v>
      </c>
      <c r="YD117" t="s">
        <v>1900</v>
      </c>
      <c r="YE117" t="s">
        <v>1900</v>
      </c>
      <c r="YF117" t="s">
        <v>1900</v>
      </c>
      <c r="YG117" t="s">
        <v>1900</v>
      </c>
      <c r="YH117" t="s">
        <v>1900</v>
      </c>
      <c r="YI117" t="s">
        <v>1900</v>
      </c>
      <c r="YJ117" t="s">
        <v>1900</v>
      </c>
      <c r="YK117" t="s">
        <v>1900</v>
      </c>
      <c r="YL117" t="s">
        <v>1900</v>
      </c>
      <c r="YM117" t="s">
        <v>1900</v>
      </c>
      <c r="YN117" t="s">
        <v>1900</v>
      </c>
      <c r="YO117" t="s">
        <v>1900</v>
      </c>
      <c r="YP117" t="s">
        <v>1900</v>
      </c>
      <c r="YQ117" t="s">
        <v>1900</v>
      </c>
      <c r="YR117" t="s">
        <v>1900</v>
      </c>
      <c r="YS117" t="s">
        <v>1900</v>
      </c>
      <c r="YT117" t="s">
        <v>1900</v>
      </c>
      <c r="YU117" t="s">
        <v>1900</v>
      </c>
      <c r="YV117" t="s">
        <v>1900</v>
      </c>
      <c r="YW117" t="s">
        <v>1900</v>
      </c>
      <c r="YX117" t="s">
        <v>1900</v>
      </c>
      <c r="YY117" t="s">
        <v>1900</v>
      </c>
      <c r="YZ117" t="s">
        <v>1900</v>
      </c>
      <c r="ZA117" t="s">
        <v>1900</v>
      </c>
      <c r="ZB117" t="s">
        <v>1900</v>
      </c>
      <c r="ZC117" t="s">
        <v>1900</v>
      </c>
      <c r="ZD117" t="s">
        <v>1900</v>
      </c>
      <c r="ZE117" t="s">
        <v>1900</v>
      </c>
      <c r="ZF117" t="s">
        <v>1900</v>
      </c>
      <c r="ZG117" t="s">
        <v>1900</v>
      </c>
      <c r="ZH117" t="s">
        <v>1900</v>
      </c>
      <c r="ZI117" t="s">
        <v>1900</v>
      </c>
      <c r="ZJ117" t="s">
        <v>1900</v>
      </c>
      <c r="ZK117" t="s">
        <v>1900</v>
      </c>
      <c r="ZL117" t="s">
        <v>1900</v>
      </c>
      <c r="ZM117" t="s">
        <v>1900</v>
      </c>
      <c r="ZN117" t="s">
        <v>1900</v>
      </c>
      <c r="ZO117" t="s">
        <v>1900</v>
      </c>
      <c r="ZP117" t="s">
        <v>1900</v>
      </c>
      <c r="ZQ117" t="s">
        <v>1900</v>
      </c>
      <c r="ZR117" t="s">
        <v>1900</v>
      </c>
      <c r="ZS117" t="s">
        <v>1900</v>
      </c>
      <c r="ZT117" t="s">
        <v>1900</v>
      </c>
      <c r="ZU117" t="s">
        <v>1900</v>
      </c>
      <c r="ZV117" t="s">
        <v>1900</v>
      </c>
      <c r="ZW117" t="s">
        <v>1900</v>
      </c>
      <c r="ZX117" t="s">
        <v>1900</v>
      </c>
      <c r="ZY117" t="s">
        <v>1900</v>
      </c>
      <c r="ZZ117" t="s">
        <v>1900</v>
      </c>
      <c r="AAA117" t="s">
        <v>1900</v>
      </c>
      <c r="AAB117" t="s">
        <v>1900</v>
      </c>
      <c r="AAC117" t="s">
        <v>1900</v>
      </c>
      <c r="AAD117" t="s">
        <v>1900</v>
      </c>
      <c r="AAE117" t="s">
        <v>1900</v>
      </c>
      <c r="AAF117" t="s">
        <v>1900</v>
      </c>
      <c r="AAG117" t="s">
        <v>1900</v>
      </c>
      <c r="AAH117" t="s">
        <v>1900</v>
      </c>
      <c r="AAI117" t="s">
        <v>1900</v>
      </c>
      <c r="AAJ117" t="s">
        <v>1900</v>
      </c>
      <c r="AAK117" t="s">
        <v>1900</v>
      </c>
      <c r="AAL117" t="s">
        <v>1900</v>
      </c>
      <c r="AAM117" t="s">
        <v>1900</v>
      </c>
      <c r="AAN117" t="s">
        <v>1900</v>
      </c>
      <c r="AAO117" t="s">
        <v>1900</v>
      </c>
      <c r="AAP117" t="s">
        <v>1900</v>
      </c>
      <c r="AAQ117" t="s">
        <v>1900</v>
      </c>
      <c r="AAR117" t="s">
        <v>1900</v>
      </c>
      <c r="AAS117" t="s">
        <v>1900</v>
      </c>
      <c r="AAT117" t="s">
        <v>1900</v>
      </c>
      <c r="AAU117" t="s">
        <v>1900</v>
      </c>
      <c r="AAV117" t="s">
        <v>1900</v>
      </c>
      <c r="AAW117" t="s">
        <v>1900</v>
      </c>
      <c r="AAX117" t="s">
        <v>1900</v>
      </c>
      <c r="AAY117" t="s">
        <v>1900</v>
      </c>
      <c r="AAZ117" t="s">
        <v>1900</v>
      </c>
      <c r="ABA117" t="s">
        <v>1900</v>
      </c>
      <c r="ABB117" t="s">
        <v>1900</v>
      </c>
      <c r="ABC117" t="s">
        <v>1900</v>
      </c>
      <c r="ABD117" t="s">
        <v>1900</v>
      </c>
      <c r="ABE117" t="s">
        <v>1900</v>
      </c>
      <c r="ABF117" t="s">
        <v>1900</v>
      </c>
      <c r="ABG117" t="s">
        <v>1900</v>
      </c>
      <c r="ABH117" t="s">
        <v>1900</v>
      </c>
      <c r="ABI117" t="s">
        <v>1900</v>
      </c>
      <c r="ABJ117" t="s">
        <v>1900</v>
      </c>
      <c r="ABK117" t="s">
        <v>1900</v>
      </c>
      <c r="ABL117" t="s">
        <v>1900</v>
      </c>
      <c r="ABM117" t="s">
        <v>1900</v>
      </c>
      <c r="ABN117" t="s">
        <v>1900</v>
      </c>
      <c r="ABO117" t="s">
        <v>1900</v>
      </c>
      <c r="ABP117" t="s">
        <v>1900</v>
      </c>
      <c r="ABQ117" t="s">
        <v>1900</v>
      </c>
      <c r="ABR117" t="s">
        <v>1900</v>
      </c>
      <c r="ABS117" t="s">
        <v>1900</v>
      </c>
      <c r="ABT117" t="s">
        <v>1900</v>
      </c>
      <c r="ABU117" t="s">
        <v>1900</v>
      </c>
      <c r="ABV117" t="s">
        <v>1900</v>
      </c>
      <c r="ABW117" t="s">
        <v>1900</v>
      </c>
      <c r="ABX117" t="s">
        <v>1900</v>
      </c>
      <c r="ABY117" t="s">
        <v>1900</v>
      </c>
      <c r="ABZ117" t="s">
        <v>1900</v>
      </c>
      <c r="ACA117" t="s">
        <v>1900</v>
      </c>
      <c r="ACB117" t="s">
        <v>1900</v>
      </c>
      <c r="ACC117" t="s">
        <v>1900</v>
      </c>
      <c r="ACD117" t="s">
        <v>1900</v>
      </c>
      <c r="ACE117" t="s">
        <v>1900</v>
      </c>
      <c r="ACF117">
        <v>-110.365</v>
      </c>
      <c r="ACG117" t="s">
        <v>1901</v>
      </c>
      <c r="ACH117" t="s">
        <v>1901</v>
      </c>
      <c r="ACI117">
        <v>-276.429</v>
      </c>
      <c r="ACJ117" t="s">
        <v>1900</v>
      </c>
      <c r="ACK117">
        <v>-44.804</v>
      </c>
      <c r="ACL117">
        <v>-60.888</v>
      </c>
      <c r="ACM117">
        <v>-62.354</v>
      </c>
      <c r="ACN117">
        <v>-119.459</v>
      </c>
      <c r="ACO117" t="s">
        <v>1900</v>
      </c>
      <c r="ACP117">
        <v>-17.71</v>
      </c>
      <c r="ACQ117">
        <v>-29.24</v>
      </c>
      <c r="ACR117">
        <v>-43.179</v>
      </c>
      <c r="ACS117">
        <v>-79.81100000000001</v>
      </c>
      <c r="ACT117" t="s">
        <v>1900</v>
      </c>
      <c r="ACU117">
        <v>-84.98099999999999</v>
      </c>
      <c r="ACV117" t="s">
        <v>1901</v>
      </c>
      <c r="ACW117" t="s">
        <v>1901</v>
      </c>
      <c r="ACX117">
        <v>-276.429</v>
      </c>
      <c r="ACY117" t="s">
        <v>1900</v>
      </c>
      <c r="ACZ117">
        <v>-30.552</v>
      </c>
      <c r="ADA117">
        <v>-43.83</v>
      </c>
      <c r="ADB117">
        <v>-62.354</v>
      </c>
      <c r="ADC117">
        <v>-119.459</v>
      </c>
      <c r="ADD117" t="s">
        <v>1900</v>
      </c>
      <c r="ADE117">
        <v>-13.637</v>
      </c>
      <c r="ADF117">
        <v>-21.951</v>
      </c>
      <c r="ADG117">
        <v>-43.179</v>
      </c>
      <c r="ADH117">
        <v>-79.81100000000001</v>
      </c>
      <c r="ADI117" t="s">
        <v>1900</v>
      </c>
      <c r="ADJ117" t="s">
        <v>1901</v>
      </c>
      <c r="ADK117" t="s">
        <v>1901</v>
      </c>
      <c r="ADL117" t="s">
        <v>1901</v>
      </c>
      <c r="ADM117" t="s">
        <v>1901</v>
      </c>
      <c r="ADN117" t="s">
        <v>1900</v>
      </c>
      <c r="ADO117">
        <v>99.65900000000001</v>
      </c>
      <c r="ADP117">
        <v>99.81</v>
      </c>
      <c r="ADQ117">
        <v>99.014</v>
      </c>
      <c r="ADR117">
        <v>93.31100000000001</v>
      </c>
      <c r="ADS117" t="s">
        <v>1900</v>
      </c>
      <c r="ADT117">
        <v>-184.957547128</v>
      </c>
      <c r="ADU117">
        <v>-203.363380819</v>
      </c>
      <c r="ADV117">
        <v>-674.3763400829999</v>
      </c>
      <c r="ADW117" t="s">
        <v>1901</v>
      </c>
      <c r="ADX117" t="s">
        <v>1900</v>
      </c>
      <c r="ADY117" t="s">
        <v>1901</v>
      </c>
      <c r="ADZ117" t="s">
        <v>1901</v>
      </c>
      <c r="AEA117" t="s">
        <v>1901</v>
      </c>
      <c r="AEB117" t="s">
        <v>1901</v>
      </c>
      <c r="AEC117" t="s">
        <v>1900</v>
      </c>
      <c r="AED117" t="s">
        <v>1901</v>
      </c>
      <c r="AEE117" t="s">
        <v>1901</v>
      </c>
      <c r="AEF117" t="s">
        <v>1901</v>
      </c>
      <c r="AEG117" t="s">
        <v>1901</v>
      </c>
      <c r="AEH117" t="s">
        <v>1900</v>
      </c>
      <c r="AEI117" t="s">
        <v>1901</v>
      </c>
      <c r="AEJ117" t="s">
        <v>1901</v>
      </c>
      <c r="AEK117" t="s">
        <v>1901</v>
      </c>
      <c r="AEL117" t="s">
        <v>1901</v>
      </c>
      <c r="AEM117" t="s">
        <v>1900</v>
      </c>
      <c r="AEN117">
        <v>-64.907053346</v>
      </c>
      <c r="AEO117">
        <v>-67.03623234600001</v>
      </c>
      <c r="AEP117">
        <v>-87.08638231499999</v>
      </c>
      <c r="AEQ117">
        <v>-96.403958452</v>
      </c>
      <c r="AER117" t="s">
        <v>1900</v>
      </c>
      <c r="AES117">
        <v>0.350151011</v>
      </c>
      <c r="AET117">
        <v>0.329216768</v>
      </c>
      <c r="AEU117">
        <v>0.128025939</v>
      </c>
      <c r="AEV117">
        <v>0.033636086</v>
      </c>
      <c r="AEW117" t="s">
        <v>1900</v>
      </c>
      <c r="AEX117" t="s">
        <v>1900</v>
      </c>
      <c r="AEY117" t="s">
        <v>1900</v>
      </c>
      <c r="AEZ117" t="s">
        <v>1900</v>
      </c>
      <c r="AFA117" t="s">
        <v>1900</v>
      </c>
      <c r="AFB117" t="s">
        <v>1900</v>
      </c>
      <c r="AFC117" t="s">
        <v>1900</v>
      </c>
      <c r="AFD117" t="s">
        <v>1900</v>
      </c>
      <c r="AFE117" t="s">
        <v>1900</v>
      </c>
      <c r="AFF117" t="s">
        <v>1900</v>
      </c>
      <c r="AFG117" t="s">
        <v>1900</v>
      </c>
      <c r="AFH117">
        <v>0.246</v>
      </c>
      <c r="AFI117">
        <v>0.303</v>
      </c>
      <c r="AFJ117">
        <v>0.093</v>
      </c>
      <c r="AFK117">
        <v>0.045</v>
      </c>
      <c r="AFL117" t="s">
        <v>1900</v>
      </c>
      <c r="AFM117">
        <v>-2.649</v>
      </c>
      <c r="AFN117">
        <v>-8.16</v>
      </c>
      <c r="AFO117">
        <v>-22.915</v>
      </c>
      <c r="AFP117">
        <v>-54.082</v>
      </c>
      <c r="AFQ117" t="s">
        <v>1900</v>
      </c>
      <c r="AFR117">
        <v>34.717</v>
      </c>
      <c r="AFS117">
        <v>20.827</v>
      </c>
      <c r="AFT117" t="s">
        <v>1901</v>
      </c>
      <c r="AFU117" t="s">
        <v>1901</v>
      </c>
      <c r="AFV117" t="s">
        <v>1900</v>
      </c>
      <c r="AFW117" t="s">
        <v>1901</v>
      </c>
      <c r="AFX117" t="s">
        <v>1901</v>
      </c>
      <c r="AFY117" t="s">
        <v>1901</v>
      </c>
      <c r="AFZ117" t="s">
        <v>1901</v>
      </c>
      <c r="AGA117" t="s">
        <v>1900</v>
      </c>
      <c r="AGB117" t="s">
        <v>1900</v>
      </c>
      <c r="AGC117">
        <v>0</v>
      </c>
      <c r="AGD117">
        <v>0</v>
      </c>
      <c r="AGE117">
        <v>0</v>
      </c>
      <c r="AGF117" t="s">
        <v>1900</v>
      </c>
      <c r="AGG117" t="s">
        <v>1900</v>
      </c>
      <c r="AGH117" t="s">
        <v>1900</v>
      </c>
      <c r="AGI117" t="s">
        <v>1900</v>
      </c>
      <c r="AGJ117" t="s">
        <v>1900</v>
      </c>
      <c r="AGK117" t="s">
        <v>1900</v>
      </c>
      <c r="AGL117" t="s">
        <v>1900</v>
      </c>
      <c r="AGM117" t="s">
        <v>1900</v>
      </c>
      <c r="AGN117" t="s">
        <v>1900</v>
      </c>
      <c r="AGO117" t="s">
        <v>1900</v>
      </c>
      <c r="AGP117" t="s">
        <v>1900</v>
      </c>
      <c r="AGQ117" t="s">
        <v>1900</v>
      </c>
      <c r="AGR117" t="s">
        <v>1900</v>
      </c>
      <c r="AGS117" t="s">
        <v>1900</v>
      </c>
      <c r="AGT117" t="s">
        <v>1900</v>
      </c>
      <c r="AGU117">
        <v>0</v>
      </c>
      <c r="AGV117">
        <v>0</v>
      </c>
      <c r="AGW117">
        <v>0</v>
      </c>
      <c r="AGX117">
        <v>0</v>
      </c>
      <c r="AGY117">
        <v>0</v>
      </c>
      <c r="AGZ117" t="s">
        <v>1900</v>
      </c>
      <c r="AHA117">
        <v>0.9379999999999999</v>
      </c>
      <c r="AHB117">
        <v>0.789</v>
      </c>
      <c r="AHC117">
        <v>0.847</v>
      </c>
      <c r="AHD117">
        <v>0.403</v>
      </c>
      <c r="AHE117" t="s">
        <v>1900</v>
      </c>
      <c r="AHF117">
        <v>0.9350000000000001</v>
      </c>
      <c r="AHG117">
        <v>0.778</v>
      </c>
      <c r="AHH117">
        <v>0.847</v>
      </c>
      <c r="AHI117">
        <v>0.403</v>
      </c>
      <c r="AHJ117" t="s">
        <v>1900</v>
      </c>
      <c r="AHK117">
        <v>1.28</v>
      </c>
      <c r="AHL117">
        <v>0.033</v>
      </c>
      <c r="AHM117">
        <v>0.014</v>
      </c>
      <c r="AHN117">
        <v>0.786</v>
      </c>
      <c r="AHO117" t="s">
        <v>1900</v>
      </c>
      <c r="AHP117">
        <v>16.047</v>
      </c>
      <c r="AHQ117">
        <v>1.349</v>
      </c>
      <c r="AHR117">
        <v>0.9379999999999999</v>
      </c>
      <c r="AHS117">
        <v>28.872</v>
      </c>
      <c r="AHT117" t="s">
        <v>1900</v>
      </c>
      <c r="AHU117">
        <v>19.114</v>
      </c>
      <c r="AHV117">
        <v>1.368</v>
      </c>
      <c r="AHW117">
        <v>0.947</v>
      </c>
      <c r="AHX117">
        <v>40.592</v>
      </c>
      <c r="AHY117" t="s">
        <v>1900</v>
      </c>
      <c r="AHZ117">
        <v>106.345</v>
      </c>
      <c r="AIA117" t="s">
        <v>1901</v>
      </c>
      <c r="AIB117" t="s">
        <v>1901</v>
      </c>
      <c r="AIC117">
        <v>157.808</v>
      </c>
      <c r="AID117" t="s">
        <v>1900</v>
      </c>
      <c r="AIE117">
        <v>13.707031382</v>
      </c>
      <c r="AIF117">
        <v>19.549174545</v>
      </c>
      <c r="AIG117">
        <v>20.375854765</v>
      </c>
      <c r="AIH117">
        <v>28.901614095</v>
      </c>
      <c r="AII117" t="s">
        <v>1900</v>
      </c>
      <c r="AIJ117">
        <v>5.785551281</v>
      </c>
      <c r="AIK117">
        <v>2.723561961</v>
      </c>
      <c r="AIL117">
        <v>3.676186388</v>
      </c>
      <c r="AIM117">
        <v>4.1419151</v>
      </c>
      <c r="AIN117" t="s">
        <v>1900</v>
      </c>
      <c r="AIO117">
        <v>66.88852911399999</v>
      </c>
      <c r="AIP117">
        <v>45.470194056</v>
      </c>
      <c r="AIQ117">
        <v>17.083172859</v>
      </c>
      <c r="AIR117">
        <v>25.564970935</v>
      </c>
      <c r="AIS117" t="s">
        <v>1900</v>
      </c>
      <c r="AIT117">
        <v>843.835830823</v>
      </c>
      <c r="AIU117" t="s">
        <v>1901</v>
      </c>
      <c r="AIV117">
        <v>0</v>
      </c>
      <c r="AIW117">
        <v>0</v>
      </c>
      <c r="AIX117" t="s">
        <v>1900</v>
      </c>
      <c r="AIY117" t="s">
        <v>1901</v>
      </c>
      <c r="AIZ117">
        <v>-93.6144782114965</v>
      </c>
      <c r="AJA117">
        <v>-77.288028846817</v>
      </c>
      <c r="AJB117" t="s">
        <v>1901</v>
      </c>
      <c r="AJC117" t="s">
        <v>1900</v>
      </c>
      <c r="AJD117">
        <v>47.2788484631662</v>
      </c>
      <c r="AJE117">
        <v>41.3913439523297</v>
      </c>
      <c r="AJF117">
        <v>10.9977981575489</v>
      </c>
      <c r="AJG117">
        <v>3.99654952511072</v>
      </c>
      <c r="AJH117" t="s">
        <v>1900</v>
      </c>
      <c r="AJI117" t="s">
        <v>1901</v>
      </c>
      <c r="AJJ117" t="s">
        <v>1901</v>
      </c>
      <c r="AJK117" t="s">
        <v>1901</v>
      </c>
      <c r="AJL117" t="s">
        <v>1901</v>
      </c>
      <c r="AJM117" t="s">
        <v>1900</v>
      </c>
      <c r="AJN117">
        <v>61.7415347438421</v>
      </c>
      <c r="AJO117">
        <v>60.5639358577502</v>
      </c>
      <c r="AJP117">
        <v>55.9727878016138</v>
      </c>
      <c r="AJQ117">
        <v>72.36589264374081</v>
      </c>
      <c r="AJR117" t="s">
        <v>1900</v>
      </c>
      <c r="AJS117">
        <v>108.006483371983</v>
      </c>
      <c r="AJT117">
        <v>4.32031349056542</v>
      </c>
      <c r="AJU117">
        <v>1.67914111623287</v>
      </c>
      <c r="AJV117">
        <v>39.4749598519611</v>
      </c>
      <c r="AJW117" t="s">
        <v>1900</v>
      </c>
      <c r="AJX117">
        <v>411.964273784504</v>
      </c>
      <c r="AJY117">
        <v>135.896521264279</v>
      </c>
      <c r="AJZ117">
        <v>44.4320697584796</v>
      </c>
      <c r="AKA117">
        <v>13.292722500788</v>
      </c>
      <c r="AKB117" t="s">
        <v>1900</v>
      </c>
      <c r="AKC117">
        <v>673.079103204631</v>
      </c>
      <c r="AKD117">
        <v>320.164230597643</v>
      </c>
      <c r="AKE117">
        <v>178.996342868557</v>
      </c>
      <c r="AKF117">
        <v>136.722795301332</v>
      </c>
      <c r="AKG117" t="s">
        <v>1900</v>
      </c>
      <c r="AKH117">
        <v>843.835830823</v>
      </c>
      <c r="AKI117" t="s">
        <v>1901</v>
      </c>
      <c r="AKJ117">
        <v>0</v>
      </c>
      <c r="AKK117">
        <v>0</v>
      </c>
      <c r="AKL117" t="s">
        <v>1900</v>
      </c>
      <c r="AKM117">
        <v>2.880443485</v>
      </c>
      <c r="AKN117">
        <v>4.8015445</v>
      </c>
      <c r="AKO117">
        <v>0</v>
      </c>
      <c r="AKP117">
        <v>0</v>
      </c>
      <c r="AKQ117" t="s">
        <v>1900</v>
      </c>
      <c r="AKR117">
        <v>0.202329933</v>
      </c>
      <c r="AKS117">
        <v>0.620751347</v>
      </c>
      <c r="AKT117">
        <v>0</v>
      </c>
      <c r="AKU117">
        <v>0</v>
      </c>
      <c r="AKV117" t="s">
        <v>1900</v>
      </c>
      <c r="AKW117">
        <v>271.22914401</v>
      </c>
      <c r="AKX117">
        <v>268.402585996</v>
      </c>
      <c r="AKY117">
        <v>831.411376364</v>
      </c>
      <c r="AKZ117" t="s">
        <v>1901</v>
      </c>
      <c r="ALA117" t="s">
        <v>1900</v>
      </c>
      <c r="ALB117">
        <v>19.051849041</v>
      </c>
      <c r="ALC117">
        <v>34.699515294</v>
      </c>
      <c r="ALD117">
        <v>51.083136032</v>
      </c>
      <c r="ALE117">
        <v>56.734695563</v>
      </c>
      <c r="ALF117" t="s">
        <v>1900</v>
      </c>
      <c r="ALG117">
        <v>3.554050786</v>
      </c>
      <c r="ALH117">
        <v>4.500791098</v>
      </c>
      <c r="ALI117">
        <v>0.6824381940000001</v>
      </c>
      <c r="ALJ117">
        <v>17.084112766</v>
      </c>
      <c r="ALK117" t="s">
        <v>1900</v>
      </c>
      <c r="ALL117">
        <v>0.249645883</v>
      </c>
      <c r="ALM117">
        <v>0.581869467</v>
      </c>
      <c r="ALN117">
        <v>0.041930005</v>
      </c>
      <c r="ALO117">
        <v>0.499386311</v>
      </c>
      <c r="ALP117" t="s">
        <v>1900</v>
      </c>
      <c r="ALQ117">
        <v>868.469623833</v>
      </c>
      <c r="ALR117">
        <v>323.519572034</v>
      </c>
      <c r="ALS117">
        <v>404.008778895</v>
      </c>
      <c r="ALT117">
        <v>332.605009507</v>
      </c>
      <c r="ALU117" t="s">
        <v>1900</v>
      </c>
      <c r="ALV117" t="s">
        <v>1900</v>
      </c>
      <c r="ALW117">
        <v>0</v>
      </c>
      <c r="ALX117">
        <v>0</v>
      </c>
      <c r="ALY117">
        <v>0</v>
      </c>
      <c r="ALZ117" t="s">
        <v>1900</v>
      </c>
      <c r="AMA117">
        <v>99.6586488295244</v>
      </c>
      <c r="AMB117">
        <v>99.8096432218483</v>
      </c>
      <c r="AMC117">
        <v>99.01402851840641</v>
      </c>
      <c r="AMD117">
        <v>93.3114426799042</v>
      </c>
      <c r="AME117" t="s">
        <v>1900</v>
      </c>
      <c r="AMF117">
        <v>99.6586488295244</v>
      </c>
      <c r="AMG117">
        <v>99.8096432218483</v>
      </c>
      <c r="AMH117" t="s">
        <v>1901</v>
      </c>
      <c r="AMI117" t="s">
        <v>1901</v>
      </c>
      <c r="AMJ117" t="s">
        <v>1900</v>
      </c>
      <c r="AMK117">
        <v>29195.3441057944</v>
      </c>
      <c r="AML117">
        <v>52432.9336685361</v>
      </c>
      <c r="AMM117">
        <v>10042.2811781909</v>
      </c>
      <c r="AMN117">
        <v>1395.0915235953</v>
      </c>
      <c r="AMO117" t="s">
        <v>1900</v>
      </c>
      <c r="AMP117">
        <v>0.350151011239488</v>
      </c>
      <c r="AMQ117">
        <v>0.329216768337717</v>
      </c>
      <c r="AMR117">
        <v>0.128025939471515</v>
      </c>
      <c r="AMS117">
        <v>0.0336360850523622</v>
      </c>
      <c r="AMT117" t="s">
        <v>1900</v>
      </c>
      <c r="AMU117">
        <v>0.350151011239488</v>
      </c>
      <c r="AMV117">
        <v>0.329216768337717</v>
      </c>
      <c r="AMW117">
        <v>0.128025939471515</v>
      </c>
      <c r="AMX117">
        <v>0.0336360864358493</v>
      </c>
      <c r="AMY117" t="s">
        <v>1900</v>
      </c>
      <c r="AMZ117">
        <v>0.350151011239488</v>
      </c>
      <c r="ANA117">
        <v>0.329216768337717</v>
      </c>
      <c r="ANB117">
        <v>0.128025939471515</v>
      </c>
      <c r="ANC117">
        <v>0.0336360864358494</v>
      </c>
      <c r="AND117" t="s">
        <v>1900</v>
      </c>
      <c r="ANE117" t="s">
        <v>1901</v>
      </c>
      <c r="ANF117" t="s">
        <v>1901</v>
      </c>
      <c r="ANG117" t="s">
        <v>1901</v>
      </c>
      <c r="ANH117" t="s">
        <v>1901</v>
      </c>
      <c r="ANI117" t="s">
        <v>1900</v>
      </c>
      <c r="ANJ117" t="s">
        <v>1901</v>
      </c>
      <c r="ANK117" t="s">
        <v>1901</v>
      </c>
      <c r="ANL117" t="s">
        <v>1901</v>
      </c>
      <c r="ANM117" t="s">
        <v>1901</v>
      </c>
      <c r="ANN117" t="s">
        <v>1900</v>
      </c>
      <c r="ANO117">
        <v>-64.9070533460129</v>
      </c>
      <c r="ANP117">
        <v>-67.0362323461456</v>
      </c>
      <c r="ANQ117">
        <v>-87.0863823151813</v>
      </c>
      <c r="ANR117">
        <v>-96.4039584521191</v>
      </c>
      <c r="ANS117" t="s">
        <v>1900</v>
      </c>
      <c r="ANT117">
        <v>-45.4564960501294</v>
      </c>
      <c r="ANU117">
        <v>-61.5284385178221</v>
      </c>
      <c r="ANV117">
        <v>-62.4508444680535</v>
      </c>
      <c r="ANW117">
        <v>-119.460532644154</v>
      </c>
      <c r="ANX117" t="s">
        <v>1900</v>
      </c>
      <c r="ANY117">
        <v>99.6586488295244</v>
      </c>
      <c r="ANZ117">
        <v>99.8096432218483</v>
      </c>
      <c r="AOA117">
        <v>99.01402851840641</v>
      </c>
      <c r="AOB117">
        <v>93.31144651790081</v>
      </c>
      <c r="AOC117" t="s">
        <v>1900</v>
      </c>
      <c r="AOD117">
        <v>34.9731564698293</v>
      </c>
      <c r="AOE117">
        <v>32.9010188877912</v>
      </c>
      <c r="AOF117">
        <v>12.7862930972043</v>
      </c>
      <c r="AOG117">
        <v>3.35551824769646</v>
      </c>
      <c r="AOH117" t="s">
        <v>1900</v>
      </c>
      <c r="AOI117">
        <v>7.00028582869546</v>
      </c>
      <c r="AOJ117">
        <v>12.9035501970983</v>
      </c>
      <c r="AOK117">
        <v>6.08356733107107</v>
      </c>
      <c r="AOL117">
        <v>2.72759011906836</v>
      </c>
      <c r="AOM117" t="s">
        <v>1900</v>
      </c>
      <c r="AON117">
        <v>-54183.9498806683</v>
      </c>
      <c r="AOO117">
        <v>-106832.749951653</v>
      </c>
      <c r="AOP117">
        <v>-68397.14461040319</v>
      </c>
      <c r="AOQ117">
        <v>-40080.9458777084</v>
      </c>
      <c r="AOR117" t="s">
        <v>1900</v>
      </c>
      <c r="AOS117">
        <v>-64.9848988760512</v>
      </c>
      <c r="AOT117">
        <v>-67.0783231662283</v>
      </c>
      <c r="AOU117">
        <v>-87.19740605284851</v>
      </c>
      <c r="AOV117">
        <v>-96.6363913564151</v>
      </c>
      <c r="AOW117" t="s">
        <v>1900</v>
      </c>
      <c r="AOX117">
        <v>-12.991904980394</v>
      </c>
      <c r="AOY117">
        <v>-26.2911428990371</v>
      </c>
      <c r="AOZ117">
        <v>-41.4346727707689</v>
      </c>
      <c r="APA117">
        <v>-78.36359843776449</v>
      </c>
      <c r="APB117" t="s">
        <v>1900</v>
      </c>
      <c r="APC117">
        <v>-194.135294674647</v>
      </c>
      <c r="APD117">
        <v>-169.789985046814</v>
      </c>
      <c r="APE117">
        <v>-702.759116168326</v>
      </c>
      <c r="APF117">
        <v>-2730.36346595659</v>
      </c>
      <c r="APG117" t="s">
        <v>1900</v>
      </c>
      <c r="APH117">
        <v>-194.135294674647</v>
      </c>
      <c r="API117">
        <v>-169.789985046814</v>
      </c>
      <c r="APJ117">
        <v>-783.44124775264</v>
      </c>
      <c r="APK117">
        <v>-3225.54937008224</v>
      </c>
      <c r="APL117" t="s">
        <v>1900</v>
      </c>
      <c r="APM117">
        <v>-56872.6026057358</v>
      </c>
      <c r="APN117">
        <v>-89195.6602204603</v>
      </c>
      <c r="APO117">
        <v>-71275.80556716109</v>
      </c>
      <c r="APP117">
        <v>-40821.434309585</v>
      </c>
      <c r="APQ117" t="s">
        <v>1900</v>
      </c>
      <c r="APR117">
        <v>-68.209503686814</v>
      </c>
      <c r="APS117">
        <v>-56.0043181889518</v>
      </c>
      <c r="APT117">
        <v>-90.86732195013759</v>
      </c>
      <c r="APU117">
        <v>-98.4217317053195</v>
      </c>
      <c r="APV117" t="s">
        <v>1900</v>
      </c>
      <c r="APW117">
        <v>-68.1277953967344</v>
      </c>
      <c r="APX117">
        <v>-55.9691761703461</v>
      </c>
      <c r="APY117">
        <v>-90.75162550718839</v>
      </c>
      <c r="APZ117">
        <v>-98.1850046439608</v>
      </c>
      <c r="AQA117" t="s">
        <v>1900</v>
      </c>
      <c r="AQB117">
        <v>-13.6365741270008</v>
      </c>
      <c r="AQC117">
        <v>-21.9507206347428</v>
      </c>
      <c r="AQD117">
        <v>-43.1785522183783</v>
      </c>
      <c r="AQE117">
        <v>-79.8113521484788</v>
      </c>
      <c r="AQF117" t="s">
        <v>1900</v>
      </c>
      <c r="AQG117">
        <v>-0.649848988760512</v>
      </c>
      <c r="AQH117">
        <v>-0.670783231662283</v>
      </c>
      <c r="AQI117">
        <v>-0.871974060528485</v>
      </c>
      <c r="AQJ117">
        <v>-0.966363913564151</v>
      </c>
      <c r="AQK117">
        <v>12</v>
      </c>
      <c r="AQO117" t="s">
        <v>1903</v>
      </c>
      <c r="AQP117">
        <v>26</v>
      </c>
      <c r="AQQ117">
        <v>0</v>
      </c>
      <c r="AQS117" t="s">
        <v>1905</v>
      </c>
      <c r="AQU117" t="s">
        <v>1906</v>
      </c>
      <c r="AQV117" t="s">
        <v>1900</v>
      </c>
      <c r="AQW117">
        <v>330951.935927162</v>
      </c>
      <c r="AQX117">
        <v>289739.40446651</v>
      </c>
      <c r="AQY117" t="s">
        <v>1900</v>
      </c>
      <c r="AQZ117">
        <v>-612120.582862196</v>
      </c>
      <c r="ARA117">
        <v>-589223.848487467</v>
      </c>
      <c r="ARB117">
        <v>620691.340393672</v>
      </c>
      <c r="ARC117">
        <v>-1201344.431349663</v>
      </c>
      <c r="ARD117">
        <v>-0.6593418471692295</v>
      </c>
      <c r="ARE117">
        <v>-0.6593418471692295</v>
      </c>
      <c r="ARF117">
        <v>-0.6593418471692295</v>
      </c>
      <c r="ARG117" t="s">
        <v>1907</v>
      </c>
      <c r="ARH117" t="s">
        <v>1907</v>
      </c>
      <c r="ARI117" t="s">
        <v>1907</v>
      </c>
      <c r="ARJ117" t="s">
        <v>1278</v>
      </c>
      <c r="ARK117" t="s">
        <v>1616</v>
      </c>
      <c r="ARL117" t="s">
        <v>1908</v>
      </c>
      <c r="ARM117" t="s">
        <v>1908</v>
      </c>
      <c r="ARN117" t="s">
        <v>1909</v>
      </c>
      <c r="ARO117" t="s">
        <v>1908</v>
      </c>
      <c r="ARP117" t="s">
        <v>1907</v>
      </c>
      <c r="ARQ117" t="s">
        <v>2009</v>
      </c>
      <c r="ARR117">
        <f>HYPERLINK("C:\Users\Usuario\Documents\Proyectos\llmthon\evidence\tesoriza_com_000345.png", "Ver Evidencia")</f>
        <v>0</v>
      </c>
      <c r="ARS117">
        <v>100</v>
      </c>
    </row>
    <row r="118" spans="1:1163">
      <c r="A118">
        <v>668</v>
      </c>
      <c r="B118" t="s">
        <v>1279</v>
      </c>
      <c r="C118" t="s">
        <v>1402</v>
      </c>
      <c r="D118" t="s">
        <v>1428</v>
      </c>
      <c r="E118" s="2">
        <v>43662</v>
      </c>
      <c r="F118" t="s">
        <v>1431</v>
      </c>
      <c r="G118" t="s">
        <v>1433</v>
      </c>
      <c r="H118" t="s">
        <v>1434</v>
      </c>
      <c r="I118" t="s">
        <v>1442</v>
      </c>
      <c r="J118" t="s">
        <v>1498</v>
      </c>
      <c r="L118" t="s">
        <v>1617</v>
      </c>
      <c r="N118" t="s">
        <v>1624</v>
      </c>
      <c r="O118" t="s">
        <v>1648</v>
      </c>
      <c r="P118">
        <v>6209</v>
      </c>
      <c r="Q118">
        <v>6209</v>
      </c>
      <c r="R118" t="s">
        <v>1785</v>
      </c>
      <c r="Z118" t="s">
        <v>1899</v>
      </c>
      <c r="AA118" s="2">
        <v>45657</v>
      </c>
      <c r="AB118">
        <v>2024</v>
      </c>
      <c r="AC118">
        <v>583009.405416032</v>
      </c>
      <c r="AD118">
        <v>1042911.05949567</v>
      </c>
      <c r="AE118">
        <v>230136.033175492</v>
      </c>
      <c r="AF118" t="s">
        <v>1900</v>
      </c>
      <c r="AG118" t="s">
        <v>1900</v>
      </c>
      <c r="AH118">
        <v>574014.509300955</v>
      </c>
      <c r="AI118">
        <v>1042911.05949567</v>
      </c>
      <c r="AJ118">
        <v>230136.033175492</v>
      </c>
      <c r="AK118" t="s">
        <v>1900</v>
      </c>
      <c r="AL118" t="s">
        <v>1900</v>
      </c>
      <c r="AM118">
        <v>206260.226709797</v>
      </c>
      <c r="AN118">
        <v>284895.802557735</v>
      </c>
      <c r="AO118">
        <v>84923.7605185985</v>
      </c>
      <c r="AP118" t="s">
        <v>1900</v>
      </c>
      <c r="AQ118" t="s">
        <v>1900</v>
      </c>
      <c r="AR118">
        <v>376749.178706235</v>
      </c>
      <c r="AS118">
        <v>758015.256937933</v>
      </c>
      <c r="AT118">
        <v>145212.272656894</v>
      </c>
      <c r="AU118" t="s">
        <v>1900</v>
      </c>
      <c r="AV118" t="s">
        <v>1900</v>
      </c>
      <c r="AW118">
        <v>988435.816432546</v>
      </c>
      <c r="AX118">
        <v>990855.644173838</v>
      </c>
      <c r="AY118">
        <v>186419.469274175</v>
      </c>
      <c r="AZ118">
        <v>3622.63227682829</v>
      </c>
      <c r="BA118" t="s">
        <v>1900</v>
      </c>
      <c r="BB118">
        <v>-611686.637726312</v>
      </c>
      <c r="BC118">
        <v>-232840.389445906</v>
      </c>
      <c r="BD118">
        <v>-41207.1966172814</v>
      </c>
      <c r="BE118">
        <v>-3622.6334094286</v>
      </c>
      <c r="BF118" t="s">
        <v>1900</v>
      </c>
      <c r="BG118">
        <v>-56120.0441860604</v>
      </c>
      <c r="BH118">
        <v>-6814.19550812721</v>
      </c>
      <c r="BI118">
        <v>21.491979688406</v>
      </c>
      <c r="BJ118">
        <v>0</v>
      </c>
      <c r="BK118" t="s">
        <v>1900</v>
      </c>
      <c r="BL118" t="s">
        <v>1900</v>
      </c>
      <c r="BM118" t="s">
        <v>1900</v>
      </c>
      <c r="BN118">
        <v>58.0763421356678</v>
      </c>
      <c r="BO118" t="s">
        <v>1900</v>
      </c>
      <c r="BP118" t="s">
        <v>1900</v>
      </c>
      <c r="BQ118">
        <v>56120.0441860604</v>
      </c>
      <c r="BR118">
        <v>6814.19550812721</v>
      </c>
      <c r="BS118">
        <v>36.5843624472618</v>
      </c>
      <c r="BT118" t="s">
        <v>1900</v>
      </c>
      <c r="BU118" t="s">
        <v>1900</v>
      </c>
      <c r="BV118">
        <v>-667806.681912372</v>
      </c>
      <c r="BW118">
        <v>-239654.584954033</v>
      </c>
      <c r="BX118">
        <v>-41185.704637593</v>
      </c>
      <c r="BY118">
        <v>-3622.6334094286</v>
      </c>
      <c r="BZ118" t="s">
        <v>1900</v>
      </c>
      <c r="CA118" t="s">
        <v>1900</v>
      </c>
      <c r="CB118" t="s">
        <v>1900</v>
      </c>
      <c r="CC118">
        <v>-10310.9452449322</v>
      </c>
      <c r="CD118">
        <v>-905.661183857918</v>
      </c>
      <c r="CE118" t="s">
        <v>1900</v>
      </c>
      <c r="CF118">
        <v>-667806.681912372</v>
      </c>
      <c r="CG118">
        <v>-239654.584954033</v>
      </c>
      <c r="CH118">
        <v>-30874.7583260614</v>
      </c>
      <c r="CI118">
        <v>-2716.97222557068</v>
      </c>
      <c r="CJ118" t="s">
        <v>1900</v>
      </c>
      <c r="CK118" t="s">
        <v>1900</v>
      </c>
      <c r="CL118" t="s">
        <v>1900</v>
      </c>
      <c r="CM118" t="s">
        <v>1900</v>
      </c>
      <c r="CN118" t="s">
        <v>1900</v>
      </c>
      <c r="CO118" t="s">
        <v>1900</v>
      </c>
      <c r="CP118" t="s">
        <v>1900</v>
      </c>
      <c r="CQ118" t="s">
        <v>1900</v>
      </c>
      <c r="CR118" t="s">
        <v>1900</v>
      </c>
      <c r="CS118" t="s">
        <v>1900</v>
      </c>
      <c r="CT118" t="s">
        <v>1900</v>
      </c>
      <c r="CU118" t="s">
        <v>1900</v>
      </c>
      <c r="CV118" t="s">
        <v>1900</v>
      </c>
      <c r="CW118" t="s">
        <v>1900</v>
      </c>
      <c r="CX118" t="s">
        <v>1900</v>
      </c>
      <c r="CY118" t="s">
        <v>1900</v>
      </c>
      <c r="CZ118">
        <v>-667806.681912372</v>
      </c>
      <c r="DA118">
        <v>-239654.584954033</v>
      </c>
      <c r="DB118">
        <v>-30874.7583260614</v>
      </c>
      <c r="DC118">
        <v>-2716.97222557068</v>
      </c>
      <c r="DD118" t="s">
        <v>1900</v>
      </c>
      <c r="DE118" t="s">
        <v>1900</v>
      </c>
      <c r="DF118" t="s">
        <v>1900</v>
      </c>
      <c r="DG118" t="s">
        <v>1900</v>
      </c>
      <c r="DH118" t="s">
        <v>1900</v>
      </c>
      <c r="DI118" t="s">
        <v>1900</v>
      </c>
      <c r="DJ118">
        <v>206260.226709797</v>
      </c>
      <c r="DK118">
        <v>284895.802557735</v>
      </c>
      <c r="DL118">
        <v>84923.7605185985</v>
      </c>
      <c r="DM118" t="s">
        <v>1900</v>
      </c>
      <c r="DN118" t="s">
        <v>1900</v>
      </c>
      <c r="DO118">
        <v>798658.094553986</v>
      </c>
      <c r="DP118">
        <v>821552.266102562</v>
      </c>
      <c r="DQ118">
        <v>154392.515784323</v>
      </c>
      <c r="DR118" t="s">
        <v>1900</v>
      </c>
      <c r="DS118" t="s">
        <v>1900</v>
      </c>
      <c r="DT118">
        <v>144058.849004132</v>
      </c>
      <c r="DU118">
        <v>18337.9661148539</v>
      </c>
      <c r="DV118" t="s">
        <v>1900</v>
      </c>
      <c r="DW118" t="s">
        <v>1900</v>
      </c>
      <c r="DX118" t="s">
        <v>1900</v>
      </c>
      <c r="DY118">
        <v>45718.8728744292</v>
      </c>
      <c r="DZ118">
        <v>150965.409746421</v>
      </c>
      <c r="EA118">
        <v>32026.9524232525</v>
      </c>
      <c r="EB118">
        <v>3622.63227682829</v>
      </c>
      <c r="EC118" t="s">
        <v>1900</v>
      </c>
      <c r="ED118">
        <v>56120.0441860604</v>
      </c>
      <c r="EE118">
        <v>6814.19550812721</v>
      </c>
      <c r="EF118">
        <v>36.5843624472618</v>
      </c>
      <c r="EG118" t="s">
        <v>1900</v>
      </c>
      <c r="EH118" t="s">
        <v>1900</v>
      </c>
      <c r="EI118" t="s">
        <v>1900</v>
      </c>
      <c r="EJ118" t="s">
        <v>1900</v>
      </c>
      <c r="EK118" t="s">
        <v>1900</v>
      </c>
      <c r="EL118" t="s">
        <v>1900</v>
      </c>
      <c r="EM118" t="s">
        <v>1900</v>
      </c>
      <c r="EN118">
        <v>-523747.832908241</v>
      </c>
      <c r="EO118">
        <v>-221316.617734179</v>
      </c>
      <c r="EP118" t="s">
        <v>1900</v>
      </c>
      <c r="EQ118" t="s">
        <v>1900</v>
      </c>
      <c r="ER118" t="s">
        <v>1900</v>
      </c>
      <c r="ES118">
        <v>331030.305831806</v>
      </c>
      <c r="ET118">
        <v>607049.84277151</v>
      </c>
      <c r="EU118">
        <v>113243.395509177</v>
      </c>
      <c r="EV118">
        <v>-3622.6334094286</v>
      </c>
      <c r="EW118" t="s">
        <v>1900</v>
      </c>
      <c r="EX118">
        <v>-467627.78872218</v>
      </c>
      <c r="EY118">
        <v>-214502.422226051</v>
      </c>
      <c r="EZ118">
        <v>-41207.1966172814</v>
      </c>
      <c r="FA118">
        <v>-3622.6334094286</v>
      </c>
      <c r="FB118" t="s">
        <v>1900</v>
      </c>
      <c r="FC118">
        <v>955738.468847791</v>
      </c>
      <c r="FD118">
        <v>869458.755952406</v>
      </c>
      <c r="FE118">
        <v>263415.54777438</v>
      </c>
      <c r="FF118">
        <v>2117.69075088501</v>
      </c>
      <c r="FG118" t="s">
        <v>1900</v>
      </c>
      <c r="FH118">
        <v>923571.957372454</v>
      </c>
      <c r="FI118">
        <v>851303.785654678</v>
      </c>
      <c r="FJ118">
        <v>251110.317470282</v>
      </c>
      <c r="FK118">
        <v>0</v>
      </c>
      <c r="FL118" t="s">
        <v>1900</v>
      </c>
      <c r="FM118">
        <v>20180.8521399045</v>
      </c>
      <c r="FN118">
        <v>5406.71217646599</v>
      </c>
      <c r="FO118">
        <v>0</v>
      </c>
      <c r="FP118">
        <v>0</v>
      </c>
      <c r="FQ118" t="s">
        <v>1900</v>
      </c>
      <c r="FR118">
        <v>11985.6593354321</v>
      </c>
      <c r="FS118">
        <v>12748.2581212616</v>
      </c>
      <c r="FT118">
        <v>12305.2303040981</v>
      </c>
      <c r="FU118">
        <v>2117.69075088501</v>
      </c>
      <c r="FV118" t="s">
        <v>1900</v>
      </c>
      <c r="FW118">
        <v>923571.957372454</v>
      </c>
      <c r="FX118">
        <v>851303.785654678</v>
      </c>
      <c r="FY118">
        <v>251110.317470282</v>
      </c>
      <c r="FZ118">
        <v>0</v>
      </c>
      <c r="GA118" t="s">
        <v>1900</v>
      </c>
      <c r="GB118">
        <v>20180.8521399045</v>
      </c>
      <c r="GC118">
        <v>5406.71217646599</v>
      </c>
      <c r="GD118">
        <v>0</v>
      </c>
      <c r="GE118">
        <v>0</v>
      </c>
      <c r="GF118" t="s">
        <v>1900</v>
      </c>
      <c r="GG118">
        <v>11985.6593354321</v>
      </c>
      <c r="GH118">
        <v>12748.2581212616</v>
      </c>
      <c r="GI118">
        <v>12305.2303040981</v>
      </c>
      <c r="GJ118">
        <v>2117.69075088501</v>
      </c>
      <c r="GK118" t="s">
        <v>1900</v>
      </c>
      <c r="GL118">
        <v>149016.778894179</v>
      </c>
      <c r="GM118">
        <v>408470.472166529</v>
      </c>
      <c r="GN118">
        <v>607966.017369199</v>
      </c>
      <c r="GO118">
        <v>16.1622063875198</v>
      </c>
      <c r="GP118" t="s">
        <v>1900</v>
      </c>
      <c r="GQ118">
        <v>0</v>
      </c>
      <c r="GR118">
        <v>0</v>
      </c>
      <c r="GS118">
        <v>0</v>
      </c>
      <c r="GT118">
        <v>0</v>
      </c>
      <c r="GU118" t="s">
        <v>1900</v>
      </c>
      <c r="GV118">
        <v>101481.15122559</v>
      </c>
      <c r="GW118">
        <v>198709.167278233</v>
      </c>
      <c r="GX118">
        <v>21346.730170095</v>
      </c>
      <c r="GY118">
        <v>0</v>
      </c>
      <c r="GZ118" t="s">
        <v>1900</v>
      </c>
      <c r="HA118">
        <v>47535.6276685894</v>
      </c>
      <c r="HB118">
        <v>209761.304888296</v>
      </c>
      <c r="HC118">
        <v>586619.287199104</v>
      </c>
      <c r="HD118">
        <v>16.1622063875198</v>
      </c>
      <c r="HE118" t="s">
        <v>1900</v>
      </c>
      <c r="HF118">
        <v>28060.27142892</v>
      </c>
      <c r="HG118">
        <v>207202.123739767</v>
      </c>
      <c r="HH118">
        <v>586619.287199104</v>
      </c>
      <c r="HI118">
        <v>16.1622063875198</v>
      </c>
      <c r="HJ118" t="s">
        <v>1900</v>
      </c>
      <c r="HK118">
        <v>1104755.24774197</v>
      </c>
      <c r="HL118">
        <v>1277929.22811893</v>
      </c>
      <c r="HM118">
        <v>871381.565143579</v>
      </c>
      <c r="HN118">
        <v>2133.85295727253</v>
      </c>
      <c r="HO118" t="s">
        <v>1900</v>
      </c>
      <c r="HP118">
        <v>651274.278736186</v>
      </c>
      <c r="HQ118">
        <v>629472.295149431</v>
      </c>
      <c r="HR118">
        <v>838922.958840829</v>
      </c>
      <c r="HS118">
        <v>-2955.27133026123</v>
      </c>
      <c r="HT118" t="s">
        <v>1900</v>
      </c>
      <c r="HU118">
        <v>111390.808775425</v>
      </c>
      <c r="HV118">
        <v>118478.153171539</v>
      </c>
      <c r="HW118">
        <v>114360.797131062</v>
      </c>
      <c r="HX118">
        <v>3397.8009223938</v>
      </c>
      <c r="HY118" t="s">
        <v>1900</v>
      </c>
      <c r="HZ118">
        <v>539883.469960761</v>
      </c>
      <c r="IA118">
        <v>510994.141977892</v>
      </c>
      <c r="IB118">
        <v>724562.160643168</v>
      </c>
      <c r="IC118">
        <v>-6353.07225265503</v>
      </c>
      <c r="ID118" t="s">
        <v>1900</v>
      </c>
      <c r="IE118">
        <v>260974.006088299</v>
      </c>
      <c r="IF118">
        <v>522379.028387289</v>
      </c>
      <c r="IG118">
        <v>0</v>
      </c>
      <c r="IH118">
        <v>1132.6003074646</v>
      </c>
      <c r="II118" t="s">
        <v>1900</v>
      </c>
      <c r="IJ118">
        <v>260974.006088299</v>
      </c>
      <c r="IK118">
        <v>522379.028387289</v>
      </c>
      <c r="IL118" t="s">
        <v>1900</v>
      </c>
      <c r="IM118">
        <v>1132.6003074646</v>
      </c>
      <c r="IN118" t="s">
        <v>1900</v>
      </c>
      <c r="IO118">
        <v>0</v>
      </c>
      <c r="IP118">
        <v>0</v>
      </c>
      <c r="IQ118" t="s">
        <v>1900</v>
      </c>
      <c r="IR118">
        <v>0</v>
      </c>
      <c r="IS118" t="s">
        <v>1900</v>
      </c>
      <c r="IT118">
        <v>0</v>
      </c>
      <c r="IU118">
        <v>0</v>
      </c>
      <c r="IV118" t="s">
        <v>1900</v>
      </c>
      <c r="IW118">
        <v>0</v>
      </c>
      <c r="IX118" t="s">
        <v>1900</v>
      </c>
      <c r="IY118">
        <v>192506.962917485</v>
      </c>
      <c r="IZ118">
        <v>126077.904582214</v>
      </c>
      <c r="JA118">
        <v>32458.6063027501</v>
      </c>
      <c r="JB118">
        <v>3956.52398006916</v>
      </c>
      <c r="JC118" t="s">
        <v>1900</v>
      </c>
      <c r="JD118">
        <v>70478.6331848741</v>
      </c>
      <c r="JE118">
        <v>5942.18436677933</v>
      </c>
      <c r="JF118">
        <v>0</v>
      </c>
      <c r="JG118">
        <v>0</v>
      </c>
      <c r="JH118" t="s">
        <v>1900</v>
      </c>
      <c r="JI118">
        <v>34492.0455027627</v>
      </c>
      <c r="JJ118">
        <v>58956.4395589256</v>
      </c>
      <c r="JK118">
        <v>8261.399666279551</v>
      </c>
      <c r="JL118">
        <v>3607.55849933624</v>
      </c>
      <c r="JM118" t="s">
        <v>1900</v>
      </c>
      <c r="JN118">
        <v>87536.28319094901</v>
      </c>
      <c r="JO118">
        <v>61179.2806565094</v>
      </c>
      <c r="JP118">
        <v>24197.2066364706</v>
      </c>
      <c r="JQ118">
        <v>348.965480732918</v>
      </c>
      <c r="JR118" t="s">
        <v>1900</v>
      </c>
      <c r="JS118">
        <v>1104755.24774197</v>
      </c>
      <c r="JT118">
        <v>1277929.22811893</v>
      </c>
      <c r="JU118">
        <v>871381.565143579</v>
      </c>
      <c r="JV118">
        <v>2133.85295727253</v>
      </c>
      <c r="JW118" t="s">
        <v>1900</v>
      </c>
      <c r="JX118">
        <v>66989.1057228268</v>
      </c>
      <c r="JY118">
        <v>139752.727719307</v>
      </c>
      <c r="JZ118">
        <v>13085.3305038154</v>
      </c>
      <c r="KA118">
        <v>-3607.55849933624</v>
      </c>
      <c r="KB118" t="s">
        <v>1900</v>
      </c>
      <c r="KC118" t="s">
        <v>1900</v>
      </c>
      <c r="KD118" t="s">
        <v>1900</v>
      </c>
      <c r="KE118" t="s">
        <v>1900</v>
      </c>
      <c r="KF118" t="s">
        <v>1900</v>
      </c>
      <c r="KG118" t="s">
        <v>1900</v>
      </c>
      <c r="KH118" t="s">
        <v>1900</v>
      </c>
      <c r="KI118" t="s">
        <v>1900</v>
      </c>
      <c r="KJ118" t="s">
        <v>1900</v>
      </c>
      <c r="KK118" t="s">
        <v>1900</v>
      </c>
      <c r="KL118" t="s">
        <v>1900</v>
      </c>
      <c r="KM118">
        <v>22</v>
      </c>
      <c r="KN118">
        <v>22</v>
      </c>
      <c r="KO118">
        <v>5</v>
      </c>
      <c r="KP118" t="s">
        <v>1900</v>
      </c>
      <c r="KQ118" t="s">
        <v>1900</v>
      </c>
      <c r="KR118" t="s">
        <v>1900</v>
      </c>
      <c r="KS118" t="s">
        <v>1900</v>
      </c>
      <c r="KT118" t="s">
        <v>1900</v>
      </c>
      <c r="KU118" t="s">
        <v>1900</v>
      </c>
      <c r="KV118" t="s">
        <v>1900</v>
      </c>
      <c r="KW118" t="s">
        <v>1900</v>
      </c>
      <c r="KX118" t="s">
        <v>1900</v>
      </c>
      <c r="KY118" t="s">
        <v>1900</v>
      </c>
      <c r="KZ118" t="s">
        <v>1900</v>
      </c>
      <c r="LA118" t="s">
        <v>1900</v>
      </c>
      <c r="LB118" t="s">
        <v>1900</v>
      </c>
      <c r="LC118" t="s">
        <v>1900</v>
      </c>
      <c r="LD118" t="s">
        <v>1900</v>
      </c>
      <c r="LE118" t="s">
        <v>1900</v>
      </c>
      <c r="LF118" t="s">
        <v>1900</v>
      </c>
      <c r="LG118" t="s">
        <v>1900</v>
      </c>
      <c r="LH118" t="s">
        <v>1900</v>
      </c>
      <c r="LI118" t="s">
        <v>1900</v>
      </c>
      <c r="LJ118" t="s">
        <v>1900</v>
      </c>
      <c r="LK118" t="s">
        <v>1900</v>
      </c>
      <c r="LL118" t="s">
        <v>1900</v>
      </c>
      <c r="LM118" t="s">
        <v>1900</v>
      </c>
      <c r="LN118" t="s">
        <v>1900</v>
      </c>
      <c r="LO118" t="s">
        <v>1900</v>
      </c>
      <c r="LP118" t="s">
        <v>1900</v>
      </c>
      <c r="LQ118" t="s">
        <v>1900</v>
      </c>
      <c r="LR118" t="s">
        <v>1900</v>
      </c>
      <c r="LS118" t="s">
        <v>1900</v>
      </c>
      <c r="LT118" t="s">
        <v>1900</v>
      </c>
      <c r="LU118" t="s">
        <v>1900</v>
      </c>
      <c r="LV118" t="s">
        <v>1900</v>
      </c>
      <c r="LW118" t="s">
        <v>1900</v>
      </c>
      <c r="LX118" t="s">
        <v>1900</v>
      </c>
      <c r="LY118" t="s">
        <v>1900</v>
      </c>
      <c r="LZ118" t="s">
        <v>1900</v>
      </c>
      <c r="MA118" t="s">
        <v>1900</v>
      </c>
      <c r="MB118" t="s">
        <v>1900</v>
      </c>
      <c r="MC118" t="s">
        <v>1900</v>
      </c>
      <c r="MD118" t="s">
        <v>1900</v>
      </c>
      <c r="ME118" t="s">
        <v>1900</v>
      </c>
      <c r="MF118" t="s">
        <v>1900</v>
      </c>
      <c r="MG118" t="s">
        <v>1900</v>
      </c>
      <c r="MH118" t="s">
        <v>1900</v>
      </c>
      <c r="MI118" t="s">
        <v>1900</v>
      </c>
      <c r="MJ118" t="s">
        <v>1900</v>
      </c>
      <c r="MK118" t="s">
        <v>1900</v>
      </c>
      <c r="ML118" t="s">
        <v>1900</v>
      </c>
      <c r="MM118" t="s">
        <v>1900</v>
      </c>
      <c r="MN118" t="s">
        <v>1900</v>
      </c>
      <c r="MO118" t="s">
        <v>1900</v>
      </c>
      <c r="MP118">
        <v>47535.6276685894</v>
      </c>
      <c r="MQ118">
        <v>209761.304888296</v>
      </c>
      <c r="MR118">
        <v>586619.287199104</v>
      </c>
      <c r="MS118">
        <v>16.1622063875198</v>
      </c>
      <c r="MT118" t="s">
        <v>1900</v>
      </c>
      <c r="MU118" t="s">
        <v>1900</v>
      </c>
      <c r="MV118" t="s">
        <v>1900</v>
      </c>
      <c r="MW118" t="s">
        <v>1900</v>
      </c>
      <c r="MX118" t="s">
        <v>1900</v>
      </c>
      <c r="MY118" t="s">
        <v>1900</v>
      </c>
      <c r="MZ118" t="s">
        <v>1900</v>
      </c>
      <c r="NA118" t="s">
        <v>1900</v>
      </c>
      <c r="NB118" t="s">
        <v>1900</v>
      </c>
      <c r="NC118" t="s">
        <v>1900</v>
      </c>
      <c r="ND118" t="s">
        <v>1900</v>
      </c>
      <c r="NE118" t="s">
        <v>1900</v>
      </c>
      <c r="NF118" t="s">
        <v>1900</v>
      </c>
      <c r="NG118" t="s">
        <v>1900</v>
      </c>
      <c r="NH118" t="s">
        <v>1900</v>
      </c>
      <c r="NI118" t="s">
        <v>1900</v>
      </c>
      <c r="NJ118" t="s">
        <v>1900</v>
      </c>
      <c r="NK118" t="s">
        <v>1900</v>
      </c>
      <c r="NL118" t="s">
        <v>1900</v>
      </c>
      <c r="NM118" t="s">
        <v>1900</v>
      </c>
      <c r="NN118" t="s">
        <v>1900</v>
      </c>
      <c r="NO118" t="s">
        <v>1900</v>
      </c>
      <c r="NP118" t="s">
        <v>1900</v>
      </c>
      <c r="NQ118" t="s">
        <v>1900</v>
      </c>
      <c r="NR118" t="s">
        <v>1900</v>
      </c>
      <c r="NS118" t="s">
        <v>1900</v>
      </c>
      <c r="NT118">
        <v>955738.468847791</v>
      </c>
      <c r="NU118">
        <v>869458.755952406</v>
      </c>
      <c r="NV118">
        <v>263415.54777438</v>
      </c>
      <c r="NW118">
        <v>2117.69075088501</v>
      </c>
      <c r="NX118" t="s">
        <v>1900</v>
      </c>
      <c r="NY118" t="s">
        <v>1900</v>
      </c>
      <c r="NZ118" t="s">
        <v>1900</v>
      </c>
      <c r="OA118" t="s">
        <v>1900</v>
      </c>
      <c r="OB118" t="s">
        <v>1900</v>
      </c>
      <c r="OC118" t="s">
        <v>1900</v>
      </c>
      <c r="OD118" t="s">
        <v>1900</v>
      </c>
      <c r="OE118" t="s">
        <v>1900</v>
      </c>
      <c r="OF118" t="s">
        <v>1900</v>
      </c>
      <c r="OG118" t="s">
        <v>1900</v>
      </c>
      <c r="OH118" t="s">
        <v>1900</v>
      </c>
      <c r="OI118" t="s">
        <v>1900</v>
      </c>
      <c r="OJ118" t="s">
        <v>1900</v>
      </c>
      <c r="OK118" t="s">
        <v>1900</v>
      </c>
      <c r="OL118" t="s">
        <v>1900</v>
      </c>
      <c r="OM118" t="s">
        <v>1900</v>
      </c>
      <c r="ON118" t="s">
        <v>1900</v>
      </c>
      <c r="OO118" t="s">
        <v>1900</v>
      </c>
      <c r="OP118" t="s">
        <v>1900</v>
      </c>
      <c r="OQ118" t="s">
        <v>1900</v>
      </c>
      <c r="OR118" t="s">
        <v>1900</v>
      </c>
      <c r="OS118" t="s">
        <v>1900</v>
      </c>
      <c r="OT118" t="s">
        <v>1900</v>
      </c>
      <c r="OU118" t="s">
        <v>1900</v>
      </c>
      <c r="OV118" t="s">
        <v>1900</v>
      </c>
      <c r="OW118" t="s">
        <v>1900</v>
      </c>
      <c r="OX118" t="s">
        <v>1900</v>
      </c>
      <c r="OY118" t="s">
        <v>1900</v>
      </c>
      <c r="OZ118" t="s">
        <v>1900</v>
      </c>
      <c r="PA118" t="s">
        <v>1900</v>
      </c>
      <c r="PB118" t="s">
        <v>1900</v>
      </c>
      <c r="PC118" t="s">
        <v>1900</v>
      </c>
      <c r="PD118" t="s">
        <v>1900</v>
      </c>
      <c r="PE118" t="s">
        <v>1900</v>
      </c>
      <c r="PF118" t="s">
        <v>1900</v>
      </c>
      <c r="PG118" t="s">
        <v>1900</v>
      </c>
      <c r="PH118" t="s">
        <v>1900</v>
      </c>
      <c r="PI118" t="s">
        <v>1900</v>
      </c>
      <c r="PJ118" t="s">
        <v>1900</v>
      </c>
      <c r="PK118" t="s">
        <v>1900</v>
      </c>
      <c r="PL118" t="s">
        <v>1900</v>
      </c>
      <c r="PM118" t="s">
        <v>1900</v>
      </c>
      <c r="PN118" t="s">
        <v>1900</v>
      </c>
      <c r="PO118" t="s">
        <v>1900</v>
      </c>
      <c r="PP118" t="s">
        <v>1900</v>
      </c>
      <c r="PQ118" t="s">
        <v>1900</v>
      </c>
      <c r="PR118" t="s">
        <v>1900</v>
      </c>
      <c r="PS118" t="s">
        <v>1900</v>
      </c>
      <c r="PT118" t="s">
        <v>1900</v>
      </c>
      <c r="PU118" t="s">
        <v>1900</v>
      </c>
      <c r="PV118" t="s">
        <v>1900</v>
      </c>
      <c r="PW118" t="s">
        <v>1900</v>
      </c>
      <c r="PX118" t="s">
        <v>1900</v>
      </c>
      <c r="PY118" t="s">
        <v>1900</v>
      </c>
      <c r="PZ118" t="s">
        <v>1900</v>
      </c>
      <c r="QA118" t="s">
        <v>1900</v>
      </c>
      <c r="QB118" t="s">
        <v>1900</v>
      </c>
      <c r="QC118" t="s">
        <v>1900</v>
      </c>
      <c r="QD118" t="s">
        <v>1900</v>
      </c>
      <c r="QE118" t="s">
        <v>1900</v>
      </c>
      <c r="QF118" t="s">
        <v>1900</v>
      </c>
      <c r="QG118" t="s">
        <v>1900</v>
      </c>
      <c r="QH118" t="s">
        <v>1900</v>
      </c>
      <c r="QI118" t="s">
        <v>1900</v>
      </c>
      <c r="QJ118" t="s">
        <v>1900</v>
      </c>
      <c r="QK118" t="s">
        <v>1900</v>
      </c>
      <c r="QL118" t="s">
        <v>1900</v>
      </c>
      <c r="QM118" t="s">
        <v>1900</v>
      </c>
      <c r="QN118" t="s">
        <v>1900</v>
      </c>
      <c r="QO118" t="s">
        <v>1900</v>
      </c>
      <c r="QP118" t="s">
        <v>1900</v>
      </c>
      <c r="QQ118" t="s">
        <v>1900</v>
      </c>
      <c r="QR118" t="s">
        <v>1900</v>
      </c>
      <c r="QS118" t="s">
        <v>1900</v>
      </c>
      <c r="QT118" t="s">
        <v>1900</v>
      </c>
      <c r="QU118" t="s">
        <v>1900</v>
      </c>
      <c r="QV118" t="s">
        <v>1900</v>
      </c>
      <c r="QW118" t="s">
        <v>1900</v>
      </c>
      <c r="QX118" t="s">
        <v>1900</v>
      </c>
      <c r="QY118" t="s">
        <v>1900</v>
      </c>
      <c r="QZ118" t="s">
        <v>1900</v>
      </c>
      <c r="RA118" t="s">
        <v>1900</v>
      </c>
      <c r="RB118" t="s">
        <v>1900</v>
      </c>
      <c r="RC118" t="s">
        <v>1900</v>
      </c>
      <c r="RD118" t="s">
        <v>1900</v>
      </c>
      <c r="RE118" t="s">
        <v>1900</v>
      </c>
      <c r="RF118" t="s">
        <v>1900</v>
      </c>
      <c r="RG118" t="s">
        <v>1900</v>
      </c>
      <c r="RH118" t="s">
        <v>1900</v>
      </c>
      <c r="RI118" t="s">
        <v>1900</v>
      </c>
      <c r="RJ118" t="s">
        <v>1900</v>
      </c>
      <c r="RK118" t="s">
        <v>1900</v>
      </c>
      <c r="RL118" t="s">
        <v>1900</v>
      </c>
      <c r="RM118" t="s">
        <v>1900</v>
      </c>
      <c r="RN118" t="s">
        <v>1900</v>
      </c>
      <c r="RO118" t="s">
        <v>1900</v>
      </c>
      <c r="RP118" t="s">
        <v>1900</v>
      </c>
      <c r="RQ118" t="s">
        <v>1900</v>
      </c>
      <c r="RR118" t="s">
        <v>1900</v>
      </c>
      <c r="RS118" t="s">
        <v>1900</v>
      </c>
      <c r="RT118" t="s">
        <v>1900</v>
      </c>
      <c r="RU118" t="s">
        <v>1900</v>
      </c>
      <c r="RV118" t="s">
        <v>1900</v>
      </c>
      <c r="RW118" t="s">
        <v>1900</v>
      </c>
      <c r="RX118" t="s">
        <v>1900</v>
      </c>
      <c r="RY118" t="s">
        <v>1900</v>
      </c>
      <c r="RZ118" t="s">
        <v>1900</v>
      </c>
      <c r="SA118" t="s">
        <v>1900</v>
      </c>
      <c r="SB118" t="s">
        <v>1900</v>
      </c>
      <c r="SC118" t="s">
        <v>1900</v>
      </c>
      <c r="SD118" t="s">
        <v>1900</v>
      </c>
      <c r="SE118" t="s">
        <v>1900</v>
      </c>
      <c r="SF118" t="s">
        <v>1900</v>
      </c>
      <c r="SG118" t="s">
        <v>1900</v>
      </c>
      <c r="SH118" t="s">
        <v>1900</v>
      </c>
      <c r="SI118" t="s">
        <v>1900</v>
      </c>
      <c r="SJ118">
        <v>11985.6593354321</v>
      </c>
      <c r="SK118">
        <v>12748.2581212616</v>
      </c>
      <c r="SL118">
        <v>12305.2303040981</v>
      </c>
      <c r="SM118">
        <v>2117.69075088501</v>
      </c>
      <c r="SN118" t="s">
        <v>1900</v>
      </c>
      <c r="SO118" t="s">
        <v>1900</v>
      </c>
      <c r="SP118" t="s">
        <v>1900</v>
      </c>
      <c r="SQ118" t="s">
        <v>1900</v>
      </c>
      <c r="SR118" t="s">
        <v>1900</v>
      </c>
      <c r="SS118" t="s">
        <v>1900</v>
      </c>
      <c r="ST118" t="s">
        <v>1900</v>
      </c>
      <c r="SU118" t="s">
        <v>1900</v>
      </c>
      <c r="SV118" t="s">
        <v>1900</v>
      </c>
      <c r="SW118" t="s">
        <v>1900</v>
      </c>
      <c r="SX118" t="s">
        <v>1900</v>
      </c>
      <c r="SY118" t="s">
        <v>1900</v>
      </c>
      <c r="SZ118" t="s">
        <v>1900</v>
      </c>
      <c r="TA118" t="s">
        <v>1900</v>
      </c>
      <c r="TB118" t="s">
        <v>1900</v>
      </c>
      <c r="TC118" t="s">
        <v>1900</v>
      </c>
      <c r="TD118" t="s">
        <v>1900</v>
      </c>
      <c r="TE118" t="s">
        <v>1900</v>
      </c>
      <c r="TF118" t="s">
        <v>1900</v>
      </c>
      <c r="TG118" t="s">
        <v>1900</v>
      </c>
      <c r="TH118" t="s">
        <v>1900</v>
      </c>
      <c r="TI118" t="s">
        <v>1900</v>
      </c>
      <c r="TJ118" t="s">
        <v>1900</v>
      </c>
      <c r="TK118" t="s">
        <v>1900</v>
      </c>
      <c r="TL118" t="s">
        <v>1900</v>
      </c>
      <c r="TM118" t="s">
        <v>1900</v>
      </c>
      <c r="TN118" t="s">
        <v>1900</v>
      </c>
      <c r="TO118" t="s">
        <v>1900</v>
      </c>
      <c r="TP118" t="s">
        <v>1900</v>
      </c>
      <c r="TQ118" t="s">
        <v>1900</v>
      </c>
      <c r="TR118" t="s">
        <v>1900</v>
      </c>
      <c r="TS118">
        <v>1104755.24774197</v>
      </c>
      <c r="TT118">
        <v>1277929.22811893</v>
      </c>
      <c r="TU118">
        <v>871381.565143579</v>
      </c>
      <c r="TV118">
        <v>2133.85295727253</v>
      </c>
      <c r="TW118" t="s">
        <v>1900</v>
      </c>
      <c r="TX118" t="s">
        <v>1900</v>
      </c>
      <c r="TY118" t="s">
        <v>1900</v>
      </c>
      <c r="TZ118" t="s">
        <v>1900</v>
      </c>
      <c r="UA118" t="s">
        <v>1900</v>
      </c>
      <c r="UB118" t="s">
        <v>1900</v>
      </c>
      <c r="UC118">
        <v>70478.6331848741</v>
      </c>
      <c r="UD118">
        <v>5942.18436677933</v>
      </c>
      <c r="UE118">
        <v>0</v>
      </c>
      <c r="UF118">
        <v>0</v>
      </c>
      <c r="UG118" t="s">
        <v>1900</v>
      </c>
      <c r="UH118" t="s">
        <v>1900</v>
      </c>
      <c r="UI118" t="s">
        <v>1900</v>
      </c>
      <c r="UJ118" t="s">
        <v>1900</v>
      </c>
      <c r="UK118" t="s">
        <v>1900</v>
      </c>
      <c r="UL118" t="s">
        <v>1900</v>
      </c>
      <c r="UM118" t="s">
        <v>1900</v>
      </c>
      <c r="UN118" t="s">
        <v>1900</v>
      </c>
      <c r="UO118" t="s">
        <v>1900</v>
      </c>
      <c r="UP118" t="s">
        <v>1900</v>
      </c>
      <c r="UQ118" t="s">
        <v>1900</v>
      </c>
      <c r="UR118" t="s">
        <v>1900</v>
      </c>
      <c r="US118" t="s">
        <v>1900</v>
      </c>
      <c r="UT118" t="s">
        <v>1900</v>
      </c>
      <c r="UU118" t="s">
        <v>1900</v>
      </c>
      <c r="UV118" t="s">
        <v>1900</v>
      </c>
      <c r="UW118" t="s">
        <v>1900</v>
      </c>
      <c r="UX118" t="s">
        <v>1900</v>
      </c>
      <c r="UY118" t="s">
        <v>1900</v>
      </c>
      <c r="UZ118" t="s">
        <v>1900</v>
      </c>
      <c r="VA118" t="s">
        <v>1900</v>
      </c>
      <c r="VB118" t="s">
        <v>1900</v>
      </c>
      <c r="VC118" t="s">
        <v>1900</v>
      </c>
      <c r="VD118" t="s">
        <v>1900</v>
      </c>
      <c r="VE118" t="s">
        <v>1900</v>
      </c>
      <c r="VF118" t="s">
        <v>1900</v>
      </c>
      <c r="VG118" t="s">
        <v>1900</v>
      </c>
      <c r="VH118" t="s">
        <v>1900</v>
      </c>
      <c r="VI118" t="s">
        <v>1900</v>
      </c>
      <c r="VJ118" t="s">
        <v>1900</v>
      </c>
      <c r="VK118" t="s">
        <v>1900</v>
      </c>
      <c r="VL118" t="s">
        <v>1900</v>
      </c>
      <c r="VM118" t="s">
        <v>1900</v>
      </c>
      <c r="VN118" t="s">
        <v>1900</v>
      </c>
      <c r="VO118" t="s">
        <v>1900</v>
      </c>
      <c r="VP118" t="s">
        <v>1900</v>
      </c>
      <c r="VQ118" t="s">
        <v>1900</v>
      </c>
      <c r="VR118" t="s">
        <v>1900</v>
      </c>
      <c r="VS118" t="s">
        <v>1900</v>
      </c>
      <c r="VT118" t="s">
        <v>1900</v>
      </c>
      <c r="VU118" t="s">
        <v>1900</v>
      </c>
      <c r="VV118" t="s">
        <v>1900</v>
      </c>
      <c r="VW118" t="s">
        <v>1900</v>
      </c>
      <c r="VX118" t="s">
        <v>1900</v>
      </c>
      <c r="VY118" t="s">
        <v>1900</v>
      </c>
      <c r="VZ118" t="s">
        <v>1900</v>
      </c>
      <c r="WA118">
        <v>87536.28319094901</v>
      </c>
      <c r="WB118">
        <v>61179.2806565094</v>
      </c>
      <c r="WC118">
        <v>24197.2066364706</v>
      </c>
      <c r="WD118">
        <v>348.965480732918</v>
      </c>
      <c r="WE118" t="s">
        <v>1900</v>
      </c>
      <c r="WF118" t="s">
        <v>1900</v>
      </c>
      <c r="WG118" t="s">
        <v>1900</v>
      </c>
      <c r="WH118" t="s">
        <v>1900</v>
      </c>
      <c r="WI118" t="s">
        <v>1900</v>
      </c>
      <c r="WJ118" t="s">
        <v>1900</v>
      </c>
      <c r="WK118" t="s">
        <v>1900</v>
      </c>
      <c r="WL118" t="s">
        <v>1900</v>
      </c>
      <c r="WM118" t="s">
        <v>1900</v>
      </c>
      <c r="WN118" t="s">
        <v>1900</v>
      </c>
      <c r="WO118" t="s">
        <v>1900</v>
      </c>
      <c r="WP118" t="s">
        <v>1900</v>
      </c>
      <c r="WQ118" t="s">
        <v>1900</v>
      </c>
      <c r="WR118" t="s">
        <v>1900</v>
      </c>
      <c r="WS118" t="s">
        <v>1900</v>
      </c>
      <c r="WT118" t="s">
        <v>1900</v>
      </c>
      <c r="WU118" t="s">
        <v>1900</v>
      </c>
      <c r="WV118" t="s">
        <v>1900</v>
      </c>
      <c r="WW118" t="s">
        <v>1900</v>
      </c>
      <c r="WX118" t="s">
        <v>1900</v>
      </c>
      <c r="WY118" t="s">
        <v>1900</v>
      </c>
      <c r="WZ118" t="s">
        <v>1900</v>
      </c>
      <c r="XA118" t="s">
        <v>1900</v>
      </c>
      <c r="XB118" t="s">
        <v>1900</v>
      </c>
      <c r="XC118" t="s">
        <v>1900</v>
      </c>
      <c r="XD118" t="s">
        <v>1900</v>
      </c>
      <c r="XE118" t="s">
        <v>1900</v>
      </c>
      <c r="XF118" t="s">
        <v>1900</v>
      </c>
      <c r="XG118" t="s">
        <v>1900</v>
      </c>
      <c r="XH118" t="s">
        <v>1900</v>
      </c>
      <c r="XI118" t="s">
        <v>1900</v>
      </c>
      <c r="XJ118">
        <v>0</v>
      </c>
      <c r="XK118">
        <v>0</v>
      </c>
      <c r="XL118" t="s">
        <v>1900</v>
      </c>
      <c r="XM118">
        <v>0</v>
      </c>
      <c r="XN118" t="s">
        <v>1900</v>
      </c>
      <c r="XO118" t="s">
        <v>1900</v>
      </c>
      <c r="XP118" t="s">
        <v>1900</v>
      </c>
      <c r="XQ118" t="s">
        <v>1900</v>
      </c>
      <c r="XR118" t="s">
        <v>1900</v>
      </c>
      <c r="XS118" t="s">
        <v>1900</v>
      </c>
      <c r="XT118" t="s">
        <v>1900</v>
      </c>
      <c r="XU118" t="s">
        <v>1900</v>
      </c>
      <c r="XV118" t="s">
        <v>1900</v>
      </c>
      <c r="XW118" t="s">
        <v>1900</v>
      </c>
      <c r="XX118" t="s">
        <v>1900</v>
      </c>
      <c r="XY118">
        <v>0</v>
      </c>
      <c r="XZ118">
        <v>0</v>
      </c>
      <c r="YA118" t="s">
        <v>1900</v>
      </c>
      <c r="YB118">
        <v>0</v>
      </c>
      <c r="YC118" t="s">
        <v>1900</v>
      </c>
      <c r="YD118" t="s">
        <v>1900</v>
      </c>
      <c r="YE118" t="s">
        <v>1900</v>
      </c>
      <c r="YF118" t="s">
        <v>1900</v>
      </c>
      <c r="YG118" t="s">
        <v>1900</v>
      </c>
      <c r="YH118" t="s">
        <v>1900</v>
      </c>
      <c r="YI118" t="s">
        <v>1900</v>
      </c>
      <c r="YJ118" t="s">
        <v>1900</v>
      </c>
      <c r="YK118" t="s">
        <v>1900</v>
      </c>
      <c r="YL118" t="s">
        <v>1900</v>
      </c>
      <c r="YM118" t="s">
        <v>1900</v>
      </c>
      <c r="YN118" t="s">
        <v>1900</v>
      </c>
      <c r="YO118" t="s">
        <v>1900</v>
      </c>
      <c r="YP118" t="s">
        <v>1900</v>
      </c>
      <c r="YQ118" t="s">
        <v>1900</v>
      </c>
      <c r="YR118" t="s">
        <v>1900</v>
      </c>
      <c r="YS118" t="s">
        <v>1900</v>
      </c>
      <c r="YT118" t="s">
        <v>1900</v>
      </c>
      <c r="YU118" t="s">
        <v>1900</v>
      </c>
      <c r="YV118" t="s">
        <v>1900</v>
      </c>
      <c r="YW118" t="s">
        <v>1900</v>
      </c>
      <c r="YX118" t="s">
        <v>1900</v>
      </c>
      <c r="YY118" t="s">
        <v>1900</v>
      </c>
      <c r="YZ118" t="s">
        <v>1900</v>
      </c>
      <c r="ZA118" t="s">
        <v>1900</v>
      </c>
      <c r="ZB118" t="s">
        <v>1900</v>
      </c>
      <c r="ZC118" t="s">
        <v>1900</v>
      </c>
      <c r="ZD118" t="s">
        <v>1900</v>
      </c>
      <c r="ZE118" t="s">
        <v>1900</v>
      </c>
      <c r="ZF118" t="s">
        <v>1900</v>
      </c>
      <c r="ZG118" t="s">
        <v>1900</v>
      </c>
      <c r="ZH118" t="s">
        <v>1900</v>
      </c>
      <c r="ZI118" t="s">
        <v>1900</v>
      </c>
      <c r="ZJ118" t="s">
        <v>1900</v>
      </c>
      <c r="ZK118" t="s">
        <v>1900</v>
      </c>
      <c r="ZL118" t="s">
        <v>1900</v>
      </c>
      <c r="ZM118" t="s">
        <v>1900</v>
      </c>
      <c r="ZN118" t="s">
        <v>1900</v>
      </c>
      <c r="ZO118" t="s">
        <v>1900</v>
      </c>
      <c r="ZP118" t="s">
        <v>1900</v>
      </c>
      <c r="ZQ118" t="s">
        <v>1900</v>
      </c>
      <c r="ZR118" t="s">
        <v>1900</v>
      </c>
      <c r="ZS118" t="s">
        <v>1900</v>
      </c>
      <c r="ZT118" t="s">
        <v>1900</v>
      </c>
      <c r="ZU118" t="s">
        <v>1900</v>
      </c>
      <c r="ZV118" t="s">
        <v>1900</v>
      </c>
      <c r="ZW118" t="s">
        <v>1900</v>
      </c>
      <c r="ZX118" t="s">
        <v>1900</v>
      </c>
      <c r="ZY118" t="s">
        <v>1900</v>
      </c>
      <c r="ZZ118" t="s">
        <v>1900</v>
      </c>
      <c r="AAA118" t="s">
        <v>1900</v>
      </c>
      <c r="AAB118" t="s">
        <v>1900</v>
      </c>
      <c r="AAC118" t="s">
        <v>1900</v>
      </c>
      <c r="AAD118" t="s">
        <v>1900</v>
      </c>
      <c r="AAE118" t="s">
        <v>1900</v>
      </c>
      <c r="AAF118" t="s">
        <v>1900</v>
      </c>
      <c r="AAG118" t="s">
        <v>1900</v>
      </c>
      <c r="AAH118" t="s">
        <v>1900</v>
      </c>
      <c r="AAI118" t="s">
        <v>1900</v>
      </c>
      <c r="AAJ118" t="s">
        <v>1900</v>
      </c>
      <c r="AAK118" t="s">
        <v>1900</v>
      </c>
      <c r="AAL118" t="s">
        <v>1900</v>
      </c>
      <c r="AAM118" t="s">
        <v>1900</v>
      </c>
      <c r="AAN118" t="s">
        <v>1900</v>
      </c>
      <c r="AAO118" t="s">
        <v>1900</v>
      </c>
      <c r="AAP118" t="s">
        <v>1900</v>
      </c>
      <c r="AAQ118" t="s">
        <v>1900</v>
      </c>
      <c r="AAR118" t="s">
        <v>1900</v>
      </c>
      <c r="AAS118" t="s">
        <v>1900</v>
      </c>
      <c r="AAT118" t="s">
        <v>1900</v>
      </c>
      <c r="AAU118" t="s">
        <v>1900</v>
      </c>
      <c r="AAV118" t="s">
        <v>1900</v>
      </c>
      <c r="AAW118" t="s">
        <v>1900</v>
      </c>
      <c r="AAX118" t="s">
        <v>1900</v>
      </c>
      <c r="AAY118" t="s">
        <v>1900</v>
      </c>
      <c r="AAZ118" t="s">
        <v>1900</v>
      </c>
      <c r="ABA118" t="s">
        <v>1900</v>
      </c>
      <c r="ABB118" t="s">
        <v>1900</v>
      </c>
      <c r="ABC118" t="s">
        <v>1900</v>
      </c>
      <c r="ABD118" t="s">
        <v>1900</v>
      </c>
      <c r="ABE118" t="s">
        <v>1900</v>
      </c>
      <c r="ABF118" t="s">
        <v>1900</v>
      </c>
      <c r="ABG118" t="s">
        <v>1900</v>
      </c>
      <c r="ABH118" t="s">
        <v>1900</v>
      </c>
      <c r="ABI118" t="s">
        <v>1900</v>
      </c>
      <c r="ABJ118" t="s">
        <v>1900</v>
      </c>
      <c r="ABK118" t="s">
        <v>1900</v>
      </c>
      <c r="ABL118" t="s">
        <v>1900</v>
      </c>
      <c r="ABM118" t="s">
        <v>1900</v>
      </c>
      <c r="ABN118" t="s">
        <v>1900</v>
      </c>
      <c r="ABO118" t="s">
        <v>1900</v>
      </c>
      <c r="ABP118" t="s">
        <v>1900</v>
      </c>
      <c r="ABQ118" t="s">
        <v>1900</v>
      </c>
      <c r="ABR118" t="s">
        <v>1900</v>
      </c>
      <c r="ABS118" t="s">
        <v>1900</v>
      </c>
      <c r="ABT118" t="s">
        <v>1900</v>
      </c>
      <c r="ABU118" t="s">
        <v>1900</v>
      </c>
      <c r="ABV118" t="s">
        <v>1900</v>
      </c>
      <c r="ABW118" t="s">
        <v>1900</v>
      </c>
      <c r="ABX118" t="s">
        <v>1900</v>
      </c>
      <c r="ABY118" t="s">
        <v>1900</v>
      </c>
      <c r="ABZ118" t="s">
        <v>1900</v>
      </c>
      <c r="ACA118" t="s">
        <v>1900</v>
      </c>
      <c r="ACB118" t="s">
        <v>1900</v>
      </c>
      <c r="ACC118" t="s">
        <v>1900</v>
      </c>
      <c r="ACD118" t="s">
        <v>1900</v>
      </c>
      <c r="ACE118">
        <v>-102.538</v>
      </c>
      <c r="ACF118">
        <v>-38.072</v>
      </c>
      <c r="ACG118">
        <v>-4.909</v>
      </c>
      <c r="ACH118" t="s">
        <v>1901</v>
      </c>
      <c r="ACI118" t="s">
        <v>1900</v>
      </c>
      <c r="ACJ118">
        <v>-67.053</v>
      </c>
      <c r="ACK118">
        <v>-20.214</v>
      </c>
      <c r="ACL118">
        <v>-4.905</v>
      </c>
      <c r="ACM118" t="s">
        <v>1900</v>
      </c>
      <c r="ACN118" t="s">
        <v>1900</v>
      </c>
      <c r="ACO118">
        <v>-60.448</v>
      </c>
      <c r="ACP118">
        <v>-18.753</v>
      </c>
      <c r="ACQ118">
        <v>-4.726</v>
      </c>
      <c r="ACR118" t="s">
        <v>1901</v>
      </c>
      <c r="ACS118" t="s">
        <v>1900</v>
      </c>
      <c r="ACT118">
        <v>-102.538</v>
      </c>
      <c r="ACU118">
        <v>-38.072</v>
      </c>
      <c r="ACV118">
        <v>-3.68</v>
      </c>
      <c r="ACW118" t="s">
        <v>1901</v>
      </c>
      <c r="ACX118" t="s">
        <v>1900</v>
      </c>
      <c r="ACY118">
        <v>-67.053</v>
      </c>
      <c r="ACZ118">
        <v>-20.214</v>
      </c>
      <c r="ADA118">
        <v>-3.676</v>
      </c>
      <c r="ADB118" t="s">
        <v>1900</v>
      </c>
      <c r="ADC118" t="s">
        <v>1900</v>
      </c>
      <c r="ADD118">
        <v>-60.448</v>
      </c>
      <c r="ADE118">
        <v>-18.753</v>
      </c>
      <c r="ADF118">
        <v>-3.543</v>
      </c>
      <c r="ADG118" t="s">
        <v>1901</v>
      </c>
      <c r="ADH118" t="s">
        <v>1900</v>
      </c>
      <c r="ADI118" t="s">
        <v>1901</v>
      </c>
      <c r="ADJ118">
        <v>-22.979</v>
      </c>
      <c r="ADK118">
        <v>-17.896</v>
      </c>
      <c r="ADL118" t="s">
        <v>1900</v>
      </c>
      <c r="ADM118" t="s">
        <v>1900</v>
      </c>
      <c r="ADN118">
        <v>64.621</v>
      </c>
      <c r="ADO118">
        <v>72.68300000000001</v>
      </c>
      <c r="ADP118">
        <v>63.098</v>
      </c>
      <c r="ADQ118" t="s">
        <v>1900</v>
      </c>
      <c r="ADR118" t="s">
        <v>1900</v>
      </c>
      <c r="ADS118">
        <v>-104.918828417</v>
      </c>
      <c r="ADT118">
        <v>-22.326006357</v>
      </c>
      <c r="ADU118">
        <v>-17.905582211</v>
      </c>
      <c r="ADV118" t="s">
        <v>1900</v>
      </c>
      <c r="ADW118" t="s">
        <v>1900</v>
      </c>
      <c r="ADX118">
        <v>-80.209</v>
      </c>
      <c r="ADY118">
        <v>-20.568</v>
      </c>
      <c r="ADZ118">
        <v>-17.906</v>
      </c>
      <c r="AEA118" t="s">
        <v>1900</v>
      </c>
      <c r="AEB118" t="s">
        <v>1900</v>
      </c>
      <c r="AEC118" t="s">
        <v>1901</v>
      </c>
      <c r="AED118">
        <v>-22.326</v>
      </c>
      <c r="AEE118">
        <v>-17.906</v>
      </c>
      <c r="AEF118" t="s">
        <v>1900</v>
      </c>
      <c r="AEG118" t="s">
        <v>1900</v>
      </c>
      <c r="AEH118">
        <v>-89.83499999999999</v>
      </c>
      <c r="AEI118">
        <v>-21.221</v>
      </c>
      <c r="AEJ118" t="s">
        <v>1900</v>
      </c>
      <c r="AEK118" t="s">
        <v>1900</v>
      </c>
      <c r="AEL118" t="s">
        <v>1900</v>
      </c>
      <c r="AEM118">
        <v>-51.200189474</v>
      </c>
      <c r="AEN118">
        <v>-18.251234568</v>
      </c>
      <c r="AEO118">
        <v>-15.186373601</v>
      </c>
      <c r="AEP118">
        <v>-100</v>
      </c>
      <c r="AEQ118" t="s">
        <v>1900</v>
      </c>
      <c r="AER118">
        <v>0.381156948</v>
      </c>
      <c r="AES118">
        <v>0.7650107860000001</v>
      </c>
      <c r="AET118">
        <v>0.778954437</v>
      </c>
      <c r="AEU118" t="s">
        <v>1900</v>
      </c>
      <c r="AEV118" t="s">
        <v>1900</v>
      </c>
      <c r="AEW118" t="s">
        <v>1900</v>
      </c>
      <c r="AEX118" t="s">
        <v>1900</v>
      </c>
      <c r="AEY118" t="s">
        <v>1900</v>
      </c>
      <c r="AEZ118" t="s">
        <v>1900</v>
      </c>
      <c r="AFA118" t="s">
        <v>1900</v>
      </c>
      <c r="AFB118" t="s">
        <v>1900</v>
      </c>
      <c r="AFC118" t="s">
        <v>1900</v>
      </c>
      <c r="AFD118" t="s">
        <v>1900</v>
      </c>
      <c r="AFE118" t="s">
        <v>1900</v>
      </c>
      <c r="AFF118" t="s">
        <v>1900</v>
      </c>
      <c r="AFG118">
        <v>0.639</v>
      </c>
      <c r="AFH118">
        <v>0.905</v>
      </c>
      <c r="AFI118">
        <v>0.274</v>
      </c>
      <c r="AFJ118" t="s">
        <v>1900</v>
      </c>
      <c r="AFK118" t="s">
        <v>1900</v>
      </c>
      <c r="AFL118">
        <v>-10.9</v>
      </c>
      <c r="AFM118">
        <v>-34.17</v>
      </c>
      <c r="AFN118" t="s">
        <v>1901</v>
      </c>
      <c r="AFO118" t="s">
        <v>1900</v>
      </c>
      <c r="AFP118" t="s">
        <v>1900</v>
      </c>
      <c r="AFQ118" t="s">
        <v>1901</v>
      </c>
      <c r="AFR118" t="s">
        <v>1901</v>
      </c>
      <c r="AFS118" t="s">
        <v>1901</v>
      </c>
      <c r="AFT118" t="s">
        <v>1900</v>
      </c>
      <c r="AFU118" t="s">
        <v>1900</v>
      </c>
      <c r="AFV118">
        <v>62.663</v>
      </c>
      <c r="AFW118">
        <v>68.592</v>
      </c>
      <c r="AFX118">
        <v>33.393</v>
      </c>
      <c r="AFY118" t="s">
        <v>1900</v>
      </c>
      <c r="AFZ118" t="s">
        <v>1900</v>
      </c>
      <c r="AGA118">
        <v>21.298</v>
      </c>
      <c r="AGB118">
        <v>20.351</v>
      </c>
      <c r="AGC118">
        <v>12.923</v>
      </c>
      <c r="AGD118" t="s">
        <v>1900</v>
      </c>
      <c r="AGE118" t="s">
        <v>1900</v>
      </c>
      <c r="AGF118" t="s">
        <v>1900</v>
      </c>
      <c r="AGG118" t="s">
        <v>1900</v>
      </c>
      <c r="AGH118" t="s">
        <v>1900</v>
      </c>
      <c r="AGI118" t="s">
        <v>1900</v>
      </c>
      <c r="AGJ118" t="s">
        <v>1900</v>
      </c>
      <c r="AGK118" t="s">
        <v>1900</v>
      </c>
      <c r="AGL118" t="s">
        <v>1900</v>
      </c>
      <c r="AGM118" t="s">
        <v>1900</v>
      </c>
      <c r="AGN118" t="s">
        <v>1900</v>
      </c>
      <c r="AGO118" t="s">
        <v>1900</v>
      </c>
      <c r="AGP118" t="s">
        <v>1900</v>
      </c>
      <c r="AGQ118" t="s">
        <v>1900</v>
      </c>
      <c r="AGR118" t="s">
        <v>1900</v>
      </c>
      <c r="AGS118" t="s">
        <v>1900</v>
      </c>
      <c r="AGT118" t="s">
        <v>1900</v>
      </c>
      <c r="AGU118">
        <v>0</v>
      </c>
      <c r="AGV118">
        <v>0</v>
      </c>
      <c r="AGW118">
        <v>0</v>
      </c>
      <c r="AGX118">
        <v>0</v>
      </c>
      <c r="AGY118">
        <v>0</v>
      </c>
      <c r="AGZ118">
        <v>0.774</v>
      </c>
      <c r="AHA118">
        <v>3.24</v>
      </c>
      <c r="AHB118">
        <v>18.731</v>
      </c>
      <c r="AHC118">
        <v>0.004</v>
      </c>
      <c r="AHD118" t="s">
        <v>1900</v>
      </c>
      <c r="AHE118">
        <v>0.774</v>
      </c>
      <c r="AHF118">
        <v>3.24</v>
      </c>
      <c r="AHG118">
        <v>18.731</v>
      </c>
      <c r="AHH118">
        <v>0.004</v>
      </c>
      <c r="AHI118" t="s">
        <v>1900</v>
      </c>
      <c r="AHJ118">
        <v>2.496</v>
      </c>
      <c r="AHK118">
        <v>1.205</v>
      </c>
      <c r="AHL118" t="s">
        <v>1901</v>
      </c>
      <c r="AHM118">
        <v>-2.609</v>
      </c>
      <c r="AHN118" t="s">
        <v>1900</v>
      </c>
      <c r="AHO118">
        <v>58.952</v>
      </c>
      <c r="AHP118">
        <v>49.257</v>
      </c>
      <c r="AHQ118">
        <v>96.27500000000001</v>
      </c>
      <c r="AHR118" t="s">
        <v>1901</v>
      </c>
      <c r="AHS118" t="s">
        <v>1900</v>
      </c>
      <c r="AHT118" t="s">
        <v>1901</v>
      </c>
      <c r="AHU118">
        <v>97.072</v>
      </c>
      <c r="AHV118" t="s">
        <v>1901</v>
      </c>
      <c r="AHW118" t="s">
        <v>1901</v>
      </c>
      <c r="AHX118" t="s">
        <v>1900</v>
      </c>
      <c r="AHY118">
        <v>50.893</v>
      </c>
      <c r="AHZ118">
        <v>83.931</v>
      </c>
      <c r="AIA118">
        <v>0</v>
      </c>
      <c r="AIB118" t="s">
        <v>1901</v>
      </c>
      <c r="AIC118" t="s">
        <v>1900</v>
      </c>
      <c r="AID118">
        <v>1.084915357</v>
      </c>
      <c r="AIE118">
        <v>0.997571527</v>
      </c>
      <c r="AIF118">
        <v>1.412151782</v>
      </c>
      <c r="AIG118">
        <v>99.242581063</v>
      </c>
      <c r="AIH118" t="s">
        <v>1900</v>
      </c>
      <c r="AII118">
        <v>4.302819812</v>
      </c>
      <c r="AIJ118">
        <v>16.414156612</v>
      </c>
      <c r="AIK118">
        <v>67.32059876700001</v>
      </c>
      <c r="AIL118">
        <v>0.757418937</v>
      </c>
      <c r="AIM118" t="s">
        <v>1900</v>
      </c>
      <c r="AIN118">
        <v>7.923590621</v>
      </c>
      <c r="AIO118">
        <v>4.787376273</v>
      </c>
      <c r="AIP118">
        <v>2.77687842</v>
      </c>
      <c r="AIQ118">
        <v>16.35377356</v>
      </c>
      <c r="AIR118" t="s">
        <v>1900</v>
      </c>
      <c r="AIS118">
        <v>0</v>
      </c>
      <c r="AIT118">
        <v>0</v>
      </c>
      <c r="AIU118">
        <v>0</v>
      </c>
      <c r="AIV118" t="s">
        <v>1900</v>
      </c>
      <c r="AIW118" t="s">
        <v>1900</v>
      </c>
      <c r="AIX118">
        <v>-30.3548493667259</v>
      </c>
      <c r="AIY118">
        <v>-10.8933899238195</v>
      </c>
      <c r="AIZ118">
        <v>-8.23714092751861</v>
      </c>
      <c r="AJA118" t="s">
        <v>1900</v>
      </c>
      <c r="AJB118" t="s">
        <v>1900</v>
      </c>
      <c r="AJC118">
        <v>26.5004271411289</v>
      </c>
      <c r="AJD118">
        <v>47.4050483598032</v>
      </c>
      <c r="AJE118">
        <v>46.0272066350985</v>
      </c>
      <c r="AJF118" t="s">
        <v>1900</v>
      </c>
      <c r="AJG118" t="s">
        <v>1900</v>
      </c>
      <c r="AJH118" t="s">
        <v>1901</v>
      </c>
      <c r="AJI118">
        <v>78.77500000000001</v>
      </c>
      <c r="AJJ118">
        <v>67.08799999999999</v>
      </c>
      <c r="AJK118" t="s">
        <v>1900</v>
      </c>
      <c r="AJL118" t="s">
        <v>1900</v>
      </c>
      <c r="AJM118">
        <v>36.3026406615448</v>
      </c>
      <c r="AJN118">
        <v>37.3432851242075</v>
      </c>
      <c r="AJO118">
        <v>30.8785031568646</v>
      </c>
      <c r="AJP118" t="s">
        <v>1900</v>
      </c>
      <c r="AJQ118" t="s">
        <v>1900</v>
      </c>
      <c r="AJR118">
        <v>29.6033759284086</v>
      </c>
      <c r="AJS118">
        <v>28.6123767508831</v>
      </c>
      <c r="AJT118">
        <v>167.784591768166</v>
      </c>
      <c r="AJU118" t="s">
        <v>1900</v>
      </c>
      <c r="AJV118" t="s">
        <v>1900</v>
      </c>
      <c r="AJW118">
        <v>3.0449594927057</v>
      </c>
      <c r="AJX118">
        <v>6.35239701587772</v>
      </c>
      <c r="AJY118">
        <v>2.61706610076308</v>
      </c>
      <c r="AJZ118" t="s">
        <v>1900</v>
      </c>
      <c r="AKA118" t="s">
        <v>1900</v>
      </c>
      <c r="AKB118">
        <v>50.2161474357442</v>
      </c>
      <c r="AKC118">
        <v>58.0876925890427</v>
      </c>
      <c r="AKD118">
        <v>174.276313028716</v>
      </c>
      <c r="AKE118" t="s">
        <v>1900</v>
      </c>
      <c r="AKF118" t="s">
        <v>1900</v>
      </c>
      <c r="AKG118">
        <v>0</v>
      </c>
      <c r="AKH118">
        <v>0</v>
      </c>
      <c r="AKI118">
        <v>0</v>
      </c>
      <c r="AKJ118" t="s">
        <v>1900</v>
      </c>
      <c r="AKK118" t="s">
        <v>1900</v>
      </c>
      <c r="AKL118">
        <v>0</v>
      </c>
      <c r="AKM118">
        <v>0</v>
      </c>
      <c r="AKN118">
        <v>0</v>
      </c>
      <c r="AKO118" t="s">
        <v>1900</v>
      </c>
      <c r="AKP118" t="s">
        <v>1900</v>
      </c>
      <c r="AKQ118">
        <v>0</v>
      </c>
      <c r="AKR118">
        <v>0</v>
      </c>
      <c r="AKS118">
        <v>0</v>
      </c>
      <c r="AKT118">
        <v>0</v>
      </c>
      <c r="AKU118" t="s">
        <v>1900</v>
      </c>
      <c r="AKV118">
        <v>158.414589678</v>
      </c>
      <c r="AKW118">
        <v>81.627649635</v>
      </c>
      <c r="AKX118">
        <v>109.113863659</v>
      </c>
      <c r="AKY118" t="s">
        <v>1900</v>
      </c>
      <c r="AKZ118" t="s">
        <v>1900</v>
      </c>
      <c r="ALA118">
        <v>83.599689548</v>
      </c>
      <c r="ALB118">
        <v>66.615878792</v>
      </c>
      <c r="ALC118">
        <v>28.817492533</v>
      </c>
      <c r="ALD118">
        <v>0</v>
      </c>
      <c r="ALE118" t="s">
        <v>1900</v>
      </c>
      <c r="ALF118">
        <v>3.461496839</v>
      </c>
      <c r="ALG118">
        <v>0.5184250500000001</v>
      </c>
      <c r="ALH118">
        <v>0</v>
      </c>
      <c r="ALI118" t="s">
        <v>1900</v>
      </c>
      <c r="ALJ118" t="s">
        <v>1900</v>
      </c>
      <c r="ALK118">
        <v>1.826726072</v>
      </c>
      <c r="ALL118">
        <v>0.42308385</v>
      </c>
      <c r="ALM118">
        <v>0</v>
      </c>
      <c r="ALN118">
        <v>0</v>
      </c>
      <c r="ALO118" t="s">
        <v>1900</v>
      </c>
      <c r="ALP118">
        <v>17.406434662</v>
      </c>
      <c r="ALQ118">
        <v>19.053318638</v>
      </c>
      <c r="ALR118">
        <v>9.275700929999999</v>
      </c>
      <c r="ALS118" t="s">
        <v>1900</v>
      </c>
      <c r="ALT118" t="s">
        <v>1900</v>
      </c>
      <c r="ALU118">
        <v>33.988622603</v>
      </c>
      <c r="ALV118">
        <v>29.669712961</v>
      </c>
      <c r="ALW118">
        <v>38.701007604</v>
      </c>
      <c r="ALX118" t="s">
        <v>1900</v>
      </c>
      <c r="ALY118" t="s">
        <v>1900</v>
      </c>
      <c r="ALZ118">
        <v>64.62145811136421</v>
      </c>
      <c r="AMA118">
        <v>72.68263674416249</v>
      </c>
      <c r="AMB118">
        <v>63.0984512304341</v>
      </c>
      <c r="AMC118" t="s">
        <v>1900</v>
      </c>
      <c r="AMD118" t="s">
        <v>1900</v>
      </c>
      <c r="AME118">
        <v>65.63408635176251</v>
      </c>
      <c r="AMF118">
        <v>72.68263674416249</v>
      </c>
      <c r="AMG118">
        <v>63.0984512304341</v>
      </c>
      <c r="AMH118" t="s">
        <v>1900</v>
      </c>
      <c r="AMI118" t="s">
        <v>1900</v>
      </c>
      <c r="AMJ118">
        <v>182.657211579773</v>
      </c>
      <c r="AMK118">
        <v>266.067541231787</v>
      </c>
      <c r="AML118">
        <v>170.991335958435</v>
      </c>
      <c r="AMM118" t="s">
        <v>1900</v>
      </c>
      <c r="AMN118" t="s">
        <v>1900</v>
      </c>
      <c r="AMO118">
        <v>0.381156947616482</v>
      </c>
      <c r="AMP118">
        <v>0.765010787792359</v>
      </c>
      <c r="AMQ118">
        <v>0.7789544365847531</v>
      </c>
      <c r="AMR118" t="s">
        <v>1900</v>
      </c>
      <c r="AMS118" t="s">
        <v>1900</v>
      </c>
      <c r="AMT118">
        <v>0.381156947616482</v>
      </c>
      <c r="AMU118">
        <v>0.765010785561963</v>
      </c>
      <c r="AMV118">
        <v>0.7789544365847531</v>
      </c>
      <c r="AMW118">
        <v>-3.12645673350431E-07</v>
      </c>
      <c r="AMX118" t="s">
        <v>1900</v>
      </c>
      <c r="AMY118">
        <v>0.381156947616482</v>
      </c>
      <c r="AMZ118">
        <v>0.765010786086082</v>
      </c>
      <c r="ANA118">
        <v>0.7789544365847531</v>
      </c>
      <c r="ANB118" t="s">
        <v>1900</v>
      </c>
      <c r="ANC118" t="s">
        <v>1900</v>
      </c>
      <c r="AND118" t="s">
        <v>1901</v>
      </c>
      <c r="ANE118">
        <v>-22.3260063574839</v>
      </c>
      <c r="ANF118">
        <v>-17.9055822109606</v>
      </c>
      <c r="ANG118" t="s">
        <v>1900</v>
      </c>
      <c r="ANH118" t="s">
        <v>1900</v>
      </c>
      <c r="ANI118" t="s">
        <v>1901</v>
      </c>
      <c r="ANJ118">
        <v>-22.3260063574839</v>
      </c>
      <c r="ANK118">
        <v>-17.9055822109606</v>
      </c>
      <c r="ANL118" t="s">
        <v>1900</v>
      </c>
      <c r="ANM118" t="s">
        <v>1900</v>
      </c>
      <c r="ANN118">
        <v>-51.2001894739206</v>
      </c>
      <c r="ANO118">
        <v>-18.2512345676018</v>
      </c>
      <c r="ANP118">
        <v>-15.1863736009745</v>
      </c>
      <c r="ANQ118" t="s">
        <v>1900</v>
      </c>
      <c r="ANR118" t="s">
        <v>1900</v>
      </c>
      <c r="ANS118">
        <v>-67.0526487034173</v>
      </c>
      <c r="ANT118">
        <v>-20.2144482267883</v>
      </c>
      <c r="ANU118">
        <v>-4.91191666445974</v>
      </c>
      <c r="ANV118" t="s">
        <v>1901</v>
      </c>
      <c r="ANW118" t="s">
        <v>1900</v>
      </c>
      <c r="ANX118">
        <v>64.62145811136421</v>
      </c>
      <c r="ANY118">
        <v>72.68263674416249</v>
      </c>
      <c r="ANZ118">
        <v>63.0984512304342</v>
      </c>
      <c r="AOA118" t="s">
        <v>1900</v>
      </c>
      <c r="AOB118" t="s">
        <v>1900</v>
      </c>
      <c r="AOC118">
        <v>31.5351491175355</v>
      </c>
      <c r="AOD118">
        <v>59.4171582220674</v>
      </c>
      <c r="AOE118">
        <v>53.5160846901517</v>
      </c>
      <c r="AOF118" t="s">
        <v>1900</v>
      </c>
      <c r="AOG118" t="s">
        <v>1900</v>
      </c>
      <c r="AOH118">
        <v>34.102501841587</v>
      </c>
      <c r="AOI118">
        <v>59.3159026539916</v>
      </c>
      <c r="AOJ118">
        <v>16.6646023355987</v>
      </c>
      <c r="AOK118" t="s">
        <v>1900</v>
      </c>
      <c r="AOL118" t="s">
        <v>1900</v>
      </c>
      <c r="AOM118">
        <v>-296.560634827062</v>
      </c>
      <c r="AON118">
        <v>-81.72826252809379</v>
      </c>
      <c r="AOO118">
        <v>-48.5225764446182</v>
      </c>
      <c r="AOP118" t="s">
        <v>1900</v>
      </c>
      <c r="AOQ118" t="s">
        <v>1900</v>
      </c>
      <c r="AOR118">
        <v>-61.8843052383518</v>
      </c>
      <c r="AOS118">
        <v>-23.4989214438037</v>
      </c>
      <c r="AOT118">
        <v>-22.1045563415247</v>
      </c>
      <c r="AOU118">
        <v>-100.000031264567</v>
      </c>
      <c r="AOV118" t="s">
        <v>1900</v>
      </c>
      <c r="AOW118">
        <v>-55.3685206724792</v>
      </c>
      <c r="AOX118">
        <v>-18.2201317821518</v>
      </c>
      <c r="AOY118">
        <v>-4.72894978108604</v>
      </c>
      <c r="AOZ118">
        <v>-169.769589656216</v>
      </c>
      <c r="APA118" t="s">
        <v>1900</v>
      </c>
      <c r="APB118">
        <v>-114.54475274474</v>
      </c>
      <c r="APC118">
        <v>-22.9793885846723</v>
      </c>
      <c r="APD118">
        <v>-13.4158731685957</v>
      </c>
      <c r="APE118" t="s">
        <v>1900</v>
      </c>
      <c r="APF118" t="s">
        <v>1900</v>
      </c>
      <c r="APG118">
        <v>-116.339686731201</v>
      </c>
      <c r="APH118">
        <v>-22.9793885846723</v>
      </c>
      <c r="API118">
        <v>-13.4158731685957</v>
      </c>
      <c r="APJ118" t="s">
        <v>1900</v>
      </c>
      <c r="APK118" t="s">
        <v>1900</v>
      </c>
      <c r="APL118">
        <v>-323.769004119228</v>
      </c>
      <c r="APM118">
        <v>-84.1200827820079</v>
      </c>
      <c r="APN118">
        <v>-36.3558539300667</v>
      </c>
      <c r="APO118" t="s">
        <v>1900</v>
      </c>
      <c r="APP118" t="s">
        <v>1900</v>
      </c>
      <c r="APQ118">
        <v>-67.56196718190709</v>
      </c>
      <c r="APR118">
        <v>-24.1866296430954</v>
      </c>
      <c r="APS118">
        <v>-16.5619816676189</v>
      </c>
      <c r="APT118">
        <v>-74.99994528700719</v>
      </c>
      <c r="APU118" t="s">
        <v>1900</v>
      </c>
      <c r="APV118">
        <v>-55.8976223069993</v>
      </c>
      <c r="APW118">
        <v>-18.7853664718831</v>
      </c>
      <c r="APX118">
        <v>-11.3784885473799</v>
      </c>
      <c r="APY118" t="s">
        <v>1900</v>
      </c>
      <c r="APZ118" t="s">
        <v>1900</v>
      </c>
      <c r="AQA118">
        <v>-60.4483828682701</v>
      </c>
      <c r="AQB118">
        <v>-18.7533534471855</v>
      </c>
      <c r="AQC118">
        <v>-3.54319617961783</v>
      </c>
      <c r="AQD118">
        <v>-127.327059547884</v>
      </c>
      <c r="AQE118" t="s">
        <v>1900</v>
      </c>
      <c r="AQF118">
        <v>-0.618843052383518</v>
      </c>
      <c r="AQG118">
        <v>-0.234989213913918</v>
      </c>
      <c r="AQH118">
        <v>-0.221045563415247</v>
      </c>
      <c r="AQI118" t="s">
        <v>1900</v>
      </c>
      <c r="AQJ118" t="s">
        <v>1900</v>
      </c>
      <c r="AQK118">
        <v>11</v>
      </c>
      <c r="AQO118" t="s">
        <v>1902</v>
      </c>
      <c r="AQP118">
        <v>2</v>
      </c>
      <c r="AQQ118">
        <v>0</v>
      </c>
      <c r="AQS118" t="s">
        <v>1905</v>
      </c>
      <c r="AQU118" t="s">
        <v>1906</v>
      </c>
      <c r="AQV118">
        <v>583009.405416032</v>
      </c>
      <c r="AQW118">
        <v>1042911.05949567</v>
      </c>
      <c r="AQX118">
        <v>230136.033175492</v>
      </c>
      <c r="AQY118">
        <v>-611686.637726312</v>
      </c>
      <c r="AQZ118">
        <v>-232840.389445906</v>
      </c>
      <c r="ARA118">
        <v>-41207.1966172814</v>
      </c>
      <c r="ARB118">
        <v>1856056.498087194</v>
      </c>
      <c r="ARC118">
        <v>-885734.2237894995</v>
      </c>
      <c r="ARD118">
        <v>-0.3230495371956159</v>
      </c>
      <c r="ARE118">
        <v>-0.3230495371956159</v>
      </c>
      <c r="ARF118">
        <v>-0.3230495371956159</v>
      </c>
      <c r="ARG118" t="s">
        <v>1907</v>
      </c>
      <c r="ARH118" t="s">
        <v>1907</v>
      </c>
      <c r="ARI118" t="s">
        <v>1907</v>
      </c>
      <c r="ARJ118" t="s">
        <v>1279</v>
      </c>
      <c r="ARK118" t="s">
        <v>1617</v>
      </c>
      <c r="ARL118" t="s">
        <v>1908</v>
      </c>
      <c r="ARM118" t="s">
        <v>1908</v>
      </c>
      <c r="ARN118" t="s">
        <v>1909</v>
      </c>
      <c r="ARO118" t="s">
        <v>1908</v>
      </c>
      <c r="ARP118" t="s">
        <v>1907</v>
      </c>
      <c r="ARQ118" t="s">
        <v>2010</v>
      </c>
      <c r="ARR118">
        <f>HYPERLINK("C:\Users\Usuario\Documents\Proyectos\llmthon\evidence\placein_com_000406.png", "Ver Evidencia")</f>
        <v>0</v>
      </c>
      <c r="ARS118">
        <v>95</v>
      </c>
    </row>
    <row r="119" spans="1:1163">
      <c r="A119">
        <v>109</v>
      </c>
      <c r="B119" t="s">
        <v>1280</v>
      </c>
      <c r="C119" t="s">
        <v>1403</v>
      </c>
      <c r="E119" s="2">
        <v>43342</v>
      </c>
      <c r="F119" t="s">
        <v>1431</v>
      </c>
      <c r="G119" t="s">
        <v>1433</v>
      </c>
      <c r="H119" t="s">
        <v>1434</v>
      </c>
      <c r="I119" t="s">
        <v>1450</v>
      </c>
      <c r="J119" t="s">
        <v>1499</v>
      </c>
      <c r="L119" t="s">
        <v>1618</v>
      </c>
      <c r="N119" t="s">
        <v>1630</v>
      </c>
      <c r="O119" t="s">
        <v>1654</v>
      </c>
      <c r="P119">
        <v>6209</v>
      </c>
      <c r="Q119">
        <v>6209</v>
      </c>
      <c r="R119" t="s">
        <v>1786</v>
      </c>
      <c r="S119" t="s">
        <v>1842</v>
      </c>
      <c r="Z119" t="s">
        <v>1899</v>
      </c>
      <c r="AA119" s="2">
        <v>45657</v>
      </c>
      <c r="AB119">
        <v>2024</v>
      </c>
      <c r="AC119">
        <v>8501885.29904234</v>
      </c>
      <c r="AD119">
        <v>6956765.27991077</v>
      </c>
      <c r="AE119">
        <v>5977012.34550118</v>
      </c>
      <c r="AF119">
        <v>5620872.20368624</v>
      </c>
      <c r="AG119">
        <v>5321349.24366295</v>
      </c>
      <c r="AH119">
        <v>7662244.61228693</v>
      </c>
      <c r="AI119">
        <v>5150613.01833183</v>
      </c>
      <c r="AJ119">
        <v>4217317.31098175</v>
      </c>
      <c r="AK119">
        <v>3750101.9110322</v>
      </c>
      <c r="AL119">
        <v>3967599.79843855</v>
      </c>
      <c r="AM119">
        <v>1367126.34515488</v>
      </c>
      <c r="AN119">
        <v>856472.989024553</v>
      </c>
      <c r="AO119">
        <v>955970.722736716</v>
      </c>
      <c r="AP119">
        <v>697515.2971529959</v>
      </c>
      <c r="AQ119">
        <v>757849.164732695</v>
      </c>
      <c r="AR119">
        <v>7134758.95388746</v>
      </c>
      <c r="AS119">
        <v>6100292.29088622</v>
      </c>
      <c r="AT119">
        <v>5021041.62276447</v>
      </c>
      <c r="AU119">
        <v>4923356.90653324</v>
      </c>
      <c r="AV119">
        <v>4563500.07893026</v>
      </c>
      <c r="AW119">
        <v>6563028.6418401</v>
      </c>
      <c r="AX119">
        <v>5850502.85133379</v>
      </c>
      <c r="AY119">
        <v>4746649.30501461</v>
      </c>
      <c r="AZ119">
        <v>4831486.03259325</v>
      </c>
      <c r="BA119">
        <v>4475434.84350801</v>
      </c>
      <c r="BB119">
        <v>571730.312047362</v>
      </c>
      <c r="BC119">
        <v>249789.439552431</v>
      </c>
      <c r="BD119">
        <v>274392.317749858</v>
      </c>
      <c r="BE119">
        <v>91870.873939991</v>
      </c>
      <c r="BF119">
        <v>88065.23542225359</v>
      </c>
      <c r="BG119">
        <v>-234338.336043835</v>
      </c>
      <c r="BH119">
        <v>-83137.03281087879</v>
      </c>
      <c r="BI119">
        <v>-11745.3935647011</v>
      </c>
      <c r="BJ119">
        <v>-28213.0736589432</v>
      </c>
      <c r="BK119">
        <v>-23764.0050327778</v>
      </c>
      <c r="BL119">
        <v>190.118615984917</v>
      </c>
      <c r="BM119">
        <v>7341.51279478073</v>
      </c>
      <c r="BN119">
        <v>5972.95713424683</v>
      </c>
      <c r="BO119" t="s">
        <v>1900</v>
      </c>
      <c r="BP119" t="s">
        <v>1900</v>
      </c>
      <c r="BQ119">
        <v>234528.45465982</v>
      </c>
      <c r="BR119">
        <v>90478.5456056595</v>
      </c>
      <c r="BS119">
        <v>17718.3506989479</v>
      </c>
      <c r="BT119">
        <v>28213.0736589432</v>
      </c>
      <c r="BU119">
        <v>23764.0050327778</v>
      </c>
      <c r="BV119">
        <v>337391.976003528</v>
      </c>
      <c r="BW119">
        <v>166652.406741552</v>
      </c>
      <c r="BX119">
        <v>262646.924185157</v>
      </c>
      <c r="BY119">
        <v>63657.8002810478</v>
      </c>
      <c r="BZ119">
        <v>64301.2303894758</v>
      </c>
      <c r="CA119">
        <v>32711.8298443556</v>
      </c>
      <c r="CB119">
        <v>41967.8193846417</v>
      </c>
      <c r="CC119">
        <v>65776.1238414049</v>
      </c>
      <c r="CD119">
        <v>15976.4599370956</v>
      </c>
      <c r="CE119">
        <v>14003.6572051048</v>
      </c>
      <c r="CF119">
        <v>304680.146159172</v>
      </c>
      <c r="CG119">
        <v>124684.587356911</v>
      </c>
      <c r="CH119">
        <v>196870.800343752</v>
      </c>
      <c r="CI119">
        <v>47681.3403439522</v>
      </c>
      <c r="CJ119">
        <v>50297.573184371</v>
      </c>
      <c r="CK119" t="s">
        <v>1900</v>
      </c>
      <c r="CL119" t="s">
        <v>1900</v>
      </c>
      <c r="CM119" t="s">
        <v>1900</v>
      </c>
      <c r="CN119" t="s">
        <v>1900</v>
      </c>
      <c r="CO119" t="s">
        <v>1900</v>
      </c>
      <c r="CP119" t="s">
        <v>1900</v>
      </c>
      <c r="CQ119" t="s">
        <v>1900</v>
      </c>
      <c r="CR119" t="s">
        <v>1900</v>
      </c>
      <c r="CS119" t="s">
        <v>1900</v>
      </c>
      <c r="CT119" t="s">
        <v>1900</v>
      </c>
      <c r="CU119" t="s">
        <v>1900</v>
      </c>
      <c r="CV119" t="s">
        <v>1900</v>
      </c>
      <c r="CW119" t="s">
        <v>1900</v>
      </c>
      <c r="CX119" t="s">
        <v>1900</v>
      </c>
      <c r="CY119" t="s">
        <v>1900</v>
      </c>
      <c r="CZ119">
        <v>304680.146159172</v>
      </c>
      <c r="DA119">
        <v>124684.587356911</v>
      </c>
      <c r="DB119">
        <v>196870.800343752</v>
      </c>
      <c r="DC119">
        <v>47681.3403439522</v>
      </c>
      <c r="DD119">
        <v>50297.573184371</v>
      </c>
      <c r="DE119" t="s">
        <v>1900</v>
      </c>
      <c r="DF119" t="s">
        <v>1900</v>
      </c>
      <c r="DG119" t="s">
        <v>1900</v>
      </c>
      <c r="DH119" t="s">
        <v>1900</v>
      </c>
      <c r="DI119" t="s">
        <v>1900</v>
      </c>
      <c r="DJ119">
        <v>1367126.34515488</v>
      </c>
      <c r="DK119">
        <v>856472.989024553</v>
      </c>
      <c r="DL119">
        <v>955970.722736716</v>
      </c>
      <c r="DM119">
        <v>697515.2971529959</v>
      </c>
      <c r="DN119">
        <v>757849.164732695</v>
      </c>
      <c r="DO119">
        <v>5561473.38383615</v>
      </c>
      <c r="DP119">
        <v>4904189.35503992</v>
      </c>
      <c r="DQ119">
        <v>3960716.93929553</v>
      </c>
      <c r="DR119">
        <v>4115442.52701044</v>
      </c>
      <c r="DS119">
        <v>3964533.27728927</v>
      </c>
      <c r="DT119">
        <v>157458.731117606</v>
      </c>
      <c r="DU119">
        <v>172953.992519627</v>
      </c>
      <c r="DV119">
        <v>181730.420607924</v>
      </c>
      <c r="DW119">
        <v>206369.969422817</v>
      </c>
      <c r="DX119">
        <v>166298.951257467</v>
      </c>
      <c r="DY119">
        <v>844096.526886344</v>
      </c>
      <c r="DZ119">
        <v>773359.502669242</v>
      </c>
      <c r="EA119">
        <v>604201.945111156</v>
      </c>
      <c r="EB119">
        <v>509673.536159992</v>
      </c>
      <c r="EC119">
        <v>344602.614961267</v>
      </c>
      <c r="ED119">
        <v>157736.117295027</v>
      </c>
      <c r="EE119">
        <v>46542.8860878754</v>
      </c>
      <c r="EF119">
        <v>15552.0871382952</v>
      </c>
      <c r="EG119">
        <v>27438.3750486374</v>
      </c>
      <c r="EH119">
        <v>22697.6557415724</v>
      </c>
      <c r="EI119" t="s">
        <v>1900</v>
      </c>
      <c r="EJ119" t="s">
        <v>1900</v>
      </c>
      <c r="EK119" t="s">
        <v>1900</v>
      </c>
      <c r="EL119" t="s">
        <v>1900</v>
      </c>
      <c r="EM119" t="s">
        <v>1900</v>
      </c>
      <c r="EN119">
        <v>462138.877276778</v>
      </c>
      <c r="EO119">
        <v>297638.579876537</v>
      </c>
      <c r="EP119">
        <v>378601.220951676</v>
      </c>
      <c r="EQ119">
        <v>254051.309766769</v>
      </c>
      <c r="ER119">
        <v>216596.524441838</v>
      </c>
      <c r="ES119">
        <v>6214060.20825231</v>
      </c>
      <c r="ET119">
        <v>5290338.64038897</v>
      </c>
      <c r="EU119">
        <v>4420646.37122691</v>
      </c>
      <c r="EV119">
        <v>4412908.67176294</v>
      </c>
      <c r="EW119">
        <v>4217831.11467779</v>
      </c>
      <c r="EX119">
        <v>729189.043164968</v>
      </c>
      <c r="EY119">
        <v>422743.432072058</v>
      </c>
      <c r="EZ119">
        <v>456122.738357782</v>
      </c>
      <c r="FA119">
        <v>298240.843362808</v>
      </c>
      <c r="FB119">
        <v>254364.186679721</v>
      </c>
      <c r="FC119">
        <v>1665919.04761577</v>
      </c>
      <c r="FD119">
        <v>1256821.48654604</v>
      </c>
      <c r="FE119">
        <v>1798390.19735396</v>
      </c>
      <c r="FF119">
        <v>2349591.79643869</v>
      </c>
      <c r="FG119">
        <v>2755402.39289999</v>
      </c>
      <c r="FH119">
        <v>667178.1684681179</v>
      </c>
      <c r="FI119">
        <v>592720.839450829</v>
      </c>
      <c r="FJ119">
        <v>720415.425553322</v>
      </c>
      <c r="FK119">
        <v>922464.4420194631</v>
      </c>
      <c r="FL119">
        <v>1127358.21417451</v>
      </c>
      <c r="FM119">
        <v>26728.8073883057</v>
      </c>
      <c r="FN119">
        <v>41921.2215137291</v>
      </c>
      <c r="FO119">
        <v>57037.4742341042</v>
      </c>
      <c r="FP119">
        <v>93345.51954030991</v>
      </c>
      <c r="FQ119">
        <v>142676.062644124</v>
      </c>
      <c r="FR119">
        <v>972012.071759343</v>
      </c>
      <c r="FS119">
        <v>622179.424476481</v>
      </c>
      <c r="FT119">
        <v>1020937.29756653</v>
      </c>
      <c r="FU119">
        <v>1333781.83487892</v>
      </c>
      <c r="FV119">
        <v>1485368.11608136</v>
      </c>
      <c r="FW119">
        <v>667178.1684681179</v>
      </c>
      <c r="FX119">
        <v>592720.839450829</v>
      </c>
      <c r="FY119">
        <v>720415.425553322</v>
      </c>
      <c r="FZ119">
        <v>922464.4420194631</v>
      </c>
      <c r="GA119">
        <v>1127358.21417451</v>
      </c>
      <c r="GB119">
        <v>26728.8073883057</v>
      </c>
      <c r="GC119">
        <v>41921.2215137291</v>
      </c>
      <c r="GD119">
        <v>57037.4742341042</v>
      </c>
      <c r="GE119">
        <v>93345.51954030991</v>
      </c>
      <c r="GF119">
        <v>142676.062644124</v>
      </c>
      <c r="GG119">
        <v>972012.071759343</v>
      </c>
      <c r="GH119">
        <v>622179.424476481</v>
      </c>
      <c r="GI119">
        <v>1020937.29756653</v>
      </c>
      <c r="GJ119">
        <v>1333781.83487892</v>
      </c>
      <c r="GK119">
        <v>1485368.11608136</v>
      </c>
      <c r="GL119">
        <v>7471978.4725672</v>
      </c>
      <c r="GM119">
        <v>3624612.09603137</v>
      </c>
      <c r="GN119">
        <v>2536821.55486345</v>
      </c>
      <c r="GO119">
        <v>3614278.21696043</v>
      </c>
      <c r="GP119">
        <v>3772202.64149368</v>
      </c>
      <c r="GQ119">
        <v>0</v>
      </c>
      <c r="GR119">
        <v>0</v>
      </c>
      <c r="GS119">
        <v>0</v>
      </c>
      <c r="GT119">
        <v>0</v>
      </c>
      <c r="GU119">
        <v>0</v>
      </c>
      <c r="GV119">
        <v>7341055.31352329</v>
      </c>
      <c r="GW119">
        <v>3459111.78490686</v>
      </c>
      <c r="GX119">
        <v>2423468.6942488</v>
      </c>
      <c r="GY119">
        <v>3504242.69928932</v>
      </c>
      <c r="GZ119">
        <v>2729405.06714225</v>
      </c>
      <c r="HA119">
        <v>130923.159043908</v>
      </c>
      <c r="HB119">
        <v>165500.311124506</v>
      </c>
      <c r="HC119">
        <v>113352.860614657</v>
      </c>
      <c r="HD119">
        <v>110035.517671108</v>
      </c>
      <c r="HE119">
        <v>1042797.57435143</v>
      </c>
      <c r="HF119">
        <v>111926.88093853</v>
      </c>
      <c r="HG119">
        <v>21371.3062911797</v>
      </c>
      <c r="HH119">
        <v>28219.0226608515</v>
      </c>
      <c r="HI119">
        <v>63371.2524032593</v>
      </c>
      <c r="HJ119">
        <v>913414.67841804</v>
      </c>
      <c r="HK119">
        <v>9137897.520182971</v>
      </c>
      <c r="HL119">
        <v>4881433.58257741</v>
      </c>
      <c r="HM119">
        <v>4335211.75221741</v>
      </c>
      <c r="HN119">
        <v>5963870.01339912</v>
      </c>
      <c r="HO119">
        <v>6527605.03439367</v>
      </c>
      <c r="HP119">
        <v>884562.702903986</v>
      </c>
      <c r="HQ119">
        <v>615265.977823811</v>
      </c>
      <c r="HR119">
        <v>498948.841010332</v>
      </c>
      <c r="HS119">
        <v>350116.202645302</v>
      </c>
      <c r="HT119">
        <v>900292.078509927</v>
      </c>
      <c r="HU119">
        <v>62333.972454071</v>
      </c>
      <c r="HV119">
        <v>66300.0297546387</v>
      </c>
      <c r="HW119">
        <v>63995.9692955017</v>
      </c>
      <c r="HX119">
        <v>67956.01844787601</v>
      </c>
      <c r="HY119">
        <v>613549.649715424</v>
      </c>
      <c r="HZ119">
        <v>822228.730449915</v>
      </c>
      <c r="IA119">
        <v>548965.948069172</v>
      </c>
      <c r="IB119">
        <v>434952.87171483</v>
      </c>
      <c r="IC119">
        <v>282160.184197426</v>
      </c>
      <c r="ID119">
        <v>286742.428794503</v>
      </c>
      <c r="IE119">
        <v>2492784.38671672</v>
      </c>
      <c r="IF119">
        <v>1362572.25505569</v>
      </c>
      <c r="IG119">
        <v>2193686.90009534</v>
      </c>
      <c r="IH119">
        <v>3836684.67413664</v>
      </c>
      <c r="II119">
        <v>4370785.36105394</v>
      </c>
      <c r="IJ119">
        <v>2463691.04397333</v>
      </c>
      <c r="IK119">
        <v>1336779.85283037</v>
      </c>
      <c r="IL119">
        <v>2159773.30276668</v>
      </c>
      <c r="IM119">
        <v>3792070.4154253</v>
      </c>
      <c r="IN119">
        <v>4312376.66150033</v>
      </c>
      <c r="IO119">
        <v>29093.3427433968</v>
      </c>
      <c r="IP119">
        <v>25792.4022253132</v>
      </c>
      <c r="IQ119">
        <v>33913.5973286629</v>
      </c>
      <c r="IR119">
        <v>44614.258711338</v>
      </c>
      <c r="IS119">
        <v>58408.6995536089</v>
      </c>
      <c r="IT119" t="s">
        <v>1900</v>
      </c>
      <c r="IU119" t="s">
        <v>1900</v>
      </c>
      <c r="IV119" t="s">
        <v>1900</v>
      </c>
      <c r="IW119" t="s">
        <v>1900</v>
      </c>
      <c r="IX119" t="s">
        <v>1900</v>
      </c>
      <c r="IY119">
        <v>5760550.43056226</v>
      </c>
      <c r="IZ119">
        <v>2903595.34969791</v>
      </c>
      <c r="JA119">
        <v>1642576.01111174</v>
      </c>
      <c r="JB119">
        <v>1777069.13661718</v>
      </c>
      <c r="JC119">
        <v>1256527.5948298</v>
      </c>
      <c r="JD119">
        <v>2746518.97718918</v>
      </c>
      <c r="JE119">
        <v>1607476.2664156</v>
      </c>
      <c r="JF119">
        <v>758839.672117829</v>
      </c>
      <c r="JG119">
        <v>875091.168959141</v>
      </c>
      <c r="JH119">
        <v>269529.906921387</v>
      </c>
      <c r="JI119">
        <v>220755.763446093</v>
      </c>
      <c r="JJ119">
        <v>287301.797487516</v>
      </c>
      <c r="JK119">
        <v>275648.771947026</v>
      </c>
      <c r="JL119">
        <v>376545.430819988</v>
      </c>
      <c r="JM119">
        <v>177243.449909091</v>
      </c>
      <c r="JN119">
        <v>2793275.68992698</v>
      </c>
      <c r="JO119">
        <v>1008817.2857948</v>
      </c>
      <c r="JP119">
        <v>608087.567046881</v>
      </c>
      <c r="JQ119">
        <v>525432.536838055</v>
      </c>
      <c r="JR119">
        <v>809754.23799932</v>
      </c>
      <c r="JS119">
        <v>9137897.520182971</v>
      </c>
      <c r="JT119">
        <v>4881433.58257741</v>
      </c>
      <c r="JU119">
        <v>4335211.75221741</v>
      </c>
      <c r="JV119">
        <v>5963870.01339912</v>
      </c>
      <c r="JW119">
        <v>6527605.03439367</v>
      </c>
      <c r="JX119">
        <v>7120299.5500772</v>
      </c>
      <c r="JY119">
        <v>3171809.98741935</v>
      </c>
      <c r="JZ119">
        <v>2147819.92230177</v>
      </c>
      <c r="KA119">
        <v>3127697.26846933</v>
      </c>
      <c r="KB119">
        <v>2552161.61723316</v>
      </c>
      <c r="KC119" t="s">
        <v>1900</v>
      </c>
      <c r="KD119" t="s">
        <v>1900</v>
      </c>
      <c r="KE119" t="s">
        <v>1900</v>
      </c>
      <c r="KF119" t="s">
        <v>1900</v>
      </c>
      <c r="KG119" t="s">
        <v>1900</v>
      </c>
      <c r="KH119" t="s">
        <v>1900</v>
      </c>
      <c r="KI119" t="s">
        <v>1900</v>
      </c>
      <c r="KJ119" t="s">
        <v>1900</v>
      </c>
      <c r="KK119" t="s">
        <v>1900</v>
      </c>
      <c r="KL119" t="s">
        <v>1900</v>
      </c>
      <c r="KM119">
        <v>106</v>
      </c>
      <c r="KN119">
        <v>92</v>
      </c>
      <c r="KO119">
        <v>83</v>
      </c>
      <c r="KP119">
        <v>84</v>
      </c>
      <c r="KQ119">
        <v>86</v>
      </c>
      <c r="KR119" t="s">
        <v>1900</v>
      </c>
      <c r="KS119" t="s">
        <v>1900</v>
      </c>
      <c r="KT119" t="s">
        <v>1900</v>
      </c>
      <c r="KU119" t="s">
        <v>1900</v>
      </c>
      <c r="KV119" t="s">
        <v>1900</v>
      </c>
      <c r="KW119" t="s">
        <v>1900</v>
      </c>
      <c r="KX119" t="s">
        <v>1900</v>
      </c>
      <c r="KY119" t="s">
        <v>1900</v>
      </c>
      <c r="KZ119" t="s">
        <v>1900</v>
      </c>
      <c r="LA119" t="s">
        <v>1900</v>
      </c>
      <c r="LB119" t="s">
        <v>1900</v>
      </c>
      <c r="LC119" t="s">
        <v>1900</v>
      </c>
      <c r="LD119" t="s">
        <v>1900</v>
      </c>
      <c r="LE119" t="s">
        <v>1900</v>
      </c>
      <c r="LF119" t="s">
        <v>1900</v>
      </c>
      <c r="LG119" t="s">
        <v>1900</v>
      </c>
      <c r="LH119" t="s">
        <v>1900</v>
      </c>
      <c r="LI119" t="s">
        <v>1900</v>
      </c>
      <c r="LJ119" t="s">
        <v>1900</v>
      </c>
      <c r="LK119" t="s">
        <v>1900</v>
      </c>
      <c r="LL119" t="s">
        <v>1900</v>
      </c>
      <c r="LM119" t="s">
        <v>1900</v>
      </c>
      <c r="LN119" t="s">
        <v>1900</v>
      </c>
      <c r="LO119" t="s">
        <v>1900</v>
      </c>
      <c r="LP119" t="s">
        <v>1900</v>
      </c>
      <c r="LQ119" t="s">
        <v>1900</v>
      </c>
      <c r="LR119" t="s">
        <v>1900</v>
      </c>
      <c r="LS119" t="s">
        <v>1900</v>
      </c>
      <c r="LT119" t="s">
        <v>1900</v>
      </c>
      <c r="LU119" t="s">
        <v>1900</v>
      </c>
      <c r="LV119" t="s">
        <v>1900</v>
      </c>
      <c r="LW119" t="s">
        <v>1900</v>
      </c>
      <c r="LX119" t="s">
        <v>1900</v>
      </c>
      <c r="LY119" t="s">
        <v>1900</v>
      </c>
      <c r="LZ119" t="s">
        <v>1900</v>
      </c>
      <c r="MA119" t="s">
        <v>1900</v>
      </c>
      <c r="MB119" t="s">
        <v>1900</v>
      </c>
      <c r="MC119" t="s">
        <v>1900</v>
      </c>
      <c r="MD119" t="s">
        <v>1900</v>
      </c>
      <c r="ME119" t="s">
        <v>1900</v>
      </c>
      <c r="MF119" t="s">
        <v>1900</v>
      </c>
      <c r="MG119" t="s">
        <v>1900</v>
      </c>
      <c r="MH119" t="s">
        <v>1900</v>
      </c>
      <c r="MI119" t="s">
        <v>1900</v>
      </c>
      <c r="MJ119" t="s">
        <v>1900</v>
      </c>
      <c r="MK119" t="s">
        <v>1900</v>
      </c>
      <c r="ML119" t="s">
        <v>1900</v>
      </c>
      <c r="MM119" t="s">
        <v>1900</v>
      </c>
      <c r="MN119" t="s">
        <v>1900</v>
      </c>
      <c r="MO119" t="s">
        <v>1900</v>
      </c>
      <c r="MP119">
        <v>130923.159043908</v>
      </c>
      <c r="MQ119">
        <v>165500.311124506</v>
      </c>
      <c r="MR119">
        <v>113352.860614657</v>
      </c>
      <c r="MS119">
        <v>110035.517671108</v>
      </c>
      <c r="MT119">
        <v>1042797.57435143</v>
      </c>
      <c r="MU119" t="s">
        <v>1900</v>
      </c>
      <c r="MV119" t="s">
        <v>1900</v>
      </c>
      <c r="MW119" t="s">
        <v>1900</v>
      </c>
      <c r="MX119" t="s">
        <v>1900</v>
      </c>
      <c r="MY119" t="s">
        <v>1900</v>
      </c>
      <c r="MZ119" t="s">
        <v>1900</v>
      </c>
      <c r="NA119" t="s">
        <v>1900</v>
      </c>
      <c r="NB119" t="s">
        <v>1900</v>
      </c>
      <c r="NC119" t="s">
        <v>1900</v>
      </c>
      <c r="ND119" t="s">
        <v>1900</v>
      </c>
      <c r="NE119" t="s">
        <v>1900</v>
      </c>
      <c r="NF119" t="s">
        <v>1900</v>
      </c>
      <c r="NG119" t="s">
        <v>1900</v>
      </c>
      <c r="NH119" t="s">
        <v>1900</v>
      </c>
      <c r="NI119" t="s">
        <v>1900</v>
      </c>
      <c r="NJ119" t="s">
        <v>1900</v>
      </c>
      <c r="NK119" t="s">
        <v>1900</v>
      </c>
      <c r="NL119" t="s">
        <v>1900</v>
      </c>
      <c r="NM119" t="s">
        <v>1900</v>
      </c>
      <c r="NN119" t="s">
        <v>1900</v>
      </c>
      <c r="NO119" t="s">
        <v>1900</v>
      </c>
      <c r="NP119" t="s">
        <v>1900</v>
      </c>
      <c r="NQ119" t="s">
        <v>1900</v>
      </c>
      <c r="NR119" t="s">
        <v>1900</v>
      </c>
      <c r="NS119" t="s">
        <v>1900</v>
      </c>
      <c r="NT119">
        <v>1665919.04761577</v>
      </c>
      <c r="NU119">
        <v>1256821.48654604</v>
      </c>
      <c r="NV119">
        <v>1798390.19735396</v>
      </c>
      <c r="NW119">
        <v>2349591.79643869</v>
      </c>
      <c r="NX119">
        <v>2755402.39289999</v>
      </c>
      <c r="NY119" t="s">
        <v>1900</v>
      </c>
      <c r="NZ119" t="s">
        <v>1900</v>
      </c>
      <c r="OA119" t="s">
        <v>1900</v>
      </c>
      <c r="OB119" t="s">
        <v>1900</v>
      </c>
      <c r="OC119" t="s">
        <v>1900</v>
      </c>
      <c r="OD119" t="s">
        <v>1900</v>
      </c>
      <c r="OE119" t="s">
        <v>1900</v>
      </c>
      <c r="OF119" t="s">
        <v>1900</v>
      </c>
      <c r="OG119" t="s">
        <v>1900</v>
      </c>
      <c r="OH119" t="s">
        <v>1900</v>
      </c>
      <c r="OI119" t="s">
        <v>1900</v>
      </c>
      <c r="OJ119" t="s">
        <v>1900</v>
      </c>
      <c r="OK119" t="s">
        <v>1900</v>
      </c>
      <c r="OL119" t="s">
        <v>1900</v>
      </c>
      <c r="OM119" t="s">
        <v>1900</v>
      </c>
      <c r="ON119" t="s">
        <v>1900</v>
      </c>
      <c r="OO119" t="s">
        <v>1900</v>
      </c>
      <c r="OP119" t="s">
        <v>1900</v>
      </c>
      <c r="OQ119" t="s">
        <v>1900</v>
      </c>
      <c r="OR119" t="s">
        <v>1900</v>
      </c>
      <c r="OS119" t="s">
        <v>1900</v>
      </c>
      <c r="OT119" t="s">
        <v>1900</v>
      </c>
      <c r="OU119" t="s">
        <v>1900</v>
      </c>
      <c r="OV119" t="s">
        <v>1900</v>
      </c>
      <c r="OW119" t="s">
        <v>1900</v>
      </c>
      <c r="OX119" t="s">
        <v>1900</v>
      </c>
      <c r="OY119" t="s">
        <v>1900</v>
      </c>
      <c r="OZ119" t="s">
        <v>1900</v>
      </c>
      <c r="PA119" t="s">
        <v>1900</v>
      </c>
      <c r="PB119" t="s">
        <v>1900</v>
      </c>
      <c r="PC119" t="s">
        <v>1900</v>
      </c>
      <c r="PD119" t="s">
        <v>1900</v>
      </c>
      <c r="PE119" t="s">
        <v>1900</v>
      </c>
      <c r="PF119" t="s">
        <v>1900</v>
      </c>
      <c r="PG119" t="s">
        <v>1900</v>
      </c>
      <c r="PH119" t="s">
        <v>1900</v>
      </c>
      <c r="PI119" t="s">
        <v>1900</v>
      </c>
      <c r="PJ119" t="s">
        <v>1900</v>
      </c>
      <c r="PK119" t="s">
        <v>1900</v>
      </c>
      <c r="PL119" t="s">
        <v>1900</v>
      </c>
      <c r="PM119" t="s">
        <v>1900</v>
      </c>
      <c r="PN119" t="s">
        <v>1900</v>
      </c>
      <c r="PO119" t="s">
        <v>1900</v>
      </c>
      <c r="PP119" t="s">
        <v>1900</v>
      </c>
      <c r="PQ119" t="s">
        <v>1900</v>
      </c>
      <c r="PR119" t="s">
        <v>1900</v>
      </c>
      <c r="PS119" t="s">
        <v>1900</v>
      </c>
      <c r="PT119" t="s">
        <v>1900</v>
      </c>
      <c r="PU119" t="s">
        <v>1900</v>
      </c>
      <c r="PV119" t="s">
        <v>1900</v>
      </c>
      <c r="PW119" t="s">
        <v>1900</v>
      </c>
      <c r="PX119" t="s">
        <v>1900</v>
      </c>
      <c r="PY119" t="s">
        <v>1900</v>
      </c>
      <c r="PZ119" t="s">
        <v>1900</v>
      </c>
      <c r="QA119" t="s">
        <v>1900</v>
      </c>
      <c r="QB119" t="s">
        <v>1900</v>
      </c>
      <c r="QC119" t="s">
        <v>1900</v>
      </c>
      <c r="QD119" t="s">
        <v>1900</v>
      </c>
      <c r="QE119" t="s">
        <v>1900</v>
      </c>
      <c r="QF119" t="s">
        <v>1900</v>
      </c>
      <c r="QG119" t="s">
        <v>1900</v>
      </c>
      <c r="QH119" t="s">
        <v>1900</v>
      </c>
      <c r="QI119" t="s">
        <v>1900</v>
      </c>
      <c r="QJ119" t="s">
        <v>1900</v>
      </c>
      <c r="QK119" t="s">
        <v>1900</v>
      </c>
      <c r="QL119" t="s">
        <v>1900</v>
      </c>
      <c r="QM119" t="s">
        <v>1900</v>
      </c>
      <c r="QN119" t="s">
        <v>1900</v>
      </c>
      <c r="QO119" t="s">
        <v>1900</v>
      </c>
      <c r="QP119" t="s">
        <v>1900</v>
      </c>
      <c r="QQ119" t="s">
        <v>1900</v>
      </c>
      <c r="QR119" t="s">
        <v>1900</v>
      </c>
      <c r="QS119" t="s">
        <v>1900</v>
      </c>
      <c r="QT119" t="s">
        <v>1900</v>
      </c>
      <c r="QU119" t="s">
        <v>1900</v>
      </c>
      <c r="QV119" t="s">
        <v>1900</v>
      </c>
      <c r="QW119" t="s">
        <v>1900</v>
      </c>
      <c r="QX119" t="s">
        <v>1900</v>
      </c>
      <c r="QY119" t="s">
        <v>1900</v>
      </c>
      <c r="QZ119" t="s">
        <v>1900</v>
      </c>
      <c r="RA119" t="s">
        <v>1900</v>
      </c>
      <c r="RB119" t="s">
        <v>1900</v>
      </c>
      <c r="RC119" t="s">
        <v>1900</v>
      </c>
      <c r="RD119" t="s">
        <v>1900</v>
      </c>
      <c r="RE119" t="s">
        <v>1900</v>
      </c>
      <c r="RF119" t="s">
        <v>1900</v>
      </c>
      <c r="RG119" t="s">
        <v>1900</v>
      </c>
      <c r="RH119" t="s">
        <v>1900</v>
      </c>
      <c r="RI119" t="s">
        <v>1900</v>
      </c>
      <c r="RJ119" t="s">
        <v>1900</v>
      </c>
      <c r="RK119" t="s">
        <v>1900</v>
      </c>
      <c r="RL119" t="s">
        <v>1900</v>
      </c>
      <c r="RM119" t="s">
        <v>1900</v>
      </c>
      <c r="RN119" t="s">
        <v>1900</v>
      </c>
      <c r="RO119" t="s">
        <v>1900</v>
      </c>
      <c r="RP119" t="s">
        <v>1900</v>
      </c>
      <c r="RQ119" t="s">
        <v>1900</v>
      </c>
      <c r="RR119" t="s">
        <v>1900</v>
      </c>
      <c r="RS119" t="s">
        <v>1900</v>
      </c>
      <c r="RT119" t="s">
        <v>1900</v>
      </c>
      <c r="RU119" t="s">
        <v>1900</v>
      </c>
      <c r="RV119" t="s">
        <v>1900</v>
      </c>
      <c r="RW119" t="s">
        <v>1900</v>
      </c>
      <c r="RX119" t="s">
        <v>1900</v>
      </c>
      <c r="RY119" t="s">
        <v>1900</v>
      </c>
      <c r="RZ119" t="s">
        <v>1900</v>
      </c>
      <c r="SA119" t="s">
        <v>1900</v>
      </c>
      <c r="SB119" t="s">
        <v>1900</v>
      </c>
      <c r="SC119" t="s">
        <v>1900</v>
      </c>
      <c r="SD119" t="s">
        <v>1900</v>
      </c>
      <c r="SE119" t="s">
        <v>1900</v>
      </c>
      <c r="SF119" t="s">
        <v>1900</v>
      </c>
      <c r="SG119" t="s">
        <v>1900</v>
      </c>
      <c r="SH119" t="s">
        <v>1900</v>
      </c>
      <c r="SI119" t="s">
        <v>1900</v>
      </c>
      <c r="SJ119">
        <v>972012.071759343</v>
      </c>
      <c r="SK119">
        <v>622179.424476481</v>
      </c>
      <c r="SL119">
        <v>1020937.29756653</v>
      </c>
      <c r="SM119">
        <v>1333781.83487892</v>
      </c>
      <c r="SN119">
        <v>1485368.11608136</v>
      </c>
      <c r="SO119" t="s">
        <v>1900</v>
      </c>
      <c r="SP119" t="s">
        <v>1900</v>
      </c>
      <c r="SQ119" t="s">
        <v>1900</v>
      </c>
      <c r="SR119" t="s">
        <v>1900</v>
      </c>
      <c r="SS119" t="s">
        <v>1900</v>
      </c>
      <c r="ST119" t="s">
        <v>1900</v>
      </c>
      <c r="SU119" t="s">
        <v>1900</v>
      </c>
      <c r="SV119" t="s">
        <v>1900</v>
      </c>
      <c r="SW119" t="s">
        <v>1900</v>
      </c>
      <c r="SX119" t="s">
        <v>1900</v>
      </c>
      <c r="SY119" t="s">
        <v>1900</v>
      </c>
      <c r="SZ119" t="s">
        <v>1900</v>
      </c>
      <c r="TA119" t="s">
        <v>1900</v>
      </c>
      <c r="TB119" t="s">
        <v>1900</v>
      </c>
      <c r="TC119" t="s">
        <v>1900</v>
      </c>
      <c r="TD119" t="s">
        <v>1900</v>
      </c>
      <c r="TE119" t="s">
        <v>1900</v>
      </c>
      <c r="TF119" t="s">
        <v>1900</v>
      </c>
      <c r="TG119" t="s">
        <v>1900</v>
      </c>
      <c r="TH119" t="s">
        <v>1900</v>
      </c>
      <c r="TI119" t="s">
        <v>1900</v>
      </c>
      <c r="TJ119" t="s">
        <v>1900</v>
      </c>
      <c r="TK119" t="s">
        <v>1900</v>
      </c>
      <c r="TL119" t="s">
        <v>1900</v>
      </c>
      <c r="TM119" t="s">
        <v>1900</v>
      </c>
      <c r="TN119" t="s">
        <v>1900</v>
      </c>
      <c r="TO119" t="s">
        <v>1900</v>
      </c>
      <c r="TP119" t="s">
        <v>1900</v>
      </c>
      <c r="TQ119" t="s">
        <v>1900</v>
      </c>
      <c r="TR119" t="s">
        <v>1900</v>
      </c>
      <c r="TS119">
        <v>9137897.520182971</v>
      </c>
      <c r="TT119">
        <v>4881433.58257741</v>
      </c>
      <c r="TU119">
        <v>4335211.75221741</v>
      </c>
      <c r="TV119">
        <v>5963870.01339912</v>
      </c>
      <c r="TW119">
        <v>6527605.03439367</v>
      </c>
      <c r="TX119" t="s">
        <v>1900</v>
      </c>
      <c r="TY119" t="s">
        <v>1900</v>
      </c>
      <c r="TZ119" t="s">
        <v>1900</v>
      </c>
      <c r="UA119" t="s">
        <v>1900</v>
      </c>
      <c r="UB119" t="s">
        <v>1900</v>
      </c>
      <c r="UC119">
        <v>2746518.97718918</v>
      </c>
      <c r="UD119">
        <v>1607476.2664156</v>
      </c>
      <c r="UE119">
        <v>758839.672117829</v>
      </c>
      <c r="UF119">
        <v>875091.168959141</v>
      </c>
      <c r="UG119">
        <v>269529.906921387</v>
      </c>
      <c r="UH119" t="s">
        <v>1900</v>
      </c>
      <c r="UI119" t="s">
        <v>1900</v>
      </c>
      <c r="UJ119" t="s">
        <v>1900</v>
      </c>
      <c r="UK119" t="s">
        <v>1900</v>
      </c>
      <c r="UL119" t="s">
        <v>1900</v>
      </c>
      <c r="UM119" t="s">
        <v>1900</v>
      </c>
      <c r="UN119" t="s">
        <v>1900</v>
      </c>
      <c r="UO119" t="s">
        <v>1900</v>
      </c>
      <c r="UP119" t="s">
        <v>1900</v>
      </c>
      <c r="UQ119" t="s">
        <v>1900</v>
      </c>
      <c r="UR119" t="s">
        <v>1900</v>
      </c>
      <c r="US119" t="s">
        <v>1900</v>
      </c>
      <c r="UT119" t="s">
        <v>1900</v>
      </c>
      <c r="UU119" t="s">
        <v>1900</v>
      </c>
      <c r="UV119" t="s">
        <v>1900</v>
      </c>
      <c r="UW119" t="s">
        <v>1900</v>
      </c>
      <c r="UX119" t="s">
        <v>1900</v>
      </c>
      <c r="UY119" t="s">
        <v>1900</v>
      </c>
      <c r="UZ119" t="s">
        <v>1900</v>
      </c>
      <c r="VA119" t="s">
        <v>1900</v>
      </c>
      <c r="VB119" t="s">
        <v>1900</v>
      </c>
      <c r="VC119" t="s">
        <v>1900</v>
      </c>
      <c r="VD119" t="s">
        <v>1900</v>
      </c>
      <c r="VE119" t="s">
        <v>1900</v>
      </c>
      <c r="VF119" t="s">
        <v>1900</v>
      </c>
      <c r="VG119" t="s">
        <v>1900</v>
      </c>
      <c r="VH119" t="s">
        <v>1900</v>
      </c>
      <c r="VI119" t="s">
        <v>1900</v>
      </c>
      <c r="VJ119" t="s">
        <v>1900</v>
      </c>
      <c r="VK119" t="s">
        <v>1900</v>
      </c>
      <c r="VL119" t="s">
        <v>1900</v>
      </c>
      <c r="VM119" t="s">
        <v>1900</v>
      </c>
      <c r="VN119" t="s">
        <v>1900</v>
      </c>
      <c r="VO119" t="s">
        <v>1900</v>
      </c>
      <c r="VP119" t="s">
        <v>1900</v>
      </c>
      <c r="VQ119" t="s">
        <v>1900</v>
      </c>
      <c r="VR119" t="s">
        <v>1900</v>
      </c>
      <c r="VS119" t="s">
        <v>1900</v>
      </c>
      <c r="VT119" t="s">
        <v>1900</v>
      </c>
      <c r="VU119" t="s">
        <v>1900</v>
      </c>
      <c r="VV119" t="s">
        <v>1900</v>
      </c>
      <c r="VW119" t="s">
        <v>1900</v>
      </c>
      <c r="VX119" t="s">
        <v>1900</v>
      </c>
      <c r="VY119" t="s">
        <v>1900</v>
      </c>
      <c r="VZ119" t="s">
        <v>1900</v>
      </c>
      <c r="WA119">
        <v>2793275.68992698</v>
      </c>
      <c r="WB119">
        <v>1008817.2857948</v>
      </c>
      <c r="WC119">
        <v>608087.567046881</v>
      </c>
      <c r="WD119">
        <v>525432.536838055</v>
      </c>
      <c r="WE119">
        <v>809754.23799932</v>
      </c>
      <c r="WF119" t="s">
        <v>1900</v>
      </c>
      <c r="WG119" t="s">
        <v>1900</v>
      </c>
      <c r="WH119" t="s">
        <v>1900</v>
      </c>
      <c r="WI119" t="s">
        <v>1900</v>
      </c>
      <c r="WJ119" t="s">
        <v>1900</v>
      </c>
      <c r="WK119" t="s">
        <v>1900</v>
      </c>
      <c r="WL119" t="s">
        <v>1900</v>
      </c>
      <c r="WM119" t="s">
        <v>1900</v>
      </c>
      <c r="WN119" t="s">
        <v>1900</v>
      </c>
      <c r="WO119" t="s">
        <v>1900</v>
      </c>
      <c r="WP119" t="s">
        <v>1900</v>
      </c>
      <c r="WQ119" t="s">
        <v>1900</v>
      </c>
      <c r="WR119" t="s">
        <v>1900</v>
      </c>
      <c r="WS119" t="s">
        <v>1900</v>
      </c>
      <c r="WT119" t="s">
        <v>1900</v>
      </c>
      <c r="WU119" t="s">
        <v>1900</v>
      </c>
      <c r="WV119" t="s">
        <v>1900</v>
      </c>
      <c r="WW119" t="s">
        <v>1900</v>
      </c>
      <c r="WX119" t="s">
        <v>1900</v>
      </c>
      <c r="WY119" t="s">
        <v>1900</v>
      </c>
      <c r="WZ119" t="s">
        <v>1900</v>
      </c>
      <c r="XA119" t="s">
        <v>1900</v>
      </c>
      <c r="XB119" t="s">
        <v>1900</v>
      </c>
      <c r="XC119" t="s">
        <v>1900</v>
      </c>
      <c r="XD119" t="s">
        <v>1900</v>
      </c>
      <c r="XE119" t="s">
        <v>1900</v>
      </c>
      <c r="XF119" t="s">
        <v>1900</v>
      </c>
      <c r="XG119" t="s">
        <v>1900</v>
      </c>
      <c r="XH119" t="s">
        <v>1900</v>
      </c>
      <c r="XI119" t="s">
        <v>1900</v>
      </c>
      <c r="XJ119">
        <v>29093.3427433968</v>
      </c>
      <c r="XK119">
        <v>25792.4022253132</v>
      </c>
      <c r="XL119">
        <v>33913.5973286629</v>
      </c>
      <c r="XM119">
        <v>44614.258711338</v>
      </c>
      <c r="XN119">
        <v>58408.6995536089</v>
      </c>
      <c r="XO119" t="s">
        <v>1900</v>
      </c>
      <c r="XP119" t="s">
        <v>1900</v>
      </c>
      <c r="XQ119" t="s">
        <v>1900</v>
      </c>
      <c r="XR119" t="s">
        <v>1900</v>
      </c>
      <c r="XS119" t="s">
        <v>1900</v>
      </c>
      <c r="XT119" t="s">
        <v>1900</v>
      </c>
      <c r="XU119" t="s">
        <v>1900</v>
      </c>
      <c r="XV119" t="s">
        <v>1900</v>
      </c>
      <c r="XW119" t="s">
        <v>1900</v>
      </c>
      <c r="XX119" t="s">
        <v>1900</v>
      </c>
      <c r="XY119" t="s">
        <v>1900</v>
      </c>
      <c r="XZ119" t="s">
        <v>1900</v>
      </c>
      <c r="YA119" t="s">
        <v>1900</v>
      </c>
      <c r="YB119" t="s">
        <v>1900</v>
      </c>
      <c r="YC119" t="s">
        <v>1900</v>
      </c>
      <c r="YD119" t="s">
        <v>1900</v>
      </c>
      <c r="YE119" t="s">
        <v>1900</v>
      </c>
      <c r="YF119" t="s">
        <v>1900</v>
      </c>
      <c r="YG119" t="s">
        <v>1900</v>
      </c>
      <c r="YH119" t="s">
        <v>1900</v>
      </c>
      <c r="YI119" t="s">
        <v>1900</v>
      </c>
      <c r="YJ119" t="s">
        <v>1900</v>
      </c>
      <c r="YK119" t="s">
        <v>1900</v>
      </c>
      <c r="YL119" t="s">
        <v>1900</v>
      </c>
      <c r="YM119" t="s">
        <v>1900</v>
      </c>
      <c r="YN119" t="s">
        <v>1900</v>
      </c>
      <c r="YO119" t="s">
        <v>1900</v>
      </c>
      <c r="YP119" t="s">
        <v>1900</v>
      </c>
      <c r="YQ119" t="s">
        <v>1900</v>
      </c>
      <c r="YR119" t="s">
        <v>1900</v>
      </c>
      <c r="YS119" t="s">
        <v>1900</v>
      </c>
      <c r="YT119" t="s">
        <v>1900</v>
      </c>
      <c r="YU119" t="s">
        <v>1900</v>
      </c>
      <c r="YV119" t="s">
        <v>1900</v>
      </c>
      <c r="YW119" t="s">
        <v>1900</v>
      </c>
      <c r="YX119" t="s">
        <v>1900</v>
      </c>
      <c r="YY119" t="s">
        <v>1900</v>
      </c>
      <c r="YZ119" t="s">
        <v>1900</v>
      </c>
      <c r="ZA119" t="s">
        <v>1900</v>
      </c>
      <c r="ZB119" t="s">
        <v>1900</v>
      </c>
      <c r="ZC119" t="s">
        <v>1900</v>
      </c>
      <c r="ZD119" t="s">
        <v>1900</v>
      </c>
      <c r="ZE119" t="s">
        <v>1900</v>
      </c>
      <c r="ZF119" t="s">
        <v>1900</v>
      </c>
      <c r="ZG119" t="s">
        <v>1900</v>
      </c>
      <c r="ZH119" t="s">
        <v>1900</v>
      </c>
      <c r="ZI119" t="s">
        <v>1900</v>
      </c>
      <c r="ZJ119" t="s">
        <v>1900</v>
      </c>
      <c r="ZK119" t="s">
        <v>1900</v>
      </c>
      <c r="ZL119" t="s">
        <v>1900</v>
      </c>
      <c r="ZM119" t="s">
        <v>1900</v>
      </c>
      <c r="ZN119" t="s">
        <v>1900</v>
      </c>
      <c r="ZO119" t="s">
        <v>1900</v>
      </c>
      <c r="ZP119" t="s">
        <v>1900</v>
      </c>
      <c r="ZQ119" t="s">
        <v>1900</v>
      </c>
      <c r="ZR119" t="s">
        <v>1900</v>
      </c>
      <c r="ZS119" t="s">
        <v>1900</v>
      </c>
      <c r="ZT119" t="s">
        <v>1900</v>
      </c>
      <c r="ZU119" t="s">
        <v>1900</v>
      </c>
      <c r="ZV119" t="s">
        <v>1900</v>
      </c>
      <c r="ZW119" t="s">
        <v>1900</v>
      </c>
      <c r="ZX119" t="s">
        <v>1900</v>
      </c>
      <c r="ZY119" t="s">
        <v>1900</v>
      </c>
      <c r="ZZ119" t="s">
        <v>1900</v>
      </c>
      <c r="AAA119" t="s">
        <v>1900</v>
      </c>
      <c r="AAB119" t="s">
        <v>1900</v>
      </c>
      <c r="AAC119" t="s">
        <v>1900</v>
      </c>
      <c r="AAD119" t="s">
        <v>1900</v>
      </c>
      <c r="AAE119" t="s">
        <v>1900</v>
      </c>
      <c r="AAF119" t="s">
        <v>1900</v>
      </c>
      <c r="AAG119" t="s">
        <v>1900</v>
      </c>
      <c r="AAH119" t="s">
        <v>1900</v>
      </c>
      <c r="AAI119" t="s">
        <v>1900</v>
      </c>
      <c r="AAJ119" t="s">
        <v>1900</v>
      </c>
      <c r="AAK119" t="s">
        <v>1900</v>
      </c>
      <c r="AAL119" t="s">
        <v>1900</v>
      </c>
      <c r="AAM119" t="s">
        <v>1900</v>
      </c>
      <c r="AAN119" t="s">
        <v>1900</v>
      </c>
      <c r="AAO119" t="s">
        <v>1900</v>
      </c>
      <c r="AAP119" t="s">
        <v>1900</v>
      </c>
      <c r="AAQ119" t="s">
        <v>1900</v>
      </c>
      <c r="AAR119" t="s">
        <v>1900</v>
      </c>
      <c r="AAS119" t="s">
        <v>1900</v>
      </c>
      <c r="AAT119" t="s">
        <v>1900</v>
      </c>
      <c r="AAU119" t="s">
        <v>1900</v>
      </c>
      <c r="AAV119" t="s">
        <v>1900</v>
      </c>
      <c r="AAW119" t="s">
        <v>1900</v>
      </c>
      <c r="AAX119" t="s">
        <v>1900</v>
      </c>
      <c r="AAY119" t="s">
        <v>1900</v>
      </c>
      <c r="AAZ119" t="s">
        <v>1900</v>
      </c>
      <c r="ABA119" t="s">
        <v>1900</v>
      </c>
      <c r="ABB119" t="s">
        <v>1900</v>
      </c>
      <c r="ABC119" t="s">
        <v>1900</v>
      </c>
      <c r="ABD119" t="s">
        <v>1900</v>
      </c>
      <c r="ABE119" t="s">
        <v>1900</v>
      </c>
      <c r="ABF119" t="s">
        <v>1900</v>
      </c>
      <c r="ABG119" t="s">
        <v>1900</v>
      </c>
      <c r="ABH119" t="s">
        <v>1900</v>
      </c>
      <c r="ABI119" t="s">
        <v>1900</v>
      </c>
      <c r="ABJ119" t="s">
        <v>1900</v>
      </c>
      <c r="ABK119" t="s">
        <v>1900</v>
      </c>
      <c r="ABL119" t="s">
        <v>1900</v>
      </c>
      <c r="ABM119" t="s">
        <v>1900</v>
      </c>
      <c r="ABN119" t="s">
        <v>1900</v>
      </c>
      <c r="ABO119" t="s">
        <v>1900</v>
      </c>
      <c r="ABP119" t="s">
        <v>1900</v>
      </c>
      <c r="ABQ119" t="s">
        <v>1900</v>
      </c>
      <c r="ABR119" t="s">
        <v>1900</v>
      </c>
      <c r="ABS119" t="s">
        <v>1900</v>
      </c>
      <c r="ABT119" t="s">
        <v>1900</v>
      </c>
      <c r="ABU119" t="s">
        <v>1900</v>
      </c>
      <c r="ABV119" t="s">
        <v>1900</v>
      </c>
      <c r="ABW119" t="s">
        <v>1900</v>
      </c>
      <c r="ABX119" t="s">
        <v>1900</v>
      </c>
      <c r="ABY119" t="s">
        <v>1900</v>
      </c>
      <c r="ABZ119" t="s">
        <v>1900</v>
      </c>
      <c r="ACA119" t="s">
        <v>1900</v>
      </c>
      <c r="ACB119" t="s">
        <v>1900</v>
      </c>
      <c r="ACC119" t="s">
        <v>1900</v>
      </c>
      <c r="ACD119" t="s">
        <v>1900</v>
      </c>
      <c r="ACE119">
        <v>38.142</v>
      </c>
      <c r="ACF119">
        <v>27.086</v>
      </c>
      <c r="ACG119">
        <v>52.64</v>
      </c>
      <c r="ACH119">
        <v>18.182</v>
      </c>
      <c r="ACI119">
        <v>7.142</v>
      </c>
      <c r="ACJ119">
        <v>14.66</v>
      </c>
      <c r="ACK119">
        <v>10.779</v>
      </c>
      <c r="ACL119">
        <v>10.332</v>
      </c>
      <c r="ACM119">
        <v>2.176</v>
      </c>
      <c r="ACN119">
        <v>1.65</v>
      </c>
      <c r="ACO119">
        <v>3.692</v>
      </c>
      <c r="ACP119">
        <v>3.414</v>
      </c>
      <c r="ACQ119">
        <v>6.058</v>
      </c>
      <c r="ACR119">
        <v>1.067</v>
      </c>
      <c r="ACS119">
        <v>0.985</v>
      </c>
      <c r="ACT119">
        <v>34.444</v>
      </c>
      <c r="ACU119">
        <v>20.265</v>
      </c>
      <c r="ACV119">
        <v>39.457</v>
      </c>
      <c r="ACW119">
        <v>13.619</v>
      </c>
      <c r="ACX119">
        <v>5.587</v>
      </c>
      <c r="ACY119">
        <v>13.692</v>
      </c>
      <c r="ACZ119">
        <v>8.657</v>
      </c>
      <c r="ADA119">
        <v>7.889</v>
      </c>
      <c r="ADB119">
        <v>1.794</v>
      </c>
      <c r="ADC119">
        <v>1.385</v>
      </c>
      <c r="ADD119">
        <v>3.334</v>
      </c>
      <c r="ADE119">
        <v>2.554</v>
      </c>
      <c r="ADF119">
        <v>4.541</v>
      </c>
      <c r="ADG119">
        <v>0.8</v>
      </c>
      <c r="ADH119">
        <v>0.771</v>
      </c>
      <c r="ADI119">
        <v>3.968</v>
      </c>
      <c r="ADJ119">
        <v>2.396</v>
      </c>
      <c r="ADK119">
        <v>4.394</v>
      </c>
      <c r="ADL119">
        <v>1.133</v>
      </c>
      <c r="ADM119">
        <v>1.208</v>
      </c>
      <c r="ADN119">
        <v>83.92</v>
      </c>
      <c r="ADO119">
        <v>87.68899999999999</v>
      </c>
      <c r="ADP119">
        <v>84.006</v>
      </c>
      <c r="ADQ119">
        <v>87.59099999999999</v>
      </c>
      <c r="ADR119">
        <v>85.758</v>
      </c>
      <c r="ADS119">
        <v>6.724747417</v>
      </c>
      <c r="ADT119">
        <v>3.59059749</v>
      </c>
      <c r="ADU119">
        <v>4.590793893</v>
      </c>
      <c r="ADV119">
        <v>1.634459397</v>
      </c>
      <c r="ADW119">
        <v>1.654941846</v>
      </c>
      <c r="ADX119">
        <v>8.577</v>
      </c>
      <c r="ADY119">
        <v>6.077</v>
      </c>
      <c r="ADZ119">
        <v>7.631</v>
      </c>
      <c r="AEA119">
        <v>5.306</v>
      </c>
      <c r="AEB119">
        <v>4.78</v>
      </c>
      <c r="AEC119">
        <v>6.725</v>
      </c>
      <c r="AED119">
        <v>3.591</v>
      </c>
      <c r="AEE119">
        <v>4.591</v>
      </c>
      <c r="AEF119">
        <v>1.634</v>
      </c>
      <c r="AEG119">
        <v>1.655</v>
      </c>
      <c r="AEH119">
        <v>5.436</v>
      </c>
      <c r="AEI119">
        <v>4.278</v>
      </c>
      <c r="AEJ119">
        <v>6.334</v>
      </c>
      <c r="AEK119">
        <v>4.52</v>
      </c>
      <c r="AEL119">
        <v>4.07</v>
      </c>
      <c r="AEM119">
        <v>7.209572991</v>
      </c>
      <c r="AEN119">
        <v>3.724322936</v>
      </c>
      <c r="AEO119">
        <v>4.8116886</v>
      </c>
      <c r="AEP119">
        <v>1.661617867</v>
      </c>
      <c r="AEQ119">
        <v>1.68279106</v>
      </c>
      <c r="AER119">
        <v>1.087113792</v>
      </c>
      <c r="AES119">
        <v>1.04269538</v>
      </c>
      <c r="AET119">
        <v>1.057807582</v>
      </c>
      <c r="AEU119">
        <v>1.019015035</v>
      </c>
      <c r="AEV119">
        <v>1.01967747</v>
      </c>
      <c r="AEW119" t="s">
        <v>1900</v>
      </c>
      <c r="AEX119" t="s">
        <v>1900</v>
      </c>
      <c r="AEY119" t="s">
        <v>1900</v>
      </c>
      <c r="AEZ119" t="s">
        <v>1900</v>
      </c>
      <c r="AFA119" t="s">
        <v>1900</v>
      </c>
      <c r="AFB119" t="s">
        <v>1900</v>
      </c>
      <c r="AFC119" t="s">
        <v>1900</v>
      </c>
      <c r="AFD119" t="s">
        <v>1900</v>
      </c>
      <c r="AFE119" t="s">
        <v>1900</v>
      </c>
      <c r="AFF119" t="s">
        <v>1900</v>
      </c>
      <c r="AFG119">
        <v>2.517</v>
      </c>
      <c r="AFH119">
        <v>3.517</v>
      </c>
      <c r="AFI119">
        <v>2.22</v>
      </c>
      <c r="AFJ119">
        <v>1.343</v>
      </c>
      <c r="AFK119">
        <v>1.01</v>
      </c>
      <c r="AFL119">
        <v>3.625</v>
      </c>
      <c r="AFM119">
        <v>5.367</v>
      </c>
      <c r="AFN119">
        <v>17.643</v>
      </c>
      <c r="AFO119">
        <v>3.348</v>
      </c>
      <c r="AFP119">
        <v>3.88</v>
      </c>
      <c r="AFQ119" t="s">
        <v>1901</v>
      </c>
      <c r="AFR119" t="s">
        <v>1901</v>
      </c>
      <c r="AFS119" t="s">
        <v>1901</v>
      </c>
      <c r="AFT119" t="s">
        <v>1901</v>
      </c>
      <c r="AFU119" t="s">
        <v>1901</v>
      </c>
      <c r="AFV119">
        <v>310.846</v>
      </c>
      <c r="AFW119">
        <v>179.003</v>
      </c>
      <c r="AFX119">
        <v>145.967</v>
      </c>
      <c r="AFY119">
        <v>224.436</v>
      </c>
      <c r="AFZ119">
        <v>184.65</v>
      </c>
      <c r="AGA119">
        <v>9.348000000000001</v>
      </c>
      <c r="AGB119">
        <v>14.867</v>
      </c>
      <c r="AGC119">
        <v>16.603</v>
      </c>
      <c r="AGD119">
        <v>24.117</v>
      </c>
      <c r="AGE119">
        <v>11.991</v>
      </c>
      <c r="AGF119" t="s">
        <v>1900</v>
      </c>
      <c r="AGG119" t="s">
        <v>1900</v>
      </c>
      <c r="AGH119" t="s">
        <v>1900</v>
      </c>
      <c r="AGI119" t="s">
        <v>1900</v>
      </c>
      <c r="AGJ119" t="s">
        <v>1900</v>
      </c>
      <c r="AGK119" t="s">
        <v>1900</v>
      </c>
      <c r="AGL119" t="s">
        <v>1900</v>
      </c>
      <c r="AGM119" t="s">
        <v>1900</v>
      </c>
      <c r="AGN119" t="s">
        <v>1900</v>
      </c>
      <c r="AGO119" t="s">
        <v>1900</v>
      </c>
      <c r="AGP119" t="s">
        <v>1900</v>
      </c>
      <c r="AGQ119" t="s">
        <v>1900</v>
      </c>
      <c r="AGR119" t="s">
        <v>1900</v>
      </c>
      <c r="AGS119" t="s">
        <v>1900</v>
      </c>
      <c r="AGT119" t="s">
        <v>1900</v>
      </c>
      <c r="AGU119">
        <v>0</v>
      </c>
      <c r="AGV119">
        <v>0</v>
      </c>
      <c r="AGW119">
        <v>0</v>
      </c>
      <c r="AGX119">
        <v>0</v>
      </c>
      <c r="AGY119">
        <v>0</v>
      </c>
      <c r="AGZ119">
        <v>1.297</v>
      </c>
      <c r="AHA119">
        <v>1.248</v>
      </c>
      <c r="AHB119">
        <v>1.544</v>
      </c>
      <c r="AHC119">
        <v>2.034</v>
      </c>
      <c r="AHD119">
        <v>3.002</v>
      </c>
      <c r="AHE119">
        <v>1.297</v>
      </c>
      <c r="AHF119">
        <v>1.248</v>
      </c>
      <c r="AHG119">
        <v>1.544</v>
      </c>
      <c r="AHH119">
        <v>2.034</v>
      </c>
      <c r="AHI119">
        <v>3.002</v>
      </c>
      <c r="AHJ119">
        <v>0.355</v>
      </c>
      <c r="AHK119">
        <v>0.452</v>
      </c>
      <c r="AHL119">
        <v>0.227</v>
      </c>
      <c r="AHM119">
        <v>0.091</v>
      </c>
      <c r="AHN119">
        <v>0.206</v>
      </c>
      <c r="AHO119">
        <v>9.68</v>
      </c>
      <c r="AHP119">
        <v>12.604</v>
      </c>
      <c r="AHQ119">
        <v>11.509</v>
      </c>
      <c r="AHR119">
        <v>5.871</v>
      </c>
      <c r="AHS119">
        <v>13.792</v>
      </c>
      <c r="AHT119">
        <v>10.718</v>
      </c>
      <c r="AHU119">
        <v>14.422</v>
      </c>
      <c r="AHV119">
        <v>13.006</v>
      </c>
      <c r="AHW119">
        <v>6.237</v>
      </c>
      <c r="AHX119">
        <v>15.999</v>
      </c>
      <c r="AHY119">
        <v>592.304</v>
      </c>
      <c r="AHZ119">
        <v>482.726</v>
      </c>
      <c r="AIA119">
        <v>591.749</v>
      </c>
      <c r="AIB119" t="s">
        <v>1901</v>
      </c>
      <c r="AIC119">
        <v>515.423</v>
      </c>
      <c r="AID119">
        <v>10.637152251</v>
      </c>
      <c r="AIE119">
        <v>12.745834066</v>
      </c>
      <c r="AIF119">
        <v>23.549883049</v>
      </c>
      <c r="AIG119">
        <v>22.364367967</v>
      </c>
      <c r="AIH119">
        <v>22.755177561</v>
      </c>
      <c r="AII119">
        <v>1.432749259</v>
      </c>
      <c r="AIJ119">
        <v>3.39040383</v>
      </c>
      <c r="AIK119">
        <v>2.614701821</v>
      </c>
      <c r="AIL119">
        <v>1.845035479</v>
      </c>
      <c r="AIM119">
        <v>15.9751941</v>
      </c>
      <c r="AIN119">
        <v>30.568034756</v>
      </c>
      <c r="AIO119">
        <v>20.666414256</v>
      </c>
      <c r="AIP119">
        <v>14.026709693</v>
      </c>
      <c r="AIQ119">
        <v>8.810261385</v>
      </c>
      <c r="AIR119">
        <v>12.405074047</v>
      </c>
      <c r="AIS119">
        <v>0</v>
      </c>
      <c r="AIT119">
        <v>0</v>
      </c>
      <c r="AIU119">
        <v>0</v>
      </c>
      <c r="AIV119">
        <v>0</v>
      </c>
      <c r="AIW119">
        <v>0</v>
      </c>
      <c r="AIX119">
        <v>3.18294301302958</v>
      </c>
      <c r="AIY119">
        <v>1.81143946795177</v>
      </c>
      <c r="AIZ119">
        <v>3.16442042634904</v>
      </c>
      <c r="AJA119">
        <v>0.757830793926716</v>
      </c>
      <c r="AJB119">
        <v>0.747688782533407</v>
      </c>
      <c r="AJC119">
        <v>80.20646461486</v>
      </c>
      <c r="AJD119">
        <v>75.6170138159866</v>
      </c>
      <c r="AJE119">
        <v>72.01219720361171</v>
      </c>
      <c r="AJF119">
        <v>66.9151451741123</v>
      </c>
      <c r="AJG119">
        <v>61.8761545382875</v>
      </c>
      <c r="AJH119">
        <v>65.41500000000001</v>
      </c>
      <c r="AJI119">
        <v>70.495</v>
      </c>
      <c r="AJJ119">
        <v>66.26600000000001</v>
      </c>
      <c r="AJK119">
        <v>73.217</v>
      </c>
      <c r="AJL119">
        <v>74.502</v>
      </c>
      <c r="AJM119">
        <v>52.466730055792</v>
      </c>
      <c r="AJN119">
        <v>53.3064062732601</v>
      </c>
      <c r="AJO119">
        <v>47.7194808493656</v>
      </c>
      <c r="AJP119">
        <v>48.9933637943244</v>
      </c>
      <c r="AJQ119">
        <v>46.0992247252703</v>
      </c>
      <c r="AJR119">
        <v>8.344931473101621</v>
      </c>
      <c r="AJS119">
        <v>6.68767405634594</v>
      </c>
      <c r="AJT119">
        <v>6.01143151098728</v>
      </c>
      <c r="AJU119">
        <v>4.16804954609156</v>
      </c>
      <c r="AJV119">
        <v>10.468512968871</v>
      </c>
      <c r="AJW119">
        <v>67.1726377157224</v>
      </c>
      <c r="AJX119">
        <v>34.4761955874929</v>
      </c>
      <c r="AJY119">
        <v>25.8773482815588</v>
      </c>
      <c r="AJZ119">
        <v>37.2344910755682</v>
      </c>
      <c r="AKA119">
        <v>29.676298302862</v>
      </c>
      <c r="AKB119">
        <v>86.2065800850564</v>
      </c>
      <c r="AKC119">
        <v>53.0590607522545</v>
      </c>
      <c r="AKD119">
        <v>52.231466534369</v>
      </c>
      <c r="AKE119">
        <v>70.99845243259909</v>
      </c>
      <c r="AKF119">
        <v>75.9023842350054</v>
      </c>
      <c r="AKG119">
        <v>0</v>
      </c>
      <c r="AKH119">
        <v>0</v>
      </c>
      <c r="AKI119">
        <v>0</v>
      </c>
      <c r="AKJ119">
        <v>0</v>
      </c>
      <c r="AKK119">
        <v>0</v>
      </c>
      <c r="AKL119">
        <v>0</v>
      </c>
      <c r="AKM119">
        <v>0</v>
      </c>
      <c r="AKN119">
        <v>0</v>
      </c>
      <c r="AKO119">
        <v>0</v>
      </c>
      <c r="AKP119">
        <v>0</v>
      </c>
      <c r="AKQ119">
        <v>0</v>
      </c>
      <c r="AKR119">
        <v>0</v>
      </c>
      <c r="AKS119">
        <v>0</v>
      </c>
      <c r="AKT119">
        <v>0</v>
      </c>
      <c r="AKU119">
        <v>0</v>
      </c>
      <c r="AKV119">
        <v>7.847414368</v>
      </c>
      <c r="AKW119">
        <v>8.520063788</v>
      </c>
      <c r="AKX119">
        <v>12.053102519</v>
      </c>
      <c r="AKY119">
        <v>16.411411051</v>
      </c>
      <c r="AKZ119">
        <v>21.18557085</v>
      </c>
      <c r="ALA119">
        <v>7.301221829</v>
      </c>
      <c r="ALB119">
        <v>12.14235182</v>
      </c>
      <c r="ALC119">
        <v>16.617767868</v>
      </c>
      <c r="ALD119">
        <v>15.467547749</v>
      </c>
      <c r="ALE119">
        <v>17.270625417</v>
      </c>
      <c r="ALF119">
        <v>0.314386827</v>
      </c>
      <c r="ALG119">
        <v>0.602596463</v>
      </c>
      <c r="ALH119">
        <v>0.954280683</v>
      </c>
      <c r="ALI119">
        <v>1.660694571</v>
      </c>
      <c r="ALJ119">
        <v>2.681200878</v>
      </c>
      <c r="ALK119">
        <v>0.292505003</v>
      </c>
      <c r="ALL119">
        <v>0.858789141</v>
      </c>
      <c r="ALM119">
        <v>1.315679083</v>
      </c>
      <c r="ALN119">
        <v>1.56518367</v>
      </c>
      <c r="ALO119">
        <v>2.185733694</v>
      </c>
      <c r="ALP119">
        <v>86.346205051</v>
      </c>
      <c r="ALQ119">
        <v>49.722991156</v>
      </c>
      <c r="ALR119">
        <v>40.546489687</v>
      </c>
      <c r="ALS119">
        <v>62.343397471</v>
      </c>
      <c r="ALT119">
        <v>51.291598092</v>
      </c>
      <c r="ALU119">
        <v>3.007139356</v>
      </c>
      <c r="ALV119">
        <v>8.305652299</v>
      </c>
      <c r="ALW119">
        <v>11.374142055</v>
      </c>
      <c r="ALX119">
        <v>10.74541529</v>
      </c>
      <c r="ALY119">
        <v>6.493849229</v>
      </c>
      <c r="ALZ119">
        <v>83.9197272479214</v>
      </c>
      <c r="AMA119">
        <v>87.68863179130381</v>
      </c>
      <c r="AMB119">
        <v>84.0058767244096</v>
      </c>
      <c r="AMC119">
        <v>87.5906216708582</v>
      </c>
      <c r="AMD119">
        <v>85.7583268823185</v>
      </c>
      <c r="AME119">
        <v>93.11578153543149</v>
      </c>
      <c r="AMF119" t="s">
        <v>1901</v>
      </c>
      <c r="AMG119" t="s">
        <v>1901</v>
      </c>
      <c r="AMH119" t="s">
        <v>1901</v>
      </c>
      <c r="AMI119" t="s">
        <v>1901</v>
      </c>
      <c r="AMJ119">
        <v>521.879998814533</v>
      </c>
      <c r="AMK119">
        <v>712.2574055527321</v>
      </c>
      <c r="AML119">
        <v>525.229643894368</v>
      </c>
      <c r="AMM119">
        <v>705.842140900507</v>
      </c>
      <c r="AMN119">
        <v>602.1646907191461</v>
      </c>
      <c r="AMO119">
        <v>1.08711379200793</v>
      </c>
      <c r="AMP119">
        <v>1.04269537950836</v>
      </c>
      <c r="AMQ119">
        <v>1.05780758175245</v>
      </c>
      <c r="AMR119">
        <v>1.01901503457119</v>
      </c>
      <c r="AMS119">
        <v>1.01967747012338</v>
      </c>
      <c r="AMT119">
        <v>1.08711379200793</v>
      </c>
      <c r="AMU119">
        <v>1.04269537950836</v>
      </c>
      <c r="AMV119">
        <v>1.05780758175245</v>
      </c>
      <c r="AMW119">
        <v>1.01901503457119</v>
      </c>
      <c r="AMX119">
        <v>1.01967747012338</v>
      </c>
      <c r="AMY119">
        <v>1.08711379200793</v>
      </c>
      <c r="AMZ119">
        <v>1.04269537950836</v>
      </c>
      <c r="ANA119">
        <v>1.05780758175245</v>
      </c>
      <c r="ANB119">
        <v>1.01901503457119</v>
      </c>
      <c r="ANC119">
        <v>1.01967747012338</v>
      </c>
      <c r="AND119">
        <v>6.72474741704363</v>
      </c>
      <c r="ANE119">
        <v>3.59059749038471</v>
      </c>
      <c r="ANF119">
        <v>4.59079389314612</v>
      </c>
      <c r="ANG119">
        <v>1.63445939723983</v>
      </c>
      <c r="ANH119">
        <v>1.6549418463208</v>
      </c>
      <c r="ANI119">
        <v>7.46165570243678</v>
      </c>
      <c r="ANJ119">
        <v>4.8497031064728</v>
      </c>
      <c r="ANK119">
        <v>6.50632374840161</v>
      </c>
      <c r="ANL119">
        <v>2.4498233946582</v>
      </c>
      <c r="ANM119">
        <v>2.21960983708366</v>
      </c>
      <c r="ANN119">
        <v>7.20957299050231</v>
      </c>
      <c r="ANO119">
        <v>3.72432293626818</v>
      </c>
      <c r="ANP119">
        <v>4.81168859953058</v>
      </c>
      <c r="ANQ119">
        <v>1.6616178666068</v>
      </c>
      <c r="ANR119">
        <v>1.68279105975483</v>
      </c>
      <c r="ANS119">
        <v>16.9283848202753</v>
      </c>
      <c r="ANT119">
        <v>12.6294170776933</v>
      </c>
      <c r="ANU119">
        <v>10.1904729838127</v>
      </c>
      <c r="ANV119">
        <v>2.19429766649435</v>
      </c>
      <c r="ANW119">
        <v>1.67072550976485</v>
      </c>
      <c r="ANX119">
        <v>83.9197272479214</v>
      </c>
      <c r="ANY119">
        <v>87.68863179130371</v>
      </c>
      <c r="ANZ119">
        <v>84.0058767244096</v>
      </c>
      <c r="AOA119">
        <v>87.5906216708582</v>
      </c>
      <c r="AOB119">
        <v>85.7583268823185</v>
      </c>
      <c r="AOC119">
        <v>89.9699812372908</v>
      </c>
      <c r="AOD119">
        <v>90.95443961760709</v>
      </c>
      <c r="AOE119">
        <v>88.0479779176937</v>
      </c>
      <c r="AOF119">
        <v>89.0460430900131</v>
      </c>
      <c r="AOG119">
        <v>87.2014603400895</v>
      </c>
      <c r="AOH119">
        <v>78.0787805742935</v>
      </c>
      <c r="AOI119" t="s">
        <v>1901</v>
      </c>
      <c r="AOJ119" t="s">
        <v>1901</v>
      </c>
      <c r="AOK119">
        <v>82.5530552388274</v>
      </c>
      <c r="AOL119">
        <v>69.9107874156812</v>
      </c>
      <c r="AOM119">
        <v>41.8198591573913</v>
      </c>
      <c r="AON119">
        <v>29.1648940192404</v>
      </c>
      <c r="AOO119">
        <v>28.7030043100419</v>
      </c>
      <c r="AOP119">
        <v>13.1711625988669</v>
      </c>
      <c r="AOQ119">
        <v>11.6204172968002</v>
      </c>
      <c r="AOR119">
        <v>8.71137920079325</v>
      </c>
      <c r="AOS119">
        <v>4.26953795083587</v>
      </c>
      <c r="AOT119">
        <v>5.78075817524533</v>
      </c>
      <c r="AOU119">
        <v>1.90150345711918</v>
      </c>
      <c r="AOV119">
        <v>1.9677470123378</v>
      </c>
      <c r="AOW119">
        <v>6.25669428645458</v>
      </c>
      <c r="AOX119">
        <v>5.11713281204866</v>
      </c>
      <c r="AOY119">
        <v>6.32938673894094</v>
      </c>
      <c r="AOZ119">
        <v>1.54045734956636</v>
      </c>
      <c r="APA119">
        <v>1.34912015905132</v>
      </c>
      <c r="APB119">
        <v>3.58367744850064</v>
      </c>
      <c r="APC119">
        <v>1.79227819741117</v>
      </c>
      <c r="APD119">
        <v>3.29379945972395</v>
      </c>
      <c r="APE119">
        <v>0.848290774386975</v>
      </c>
      <c r="APF119">
        <v>0.945203385105177</v>
      </c>
      <c r="APG119">
        <v>3.97638239936372</v>
      </c>
      <c r="APH119">
        <v>2.42077179770911</v>
      </c>
      <c r="API119">
        <v>4.66815242550299</v>
      </c>
      <c r="APJ119">
        <v>1.27146785541164</v>
      </c>
      <c r="APK119">
        <v>1.26770782688732</v>
      </c>
      <c r="APL119">
        <v>22.2861732742525</v>
      </c>
      <c r="APM119">
        <v>14.5579123865792</v>
      </c>
      <c r="APN119">
        <v>20.5938106326267</v>
      </c>
      <c r="APO119">
        <v>6.83588453738149</v>
      </c>
      <c r="APP119">
        <v>6.63688442569066</v>
      </c>
      <c r="APQ119">
        <v>4.64237111837055</v>
      </c>
      <c r="APR119">
        <v>2.13117727698373</v>
      </c>
      <c r="APS119">
        <v>4.14757416638653</v>
      </c>
      <c r="APT119">
        <v>0.986887678496707</v>
      </c>
      <c r="APU119">
        <v>1.12385890853337</v>
      </c>
      <c r="APV119">
        <v>3.84204528989447</v>
      </c>
      <c r="APW119">
        <v>1.85902842539908</v>
      </c>
      <c r="APX119">
        <v>3.45228683281889</v>
      </c>
      <c r="APY119">
        <v>0.862386125454966</v>
      </c>
      <c r="APZ119">
        <v>0.961109183166227</v>
      </c>
      <c r="AQA119">
        <v>3.33424779043781</v>
      </c>
      <c r="AQB119">
        <v>2.55426167841204</v>
      </c>
      <c r="AQC119">
        <v>4.54120378878966</v>
      </c>
      <c r="AQD119">
        <v>0.7995033465992</v>
      </c>
      <c r="AQE119">
        <v>0.770536405302638</v>
      </c>
      <c r="AQF119">
        <v>0.0871137920079325</v>
      </c>
      <c r="AQG119">
        <v>0.0426953795083588</v>
      </c>
      <c r="AQH119">
        <v>0.0578075817524533</v>
      </c>
      <c r="AQI119">
        <v>0.0190150345711918</v>
      </c>
      <c r="AQJ119">
        <v>0.019677470123378</v>
      </c>
      <c r="AQK119">
        <v>14</v>
      </c>
      <c r="AQO119" t="s">
        <v>1903</v>
      </c>
      <c r="AQP119">
        <v>7</v>
      </c>
      <c r="AQQ119">
        <v>0</v>
      </c>
      <c r="AQS119" t="s">
        <v>1905</v>
      </c>
      <c r="AQU119" t="s">
        <v>1906</v>
      </c>
      <c r="AQV119">
        <v>8501885.29904234</v>
      </c>
      <c r="AQW119">
        <v>6956765.27991077</v>
      </c>
      <c r="AQX119">
        <v>5977012.34550118</v>
      </c>
      <c r="AQY119">
        <v>571730.312047362</v>
      </c>
      <c r="AQZ119">
        <v>249789.439552431</v>
      </c>
      <c r="ARA119">
        <v>274392.317749858</v>
      </c>
      <c r="ARB119">
        <v>21435662.92445429</v>
      </c>
      <c r="ARC119">
        <v>1095912.069349651</v>
      </c>
      <c r="ARD119">
        <v>0.05388030940775321</v>
      </c>
      <c r="ARE119">
        <v>0.05388030940775321</v>
      </c>
      <c r="ARF119">
        <v>0.05388030940775321</v>
      </c>
      <c r="ARG119">
        <v>0.05388030940775321</v>
      </c>
      <c r="ARH119">
        <v>0.05388030940775321</v>
      </c>
      <c r="ARI119">
        <v>0.05388030940775321</v>
      </c>
      <c r="ARJ119" t="s">
        <v>1280</v>
      </c>
      <c r="ARK119" t="s">
        <v>1618</v>
      </c>
      <c r="ARL119" t="s">
        <v>1908</v>
      </c>
      <c r="ARM119" t="s">
        <v>1908</v>
      </c>
      <c r="ARN119" t="s">
        <v>1909</v>
      </c>
      <c r="ARO119" t="s">
        <v>1908</v>
      </c>
      <c r="ARP119" t="s">
        <v>1907</v>
      </c>
      <c r="ARQ119" t="s">
        <v>2011</v>
      </c>
      <c r="ARR119">
        <f>HYPERLINK("C:\Users\Usuario\Documents\Proyectos\llmthon\evidence\treetk_com_000420.png", "Ver Evidencia")</f>
        <v>0</v>
      </c>
      <c r="ARS119">
        <v>95</v>
      </c>
    </row>
    <row r="120" spans="1:1163">
      <c r="A120">
        <v>515</v>
      </c>
      <c r="B120" t="s">
        <v>1281</v>
      </c>
      <c r="C120" t="s">
        <v>1404</v>
      </c>
      <c r="D120" t="s">
        <v>1429</v>
      </c>
      <c r="E120" s="2">
        <v>42482</v>
      </c>
      <c r="F120" t="s">
        <v>1431</v>
      </c>
      <c r="G120" t="s">
        <v>1433</v>
      </c>
      <c r="H120" t="s">
        <v>1434</v>
      </c>
      <c r="I120" t="s">
        <v>1436</v>
      </c>
      <c r="J120" t="s">
        <v>1500</v>
      </c>
      <c r="L120" t="s">
        <v>1619</v>
      </c>
      <c r="N120" t="s">
        <v>1624</v>
      </c>
      <c r="O120" t="s">
        <v>1648</v>
      </c>
      <c r="P120">
        <v>6209</v>
      </c>
      <c r="Q120">
        <v>6209</v>
      </c>
      <c r="R120" t="s">
        <v>1787</v>
      </c>
      <c r="S120" t="s">
        <v>1843</v>
      </c>
      <c r="Z120" t="s">
        <v>1899</v>
      </c>
      <c r="AA120" s="2">
        <v>45657</v>
      </c>
      <c r="AB120">
        <v>2024</v>
      </c>
      <c r="AC120">
        <v>1319062.39551376</v>
      </c>
      <c r="AD120">
        <v>1064284.54263783</v>
      </c>
      <c r="AE120">
        <v>663933.6496526001</v>
      </c>
      <c r="AF120">
        <v>160202.915689945</v>
      </c>
      <c r="AG120">
        <v>153700.973112839</v>
      </c>
      <c r="AH120">
        <v>1313740.3936686</v>
      </c>
      <c r="AI120">
        <v>1063209.3771553</v>
      </c>
      <c r="AJ120">
        <v>661239.41934526</v>
      </c>
      <c r="AK120">
        <v>160202.915689945</v>
      </c>
      <c r="AL120">
        <v>70971.50903231501</v>
      </c>
      <c r="AM120">
        <v>11496.3168736768</v>
      </c>
      <c r="AN120">
        <v>746.980335235596</v>
      </c>
      <c r="AO120" t="s">
        <v>1900</v>
      </c>
      <c r="AP120">
        <v>571.963155269623</v>
      </c>
      <c r="AQ120">
        <v>2912.16432840228</v>
      </c>
      <c r="AR120">
        <v>1307566.07760119</v>
      </c>
      <c r="AS120">
        <v>1063537.56230259</v>
      </c>
      <c r="AT120">
        <v>663933.6496526001</v>
      </c>
      <c r="AU120">
        <v>159630.952534676</v>
      </c>
      <c r="AV120">
        <v>150788.807557338</v>
      </c>
      <c r="AW120">
        <v>1969822.78259204</v>
      </c>
      <c r="AX120">
        <v>1302186.7294054</v>
      </c>
      <c r="AY120">
        <v>1162491.04865074</v>
      </c>
      <c r="AZ120">
        <v>771263.433573246</v>
      </c>
      <c r="BA120">
        <v>379739.376301169</v>
      </c>
      <c r="BB120">
        <v>-662256.703951956</v>
      </c>
      <c r="BC120">
        <v>-238649.167102814</v>
      </c>
      <c r="BD120">
        <v>-498557.398998141</v>
      </c>
      <c r="BE120">
        <v>-611632.4810385701</v>
      </c>
      <c r="BF120">
        <v>-228950.567516732</v>
      </c>
      <c r="BG120">
        <v>114384.012370802</v>
      </c>
      <c r="BH120">
        <v>-833584.749102592</v>
      </c>
      <c r="BI120">
        <v>35916.6711676121</v>
      </c>
      <c r="BJ120">
        <v>53235.6122517586</v>
      </c>
      <c r="BK120">
        <v>-7037.07089443207</v>
      </c>
      <c r="BL120">
        <v>189386.503478444</v>
      </c>
      <c r="BM120">
        <v>175221.033637047</v>
      </c>
      <c r="BN120">
        <v>88261.1076533794</v>
      </c>
      <c r="BO120">
        <v>65964.9071073532</v>
      </c>
      <c r="BP120" t="s">
        <v>1900</v>
      </c>
      <c r="BQ120">
        <v>75002.490068742</v>
      </c>
      <c r="BR120">
        <v>1008805.78273964</v>
      </c>
      <c r="BS120">
        <v>52344.4364857674</v>
      </c>
      <c r="BT120">
        <v>12729.2948555946</v>
      </c>
      <c r="BU120">
        <v>7037.07089443207</v>
      </c>
      <c r="BV120">
        <v>-547872.690542254</v>
      </c>
      <c r="BW120">
        <v>-1072233.91620541</v>
      </c>
      <c r="BX120">
        <v>-462640.727830529</v>
      </c>
      <c r="BY120">
        <v>-558396.8687868119</v>
      </c>
      <c r="BZ120">
        <v>-235987.638411164</v>
      </c>
      <c r="CA120" t="s">
        <v>1900</v>
      </c>
      <c r="CB120" t="s">
        <v>1900</v>
      </c>
      <c r="CC120" t="s">
        <v>1900</v>
      </c>
      <c r="CD120" t="s">
        <v>1900</v>
      </c>
      <c r="CE120" t="s">
        <v>1900</v>
      </c>
      <c r="CF120">
        <v>-547872.690542254</v>
      </c>
      <c r="CG120">
        <v>-1072233.91620541</v>
      </c>
      <c r="CH120">
        <v>-462640.727830529</v>
      </c>
      <c r="CI120">
        <v>-558396.8687868119</v>
      </c>
      <c r="CJ120">
        <v>-235987.638411164</v>
      </c>
      <c r="CK120" t="s">
        <v>1900</v>
      </c>
      <c r="CL120" t="s">
        <v>1900</v>
      </c>
      <c r="CM120" t="s">
        <v>1900</v>
      </c>
      <c r="CN120" t="s">
        <v>1900</v>
      </c>
      <c r="CO120" t="s">
        <v>1900</v>
      </c>
      <c r="CP120" t="s">
        <v>1900</v>
      </c>
      <c r="CQ120" t="s">
        <v>1900</v>
      </c>
      <c r="CR120" t="s">
        <v>1900</v>
      </c>
      <c r="CS120" t="s">
        <v>1900</v>
      </c>
      <c r="CT120" t="s">
        <v>1900</v>
      </c>
      <c r="CU120" t="s">
        <v>1900</v>
      </c>
      <c r="CV120" t="s">
        <v>1900</v>
      </c>
      <c r="CW120" t="s">
        <v>1900</v>
      </c>
      <c r="CX120" t="s">
        <v>1900</v>
      </c>
      <c r="CY120" t="s">
        <v>1900</v>
      </c>
      <c r="CZ120">
        <v>-547872.690542254</v>
      </c>
      <c r="DA120">
        <v>-1072233.91620541</v>
      </c>
      <c r="DB120">
        <v>-462640.727830529</v>
      </c>
      <c r="DC120">
        <v>-558396.8687868119</v>
      </c>
      <c r="DD120">
        <v>-235987.638411164</v>
      </c>
      <c r="DE120" t="s">
        <v>1900</v>
      </c>
      <c r="DF120" t="s">
        <v>1900</v>
      </c>
      <c r="DG120" t="s">
        <v>1900</v>
      </c>
      <c r="DH120" t="s">
        <v>1900</v>
      </c>
      <c r="DI120" t="s">
        <v>1900</v>
      </c>
      <c r="DJ120">
        <v>11496.3168736768</v>
      </c>
      <c r="DK120">
        <v>746.980335235596</v>
      </c>
      <c r="DL120" t="s">
        <v>1900</v>
      </c>
      <c r="DM120">
        <v>571.963155269623</v>
      </c>
      <c r="DN120">
        <v>2912.16432840228</v>
      </c>
      <c r="DO120">
        <v>1289022.22050678</v>
      </c>
      <c r="DP120">
        <v>1559867.32004929</v>
      </c>
      <c r="DQ120">
        <v>1474803.11140716</v>
      </c>
      <c r="DR120">
        <v>810899.913933277</v>
      </c>
      <c r="DS120">
        <v>630768.307085037</v>
      </c>
      <c r="DT120">
        <v>748341.457482349</v>
      </c>
      <c r="DU120">
        <v>821921.468868256</v>
      </c>
      <c r="DV120">
        <v>437977.747863531</v>
      </c>
      <c r="DW120">
        <v>355262.738442421</v>
      </c>
      <c r="DX120">
        <v>202905.777558088</v>
      </c>
      <c r="DY120">
        <v>-67540.8953970861</v>
      </c>
      <c r="DZ120">
        <v>-1079602.05951214</v>
      </c>
      <c r="EA120">
        <v>-750289.8106199499</v>
      </c>
      <c r="EB120">
        <v>-394899.218802452</v>
      </c>
      <c r="EC120">
        <v>-453934.708341956</v>
      </c>
      <c r="ED120">
        <v>74897.8728849733</v>
      </c>
      <c r="EE120">
        <v>69029.38097953799</v>
      </c>
      <c r="EF120">
        <v>28188.091275692</v>
      </c>
      <c r="EG120">
        <v>12729.2948555946</v>
      </c>
      <c r="EH120">
        <v>7037.07089443207</v>
      </c>
      <c r="EI120" t="s">
        <v>1900</v>
      </c>
      <c r="EJ120" t="s">
        <v>1900</v>
      </c>
      <c r="EK120" t="s">
        <v>1900</v>
      </c>
      <c r="EL120" t="s">
        <v>1900</v>
      </c>
      <c r="EM120" t="s">
        <v>1900</v>
      </c>
      <c r="EN120">
        <v>200468.766940094</v>
      </c>
      <c r="EO120">
        <v>-250312.447337151</v>
      </c>
      <c r="EP120">
        <v>-24662.9799669981</v>
      </c>
      <c r="EQ120">
        <v>-203134.130344391</v>
      </c>
      <c r="ER120">
        <v>-33081.8596259767</v>
      </c>
      <c r="ES120">
        <v>1564388.86033185</v>
      </c>
      <c r="ET120">
        <v>1378584.25369167</v>
      </c>
      <c r="EU120">
        <v>1478328.22271585</v>
      </c>
      <c r="EV120">
        <v>620495.078444481</v>
      </c>
      <c r="EW120">
        <v>604723.5158992941</v>
      </c>
      <c r="EX120">
        <v>86084.7524914931</v>
      </c>
      <c r="EY120">
        <v>583272.301765442</v>
      </c>
      <c r="EZ120">
        <v>-60579.6511346102</v>
      </c>
      <c r="FA120">
        <v>-256369.742596149</v>
      </c>
      <c r="FB120">
        <v>-26044.7887315446</v>
      </c>
      <c r="FC120">
        <v>4506977.99730591</v>
      </c>
      <c r="FD120">
        <v>4839187.23676777</v>
      </c>
      <c r="FE120">
        <v>5193182.24737346</v>
      </c>
      <c r="FF120">
        <v>3816791.68233633</v>
      </c>
      <c r="FG120">
        <v>3246189.10198259</v>
      </c>
      <c r="FH120">
        <v>3956260.92448861</v>
      </c>
      <c r="FI120">
        <v>4248785.47180271</v>
      </c>
      <c r="FJ120">
        <v>3622054.53618169</v>
      </c>
      <c r="FK120">
        <v>2670869.73005533</v>
      </c>
      <c r="FL120">
        <v>2215806.33666337</v>
      </c>
      <c r="FM120">
        <v>19767.2142876947</v>
      </c>
      <c r="FN120">
        <v>25669.1615200043</v>
      </c>
      <c r="FO120">
        <v>34089.5862442255</v>
      </c>
      <c r="FP120">
        <v>33705.052549839</v>
      </c>
      <c r="FQ120">
        <v>14339.8824131489</v>
      </c>
      <c r="FR120">
        <v>530949.8585296019</v>
      </c>
      <c r="FS120">
        <v>564732.603445053</v>
      </c>
      <c r="FT120">
        <v>1537038.12494755</v>
      </c>
      <c r="FU120">
        <v>1112216.89973116</v>
      </c>
      <c r="FV120">
        <v>1016042.88290608</v>
      </c>
      <c r="FW120">
        <v>3956260.92448861</v>
      </c>
      <c r="FX120">
        <v>4248785.47180271</v>
      </c>
      <c r="FY120">
        <v>3622054.53618169</v>
      </c>
      <c r="FZ120">
        <v>2670869.73005533</v>
      </c>
      <c r="GA120">
        <v>2215806.33666337</v>
      </c>
      <c r="GB120">
        <v>19767.2142876947</v>
      </c>
      <c r="GC120">
        <v>25669.1615200043</v>
      </c>
      <c r="GD120">
        <v>34089.5862442255</v>
      </c>
      <c r="GE120">
        <v>33705.052549839</v>
      </c>
      <c r="GF120">
        <v>14339.8824131489</v>
      </c>
      <c r="GG120">
        <v>530949.8585296019</v>
      </c>
      <c r="GH120">
        <v>564732.603445053</v>
      </c>
      <c r="GI120">
        <v>1537038.12494755</v>
      </c>
      <c r="GJ120">
        <v>1112216.89973116</v>
      </c>
      <c r="GK120">
        <v>1016042.88290608</v>
      </c>
      <c r="GL120">
        <v>1029416.13344398</v>
      </c>
      <c r="GM120">
        <v>1093519.54075813</v>
      </c>
      <c r="GN120">
        <v>488453.50204587</v>
      </c>
      <c r="GO120">
        <v>1593151.83568954</v>
      </c>
      <c r="GP120">
        <v>246976.668496364</v>
      </c>
      <c r="GQ120">
        <v>0</v>
      </c>
      <c r="GR120">
        <v>0</v>
      </c>
      <c r="GS120">
        <v>0</v>
      </c>
      <c r="GT120">
        <v>0</v>
      </c>
      <c r="GU120">
        <v>0</v>
      </c>
      <c r="GV120">
        <v>929455.785700339</v>
      </c>
      <c r="GW120">
        <v>975926.4929838181</v>
      </c>
      <c r="GX120">
        <v>484915.591543317</v>
      </c>
      <c r="GY120">
        <v>392017.883620262</v>
      </c>
      <c r="GZ120">
        <v>244689.195879316</v>
      </c>
      <c r="HA120">
        <v>99960.34774364591</v>
      </c>
      <c r="HB120">
        <v>117593.047774315</v>
      </c>
      <c r="HC120">
        <v>3537.91050255299</v>
      </c>
      <c r="HD120">
        <v>1201133.95206928</v>
      </c>
      <c r="HE120">
        <v>2287.47261704802</v>
      </c>
      <c r="HF120">
        <v>99960.34774364591</v>
      </c>
      <c r="HG120">
        <v>117593.047774315</v>
      </c>
      <c r="HH120">
        <v>2574.77116465569</v>
      </c>
      <c r="HI120">
        <v>576202.478220463</v>
      </c>
      <c r="HJ120">
        <v>1179.10744583011</v>
      </c>
      <c r="HK120">
        <v>5536394.13074989</v>
      </c>
      <c r="HL120">
        <v>5932706.7775259</v>
      </c>
      <c r="HM120">
        <v>5681635.74941933</v>
      </c>
      <c r="HN120">
        <v>5409943.51802588</v>
      </c>
      <c r="HO120">
        <v>3493165.77047896</v>
      </c>
      <c r="HP120">
        <v>2994006.26994038</v>
      </c>
      <c r="HQ120">
        <v>3582355.25271702</v>
      </c>
      <c r="HR120">
        <v>3122252.41558075</v>
      </c>
      <c r="HS120">
        <v>3720960.10512114</v>
      </c>
      <c r="HT120">
        <v>1476280.68496751</v>
      </c>
      <c r="HU120">
        <v>414146.912984848</v>
      </c>
      <c r="HV120">
        <v>440497.397689819</v>
      </c>
      <c r="HW120">
        <v>401414.717406034</v>
      </c>
      <c r="HX120">
        <v>426254.125714302</v>
      </c>
      <c r="HY120">
        <v>369455.057072639</v>
      </c>
      <c r="HZ120">
        <v>2579859.35591663</v>
      </c>
      <c r="IA120">
        <v>3141857.8550272</v>
      </c>
      <c r="IB120">
        <v>2720837.69817472</v>
      </c>
      <c r="IC120">
        <v>3294705.97940683</v>
      </c>
      <c r="ID120">
        <v>1106825.62789487</v>
      </c>
      <c r="IE120">
        <v>861780.57098161</v>
      </c>
      <c r="IF120">
        <v>950203.186439514</v>
      </c>
      <c r="IG120">
        <v>1389538.0817163</v>
      </c>
      <c r="IH120">
        <v>1011533.26279879</v>
      </c>
      <c r="II120">
        <v>1452272.02087641</v>
      </c>
      <c r="IJ120">
        <v>562930.8329359289</v>
      </c>
      <c r="IK120">
        <v>678558.7045288089</v>
      </c>
      <c r="IL120">
        <v>1269409.11455274</v>
      </c>
      <c r="IM120">
        <v>905106.20970726</v>
      </c>
      <c r="IN120">
        <v>1360610.15740752</v>
      </c>
      <c r="IO120">
        <v>298849.738045681</v>
      </c>
      <c r="IP120">
        <v>271644.481910706</v>
      </c>
      <c r="IQ120">
        <v>120128.967163563</v>
      </c>
      <c r="IR120">
        <v>106427.053091526</v>
      </c>
      <c r="IS120">
        <v>91661.86346888541</v>
      </c>
      <c r="IT120" t="s">
        <v>1900</v>
      </c>
      <c r="IU120" t="s">
        <v>1900</v>
      </c>
      <c r="IV120" t="s">
        <v>1900</v>
      </c>
      <c r="IW120" t="s">
        <v>1900</v>
      </c>
      <c r="IX120" t="s">
        <v>1900</v>
      </c>
      <c r="IY120">
        <v>1680607.2898279</v>
      </c>
      <c r="IZ120">
        <v>1400148.33836937</v>
      </c>
      <c r="JA120">
        <v>1169845.25212228</v>
      </c>
      <c r="JB120">
        <v>677450.150105953</v>
      </c>
      <c r="JC120">
        <v>564613.064635044</v>
      </c>
      <c r="JD120">
        <v>382296.590584785</v>
      </c>
      <c r="JE120">
        <v>389530.354816437</v>
      </c>
      <c r="JF120">
        <v>230556.145381927</v>
      </c>
      <c r="JG120">
        <v>49663.3908820152</v>
      </c>
      <c r="JH120">
        <v>116484.450254303</v>
      </c>
      <c r="JI120">
        <v>239121.689255029</v>
      </c>
      <c r="JJ120">
        <v>324406.045589447</v>
      </c>
      <c r="JK120">
        <v>424461.799148321</v>
      </c>
      <c r="JL120">
        <v>377658.776922226</v>
      </c>
      <c r="JM120">
        <v>0</v>
      </c>
      <c r="JN120">
        <v>1059189.00998809</v>
      </c>
      <c r="JO120">
        <v>686211.937963486</v>
      </c>
      <c r="JP120">
        <v>514827.307592034</v>
      </c>
      <c r="JQ120">
        <v>250127.982301712</v>
      </c>
      <c r="JR120">
        <v>448128.614380741</v>
      </c>
      <c r="JS120">
        <v>5536394.13074989</v>
      </c>
      <c r="JT120">
        <v>5932706.7775259</v>
      </c>
      <c r="JU120">
        <v>5681635.74941933</v>
      </c>
      <c r="JV120">
        <v>5409943.51802588</v>
      </c>
      <c r="JW120">
        <v>3493165.77047896</v>
      </c>
      <c r="JX120">
        <v>690334.09644531</v>
      </c>
      <c r="JY120">
        <v>651520.447394371</v>
      </c>
      <c r="JZ120">
        <v>60453.7923949957</v>
      </c>
      <c r="KA120">
        <v>14359.1066980362</v>
      </c>
      <c r="KB120">
        <v>244689.195879316</v>
      </c>
      <c r="KC120" t="s">
        <v>1900</v>
      </c>
      <c r="KD120" t="s">
        <v>1900</v>
      </c>
      <c r="KE120" t="s">
        <v>1900</v>
      </c>
      <c r="KF120" t="s">
        <v>1900</v>
      </c>
      <c r="KG120" t="s">
        <v>1900</v>
      </c>
      <c r="KH120" t="s">
        <v>1900</v>
      </c>
      <c r="KI120" t="s">
        <v>1900</v>
      </c>
      <c r="KJ120" t="s">
        <v>1900</v>
      </c>
      <c r="KK120" t="s">
        <v>1900</v>
      </c>
      <c r="KL120" t="s">
        <v>1900</v>
      </c>
      <c r="KM120">
        <v>27</v>
      </c>
      <c r="KN120">
        <v>26</v>
      </c>
      <c r="KO120">
        <v>25</v>
      </c>
      <c r="KP120">
        <v>23</v>
      </c>
      <c r="KQ120">
        <v>9</v>
      </c>
      <c r="KR120" t="s">
        <v>1900</v>
      </c>
      <c r="KS120" t="s">
        <v>1900</v>
      </c>
      <c r="KT120" t="s">
        <v>1900</v>
      </c>
      <c r="KU120" t="s">
        <v>1900</v>
      </c>
      <c r="KV120" t="s">
        <v>1900</v>
      </c>
      <c r="KW120" t="s">
        <v>1900</v>
      </c>
      <c r="KX120" t="s">
        <v>1900</v>
      </c>
      <c r="KY120" t="s">
        <v>1900</v>
      </c>
      <c r="KZ120" t="s">
        <v>1900</v>
      </c>
      <c r="LA120" t="s">
        <v>1900</v>
      </c>
      <c r="LB120" t="s">
        <v>1900</v>
      </c>
      <c r="LC120" t="s">
        <v>1900</v>
      </c>
      <c r="LD120" t="s">
        <v>1900</v>
      </c>
      <c r="LE120" t="s">
        <v>1900</v>
      </c>
      <c r="LF120" t="s">
        <v>1900</v>
      </c>
      <c r="LG120" t="s">
        <v>1900</v>
      </c>
      <c r="LH120" t="s">
        <v>1900</v>
      </c>
      <c r="LI120" t="s">
        <v>1900</v>
      </c>
      <c r="LJ120" t="s">
        <v>1900</v>
      </c>
      <c r="LK120" t="s">
        <v>1900</v>
      </c>
      <c r="LL120" t="s">
        <v>1900</v>
      </c>
      <c r="LM120" t="s">
        <v>1900</v>
      </c>
      <c r="LN120" t="s">
        <v>1900</v>
      </c>
      <c r="LO120" t="s">
        <v>1900</v>
      </c>
      <c r="LP120" t="s">
        <v>1900</v>
      </c>
      <c r="LQ120" t="s">
        <v>1900</v>
      </c>
      <c r="LR120" t="s">
        <v>1900</v>
      </c>
      <c r="LS120" t="s">
        <v>1900</v>
      </c>
      <c r="LT120" t="s">
        <v>1900</v>
      </c>
      <c r="LU120" t="s">
        <v>1900</v>
      </c>
      <c r="LV120" t="s">
        <v>1900</v>
      </c>
      <c r="LW120" t="s">
        <v>1900</v>
      </c>
      <c r="LX120" t="s">
        <v>1900</v>
      </c>
      <c r="LY120" t="s">
        <v>1900</v>
      </c>
      <c r="LZ120" t="s">
        <v>1900</v>
      </c>
      <c r="MA120" t="s">
        <v>1900</v>
      </c>
      <c r="MB120" t="s">
        <v>1900</v>
      </c>
      <c r="MC120" t="s">
        <v>1900</v>
      </c>
      <c r="MD120" t="s">
        <v>1900</v>
      </c>
      <c r="ME120" t="s">
        <v>1900</v>
      </c>
      <c r="MF120" t="s">
        <v>1900</v>
      </c>
      <c r="MG120" t="s">
        <v>1900</v>
      </c>
      <c r="MH120" t="s">
        <v>1900</v>
      </c>
      <c r="MI120" t="s">
        <v>1900</v>
      </c>
      <c r="MJ120" t="s">
        <v>1900</v>
      </c>
      <c r="MK120" t="s">
        <v>1900</v>
      </c>
      <c r="ML120" t="s">
        <v>1900</v>
      </c>
      <c r="MM120" t="s">
        <v>1900</v>
      </c>
      <c r="MN120" t="s">
        <v>1900</v>
      </c>
      <c r="MO120" t="s">
        <v>1900</v>
      </c>
      <c r="MP120">
        <v>99960.34774364591</v>
      </c>
      <c r="MQ120">
        <v>117593.047774315</v>
      </c>
      <c r="MR120">
        <v>3537.91050255299</v>
      </c>
      <c r="MS120">
        <v>1201133.95206928</v>
      </c>
      <c r="MT120">
        <v>2287.47261704802</v>
      </c>
      <c r="MU120" t="s">
        <v>1900</v>
      </c>
      <c r="MV120" t="s">
        <v>1900</v>
      </c>
      <c r="MW120" t="s">
        <v>1900</v>
      </c>
      <c r="MX120" t="s">
        <v>1900</v>
      </c>
      <c r="MY120" t="s">
        <v>1900</v>
      </c>
      <c r="MZ120" t="s">
        <v>1900</v>
      </c>
      <c r="NA120" t="s">
        <v>1900</v>
      </c>
      <c r="NB120" t="s">
        <v>1900</v>
      </c>
      <c r="NC120" t="s">
        <v>1900</v>
      </c>
      <c r="ND120" t="s">
        <v>1900</v>
      </c>
      <c r="NE120" t="s">
        <v>1900</v>
      </c>
      <c r="NF120" t="s">
        <v>1900</v>
      </c>
      <c r="NG120" t="s">
        <v>1900</v>
      </c>
      <c r="NH120" t="s">
        <v>1900</v>
      </c>
      <c r="NI120" t="s">
        <v>1900</v>
      </c>
      <c r="NJ120" t="s">
        <v>1900</v>
      </c>
      <c r="NK120" t="s">
        <v>1900</v>
      </c>
      <c r="NL120" t="s">
        <v>1900</v>
      </c>
      <c r="NM120" t="s">
        <v>1900</v>
      </c>
      <c r="NN120" t="s">
        <v>1900</v>
      </c>
      <c r="NO120" t="s">
        <v>1900</v>
      </c>
      <c r="NP120" t="s">
        <v>1900</v>
      </c>
      <c r="NQ120" t="s">
        <v>1900</v>
      </c>
      <c r="NR120" t="s">
        <v>1900</v>
      </c>
      <c r="NS120" t="s">
        <v>1900</v>
      </c>
      <c r="NT120">
        <v>4506977.99730591</v>
      </c>
      <c r="NU120">
        <v>4839187.23676777</v>
      </c>
      <c r="NV120">
        <v>5193182.24737346</v>
      </c>
      <c r="NW120">
        <v>3816791.68233633</v>
      </c>
      <c r="NX120">
        <v>3246189.10198259</v>
      </c>
      <c r="NY120" t="s">
        <v>1900</v>
      </c>
      <c r="NZ120" t="s">
        <v>1900</v>
      </c>
      <c r="OA120" t="s">
        <v>1900</v>
      </c>
      <c r="OB120" t="s">
        <v>1900</v>
      </c>
      <c r="OC120" t="s">
        <v>1900</v>
      </c>
      <c r="OD120" t="s">
        <v>1900</v>
      </c>
      <c r="OE120" t="s">
        <v>1900</v>
      </c>
      <c r="OF120" t="s">
        <v>1900</v>
      </c>
      <c r="OG120" t="s">
        <v>1900</v>
      </c>
      <c r="OH120" t="s">
        <v>1900</v>
      </c>
      <c r="OI120" t="s">
        <v>1900</v>
      </c>
      <c r="OJ120" t="s">
        <v>1900</v>
      </c>
      <c r="OK120" t="s">
        <v>1900</v>
      </c>
      <c r="OL120" t="s">
        <v>1900</v>
      </c>
      <c r="OM120" t="s">
        <v>1900</v>
      </c>
      <c r="ON120" t="s">
        <v>1900</v>
      </c>
      <c r="OO120" t="s">
        <v>1900</v>
      </c>
      <c r="OP120" t="s">
        <v>1900</v>
      </c>
      <c r="OQ120" t="s">
        <v>1900</v>
      </c>
      <c r="OR120" t="s">
        <v>1900</v>
      </c>
      <c r="OS120" t="s">
        <v>1900</v>
      </c>
      <c r="OT120" t="s">
        <v>1900</v>
      </c>
      <c r="OU120" t="s">
        <v>1900</v>
      </c>
      <c r="OV120" t="s">
        <v>1900</v>
      </c>
      <c r="OW120" t="s">
        <v>1900</v>
      </c>
      <c r="OX120" t="s">
        <v>1900</v>
      </c>
      <c r="OY120" t="s">
        <v>1900</v>
      </c>
      <c r="OZ120" t="s">
        <v>1900</v>
      </c>
      <c r="PA120" t="s">
        <v>1900</v>
      </c>
      <c r="PB120" t="s">
        <v>1900</v>
      </c>
      <c r="PC120" t="s">
        <v>1900</v>
      </c>
      <c r="PD120" t="s">
        <v>1900</v>
      </c>
      <c r="PE120" t="s">
        <v>1900</v>
      </c>
      <c r="PF120" t="s">
        <v>1900</v>
      </c>
      <c r="PG120" t="s">
        <v>1900</v>
      </c>
      <c r="PH120" t="s">
        <v>1900</v>
      </c>
      <c r="PI120" t="s">
        <v>1900</v>
      </c>
      <c r="PJ120" t="s">
        <v>1900</v>
      </c>
      <c r="PK120" t="s">
        <v>1900</v>
      </c>
      <c r="PL120" t="s">
        <v>1900</v>
      </c>
      <c r="PM120" t="s">
        <v>1900</v>
      </c>
      <c r="PN120" t="s">
        <v>1900</v>
      </c>
      <c r="PO120" t="s">
        <v>1900</v>
      </c>
      <c r="PP120" t="s">
        <v>1900</v>
      </c>
      <c r="PQ120" t="s">
        <v>1900</v>
      </c>
      <c r="PR120" t="s">
        <v>1900</v>
      </c>
      <c r="PS120" t="s">
        <v>1900</v>
      </c>
      <c r="PT120" t="s">
        <v>1900</v>
      </c>
      <c r="PU120" t="s">
        <v>1900</v>
      </c>
      <c r="PV120" t="s">
        <v>1900</v>
      </c>
      <c r="PW120" t="s">
        <v>1900</v>
      </c>
      <c r="PX120" t="s">
        <v>1900</v>
      </c>
      <c r="PY120" t="s">
        <v>1900</v>
      </c>
      <c r="PZ120" t="s">
        <v>1900</v>
      </c>
      <c r="QA120" t="s">
        <v>1900</v>
      </c>
      <c r="QB120" t="s">
        <v>1900</v>
      </c>
      <c r="QC120" t="s">
        <v>1900</v>
      </c>
      <c r="QD120" t="s">
        <v>1900</v>
      </c>
      <c r="QE120" t="s">
        <v>1900</v>
      </c>
      <c r="QF120" t="s">
        <v>1900</v>
      </c>
      <c r="QG120" t="s">
        <v>1900</v>
      </c>
      <c r="QH120" t="s">
        <v>1900</v>
      </c>
      <c r="QI120" t="s">
        <v>1900</v>
      </c>
      <c r="QJ120" t="s">
        <v>1900</v>
      </c>
      <c r="QK120" t="s">
        <v>1900</v>
      </c>
      <c r="QL120" t="s">
        <v>1900</v>
      </c>
      <c r="QM120" t="s">
        <v>1900</v>
      </c>
      <c r="QN120" t="s">
        <v>1900</v>
      </c>
      <c r="QO120" t="s">
        <v>1900</v>
      </c>
      <c r="QP120" t="s">
        <v>1900</v>
      </c>
      <c r="QQ120" t="s">
        <v>1900</v>
      </c>
      <c r="QR120" t="s">
        <v>1900</v>
      </c>
      <c r="QS120" t="s">
        <v>1900</v>
      </c>
      <c r="QT120" t="s">
        <v>1900</v>
      </c>
      <c r="QU120" t="s">
        <v>1900</v>
      </c>
      <c r="QV120" t="s">
        <v>1900</v>
      </c>
      <c r="QW120" t="s">
        <v>1900</v>
      </c>
      <c r="QX120" t="s">
        <v>1900</v>
      </c>
      <c r="QY120" t="s">
        <v>1900</v>
      </c>
      <c r="QZ120" t="s">
        <v>1900</v>
      </c>
      <c r="RA120" t="s">
        <v>1900</v>
      </c>
      <c r="RB120" t="s">
        <v>1900</v>
      </c>
      <c r="RC120" t="s">
        <v>1900</v>
      </c>
      <c r="RD120" t="s">
        <v>1900</v>
      </c>
      <c r="RE120" t="s">
        <v>1900</v>
      </c>
      <c r="RF120" t="s">
        <v>1900</v>
      </c>
      <c r="RG120" t="s">
        <v>1900</v>
      </c>
      <c r="RH120" t="s">
        <v>1900</v>
      </c>
      <c r="RI120" t="s">
        <v>1900</v>
      </c>
      <c r="RJ120" t="s">
        <v>1900</v>
      </c>
      <c r="RK120" t="s">
        <v>1900</v>
      </c>
      <c r="RL120" t="s">
        <v>1900</v>
      </c>
      <c r="RM120" t="s">
        <v>1900</v>
      </c>
      <c r="RN120" t="s">
        <v>1900</v>
      </c>
      <c r="RO120" t="s">
        <v>1900</v>
      </c>
      <c r="RP120" t="s">
        <v>1900</v>
      </c>
      <c r="RQ120" t="s">
        <v>1900</v>
      </c>
      <c r="RR120" t="s">
        <v>1900</v>
      </c>
      <c r="RS120" t="s">
        <v>1900</v>
      </c>
      <c r="RT120" t="s">
        <v>1900</v>
      </c>
      <c r="RU120" t="s">
        <v>1900</v>
      </c>
      <c r="RV120" t="s">
        <v>1900</v>
      </c>
      <c r="RW120" t="s">
        <v>1900</v>
      </c>
      <c r="RX120" t="s">
        <v>1900</v>
      </c>
      <c r="RY120" t="s">
        <v>1900</v>
      </c>
      <c r="RZ120" t="s">
        <v>1900</v>
      </c>
      <c r="SA120" t="s">
        <v>1900</v>
      </c>
      <c r="SB120" t="s">
        <v>1900</v>
      </c>
      <c r="SC120" t="s">
        <v>1900</v>
      </c>
      <c r="SD120" t="s">
        <v>1900</v>
      </c>
      <c r="SE120" t="s">
        <v>1900</v>
      </c>
      <c r="SF120" t="s">
        <v>1900</v>
      </c>
      <c r="SG120" t="s">
        <v>1900</v>
      </c>
      <c r="SH120" t="s">
        <v>1900</v>
      </c>
      <c r="SI120" t="s">
        <v>1900</v>
      </c>
      <c r="SJ120">
        <v>530949.8585296019</v>
      </c>
      <c r="SK120">
        <v>564732.603445053</v>
      </c>
      <c r="SL120">
        <v>1537038.12494755</v>
      </c>
      <c r="SM120">
        <v>1112216.89973116</v>
      </c>
      <c r="SN120">
        <v>1016042.88290608</v>
      </c>
      <c r="SO120" t="s">
        <v>1900</v>
      </c>
      <c r="SP120" t="s">
        <v>1900</v>
      </c>
      <c r="SQ120" t="s">
        <v>1900</v>
      </c>
      <c r="SR120" t="s">
        <v>1900</v>
      </c>
      <c r="SS120" t="s">
        <v>1900</v>
      </c>
      <c r="ST120" t="s">
        <v>1900</v>
      </c>
      <c r="SU120" t="s">
        <v>1900</v>
      </c>
      <c r="SV120" t="s">
        <v>1900</v>
      </c>
      <c r="SW120" t="s">
        <v>1900</v>
      </c>
      <c r="SX120" t="s">
        <v>1900</v>
      </c>
      <c r="SY120" t="s">
        <v>1900</v>
      </c>
      <c r="SZ120" t="s">
        <v>1900</v>
      </c>
      <c r="TA120" t="s">
        <v>1900</v>
      </c>
      <c r="TB120" t="s">
        <v>1900</v>
      </c>
      <c r="TC120" t="s">
        <v>1900</v>
      </c>
      <c r="TD120" t="s">
        <v>1900</v>
      </c>
      <c r="TE120" t="s">
        <v>1900</v>
      </c>
      <c r="TF120" t="s">
        <v>1900</v>
      </c>
      <c r="TG120" t="s">
        <v>1900</v>
      </c>
      <c r="TH120" t="s">
        <v>1900</v>
      </c>
      <c r="TI120" t="s">
        <v>1900</v>
      </c>
      <c r="TJ120" t="s">
        <v>1900</v>
      </c>
      <c r="TK120" t="s">
        <v>1900</v>
      </c>
      <c r="TL120" t="s">
        <v>1900</v>
      </c>
      <c r="TM120" t="s">
        <v>1900</v>
      </c>
      <c r="TN120" t="s">
        <v>1900</v>
      </c>
      <c r="TO120" t="s">
        <v>1900</v>
      </c>
      <c r="TP120" t="s">
        <v>1900</v>
      </c>
      <c r="TQ120" t="s">
        <v>1900</v>
      </c>
      <c r="TR120" t="s">
        <v>1900</v>
      </c>
      <c r="TS120">
        <v>5536394.13074989</v>
      </c>
      <c r="TT120">
        <v>5932706.7775259</v>
      </c>
      <c r="TU120">
        <v>5681635.74941933</v>
      </c>
      <c r="TV120">
        <v>5409943.51802588</v>
      </c>
      <c r="TW120">
        <v>3493165.77047896</v>
      </c>
      <c r="TX120" t="s">
        <v>1900</v>
      </c>
      <c r="TY120" t="s">
        <v>1900</v>
      </c>
      <c r="TZ120" t="s">
        <v>1900</v>
      </c>
      <c r="UA120" t="s">
        <v>1900</v>
      </c>
      <c r="UB120" t="s">
        <v>1900</v>
      </c>
      <c r="UC120">
        <v>382296.590584785</v>
      </c>
      <c r="UD120">
        <v>389530.354816437</v>
      </c>
      <c r="UE120">
        <v>230556.145381927</v>
      </c>
      <c r="UF120">
        <v>49663.3908820152</v>
      </c>
      <c r="UG120">
        <v>116484.450254303</v>
      </c>
      <c r="UH120" t="s">
        <v>1900</v>
      </c>
      <c r="UI120" t="s">
        <v>1900</v>
      </c>
      <c r="UJ120" t="s">
        <v>1900</v>
      </c>
      <c r="UK120" t="s">
        <v>1900</v>
      </c>
      <c r="UL120" t="s">
        <v>1900</v>
      </c>
      <c r="UM120" t="s">
        <v>1900</v>
      </c>
      <c r="UN120" t="s">
        <v>1900</v>
      </c>
      <c r="UO120" t="s">
        <v>1900</v>
      </c>
      <c r="UP120" t="s">
        <v>1900</v>
      </c>
      <c r="UQ120" t="s">
        <v>1900</v>
      </c>
      <c r="UR120" t="s">
        <v>1900</v>
      </c>
      <c r="US120" t="s">
        <v>1900</v>
      </c>
      <c r="UT120" t="s">
        <v>1900</v>
      </c>
      <c r="UU120" t="s">
        <v>1900</v>
      </c>
      <c r="UV120" t="s">
        <v>1900</v>
      </c>
      <c r="UW120" t="s">
        <v>1900</v>
      </c>
      <c r="UX120" t="s">
        <v>1900</v>
      </c>
      <c r="UY120" t="s">
        <v>1900</v>
      </c>
      <c r="UZ120" t="s">
        <v>1900</v>
      </c>
      <c r="VA120" t="s">
        <v>1900</v>
      </c>
      <c r="VB120" t="s">
        <v>1900</v>
      </c>
      <c r="VC120" t="s">
        <v>1900</v>
      </c>
      <c r="VD120" t="s">
        <v>1900</v>
      </c>
      <c r="VE120" t="s">
        <v>1900</v>
      </c>
      <c r="VF120" t="s">
        <v>1900</v>
      </c>
      <c r="VG120" t="s">
        <v>1900</v>
      </c>
      <c r="VH120" t="s">
        <v>1900</v>
      </c>
      <c r="VI120" t="s">
        <v>1900</v>
      </c>
      <c r="VJ120" t="s">
        <v>1900</v>
      </c>
      <c r="VK120" t="s">
        <v>1900</v>
      </c>
      <c r="VL120" t="s">
        <v>1900</v>
      </c>
      <c r="VM120" t="s">
        <v>1900</v>
      </c>
      <c r="VN120" t="s">
        <v>1900</v>
      </c>
      <c r="VO120" t="s">
        <v>1900</v>
      </c>
      <c r="VP120" t="s">
        <v>1900</v>
      </c>
      <c r="VQ120" t="s">
        <v>1900</v>
      </c>
      <c r="VR120" t="s">
        <v>1900</v>
      </c>
      <c r="VS120" t="s">
        <v>1900</v>
      </c>
      <c r="VT120" t="s">
        <v>1900</v>
      </c>
      <c r="VU120" t="s">
        <v>1900</v>
      </c>
      <c r="VV120" t="s">
        <v>1900</v>
      </c>
      <c r="VW120" t="s">
        <v>1900</v>
      </c>
      <c r="VX120" t="s">
        <v>1900</v>
      </c>
      <c r="VY120" t="s">
        <v>1900</v>
      </c>
      <c r="VZ120" t="s">
        <v>1900</v>
      </c>
      <c r="WA120">
        <v>1059189.00998809</v>
      </c>
      <c r="WB120">
        <v>686211.937963486</v>
      </c>
      <c r="WC120">
        <v>514827.307592034</v>
      </c>
      <c r="WD120">
        <v>250127.982301712</v>
      </c>
      <c r="WE120">
        <v>448128.614380741</v>
      </c>
      <c r="WF120" t="s">
        <v>1900</v>
      </c>
      <c r="WG120" t="s">
        <v>1900</v>
      </c>
      <c r="WH120" t="s">
        <v>1900</v>
      </c>
      <c r="WI120" t="s">
        <v>1900</v>
      </c>
      <c r="WJ120" t="s">
        <v>1900</v>
      </c>
      <c r="WK120" t="s">
        <v>1900</v>
      </c>
      <c r="WL120" t="s">
        <v>1900</v>
      </c>
      <c r="WM120" t="s">
        <v>1900</v>
      </c>
      <c r="WN120" t="s">
        <v>1900</v>
      </c>
      <c r="WO120" t="s">
        <v>1900</v>
      </c>
      <c r="WP120" t="s">
        <v>1900</v>
      </c>
      <c r="WQ120" t="s">
        <v>1900</v>
      </c>
      <c r="WR120" t="s">
        <v>1900</v>
      </c>
      <c r="WS120" t="s">
        <v>1900</v>
      </c>
      <c r="WT120" t="s">
        <v>1900</v>
      </c>
      <c r="WU120" t="s">
        <v>1900</v>
      </c>
      <c r="WV120" t="s">
        <v>1900</v>
      </c>
      <c r="WW120" t="s">
        <v>1900</v>
      </c>
      <c r="WX120" t="s">
        <v>1900</v>
      </c>
      <c r="WY120" t="s">
        <v>1900</v>
      </c>
      <c r="WZ120" t="s">
        <v>1900</v>
      </c>
      <c r="XA120" t="s">
        <v>1900</v>
      </c>
      <c r="XB120" t="s">
        <v>1900</v>
      </c>
      <c r="XC120" t="s">
        <v>1900</v>
      </c>
      <c r="XD120" t="s">
        <v>1900</v>
      </c>
      <c r="XE120" t="s">
        <v>1900</v>
      </c>
      <c r="XF120" t="s">
        <v>1900</v>
      </c>
      <c r="XG120" t="s">
        <v>1900</v>
      </c>
      <c r="XH120" t="s">
        <v>1900</v>
      </c>
      <c r="XI120" t="s">
        <v>1900</v>
      </c>
      <c r="XJ120">
        <v>298849.738045681</v>
      </c>
      <c r="XK120">
        <v>271644.481910706</v>
      </c>
      <c r="XL120">
        <v>120128.967163563</v>
      </c>
      <c r="XM120">
        <v>106427.053091526</v>
      </c>
      <c r="XN120">
        <v>91661.86346888541</v>
      </c>
      <c r="XO120" t="s">
        <v>1900</v>
      </c>
      <c r="XP120" t="s">
        <v>1900</v>
      </c>
      <c r="XQ120" t="s">
        <v>1900</v>
      </c>
      <c r="XR120" t="s">
        <v>1900</v>
      </c>
      <c r="XS120" t="s">
        <v>1900</v>
      </c>
      <c r="XT120" t="s">
        <v>1900</v>
      </c>
      <c r="XU120" t="s">
        <v>1900</v>
      </c>
      <c r="XV120" t="s">
        <v>1900</v>
      </c>
      <c r="XW120" t="s">
        <v>1900</v>
      </c>
      <c r="XX120" t="s">
        <v>1900</v>
      </c>
      <c r="XY120" t="s">
        <v>1900</v>
      </c>
      <c r="XZ120" t="s">
        <v>1900</v>
      </c>
      <c r="YA120" t="s">
        <v>1900</v>
      </c>
      <c r="YB120" t="s">
        <v>1900</v>
      </c>
      <c r="YC120" t="s">
        <v>1900</v>
      </c>
      <c r="YD120" t="s">
        <v>1900</v>
      </c>
      <c r="YE120" t="s">
        <v>1900</v>
      </c>
      <c r="YF120" t="s">
        <v>1900</v>
      </c>
      <c r="YG120" t="s">
        <v>1900</v>
      </c>
      <c r="YH120" t="s">
        <v>1900</v>
      </c>
      <c r="YI120" t="s">
        <v>1900</v>
      </c>
      <c r="YJ120" t="s">
        <v>1900</v>
      </c>
      <c r="YK120" t="s">
        <v>1900</v>
      </c>
      <c r="YL120" t="s">
        <v>1900</v>
      </c>
      <c r="YM120" t="s">
        <v>1900</v>
      </c>
      <c r="YN120" t="s">
        <v>1900</v>
      </c>
      <c r="YO120" t="s">
        <v>1900</v>
      </c>
      <c r="YP120" t="s">
        <v>1900</v>
      </c>
      <c r="YQ120" t="s">
        <v>1900</v>
      </c>
      <c r="YR120" t="s">
        <v>1900</v>
      </c>
      <c r="YS120" t="s">
        <v>1900</v>
      </c>
      <c r="YT120" t="s">
        <v>1900</v>
      </c>
      <c r="YU120" t="s">
        <v>1900</v>
      </c>
      <c r="YV120" t="s">
        <v>1900</v>
      </c>
      <c r="YW120" t="s">
        <v>1900</v>
      </c>
      <c r="YX120" t="s">
        <v>1900</v>
      </c>
      <c r="YY120" t="s">
        <v>1900</v>
      </c>
      <c r="YZ120" t="s">
        <v>1900</v>
      </c>
      <c r="ZA120" t="s">
        <v>1900</v>
      </c>
      <c r="ZB120" t="s">
        <v>1900</v>
      </c>
      <c r="ZC120" t="s">
        <v>1900</v>
      </c>
      <c r="ZD120" t="s">
        <v>1900</v>
      </c>
      <c r="ZE120" t="s">
        <v>1900</v>
      </c>
      <c r="ZF120" t="s">
        <v>1900</v>
      </c>
      <c r="ZG120" t="s">
        <v>1900</v>
      </c>
      <c r="ZH120" t="s">
        <v>1900</v>
      </c>
      <c r="ZI120" t="s">
        <v>1900</v>
      </c>
      <c r="ZJ120" t="s">
        <v>1900</v>
      </c>
      <c r="ZK120" t="s">
        <v>1900</v>
      </c>
      <c r="ZL120" t="s">
        <v>1900</v>
      </c>
      <c r="ZM120" t="s">
        <v>1900</v>
      </c>
      <c r="ZN120" t="s">
        <v>1900</v>
      </c>
      <c r="ZO120" t="s">
        <v>1900</v>
      </c>
      <c r="ZP120" t="s">
        <v>1900</v>
      </c>
      <c r="ZQ120" t="s">
        <v>1900</v>
      </c>
      <c r="ZR120" t="s">
        <v>1900</v>
      </c>
      <c r="ZS120" t="s">
        <v>1900</v>
      </c>
      <c r="ZT120" t="s">
        <v>1900</v>
      </c>
      <c r="ZU120" t="s">
        <v>1900</v>
      </c>
      <c r="ZV120" t="s">
        <v>1900</v>
      </c>
      <c r="ZW120" t="s">
        <v>1900</v>
      </c>
      <c r="ZX120" t="s">
        <v>1900</v>
      </c>
      <c r="ZY120" t="s">
        <v>1900</v>
      </c>
      <c r="ZZ120" t="s">
        <v>1900</v>
      </c>
      <c r="AAA120" t="s">
        <v>1900</v>
      </c>
      <c r="AAB120" t="s">
        <v>1900</v>
      </c>
      <c r="AAC120" t="s">
        <v>1900</v>
      </c>
      <c r="AAD120" t="s">
        <v>1900</v>
      </c>
      <c r="AAE120" t="s">
        <v>1900</v>
      </c>
      <c r="AAF120" t="s">
        <v>1900</v>
      </c>
      <c r="AAG120" t="s">
        <v>1900</v>
      </c>
      <c r="AAH120" t="s">
        <v>1900</v>
      </c>
      <c r="AAI120" t="s">
        <v>1900</v>
      </c>
      <c r="AAJ120" t="s">
        <v>1900</v>
      </c>
      <c r="AAK120" t="s">
        <v>1900</v>
      </c>
      <c r="AAL120" t="s">
        <v>1900</v>
      </c>
      <c r="AAM120" t="s">
        <v>1900</v>
      </c>
      <c r="AAN120" t="s">
        <v>1900</v>
      </c>
      <c r="AAO120" t="s">
        <v>1900</v>
      </c>
      <c r="AAP120" t="s">
        <v>1900</v>
      </c>
      <c r="AAQ120" t="s">
        <v>1900</v>
      </c>
      <c r="AAR120" t="s">
        <v>1900</v>
      </c>
      <c r="AAS120" t="s">
        <v>1900</v>
      </c>
      <c r="AAT120" t="s">
        <v>1900</v>
      </c>
      <c r="AAU120" t="s">
        <v>1900</v>
      </c>
      <c r="AAV120" t="s">
        <v>1900</v>
      </c>
      <c r="AAW120" t="s">
        <v>1900</v>
      </c>
      <c r="AAX120" t="s">
        <v>1900</v>
      </c>
      <c r="AAY120" t="s">
        <v>1900</v>
      </c>
      <c r="AAZ120" t="s">
        <v>1900</v>
      </c>
      <c r="ABA120" t="s">
        <v>1900</v>
      </c>
      <c r="ABB120" t="s">
        <v>1900</v>
      </c>
      <c r="ABC120" t="s">
        <v>1900</v>
      </c>
      <c r="ABD120" t="s">
        <v>1900</v>
      </c>
      <c r="ABE120" t="s">
        <v>1900</v>
      </c>
      <c r="ABF120" t="s">
        <v>1900</v>
      </c>
      <c r="ABG120" t="s">
        <v>1900</v>
      </c>
      <c r="ABH120" t="s">
        <v>1900</v>
      </c>
      <c r="ABI120" t="s">
        <v>1900</v>
      </c>
      <c r="ABJ120" t="s">
        <v>1900</v>
      </c>
      <c r="ABK120" t="s">
        <v>1900</v>
      </c>
      <c r="ABL120" t="s">
        <v>1900</v>
      </c>
      <c r="ABM120" t="s">
        <v>1900</v>
      </c>
      <c r="ABN120" t="s">
        <v>1900</v>
      </c>
      <c r="ABO120" t="s">
        <v>1900</v>
      </c>
      <c r="ABP120" t="s">
        <v>1900</v>
      </c>
      <c r="ABQ120" t="s">
        <v>1900</v>
      </c>
      <c r="ABR120" t="s">
        <v>1900</v>
      </c>
      <c r="ABS120" t="s">
        <v>1900</v>
      </c>
      <c r="ABT120" t="s">
        <v>1900</v>
      </c>
      <c r="ABU120" t="s">
        <v>1900</v>
      </c>
      <c r="ABV120" t="s">
        <v>1900</v>
      </c>
      <c r="ABW120" t="s">
        <v>1900</v>
      </c>
      <c r="ABX120" t="s">
        <v>1900</v>
      </c>
      <c r="ABY120" t="s">
        <v>1900</v>
      </c>
      <c r="ABZ120" t="s">
        <v>1900</v>
      </c>
      <c r="ACA120" t="s">
        <v>1900</v>
      </c>
      <c r="ACB120" t="s">
        <v>1900</v>
      </c>
      <c r="ACC120" t="s">
        <v>1900</v>
      </c>
      <c r="ACD120" t="s">
        <v>1900</v>
      </c>
      <c r="ACE120">
        <v>-18.299</v>
      </c>
      <c r="ACF120">
        <v>-29.931</v>
      </c>
      <c r="ACG120">
        <v>-14.818</v>
      </c>
      <c r="ACH120">
        <v>-15.007</v>
      </c>
      <c r="ACI120">
        <v>-15.985</v>
      </c>
      <c r="ACJ120">
        <v>-12.267</v>
      </c>
      <c r="ACK120">
        <v>-22.133</v>
      </c>
      <c r="ACL120">
        <v>-9.629</v>
      </c>
      <c r="ACM120">
        <v>-11.53</v>
      </c>
      <c r="ACN120">
        <v>-7.818</v>
      </c>
      <c r="ACO120">
        <v>-9.896000000000001</v>
      </c>
      <c r="ACP120">
        <v>-18.073</v>
      </c>
      <c r="ACQ120">
        <v>-8.143000000000001</v>
      </c>
      <c r="ACR120">
        <v>-10.322</v>
      </c>
      <c r="ACS120">
        <v>-6.756</v>
      </c>
      <c r="ACT120">
        <v>-18.299</v>
      </c>
      <c r="ACU120">
        <v>-29.931</v>
      </c>
      <c r="ACV120">
        <v>-14.818</v>
      </c>
      <c r="ACW120">
        <v>-15.007</v>
      </c>
      <c r="ACX120">
        <v>-15.985</v>
      </c>
      <c r="ACY120">
        <v>-12.267</v>
      </c>
      <c r="ACZ120">
        <v>-22.133</v>
      </c>
      <c r="ADA120">
        <v>-9.629</v>
      </c>
      <c r="ADB120">
        <v>-11.53</v>
      </c>
      <c r="ADC120">
        <v>-7.818</v>
      </c>
      <c r="ADD120">
        <v>-9.896000000000001</v>
      </c>
      <c r="ADE120">
        <v>-18.073</v>
      </c>
      <c r="ADF120">
        <v>-8.143000000000001</v>
      </c>
      <c r="ADG120">
        <v>-10.322</v>
      </c>
      <c r="ADH120">
        <v>-6.756</v>
      </c>
      <c r="ADI120">
        <v>-41.535</v>
      </c>
      <c r="ADJ120" t="s">
        <v>1901</v>
      </c>
      <c r="ADK120">
        <v>-69.682</v>
      </c>
      <c r="ADL120" t="s">
        <v>1901</v>
      </c>
      <c r="ADM120" t="s">
        <v>1901</v>
      </c>
      <c r="ADN120">
        <v>99.128</v>
      </c>
      <c r="ADO120">
        <v>99.93000000000001</v>
      </c>
      <c r="ADP120">
        <v>100</v>
      </c>
      <c r="ADQ120">
        <v>99.643</v>
      </c>
      <c r="ADR120">
        <v>98.105</v>
      </c>
      <c r="ADS120">
        <v>-50.206624509</v>
      </c>
      <c r="ADT120">
        <v>-22.42343636</v>
      </c>
      <c r="ADU120">
        <v>-75.091449162</v>
      </c>
      <c r="ADV120">
        <v>-381.786110699</v>
      </c>
      <c r="ADW120">
        <v>-148.958437204</v>
      </c>
      <c r="ADX120">
        <v>6.526</v>
      </c>
      <c r="ADY120">
        <v>54.804</v>
      </c>
      <c r="ADZ120">
        <v>-9.124000000000001</v>
      </c>
      <c r="AEA120" t="s">
        <v>1901</v>
      </c>
      <c r="AEB120">
        <v>-16.945</v>
      </c>
      <c r="AEC120">
        <v>-50.207</v>
      </c>
      <c r="AED120">
        <v>-22.423</v>
      </c>
      <c r="AEE120">
        <v>-75.09099999999999</v>
      </c>
      <c r="AEF120" t="s">
        <v>1901</v>
      </c>
      <c r="AEG120" t="s">
        <v>1901</v>
      </c>
      <c r="AEH120">
        <v>15.198</v>
      </c>
      <c r="AEI120">
        <v>-23.519</v>
      </c>
      <c r="AEJ120">
        <v>-3.715</v>
      </c>
      <c r="AEK120" t="s">
        <v>1901</v>
      </c>
      <c r="AEL120">
        <v>-21.524</v>
      </c>
      <c r="AEM120">
        <v>-33.425040123</v>
      </c>
      <c r="AEN120">
        <v>-18.316293862</v>
      </c>
      <c r="AEO120">
        <v>-42.886988212</v>
      </c>
      <c r="AEP120">
        <v>-79.24390143700001</v>
      </c>
      <c r="AEQ120">
        <v>-59.832652742</v>
      </c>
      <c r="AER120">
        <v>0.66379884</v>
      </c>
      <c r="AES120">
        <v>0.816731993</v>
      </c>
      <c r="AET120" t="s">
        <v>1900</v>
      </c>
      <c r="AEU120">
        <v>0.206973319</v>
      </c>
      <c r="AEV120">
        <v>0.397084996</v>
      </c>
      <c r="AEW120" t="s">
        <v>1900</v>
      </c>
      <c r="AEX120" t="s">
        <v>1900</v>
      </c>
      <c r="AEY120" t="s">
        <v>1900</v>
      </c>
      <c r="AEZ120" t="s">
        <v>1900</v>
      </c>
      <c r="AFA120" t="s">
        <v>1900</v>
      </c>
      <c r="AFB120" t="s">
        <v>1900</v>
      </c>
      <c r="AFC120" t="s">
        <v>1900</v>
      </c>
      <c r="AFD120" t="s">
        <v>1900</v>
      </c>
      <c r="AFE120" t="s">
        <v>1900</v>
      </c>
      <c r="AFF120" t="s">
        <v>1900</v>
      </c>
      <c r="AFG120">
        <v>0.342</v>
      </c>
      <c r="AFH120">
        <v>0.235</v>
      </c>
      <c r="AFI120">
        <v>0.147</v>
      </c>
      <c r="AFJ120">
        <v>0.034</v>
      </c>
      <c r="AFK120">
        <v>0.052</v>
      </c>
      <c r="AFL120">
        <v>-8.842000000000001</v>
      </c>
      <c r="AFM120">
        <v>-3.457</v>
      </c>
      <c r="AFN120">
        <v>-17.687</v>
      </c>
      <c r="AFO120">
        <v>-48.049</v>
      </c>
      <c r="AFP120">
        <v>-32.535</v>
      </c>
      <c r="AFQ120" t="s">
        <v>1901</v>
      </c>
      <c r="AFR120" t="s">
        <v>1901</v>
      </c>
      <c r="AFS120" t="s">
        <v>1901</v>
      </c>
      <c r="AFT120" t="s">
        <v>1901</v>
      </c>
      <c r="AFU120" t="s">
        <v>1901</v>
      </c>
      <c r="AFV120">
        <v>253.668</v>
      </c>
      <c r="AFW120">
        <v>330.112</v>
      </c>
      <c r="AFX120">
        <v>262.932</v>
      </c>
      <c r="AFY120">
        <v>880.923</v>
      </c>
      <c r="AFZ120">
        <v>573.114</v>
      </c>
      <c r="AGA120">
        <v>65.261</v>
      </c>
      <c r="AGB120">
        <v>109.732</v>
      </c>
      <c r="AGC120">
        <v>230.153</v>
      </c>
      <c r="AGD120">
        <v>848.6559999999999</v>
      </c>
      <c r="AGE120">
        <v>0</v>
      </c>
      <c r="AGF120" t="s">
        <v>1900</v>
      </c>
      <c r="AGG120" t="s">
        <v>1900</v>
      </c>
      <c r="AGH120" t="s">
        <v>1900</v>
      </c>
      <c r="AGI120" t="s">
        <v>1900</v>
      </c>
      <c r="AGJ120" t="s">
        <v>1900</v>
      </c>
      <c r="AGK120" t="s">
        <v>1900</v>
      </c>
      <c r="AGL120" t="s">
        <v>1900</v>
      </c>
      <c r="AGM120" t="s">
        <v>1900</v>
      </c>
      <c r="AGN120" t="s">
        <v>1900</v>
      </c>
      <c r="AGO120" t="s">
        <v>1900</v>
      </c>
      <c r="AGP120" t="s">
        <v>1900</v>
      </c>
      <c r="AGQ120" t="s">
        <v>1900</v>
      </c>
      <c r="AGR120" t="s">
        <v>1900</v>
      </c>
      <c r="AGS120" t="s">
        <v>1900</v>
      </c>
      <c r="AGT120" t="s">
        <v>1900</v>
      </c>
      <c r="AGU120">
        <v>0</v>
      </c>
      <c r="AGV120">
        <v>0</v>
      </c>
      <c r="AGW120">
        <v>0</v>
      </c>
      <c r="AGX120">
        <v>0</v>
      </c>
      <c r="AGY120">
        <v>0</v>
      </c>
      <c r="AGZ120">
        <v>0.613</v>
      </c>
      <c r="AHA120">
        <v>0.781</v>
      </c>
      <c r="AHB120">
        <v>0.418</v>
      </c>
      <c r="AHC120">
        <v>2.352</v>
      </c>
      <c r="AHD120">
        <v>0.437</v>
      </c>
      <c r="AHE120">
        <v>0.613</v>
      </c>
      <c r="AHF120">
        <v>0.781</v>
      </c>
      <c r="AHG120">
        <v>0.418</v>
      </c>
      <c r="AHH120">
        <v>2.352</v>
      </c>
      <c r="AHI120">
        <v>0.437</v>
      </c>
      <c r="AHJ120">
        <v>3.474</v>
      </c>
      <c r="AHK120">
        <v>3.77</v>
      </c>
      <c r="AHL120">
        <v>2.247</v>
      </c>
      <c r="AHM120">
        <v>3.679</v>
      </c>
      <c r="AHN120">
        <v>1.017</v>
      </c>
      <c r="AHO120">
        <v>54.079</v>
      </c>
      <c r="AHP120">
        <v>60.383</v>
      </c>
      <c r="AHQ120">
        <v>54.953</v>
      </c>
      <c r="AHR120">
        <v>68.78</v>
      </c>
      <c r="AHS120">
        <v>42.262</v>
      </c>
      <c r="AHT120" t="s">
        <v>1901</v>
      </c>
      <c r="AHU120" t="s">
        <v>1901</v>
      </c>
      <c r="AHV120" t="s">
        <v>1901</v>
      </c>
      <c r="AHW120" t="s">
        <v>1901</v>
      </c>
      <c r="AHX120">
        <v>73.196</v>
      </c>
      <c r="AHY120">
        <v>41.552</v>
      </c>
      <c r="AHZ120">
        <v>37.398</v>
      </c>
      <c r="AIA120">
        <v>51.889</v>
      </c>
      <c r="AIB120">
        <v>28.519</v>
      </c>
      <c r="AIC120">
        <v>106.264</v>
      </c>
      <c r="AID120">
        <v>9.590174507</v>
      </c>
      <c r="AIE120">
        <v>9.518970423000001</v>
      </c>
      <c r="AIF120">
        <v>27.052739611</v>
      </c>
      <c r="AIG120">
        <v>20.558752527</v>
      </c>
      <c r="AIH120">
        <v>29.086592211</v>
      </c>
      <c r="AII120">
        <v>1.805513578</v>
      </c>
      <c r="AIJ120">
        <v>1.982114609</v>
      </c>
      <c r="AIK120">
        <v>0.062269224</v>
      </c>
      <c r="AIL120">
        <v>22.202338122</v>
      </c>
      <c r="AIM120">
        <v>0.06548422700000001</v>
      </c>
      <c r="AIN120">
        <v>19.131387415</v>
      </c>
      <c r="AIO120">
        <v>11.566591165</v>
      </c>
      <c r="AIP120">
        <v>9.061251553</v>
      </c>
      <c r="AIQ120">
        <v>4.623486021</v>
      </c>
      <c r="AIR120">
        <v>12.828724539</v>
      </c>
      <c r="AIS120">
        <v>0</v>
      </c>
      <c r="AIT120">
        <v>0</v>
      </c>
      <c r="AIU120" t="s">
        <v>1900</v>
      </c>
      <c r="AIV120">
        <v>0</v>
      </c>
      <c r="AIW120">
        <v>0</v>
      </c>
      <c r="AIX120">
        <v>-20.2915811696724</v>
      </c>
      <c r="AIY120">
        <v>-41.2397654979</v>
      </c>
      <c r="AIZ120">
        <v>-18.5056291132212</v>
      </c>
      <c r="AJA120">
        <v>-24.2781245821309</v>
      </c>
      <c r="AJB120">
        <v>-26.2208492577291</v>
      </c>
      <c r="AJC120">
        <v>48.8541626044172</v>
      </c>
      <c r="AJD120">
        <v>40.9340207006855</v>
      </c>
      <c r="AJE120">
        <v>26.557345986104</v>
      </c>
      <c r="AJF120">
        <v>6.96534465286732</v>
      </c>
      <c r="AJG120">
        <v>17.0778857650822</v>
      </c>
      <c r="AJH120">
        <v>97.723</v>
      </c>
      <c r="AJI120" t="s">
        <v>1901</v>
      </c>
      <c r="AJJ120" t="s">
        <v>1901</v>
      </c>
      <c r="AJK120" t="s">
        <v>1901</v>
      </c>
      <c r="AJL120" t="s">
        <v>1901</v>
      </c>
      <c r="AJM120">
        <v>47.7415635300845</v>
      </c>
      <c r="AJN120">
        <v>59.9948969249725</v>
      </c>
      <c r="AJO120">
        <v>58.9921244562864</v>
      </c>
      <c r="AJP120">
        <v>35.256517898612</v>
      </c>
      <c r="AJQ120">
        <v>70.08536786292611</v>
      </c>
      <c r="AJR120">
        <v>110.889121070425</v>
      </c>
      <c r="AJS120">
        <v>137.78289416527</v>
      </c>
      <c r="AJT120">
        <v>124.89009662323</v>
      </c>
      <c r="AJU120">
        <v>161.78087369251</v>
      </c>
      <c r="AJV120">
        <v>164.031187082267</v>
      </c>
      <c r="AJW120">
        <v>25.5679296134077</v>
      </c>
      <c r="AJX120">
        <v>25.0584785759373</v>
      </c>
      <c r="AJY120">
        <v>2.41815169579983</v>
      </c>
      <c r="AJZ120">
        <v>0.624308543679714</v>
      </c>
      <c r="AKA120">
        <v>27.1876881583464</v>
      </c>
      <c r="AKB120">
        <v>205.051634356785</v>
      </c>
      <c r="AKC120">
        <v>228.181029989842</v>
      </c>
      <c r="AKD120">
        <v>227.265429976773</v>
      </c>
      <c r="AKE120">
        <v>235.214935517099</v>
      </c>
      <c r="AKF120">
        <v>388.129530325906</v>
      </c>
      <c r="AKG120">
        <v>0</v>
      </c>
      <c r="AKH120">
        <v>0</v>
      </c>
      <c r="AKI120" t="s">
        <v>1900</v>
      </c>
      <c r="AKJ120">
        <v>0</v>
      </c>
      <c r="AKK120">
        <v>0</v>
      </c>
      <c r="AKL120">
        <v>0</v>
      </c>
      <c r="AKM120">
        <v>0</v>
      </c>
      <c r="AKN120">
        <v>0</v>
      </c>
      <c r="AKO120">
        <v>0</v>
      </c>
      <c r="AKP120">
        <v>0</v>
      </c>
      <c r="AKQ120">
        <v>0</v>
      </c>
      <c r="AKR120">
        <v>0</v>
      </c>
      <c r="AKS120">
        <v>0</v>
      </c>
      <c r="AKT120">
        <v>0</v>
      </c>
      <c r="AKU120">
        <v>0</v>
      </c>
      <c r="AKV120">
        <v>299.929778754</v>
      </c>
      <c r="AKW120">
        <v>399.215181804</v>
      </c>
      <c r="AKX120">
        <v>545.544654662</v>
      </c>
      <c r="AKY120" t="s">
        <v>1901</v>
      </c>
      <c r="AKZ120" t="s">
        <v>1901</v>
      </c>
      <c r="ALA120">
        <v>71.45916333</v>
      </c>
      <c r="ALB120">
        <v>71.616306538</v>
      </c>
      <c r="ALC120">
        <v>63.750206735</v>
      </c>
      <c r="ALD120">
        <v>49.369641682</v>
      </c>
      <c r="ALE120">
        <v>63.432613344</v>
      </c>
      <c r="ALF120">
        <v>1.498580685</v>
      </c>
      <c r="ALG120">
        <v>2.411870181</v>
      </c>
      <c r="ALH120">
        <v>5.134486897</v>
      </c>
      <c r="ALI120">
        <v>21.038975729</v>
      </c>
      <c r="ALJ120">
        <v>9.329727797</v>
      </c>
      <c r="ALK120">
        <v>0.357041313</v>
      </c>
      <c r="ALL120">
        <v>0.432672008</v>
      </c>
      <c r="ALM120">
        <v>0.599995983</v>
      </c>
      <c r="ALN120">
        <v>0.623020415</v>
      </c>
      <c r="ALO120">
        <v>0.410512508</v>
      </c>
      <c r="ALP120">
        <v>70.463367682</v>
      </c>
      <c r="ALQ120">
        <v>91.697892235</v>
      </c>
      <c r="ALR120">
        <v>73.03675477199999</v>
      </c>
      <c r="ALS120">
        <v>244.700842011</v>
      </c>
      <c r="ALT120">
        <v>159.198208654</v>
      </c>
      <c r="ALU120">
        <v>25.727064475</v>
      </c>
      <c r="ALV120">
        <v>33.240827862</v>
      </c>
      <c r="ALW120">
        <v>87.53313082699999</v>
      </c>
      <c r="ALX120">
        <v>96.337129683</v>
      </c>
      <c r="ALY120">
        <v>0</v>
      </c>
      <c r="ALZ120">
        <v>99.1284477556425</v>
      </c>
      <c r="AMA120">
        <v>99.9298138509666</v>
      </c>
      <c r="AMB120">
        <v>100</v>
      </c>
      <c r="AMC120">
        <v>99.6429758142626</v>
      </c>
      <c r="AMD120">
        <v>98.10530441250781</v>
      </c>
      <c r="AME120">
        <v>99.5300200787635</v>
      </c>
      <c r="AMF120" t="s">
        <v>1901</v>
      </c>
      <c r="AMG120" t="s">
        <v>1901</v>
      </c>
      <c r="AMH120">
        <v>99.6429758142626</v>
      </c>
      <c r="AMI120" t="s">
        <v>1901</v>
      </c>
      <c r="AMJ120">
        <v>11373.7825076406</v>
      </c>
      <c r="AMK120">
        <v>142378.25443787</v>
      </c>
      <c r="AML120" t="s">
        <v>1900</v>
      </c>
      <c r="AMM120">
        <v>27909.3069306931</v>
      </c>
      <c r="AMN120">
        <v>5177.8948765596</v>
      </c>
      <c r="AMO120">
        <v>0.663798839751763</v>
      </c>
      <c r="AMP120">
        <v>0.816731992644569</v>
      </c>
      <c r="AMQ120">
        <v>0.571130117881942</v>
      </c>
      <c r="AMR120">
        <v>0.206973318824554</v>
      </c>
      <c r="AMS120">
        <v>0.397084992939336</v>
      </c>
      <c r="AMT120">
        <v>0.66379884027917</v>
      </c>
      <c r="AMU120">
        <v>0.816731992644569</v>
      </c>
      <c r="AMV120">
        <v>0.571130117881942</v>
      </c>
      <c r="AMW120">
        <v>0.206973318824554</v>
      </c>
      <c r="AMX120">
        <v>0.397084996170761</v>
      </c>
      <c r="AMY120">
        <v>0.66379884027917</v>
      </c>
      <c r="AMZ120">
        <v>0.816731992644569</v>
      </c>
      <c r="ANA120" t="s">
        <v>1900</v>
      </c>
      <c r="ANB120">
        <v>0.206973318824554</v>
      </c>
      <c r="ANC120">
        <v>0.397084996170761</v>
      </c>
      <c r="AND120">
        <v>-50.2066245087681</v>
      </c>
      <c r="ANE120">
        <v>-22.42343635954</v>
      </c>
      <c r="ANF120">
        <v>-75.0914491619771</v>
      </c>
      <c r="ANG120" t="s">
        <v>1901</v>
      </c>
      <c r="ANH120" t="s">
        <v>1901</v>
      </c>
      <c r="ANI120">
        <v>-50.4100130546046</v>
      </c>
      <c r="ANJ120">
        <v>-22.4461119541042</v>
      </c>
      <c r="ANK120">
        <v>-75.3974104405026</v>
      </c>
      <c r="ANL120" t="s">
        <v>1901</v>
      </c>
      <c r="ANM120" t="s">
        <v>1901</v>
      </c>
      <c r="ANN120">
        <v>-33.4250401225396</v>
      </c>
      <c r="ANO120">
        <v>-18.3162938619739</v>
      </c>
      <c r="ANP120">
        <v>-42.8869882118058</v>
      </c>
      <c r="ANQ120">
        <v>-79.2439014368896</v>
      </c>
      <c r="ANR120">
        <v>-59.8326527419811</v>
      </c>
      <c r="ANS120">
        <v>-17.175656520307</v>
      </c>
      <c r="ANT120">
        <v>-5.26521985996112</v>
      </c>
      <c r="ANU120">
        <v>-11.0501008257547</v>
      </c>
      <c r="ANV120">
        <v>-12.9241064590736</v>
      </c>
      <c r="ANW120">
        <v>-7.81787423732762</v>
      </c>
      <c r="ANX120">
        <v>99.12844783440291</v>
      </c>
      <c r="ANY120">
        <v>99.9298138509666</v>
      </c>
      <c r="ANZ120" t="s">
        <v>1900</v>
      </c>
      <c r="AOA120">
        <v>99.6429758142626</v>
      </c>
      <c r="AOB120">
        <v>98.1053052108757</v>
      </c>
      <c r="AOC120">
        <v>65.99472432046829</v>
      </c>
      <c r="AOD120">
        <v>81.62637549030001</v>
      </c>
      <c r="AOE120">
        <v>57.1130117881942</v>
      </c>
      <c r="AOF120">
        <v>20.6819942712246</v>
      </c>
      <c r="AOG120">
        <v>39.4062983019086</v>
      </c>
      <c r="AOH120">
        <v>23.6176479983386</v>
      </c>
      <c r="AOI120">
        <v>17.9266834209884</v>
      </c>
      <c r="AOJ120">
        <v>11.6856074365636</v>
      </c>
      <c r="AOK120">
        <v>2.95069536313618</v>
      </c>
      <c r="AOL120">
        <v>4.31668055468959</v>
      </c>
      <c r="AOM120">
        <v>-5760.59890510092</v>
      </c>
      <c r="AON120">
        <v>-31948.5207100592</v>
      </c>
      <c r="AOO120" t="s">
        <v>1900</v>
      </c>
      <c r="AOP120">
        <v>-106935.643564356</v>
      </c>
      <c r="AOQ120">
        <v>-7861.86978817719</v>
      </c>
      <c r="AOR120">
        <v>-33.620115972083</v>
      </c>
      <c r="AOS120">
        <v>-18.3268007355431</v>
      </c>
      <c r="AOT120">
        <v>-42.8869882118058</v>
      </c>
      <c r="AOU120">
        <v>-79.3026681175446</v>
      </c>
      <c r="AOV120">
        <v>-60.2915003829239</v>
      </c>
      <c r="AOW120">
        <v>-11.9618778633134</v>
      </c>
      <c r="AOX120">
        <v>-4.0226017575461</v>
      </c>
      <c r="AOY120">
        <v>-8.77489196749535</v>
      </c>
      <c r="AOZ120">
        <v>-11.3057091816323</v>
      </c>
      <c r="APA120">
        <v>-6.5542428433146</v>
      </c>
      <c r="APB120">
        <v>-41.5350094434967</v>
      </c>
      <c r="APC120">
        <v>-100.746921828619</v>
      </c>
      <c r="APD120">
        <v>-69.6817713746853</v>
      </c>
      <c r="APE120">
        <v>-348.555996238874</v>
      </c>
      <c r="APF120">
        <v>-153.536853821943</v>
      </c>
      <c r="APG120">
        <v>-41.7032690159071</v>
      </c>
      <c r="APH120">
        <v>-100.848801679519</v>
      </c>
      <c r="API120">
        <v>-69.9656908368565</v>
      </c>
      <c r="APJ120">
        <v>-348.555996238874</v>
      </c>
      <c r="APK120">
        <v>-332.510385686901</v>
      </c>
      <c r="APL120">
        <v>-4765.63665182824</v>
      </c>
      <c r="APM120">
        <v>-143542.455621302</v>
      </c>
      <c r="APN120" t="s">
        <v>1900</v>
      </c>
      <c r="APO120">
        <v>-97628.1188118812</v>
      </c>
      <c r="APP120">
        <v>-8103.51380619499</v>
      </c>
      <c r="APQ120">
        <v>-27.813298505022</v>
      </c>
      <c r="APR120">
        <v>-82.34102621326841</v>
      </c>
      <c r="APS120">
        <v>-39.7973582994466</v>
      </c>
      <c r="APT120">
        <v>-72.40027784018901</v>
      </c>
      <c r="APU120">
        <v>-62.1446321184253</v>
      </c>
      <c r="APV120">
        <v>-27.6519158721073</v>
      </c>
      <c r="APW120">
        <v>-82.2938195695961</v>
      </c>
      <c r="APX120">
        <v>-39.7973582994466</v>
      </c>
      <c r="APY120">
        <v>-72.3466261269722</v>
      </c>
      <c r="APZ120">
        <v>-61.6716812436968</v>
      </c>
      <c r="AQA120">
        <v>-9.895839739791899</v>
      </c>
      <c r="AQB120">
        <v>-18.0732666624821</v>
      </c>
      <c r="AQC120">
        <v>-8.14273825768946</v>
      </c>
      <c r="AQD120">
        <v>-10.3216765004337</v>
      </c>
      <c r="AQE120">
        <v>-6.75569537539604</v>
      </c>
      <c r="AQF120">
        <v>-0.33620115972083</v>
      </c>
      <c r="AQG120">
        <v>-0.183268007355431</v>
      </c>
      <c r="AQH120" t="s">
        <v>1900</v>
      </c>
      <c r="AQI120">
        <v>-0.7930266811754459</v>
      </c>
      <c r="AQJ120">
        <v>-0.602915003829239</v>
      </c>
      <c r="AQK120">
        <v>7</v>
      </c>
      <c r="AQO120" t="s">
        <v>1902</v>
      </c>
      <c r="AQP120">
        <v>5</v>
      </c>
      <c r="AQQ120">
        <v>1</v>
      </c>
      <c r="AQS120" t="s">
        <v>1905</v>
      </c>
      <c r="AQU120" t="s">
        <v>1906</v>
      </c>
      <c r="AQV120">
        <v>1319062.39551376</v>
      </c>
      <c r="AQW120">
        <v>1064284.54263783</v>
      </c>
      <c r="AQX120">
        <v>663933.6496526001</v>
      </c>
      <c r="AQY120">
        <v>-662256.703951956</v>
      </c>
      <c r="AQZ120">
        <v>-238649.167102814</v>
      </c>
      <c r="ARA120">
        <v>-498557.398998141</v>
      </c>
      <c r="ARB120">
        <v>3047280.58780419</v>
      </c>
      <c r="ARC120">
        <v>-1399463.270052911</v>
      </c>
      <c r="ARD120">
        <v>-0.3147164115558742</v>
      </c>
      <c r="ARE120">
        <v>-0.3147164115558742</v>
      </c>
      <c r="ARF120">
        <v>-0.3147164115558742</v>
      </c>
      <c r="ARG120" t="s">
        <v>1907</v>
      </c>
      <c r="ARH120" t="s">
        <v>1907</v>
      </c>
      <c r="ARI120" t="s">
        <v>1907</v>
      </c>
      <c r="ARJ120" t="s">
        <v>1281</v>
      </c>
      <c r="ARK120" t="s">
        <v>1619</v>
      </c>
      <c r="ARL120" t="s">
        <v>1908</v>
      </c>
      <c r="ARM120" t="s">
        <v>1908</v>
      </c>
      <c r="ARN120" t="s">
        <v>1909</v>
      </c>
      <c r="ARO120" t="s">
        <v>1908</v>
      </c>
      <c r="ARP120" t="s">
        <v>1907</v>
      </c>
      <c r="ARQ120" t="s">
        <v>2012</v>
      </c>
      <c r="ARR120">
        <f>HYPERLINK("C:\Users\Usuario\Documents\Proyectos\llmthon\evidence\ubikare_io_000444.png", "Ver Evidencia")</f>
        <v>0</v>
      </c>
      <c r="ARS120">
        <v>100</v>
      </c>
    </row>
    <row r="121" spans="1:1163">
      <c r="A121">
        <v>505</v>
      </c>
      <c r="B121" t="s">
        <v>1282</v>
      </c>
      <c r="C121" t="s">
        <v>1405</v>
      </c>
      <c r="E121" s="2">
        <v>42325</v>
      </c>
      <c r="F121" t="s">
        <v>1431</v>
      </c>
      <c r="G121" t="s">
        <v>1433</v>
      </c>
      <c r="H121" t="s">
        <v>1434</v>
      </c>
      <c r="I121" t="s">
        <v>1436</v>
      </c>
      <c r="J121" t="s">
        <v>1452</v>
      </c>
      <c r="L121" t="s">
        <v>1620</v>
      </c>
      <c r="N121" t="s">
        <v>1624</v>
      </c>
      <c r="O121" t="s">
        <v>1648</v>
      </c>
      <c r="P121">
        <v>6209</v>
      </c>
      <c r="Q121">
        <v>6209</v>
      </c>
      <c r="R121" t="s">
        <v>1693</v>
      </c>
      <c r="S121" t="s">
        <v>1844</v>
      </c>
      <c r="Z121" t="s">
        <v>1899</v>
      </c>
      <c r="AA121" s="2">
        <v>45657</v>
      </c>
      <c r="AB121">
        <v>2024</v>
      </c>
      <c r="AC121">
        <v>1342641.08288113</v>
      </c>
      <c r="AD121">
        <v>1110687.08261271</v>
      </c>
      <c r="AE121">
        <v>768747.954723954</v>
      </c>
      <c r="AF121">
        <v>810118.0119850161</v>
      </c>
      <c r="AG121">
        <v>701495.93013159</v>
      </c>
      <c r="AH121">
        <v>1342641.08288113</v>
      </c>
      <c r="AI121">
        <v>1110687.08261271</v>
      </c>
      <c r="AJ121">
        <v>768747.954723954</v>
      </c>
      <c r="AK121">
        <v>810118.0119850161</v>
      </c>
      <c r="AL121">
        <v>701495.93013159</v>
      </c>
      <c r="AM121">
        <v>86691.9695340586</v>
      </c>
      <c r="AN121">
        <v>146134.41498333</v>
      </c>
      <c r="AO121">
        <v>25424.1800237834</v>
      </c>
      <c r="AP121">
        <v>129739.569088125</v>
      </c>
      <c r="AQ121">
        <v>12730.1490101695</v>
      </c>
      <c r="AR121">
        <v>1255949.11334707</v>
      </c>
      <c r="AS121">
        <v>964552.667629385</v>
      </c>
      <c r="AT121">
        <v>743323.773633571</v>
      </c>
      <c r="AU121">
        <v>680378.442896891</v>
      </c>
      <c r="AV121">
        <v>688765.781121421</v>
      </c>
      <c r="AW121">
        <v>1069848.17122271</v>
      </c>
      <c r="AX121">
        <v>792669.983035548</v>
      </c>
      <c r="AY121">
        <v>676416.532767463</v>
      </c>
      <c r="AZ121">
        <v>335022.774537921</v>
      </c>
      <c r="BA121">
        <v>402810.475172538</v>
      </c>
      <c r="BB121">
        <v>186100.942124362</v>
      </c>
      <c r="BC121">
        <v>171882.683488836</v>
      </c>
      <c r="BD121">
        <v>66907.241932708</v>
      </c>
      <c r="BE121">
        <v>345355.66835897</v>
      </c>
      <c r="BF121">
        <v>285955.305948883</v>
      </c>
      <c r="BG121">
        <v>-7267.67264445174</v>
      </c>
      <c r="BH121">
        <v>-3430.59448460865</v>
      </c>
      <c r="BI121">
        <v>-1939.64316738248</v>
      </c>
      <c r="BJ121">
        <v>-4650.43307784319</v>
      </c>
      <c r="BK121">
        <v>-8668.59758096933</v>
      </c>
      <c r="BL121">
        <v>1946.57568079114</v>
      </c>
      <c r="BM121">
        <v>261.752517471314</v>
      </c>
      <c r="BN121" t="s">
        <v>1900</v>
      </c>
      <c r="BO121">
        <v>0.011326003074646</v>
      </c>
      <c r="BP121" t="s">
        <v>1900</v>
      </c>
      <c r="BQ121">
        <v>9214.249364142421</v>
      </c>
      <c r="BR121">
        <v>3692.34810708046</v>
      </c>
      <c r="BS121">
        <v>1939.64316738248</v>
      </c>
      <c r="BT121">
        <v>4650.44553644657</v>
      </c>
      <c r="BU121">
        <v>8668.59758096933</v>
      </c>
      <c r="BV121">
        <v>178833.268441011</v>
      </c>
      <c r="BW121">
        <v>168452.087899227</v>
      </c>
      <c r="BX121">
        <v>64967.5987653255</v>
      </c>
      <c r="BY121">
        <v>340705.234148526</v>
      </c>
      <c r="BZ121">
        <v>277286.708367914</v>
      </c>
      <c r="CA121">
        <v>-45116.2072507524</v>
      </c>
      <c r="CB121">
        <v>-24270.4960923004</v>
      </c>
      <c r="CC121">
        <v>-93791.9699657381</v>
      </c>
      <c r="CD121">
        <v>17673.6954758406</v>
      </c>
      <c r="CE121">
        <v>4991.152774477</v>
      </c>
      <c r="CF121">
        <v>223949.475691763</v>
      </c>
      <c r="CG121">
        <v>192722.583991528</v>
      </c>
      <c r="CH121">
        <v>158759.568731064</v>
      </c>
      <c r="CI121">
        <v>323031.538672686</v>
      </c>
      <c r="CJ121">
        <v>272295.555593437</v>
      </c>
      <c r="CK121" t="s">
        <v>1900</v>
      </c>
      <c r="CL121" t="s">
        <v>1900</v>
      </c>
      <c r="CM121" t="s">
        <v>1900</v>
      </c>
      <c r="CN121" t="s">
        <v>1900</v>
      </c>
      <c r="CO121" t="s">
        <v>1900</v>
      </c>
      <c r="CP121" t="s">
        <v>1900</v>
      </c>
      <c r="CQ121" t="s">
        <v>1900</v>
      </c>
      <c r="CR121" t="s">
        <v>1900</v>
      </c>
      <c r="CS121" t="s">
        <v>1900</v>
      </c>
      <c r="CT121" t="s">
        <v>1900</v>
      </c>
      <c r="CU121" t="s">
        <v>1900</v>
      </c>
      <c r="CV121" t="s">
        <v>1900</v>
      </c>
      <c r="CW121" t="s">
        <v>1900</v>
      </c>
      <c r="CX121" t="s">
        <v>1900</v>
      </c>
      <c r="CY121" t="s">
        <v>1900</v>
      </c>
      <c r="CZ121">
        <v>223949.475691763</v>
      </c>
      <c r="DA121">
        <v>192722.583991528</v>
      </c>
      <c r="DB121">
        <v>158759.568731064</v>
      </c>
      <c r="DC121">
        <v>323031.538672686</v>
      </c>
      <c r="DD121">
        <v>272295.555593437</v>
      </c>
      <c r="DE121" t="s">
        <v>1900</v>
      </c>
      <c r="DF121" t="s">
        <v>1900</v>
      </c>
      <c r="DG121" t="s">
        <v>1900</v>
      </c>
      <c r="DH121" t="s">
        <v>1900</v>
      </c>
      <c r="DI121" t="s">
        <v>1900</v>
      </c>
      <c r="DJ121">
        <v>86691.9695340586</v>
      </c>
      <c r="DK121">
        <v>146134.41498333</v>
      </c>
      <c r="DL121">
        <v>25424.1800237834</v>
      </c>
      <c r="DM121">
        <v>129739.569088125</v>
      </c>
      <c r="DN121">
        <v>12730.1490101695</v>
      </c>
      <c r="DO121">
        <v>655598.822743132</v>
      </c>
      <c r="DP121">
        <v>485095.726005001</v>
      </c>
      <c r="DQ121">
        <v>342670.42800684</v>
      </c>
      <c r="DR121">
        <v>290495.522182202</v>
      </c>
      <c r="DS121">
        <v>280180.674813706</v>
      </c>
      <c r="DT121">
        <v>117212.594022727</v>
      </c>
      <c r="DU121">
        <v>136646.383475218</v>
      </c>
      <c r="DV121">
        <v>115178.921602535</v>
      </c>
      <c r="DW121">
        <v>117088.083873653</v>
      </c>
      <c r="DX121">
        <v>32644.6821856677</v>
      </c>
      <c r="DY121">
        <v>297036.754456854</v>
      </c>
      <c r="DZ121">
        <v>170927.873555329</v>
      </c>
      <c r="EA121">
        <v>218567.182091488</v>
      </c>
      <c r="EB121">
        <v>-72560.8315179348</v>
      </c>
      <c r="EC121">
        <v>89985.1181731641</v>
      </c>
      <c r="ED121">
        <v>9214.249364142421</v>
      </c>
      <c r="EE121">
        <v>3692.34810708046</v>
      </c>
      <c r="EF121">
        <v>1939.64316738248</v>
      </c>
      <c r="EG121">
        <v>4650.44553644657</v>
      </c>
      <c r="EH121">
        <v>8668.59758096933</v>
      </c>
      <c r="EI121" t="s">
        <v>1900</v>
      </c>
      <c r="EJ121" t="s">
        <v>1900</v>
      </c>
      <c r="EK121" t="s">
        <v>1900</v>
      </c>
      <c r="EL121" t="s">
        <v>1900</v>
      </c>
      <c r="EM121" t="s">
        <v>1900</v>
      </c>
      <c r="EN121">
        <v>341162.06971449</v>
      </c>
      <c r="EO121">
        <v>329368.967466745</v>
      </c>
      <c r="EP121">
        <v>273938.490333599</v>
      </c>
      <c r="EQ121">
        <v>440119.622546339</v>
      </c>
      <c r="ER121">
        <v>304940.237779105</v>
      </c>
      <c r="ES121">
        <v>960858.934571012</v>
      </c>
      <c r="ET121">
        <v>793886.5443815259</v>
      </c>
      <c r="EU121">
        <v>524756.591542083</v>
      </c>
      <c r="EV121">
        <v>752939.285740828</v>
      </c>
      <c r="EW121">
        <v>598780.6629482571</v>
      </c>
      <c r="EX121">
        <v>303313.536147089</v>
      </c>
      <c r="EY121">
        <v>308529.066964054</v>
      </c>
      <c r="EZ121">
        <v>182086.163535243</v>
      </c>
      <c r="FA121">
        <v>462443.752232623</v>
      </c>
      <c r="FB121">
        <v>318599.988134551</v>
      </c>
      <c r="FC121">
        <v>1187884.79958329</v>
      </c>
      <c r="FD121">
        <v>1178722.37199612</v>
      </c>
      <c r="FE121">
        <v>1087419.75558705</v>
      </c>
      <c r="FF121">
        <v>906540.9877767561</v>
      </c>
      <c r="FG121">
        <v>871022.0666496099</v>
      </c>
      <c r="FH121">
        <v>1022392.40376183</v>
      </c>
      <c r="FI121">
        <v>1025983.24749867</v>
      </c>
      <c r="FJ121">
        <v>975464.3429559109</v>
      </c>
      <c r="FK121">
        <v>889195.723738074</v>
      </c>
      <c r="FL121">
        <v>859158.077950937</v>
      </c>
      <c r="FM121">
        <v>10518.795517652</v>
      </c>
      <c r="FN121">
        <v>12615.1497615242</v>
      </c>
      <c r="FO121">
        <v>8005.94908884168</v>
      </c>
      <c r="FP121">
        <v>10077.6057117462</v>
      </c>
      <c r="FQ121">
        <v>4763.02274371982</v>
      </c>
      <c r="FR121">
        <v>154973.600303807</v>
      </c>
      <c r="FS121">
        <v>140123.973630918</v>
      </c>
      <c r="FT121">
        <v>103949.462475695</v>
      </c>
      <c r="FU121">
        <v>7267.65719433546</v>
      </c>
      <c r="FV121">
        <v>7100.96595495343</v>
      </c>
      <c r="FW121">
        <v>1022392.40376183</v>
      </c>
      <c r="FX121">
        <v>1025983.24749867</v>
      </c>
      <c r="FY121">
        <v>975464.3429559109</v>
      </c>
      <c r="FZ121">
        <v>889195.723738074</v>
      </c>
      <c r="GA121">
        <v>859158.077950937</v>
      </c>
      <c r="GB121">
        <v>10518.795517652</v>
      </c>
      <c r="GC121">
        <v>12615.1497615242</v>
      </c>
      <c r="GD121">
        <v>8005.94908884168</v>
      </c>
      <c r="GE121">
        <v>10077.6057117462</v>
      </c>
      <c r="GF121">
        <v>4763.02274371982</v>
      </c>
      <c r="GG121">
        <v>154973.600303807</v>
      </c>
      <c r="GH121">
        <v>140123.973630918</v>
      </c>
      <c r="GI121">
        <v>103949.462475695</v>
      </c>
      <c r="GJ121">
        <v>7267.65719433546</v>
      </c>
      <c r="GK121">
        <v>7100.96595495343</v>
      </c>
      <c r="GL121">
        <v>991644.790112473</v>
      </c>
      <c r="GM121">
        <v>816103.088757038</v>
      </c>
      <c r="GN121">
        <v>510783.444956231</v>
      </c>
      <c r="GO121">
        <v>386778.440619922</v>
      </c>
      <c r="GP121">
        <v>292217.782681543</v>
      </c>
      <c r="GQ121">
        <v>0</v>
      </c>
      <c r="GR121">
        <v>0</v>
      </c>
      <c r="GS121">
        <v>0</v>
      </c>
      <c r="GT121">
        <v>0</v>
      </c>
      <c r="GU121">
        <v>0</v>
      </c>
      <c r="GV121">
        <v>672847.505596788</v>
      </c>
      <c r="GW121">
        <v>457925.697561426</v>
      </c>
      <c r="GX121">
        <v>356960.909272438</v>
      </c>
      <c r="GY121">
        <v>251755.789441609</v>
      </c>
      <c r="GZ121">
        <v>145619.677527571</v>
      </c>
      <c r="HA121">
        <v>318797.284515685</v>
      </c>
      <c r="HB121">
        <v>358177.391195612</v>
      </c>
      <c r="HC121">
        <v>153822.535683793</v>
      </c>
      <c r="HD121">
        <v>135022.651178312</v>
      </c>
      <c r="HE121">
        <v>146598.105153972</v>
      </c>
      <c r="HF121">
        <v>265773.347963427</v>
      </c>
      <c r="HG121">
        <v>358177.391195612</v>
      </c>
      <c r="HH121">
        <v>153822.535683793</v>
      </c>
      <c r="HI121">
        <v>135022.651178312</v>
      </c>
      <c r="HJ121">
        <v>146598.105153972</v>
      </c>
      <c r="HK121">
        <v>2179529.58969576</v>
      </c>
      <c r="HL121">
        <v>1994825.46075315</v>
      </c>
      <c r="HM121">
        <v>1598203.20054328</v>
      </c>
      <c r="HN121">
        <v>1293319.42839668</v>
      </c>
      <c r="HO121">
        <v>1163239.84933115</v>
      </c>
      <c r="HP121">
        <v>1770673.71934976</v>
      </c>
      <c r="HQ121">
        <v>1585576.6041373</v>
      </c>
      <c r="HR121">
        <v>1294928.01927707</v>
      </c>
      <c r="HS121">
        <v>1103862.08102109</v>
      </c>
      <c r="HT121">
        <v>824830.748121917</v>
      </c>
      <c r="HU121">
        <v>75125.9425011873</v>
      </c>
      <c r="HV121">
        <v>79905.90086078639</v>
      </c>
      <c r="HW121">
        <v>77129.0087944269</v>
      </c>
      <c r="HX121">
        <v>81901.72603368761</v>
      </c>
      <c r="HY121">
        <v>88735.23163974289</v>
      </c>
      <c r="HZ121">
        <v>1695547.77684857</v>
      </c>
      <c r="IA121">
        <v>1505670.70327651</v>
      </c>
      <c r="IB121">
        <v>1217799.01048265</v>
      </c>
      <c r="IC121">
        <v>1021960.35498741</v>
      </c>
      <c r="ID121">
        <v>736095.5152550749</v>
      </c>
      <c r="IE121">
        <v>175676.447518038</v>
      </c>
      <c r="IF121">
        <v>212019.682801828</v>
      </c>
      <c r="IG121">
        <v>45588.040695405</v>
      </c>
      <c r="IH121">
        <v>55331.1606666326</v>
      </c>
      <c r="II121">
        <v>117170.975499356</v>
      </c>
      <c r="IJ121">
        <v>175676.447518038</v>
      </c>
      <c r="IK121">
        <v>212019.682801828</v>
      </c>
      <c r="IL121">
        <v>45588.040695405</v>
      </c>
      <c r="IM121">
        <v>55331.1606666326</v>
      </c>
      <c r="IN121">
        <v>117170.975499356</v>
      </c>
      <c r="IO121">
        <v>0</v>
      </c>
      <c r="IP121">
        <v>0</v>
      </c>
      <c r="IQ121">
        <v>0</v>
      </c>
      <c r="IR121">
        <v>0</v>
      </c>
      <c r="IS121">
        <v>0</v>
      </c>
      <c r="IT121">
        <v>0</v>
      </c>
      <c r="IU121">
        <v>0</v>
      </c>
      <c r="IV121">
        <v>0</v>
      </c>
      <c r="IW121">
        <v>0</v>
      </c>
      <c r="IX121">
        <v>0</v>
      </c>
      <c r="IY121">
        <v>233179.422827969</v>
      </c>
      <c r="IZ121">
        <v>197229.17381403</v>
      </c>
      <c r="JA121">
        <v>257687.140570802</v>
      </c>
      <c r="JB121">
        <v>134126.186708951</v>
      </c>
      <c r="JC121">
        <v>221238.125709879</v>
      </c>
      <c r="JD121">
        <v>0</v>
      </c>
      <c r="JE121">
        <v>0</v>
      </c>
      <c r="JF121">
        <v>11074.8651304126</v>
      </c>
      <c r="JG121">
        <v>53805.8085505486</v>
      </c>
      <c r="JH121">
        <v>95523.1891053975</v>
      </c>
      <c r="JI121">
        <v>0</v>
      </c>
      <c r="JJ121">
        <v>0</v>
      </c>
      <c r="JK121">
        <v>0</v>
      </c>
      <c r="JL121">
        <v>0</v>
      </c>
      <c r="JM121">
        <v>43110.6121105134</v>
      </c>
      <c r="JN121">
        <v>233179.422827969</v>
      </c>
      <c r="JO121">
        <v>197229.17381403</v>
      </c>
      <c r="JP121">
        <v>246612.275440389</v>
      </c>
      <c r="JQ121">
        <v>80320.3781584024</v>
      </c>
      <c r="JR121">
        <v>82604.3244939685</v>
      </c>
      <c r="JS121">
        <v>2179529.58969576</v>
      </c>
      <c r="JT121">
        <v>1994825.46075315</v>
      </c>
      <c r="JU121">
        <v>1598203.20054328</v>
      </c>
      <c r="JV121">
        <v>1293319.42839668</v>
      </c>
      <c r="JW121">
        <v>1163239.84933115</v>
      </c>
      <c r="JX121">
        <v>672847.505596788</v>
      </c>
      <c r="JY121">
        <v>457925.697561426</v>
      </c>
      <c r="JZ121">
        <v>356960.909272438</v>
      </c>
      <c r="KA121">
        <v>251755.789441609</v>
      </c>
      <c r="KB121">
        <v>102509.064189958</v>
      </c>
      <c r="KC121" t="s">
        <v>1900</v>
      </c>
      <c r="KD121" t="s">
        <v>1900</v>
      </c>
      <c r="KE121" t="s">
        <v>1900</v>
      </c>
      <c r="KF121" t="s">
        <v>1900</v>
      </c>
      <c r="KG121" t="s">
        <v>1900</v>
      </c>
      <c r="KH121" t="s">
        <v>1900</v>
      </c>
      <c r="KI121" t="s">
        <v>1900</v>
      </c>
      <c r="KJ121" t="s">
        <v>1900</v>
      </c>
      <c r="KK121" t="s">
        <v>1900</v>
      </c>
      <c r="KL121" t="s">
        <v>1900</v>
      </c>
      <c r="KM121" t="s">
        <v>1900</v>
      </c>
      <c r="KN121" t="s">
        <v>1900</v>
      </c>
      <c r="KO121" t="s">
        <v>1900</v>
      </c>
      <c r="KP121" t="s">
        <v>1900</v>
      </c>
      <c r="KQ121">
        <v>5</v>
      </c>
      <c r="KR121" t="s">
        <v>1900</v>
      </c>
      <c r="KS121" t="s">
        <v>1900</v>
      </c>
      <c r="KT121" t="s">
        <v>1900</v>
      </c>
      <c r="KU121" t="s">
        <v>1900</v>
      </c>
      <c r="KV121" t="s">
        <v>1900</v>
      </c>
      <c r="KW121" t="s">
        <v>1900</v>
      </c>
      <c r="KX121" t="s">
        <v>1900</v>
      </c>
      <c r="KY121" t="s">
        <v>1900</v>
      </c>
      <c r="KZ121" t="s">
        <v>1900</v>
      </c>
      <c r="LA121" t="s">
        <v>1900</v>
      </c>
      <c r="LB121" t="s">
        <v>1900</v>
      </c>
      <c r="LC121" t="s">
        <v>1900</v>
      </c>
      <c r="LD121" t="s">
        <v>1900</v>
      </c>
      <c r="LE121" t="s">
        <v>1900</v>
      </c>
      <c r="LF121" t="s">
        <v>1900</v>
      </c>
      <c r="LG121" t="s">
        <v>1900</v>
      </c>
      <c r="LH121" t="s">
        <v>1900</v>
      </c>
      <c r="LI121" t="s">
        <v>1900</v>
      </c>
      <c r="LJ121" t="s">
        <v>1900</v>
      </c>
      <c r="LK121" t="s">
        <v>1900</v>
      </c>
      <c r="LL121" t="s">
        <v>1900</v>
      </c>
      <c r="LM121" t="s">
        <v>1900</v>
      </c>
      <c r="LN121" t="s">
        <v>1900</v>
      </c>
      <c r="LO121" t="s">
        <v>1900</v>
      </c>
      <c r="LP121" t="s">
        <v>1900</v>
      </c>
      <c r="LQ121" t="s">
        <v>1900</v>
      </c>
      <c r="LR121" t="s">
        <v>1900</v>
      </c>
      <c r="LS121" t="s">
        <v>1900</v>
      </c>
      <c r="LT121" t="s">
        <v>1900</v>
      </c>
      <c r="LU121" t="s">
        <v>1900</v>
      </c>
      <c r="LV121" t="s">
        <v>1900</v>
      </c>
      <c r="LW121" t="s">
        <v>1900</v>
      </c>
      <c r="LX121" t="s">
        <v>1900</v>
      </c>
      <c r="LY121" t="s">
        <v>1900</v>
      </c>
      <c r="LZ121" t="s">
        <v>1900</v>
      </c>
      <c r="MA121" t="s">
        <v>1900</v>
      </c>
      <c r="MB121" t="s">
        <v>1900</v>
      </c>
      <c r="MC121" t="s">
        <v>1900</v>
      </c>
      <c r="MD121" t="s">
        <v>1900</v>
      </c>
      <c r="ME121" t="s">
        <v>1900</v>
      </c>
      <c r="MF121" t="s">
        <v>1900</v>
      </c>
      <c r="MG121" t="s">
        <v>1900</v>
      </c>
      <c r="MH121" t="s">
        <v>1900</v>
      </c>
      <c r="MI121" t="s">
        <v>1900</v>
      </c>
      <c r="MJ121" t="s">
        <v>1900</v>
      </c>
      <c r="MK121" t="s">
        <v>1900</v>
      </c>
      <c r="ML121" t="s">
        <v>1900</v>
      </c>
      <c r="MM121" t="s">
        <v>1900</v>
      </c>
      <c r="MN121" t="s">
        <v>1900</v>
      </c>
      <c r="MO121" t="s">
        <v>1900</v>
      </c>
      <c r="MP121">
        <v>318797.284515685</v>
      </c>
      <c r="MQ121">
        <v>358177.391195612</v>
      </c>
      <c r="MR121">
        <v>153822.535683793</v>
      </c>
      <c r="MS121">
        <v>135022.651178312</v>
      </c>
      <c r="MT121">
        <v>146598.105153972</v>
      </c>
      <c r="MU121" t="s">
        <v>1900</v>
      </c>
      <c r="MV121" t="s">
        <v>1900</v>
      </c>
      <c r="MW121" t="s">
        <v>1900</v>
      </c>
      <c r="MX121" t="s">
        <v>1900</v>
      </c>
      <c r="MY121" t="s">
        <v>1900</v>
      </c>
      <c r="MZ121" t="s">
        <v>1900</v>
      </c>
      <c r="NA121" t="s">
        <v>1900</v>
      </c>
      <c r="NB121" t="s">
        <v>1900</v>
      </c>
      <c r="NC121" t="s">
        <v>1900</v>
      </c>
      <c r="ND121" t="s">
        <v>1900</v>
      </c>
      <c r="NE121" t="s">
        <v>1900</v>
      </c>
      <c r="NF121" t="s">
        <v>1900</v>
      </c>
      <c r="NG121" t="s">
        <v>1900</v>
      </c>
      <c r="NH121" t="s">
        <v>1900</v>
      </c>
      <c r="NI121" t="s">
        <v>1900</v>
      </c>
      <c r="NJ121" t="s">
        <v>1900</v>
      </c>
      <c r="NK121" t="s">
        <v>1900</v>
      </c>
      <c r="NL121" t="s">
        <v>1900</v>
      </c>
      <c r="NM121" t="s">
        <v>1900</v>
      </c>
      <c r="NN121" t="s">
        <v>1900</v>
      </c>
      <c r="NO121" t="s">
        <v>1900</v>
      </c>
      <c r="NP121" t="s">
        <v>1900</v>
      </c>
      <c r="NQ121" t="s">
        <v>1900</v>
      </c>
      <c r="NR121" t="s">
        <v>1900</v>
      </c>
      <c r="NS121" t="s">
        <v>1900</v>
      </c>
      <c r="NT121">
        <v>1187884.79958329</v>
      </c>
      <c r="NU121">
        <v>1178722.37199612</v>
      </c>
      <c r="NV121">
        <v>1087419.75558705</v>
      </c>
      <c r="NW121">
        <v>906540.9877767561</v>
      </c>
      <c r="NX121">
        <v>871022.0666496099</v>
      </c>
      <c r="NY121" t="s">
        <v>1900</v>
      </c>
      <c r="NZ121" t="s">
        <v>1900</v>
      </c>
      <c r="OA121" t="s">
        <v>1900</v>
      </c>
      <c r="OB121" t="s">
        <v>1900</v>
      </c>
      <c r="OC121" t="s">
        <v>1900</v>
      </c>
      <c r="OD121" t="s">
        <v>1900</v>
      </c>
      <c r="OE121" t="s">
        <v>1900</v>
      </c>
      <c r="OF121" t="s">
        <v>1900</v>
      </c>
      <c r="OG121" t="s">
        <v>1900</v>
      </c>
      <c r="OH121" t="s">
        <v>1900</v>
      </c>
      <c r="OI121" t="s">
        <v>1900</v>
      </c>
      <c r="OJ121" t="s">
        <v>1900</v>
      </c>
      <c r="OK121" t="s">
        <v>1900</v>
      </c>
      <c r="OL121" t="s">
        <v>1900</v>
      </c>
      <c r="OM121" t="s">
        <v>1900</v>
      </c>
      <c r="ON121" t="s">
        <v>1900</v>
      </c>
      <c r="OO121" t="s">
        <v>1900</v>
      </c>
      <c r="OP121" t="s">
        <v>1900</v>
      </c>
      <c r="OQ121" t="s">
        <v>1900</v>
      </c>
      <c r="OR121" t="s">
        <v>1900</v>
      </c>
      <c r="OS121" t="s">
        <v>1900</v>
      </c>
      <c r="OT121" t="s">
        <v>1900</v>
      </c>
      <c r="OU121" t="s">
        <v>1900</v>
      </c>
      <c r="OV121" t="s">
        <v>1900</v>
      </c>
      <c r="OW121" t="s">
        <v>1900</v>
      </c>
      <c r="OX121" t="s">
        <v>1900</v>
      </c>
      <c r="OY121" t="s">
        <v>1900</v>
      </c>
      <c r="OZ121" t="s">
        <v>1900</v>
      </c>
      <c r="PA121" t="s">
        <v>1900</v>
      </c>
      <c r="PB121" t="s">
        <v>1900</v>
      </c>
      <c r="PC121" t="s">
        <v>1900</v>
      </c>
      <c r="PD121" t="s">
        <v>1900</v>
      </c>
      <c r="PE121" t="s">
        <v>1900</v>
      </c>
      <c r="PF121" t="s">
        <v>1900</v>
      </c>
      <c r="PG121" t="s">
        <v>1900</v>
      </c>
      <c r="PH121" t="s">
        <v>1900</v>
      </c>
      <c r="PI121" t="s">
        <v>1900</v>
      </c>
      <c r="PJ121" t="s">
        <v>1900</v>
      </c>
      <c r="PK121" t="s">
        <v>1900</v>
      </c>
      <c r="PL121" t="s">
        <v>1900</v>
      </c>
      <c r="PM121" t="s">
        <v>1900</v>
      </c>
      <c r="PN121" t="s">
        <v>1900</v>
      </c>
      <c r="PO121" t="s">
        <v>1900</v>
      </c>
      <c r="PP121" t="s">
        <v>1900</v>
      </c>
      <c r="PQ121" t="s">
        <v>1900</v>
      </c>
      <c r="PR121" t="s">
        <v>1900</v>
      </c>
      <c r="PS121" t="s">
        <v>1900</v>
      </c>
      <c r="PT121" t="s">
        <v>1900</v>
      </c>
      <c r="PU121" t="s">
        <v>1900</v>
      </c>
      <c r="PV121" t="s">
        <v>1900</v>
      </c>
      <c r="PW121" t="s">
        <v>1900</v>
      </c>
      <c r="PX121" t="s">
        <v>1900</v>
      </c>
      <c r="PY121" t="s">
        <v>1900</v>
      </c>
      <c r="PZ121" t="s">
        <v>1900</v>
      </c>
      <c r="QA121" t="s">
        <v>1900</v>
      </c>
      <c r="QB121" t="s">
        <v>1900</v>
      </c>
      <c r="QC121" t="s">
        <v>1900</v>
      </c>
      <c r="QD121" t="s">
        <v>1900</v>
      </c>
      <c r="QE121" t="s">
        <v>1900</v>
      </c>
      <c r="QF121" t="s">
        <v>1900</v>
      </c>
      <c r="QG121" t="s">
        <v>1900</v>
      </c>
      <c r="QH121" t="s">
        <v>1900</v>
      </c>
      <c r="QI121" t="s">
        <v>1900</v>
      </c>
      <c r="QJ121" t="s">
        <v>1900</v>
      </c>
      <c r="QK121" t="s">
        <v>1900</v>
      </c>
      <c r="QL121" t="s">
        <v>1900</v>
      </c>
      <c r="QM121" t="s">
        <v>1900</v>
      </c>
      <c r="QN121" t="s">
        <v>1900</v>
      </c>
      <c r="QO121" t="s">
        <v>1900</v>
      </c>
      <c r="QP121" t="s">
        <v>1900</v>
      </c>
      <c r="QQ121" t="s">
        <v>1900</v>
      </c>
      <c r="QR121" t="s">
        <v>1900</v>
      </c>
      <c r="QS121" t="s">
        <v>1900</v>
      </c>
      <c r="QT121" t="s">
        <v>1900</v>
      </c>
      <c r="QU121" t="s">
        <v>1900</v>
      </c>
      <c r="QV121" t="s">
        <v>1900</v>
      </c>
      <c r="QW121" t="s">
        <v>1900</v>
      </c>
      <c r="QX121" t="s">
        <v>1900</v>
      </c>
      <c r="QY121" t="s">
        <v>1900</v>
      </c>
      <c r="QZ121" t="s">
        <v>1900</v>
      </c>
      <c r="RA121" t="s">
        <v>1900</v>
      </c>
      <c r="RB121" t="s">
        <v>1900</v>
      </c>
      <c r="RC121" t="s">
        <v>1900</v>
      </c>
      <c r="RD121" t="s">
        <v>1900</v>
      </c>
      <c r="RE121" t="s">
        <v>1900</v>
      </c>
      <c r="RF121" t="s">
        <v>1900</v>
      </c>
      <c r="RG121" t="s">
        <v>1900</v>
      </c>
      <c r="RH121" t="s">
        <v>1900</v>
      </c>
      <c r="RI121" t="s">
        <v>1900</v>
      </c>
      <c r="RJ121" t="s">
        <v>1900</v>
      </c>
      <c r="RK121" t="s">
        <v>1900</v>
      </c>
      <c r="RL121" t="s">
        <v>1900</v>
      </c>
      <c r="RM121" t="s">
        <v>1900</v>
      </c>
      <c r="RN121" t="s">
        <v>1900</v>
      </c>
      <c r="RO121" t="s">
        <v>1900</v>
      </c>
      <c r="RP121" t="s">
        <v>1900</v>
      </c>
      <c r="RQ121" t="s">
        <v>1900</v>
      </c>
      <c r="RR121" t="s">
        <v>1900</v>
      </c>
      <c r="RS121" t="s">
        <v>1900</v>
      </c>
      <c r="RT121" t="s">
        <v>1900</v>
      </c>
      <c r="RU121" t="s">
        <v>1900</v>
      </c>
      <c r="RV121" t="s">
        <v>1900</v>
      </c>
      <c r="RW121" t="s">
        <v>1900</v>
      </c>
      <c r="RX121" t="s">
        <v>1900</v>
      </c>
      <c r="RY121" t="s">
        <v>1900</v>
      </c>
      <c r="RZ121" t="s">
        <v>1900</v>
      </c>
      <c r="SA121" t="s">
        <v>1900</v>
      </c>
      <c r="SB121" t="s">
        <v>1900</v>
      </c>
      <c r="SC121" t="s">
        <v>1900</v>
      </c>
      <c r="SD121" t="s">
        <v>1900</v>
      </c>
      <c r="SE121" t="s">
        <v>1900</v>
      </c>
      <c r="SF121" t="s">
        <v>1900</v>
      </c>
      <c r="SG121" t="s">
        <v>1900</v>
      </c>
      <c r="SH121" t="s">
        <v>1900</v>
      </c>
      <c r="SI121" t="s">
        <v>1900</v>
      </c>
      <c r="SJ121">
        <v>154973.600303807</v>
      </c>
      <c r="SK121">
        <v>140123.973630918</v>
      </c>
      <c r="SL121">
        <v>103949.462475695</v>
      </c>
      <c r="SM121">
        <v>7267.65719433546</v>
      </c>
      <c r="SN121">
        <v>7100.96595495343</v>
      </c>
      <c r="SO121" t="s">
        <v>1900</v>
      </c>
      <c r="SP121" t="s">
        <v>1900</v>
      </c>
      <c r="SQ121" t="s">
        <v>1900</v>
      </c>
      <c r="SR121" t="s">
        <v>1900</v>
      </c>
      <c r="SS121" t="s">
        <v>1900</v>
      </c>
      <c r="ST121" t="s">
        <v>1900</v>
      </c>
      <c r="SU121" t="s">
        <v>1900</v>
      </c>
      <c r="SV121" t="s">
        <v>1900</v>
      </c>
      <c r="SW121" t="s">
        <v>1900</v>
      </c>
      <c r="SX121" t="s">
        <v>1900</v>
      </c>
      <c r="SY121" t="s">
        <v>1900</v>
      </c>
      <c r="SZ121" t="s">
        <v>1900</v>
      </c>
      <c r="TA121" t="s">
        <v>1900</v>
      </c>
      <c r="TB121" t="s">
        <v>1900</v>
      </c>
      <c r="TC121" t="s">
        <v>1900</v>
      </c>
      <c r="TD121" t="s">
        <v>1900</v>
      </c>
      <c r="TE121" t="s">
        <v>1900</v>
      </c>
      <c r="TF121" t="s">
        <v>1900</v>
      </c>
      <c r="TG121" t="s">
        <v>1900</v>
      </c>
      <c r="TH121" t="s">
        <v>1900</v>
      </c>
      <c r="TI121" t="s">
        <v>1900</v>
      </c>
      <c r="TJ121" t="s">
        <v>1900</v>
      </c>
      <c r="TK121" t="s">
        <v>1900</v>
      </c>
      <c r="TL121" t="s">
        <v>1900</v>
      </c>
      <c r="TM121" t="s">
        <v>1900</v>
      </c>
      <c r="TN121" t="s">
        <v>1900</v>
      </c>
      <c r="TO121" t="s">
        <v>1900</v>
      </c>
      <c r="TP121" t="s">
        <v>1900</v>
      </c>
      <c r="TQ121" t="s">
        <v>1900</v>
      </c>
      <c r="TR121" t="s">
        <v>1900</v>
      </c>
      <c r="TS121">
        <v>2179529.58969576</v>
      </c>
      <c r="TT121">
        <v>1994825.46075315</v>
      </c>
      <c r="TU121">
        <v>1598203.20054328</v>
      </c>
      <c r="TV121">
        <v>1293319.42839668</v>
      </c>
      <c r="TW121">
        <v>1163239.84933115</v>
      </c>
      <c r="TX121" t="s">
        <v>1900</v>
      </c>
      <c r="TY121" t="s">
        <v>1900</v>
      </c>
      <c r="TZ121" t="s">
        <v>1900</v>
      </c>
      <c r="UA121" t="s">
        <v>1900</v>
      </c>
      <c r="UB121" t="s">
        <v>1900</v>
      </c>
      <c r="UC121">
        <v>0</v>
      </c>
      <c r="UD121">
        <v>0</v>
      </c>
      <c r="UE121">
        <v>11074.8651304126</v>
      </c>
      <c r="UF121">
        <v>53805.8085505486</v>
      </c>
      <c r="UG121">
        <v>95523.1891053975</v>
      </c>
      <c r="UH121" t="s">
        <v>1900</v>
      </c>
      <c r="UI121" t="s">
        <v>1900</v>
      </c>
      <c r="UJ121" t="s">
        <v>1900</v>
      </c>
      <c r="UK121" t="s">
        <v>1900</v>
      </c>
      <c r="UL121" t="s">
        <v>1900</v>
      </c>
      <c r="UM121" t="s">
        <v>1900</v>
      </c>
      <c r="UN121" t="s">
        <v>1900</v>
      </c>
      <c r="UO121" t="s">
        <v>1900</v>
      </c>
      <c r="UP121" t="s">
        <v>1900</v>
      </c>
      <c r="UQ121" t="s">
        <v>1900</v>
      </c>
      <c r="UR121" t="s">
        <v>1900</v>
      </c>
      <c r="US121" t="s">
        <v>1900</v>
      </c>
      <c r="UT121" t="s">
        <v>1900</v>
      </c>
      <c r="UU121" t="s">
        <v>1900</v>
      </c>
      <c r="UV121" t="s">
        <v>1900</v>
      </c>
      <c r="UW121" t="s">
        <v>1900</v>
      </c>
      <c r="UX121" t="s">
        <v>1900</v>
      </c>
      <c r="UY121" t="s">
        <v>1900</v>
      </c>
      <c r="UZ121" t="s">
        <v>1900</v>
      </c>
      <c r="VA121" t="s">
        <v>1900</v>
      </c>
      <c r="VB121" t="s">
        <v>1900</v>
      </c>
      <c r="VC121" t="s">
        <v>1900</v>
      </c>
      <c r="VD121" t="s">
        <v>1900</v>
      </c>
      <c r="VE121" t="s">
        <v>1900</v>
      </c>
      <c r="VF121" t="s">
        <v>1900</v>
      </c>
      <c r="VG121" t="s">
        <v>1900</v>
      </c>
      <c r="VH121" t="s">
        <v>1900</v>
      </c>
      <c r="VI121" t="s">
        <v>1900</v>
      </c>
      <c r="VJ121" t="s">
        <v>1900</v>
      </c>
      <c r="VK121" t="s">
        <v>1900</v>
      </c>
      <c r="VL121" t="s">
        <v>1900</v>
      </c>
      <c r="VM121" t="s">
        <v>1900</v>
      </c>
      <c r="VN121" t="s">
        <v>1900</v>
      </c>
      <c r="VO121" t="s">
        <v>1900</v>
      </c>
      <c r="VP121" t="s">
        <v>1900</v>
      </c>
      <c r="VQ121" t="s">
        <v>1900</v>
      </c>
      <c r="VR121" t="s">
        <v>1900</v>
      </c>
      <c r="VS121" t="s">
        <v>1900</v>
      </c>
      <c r="VT121" t="s">
        <v>1900</v>
      </c>
      <c r="VU121" t="s">
        <v>1900</v>
      </c>
      <c r="VV121" t="s">
        <v>1900</v>
      </c>
      <c r="VW121" t="s">
        <v>1900</v>
      </c>
      <c r="VX121" t="s">
        <v>1900</v>
      </c>
      <c r="VY121" t="s">
        <v>1900</v>
      </c>
      <c r="VZ121" t="s">
        <v>1900</v>
      </c>
      <c r="WA121">
        <v>233179.422827969</v>
      </c>
      <c r="WB121">
        <v>197229.17381403</v>
      </c>
      <c r="WC121">
        <v>246612.275440389</v>
      </c>
      <c r="WD121">
        <v>80320.3781584024</v>
      </c>
      <c r="WE121">
        <v>82604.3244939685</v>
      </c>
      <c r="WF121" t="s">
        <v>1900</v>
      </c>
      <c r="WG121" t="s">
        <v>1900</v>
      </c>
      <c r="WH121" t="s">
        <v>1900</v>
      </c>
      <c r="WI121" t="s">
        <v>1900</v>
      </c>
      <c r="WJ121" t="s">
        <v>1900</v>
      </c>
      <c r="WK121" t="s">
        <v>1900</v>
      </c>
      <c r="WL121" t="s">
        <v>1900</v>
      </c>
      <c r="WM121" t="s">
        <v>1900</v>
      </c>
      <c r="WN121" t="s">
        <v>1900</v>
      </c>
      <c r="WO121" t="s">
        <v>1900</v>
      </c>
      <c r="WP121" t="s">
        <v>1900</v>
      </c>
      <c r="WQ121" t="s">
        <v>1900</v>
      </c>
      <c r="WR121" t="s">
        <v>1900</v>
      </c>
      <c r="WS121" t="s">
        <v>1900</v>
      </c>
      <c r="WT121" t="s">
        <v>1900</v>
      </c>
      <c r="WU121" t="s">
        <v>1900</v>
      </c>
      <c r="WV121" t="s">
        <v>1900</v>
      </c>
      <c r="WW121" t="s">
        <v>1900</v>
      </c>
      <c r="WX121" t="s">
        <v>1900</v>
      </c>
      <c r="WY121" t="s">
        <v>1900</v>
      </c>
      <c r="WZ121" t="s">
        <v>1900</v>
      </c>
      <c r="XA121" t="s">
        <v>1900</v>
      </c>
      <c r="XB121" t="s">
        <v>1900</v>
      </c>
      <c r="XC121" t="s">
        <v>1900</v>
      </c>
      <c r="XD121" t="s">
        <v>1900</v>
      </c>
      <c r="XE121" t="s">
        <v>1900</v>
      </c>
      <c r="XF121" t="s">
        <v>1900</v>
      </c>
      <c r="XG121" t="s">
        <v>1900</v>
      </c>
      <c r="XH121" t="s">
        <v>1900</v>
      </c>
      <c r="XI121" t="s">
        <v>1900</v>
      </c>
      <c r="XJ121">
        <v>0</v>
      </c>
      <c r="XK121">
        <v>0</v>
      </c>
      <c r="XL121">
        <v>0</v>
      </c>
      <c r="XM121">
        <v>0</v>
      </c>
      <c r="XN121">
        <v>0</v>
      </c>
      <c r="XO121" t="s">
        <v>1900</v>
      </c>
      <c r="XP121" t="s">
        <v>1900</v>
      </c>
      <c r="XQ121" t="s">
        <v>1900</v>
      </c>
      <c r="XR121" t="s">
        <v>1900</v>
      </c>
      <c r="XS121" t="s">
        <v>1900</v>
      </c>
      <c r="XT121" t="s">
        <v>1900</v>
      </c>
      <c r="XU121" t="s">
        <v>1900</v>
      </c>
      <c r="XV121" t="s">
        <v>1900</v>
      </c>
      <c r="XW121" t="s">
        <v>1900</v>
      </c>
      <c r="XX121" t="s">
        <v>1900</v>
      </c>
      <c r="XY121">
        <v>0</v>
      </c>
      <c r="XZ121">
        <v>0</v>
      </c>
      <c r="YA121">
        <v>0</v>
      </c>
      <c r="YB121">
        <v>0</v>
      </c>
      <c r="YC121">
        <v>0</v>
      </c>
      <c r="YD121" t="s">
        <v>1900</v>
      </c>
      <c r="YE121" t="s">
        <v>1900</v>
      </c>
      <c r="YF121" t="s">
        <v>1900</v>
      </c>
      <c r="YG121" t="s">
        <v>1900</v>
      </c>
      <c r="YH121" t="s">
        <v>1900</v>
      </c>
      <c r="YI121" t="s">
        <v>1900</v>
      </c>
      <c r="YJ121" t="s">
        <v>1900</v>
      </c>
      <c r="YK121" t="s">
        <v>1900</v>
      </c>
      <c r="YL121" t="s">
        <v>1900</v>
      </c>
      <c r="YM121" t="s">
        <v>1900</v>
      </c>
      <c r="YN121" t="s">
        <v>1900</v>
      </c>
      <c r="YO121" t="s">
        <v>1900</v>
      </c>
      <c r="YP121" t="s">
        <v>1900</v>
      </c>
      <c r="YQ121" t="s">
        <v>1900</v>
      </c>
      <c r="YR121" t="s">
        <v>1900</v>
      </c>
      <c r="YS121" t="s">
        <v>1900</v>
      </c>
      <c r="YT121" t="s">
        <v>1900</v>
      </c>
      <c r="YU121" t="s">
        <v>1900</v>
      </c>
      <c r="YV121" t="s">
        <v>1900</v>
      </c>
      <c r="YW121" t="s">
        <v>1900</v>
      </c>
      <c r="YX121" t="s">
        <v>1900</v>
      </c>
      <c r="YY121" t="s">
        <v>1900</v>
      </c>
      <c r="YZ121" t="s">
        <v>1900</v>
      </c>
      <c r="ZA121" t="s">
        <v>1900</v>
      </c>
      <c r="ZB121" t="s">
        <v>1900</v>
      </c>
      <c r="ZC121" t="s">
        <v>1900</v>
      </c>
      <c r="ZD121" t="s">
        <v>1900</v>
      </c>
      <c r="ZE121" t="s">
        <v>1900</v>
      </c>
      <c r="ZF121" t="s">
        <v>1900</v>
      </c>
      <c r="ZG121" t="s">
        <v>1900</v>
      </c>
      <c r="ZH121" t="s">
        <v>1900</v>
      </c>
      <c r="ZI121" t="s">
        <v>1900</v>
      </c>
      <c r="ZJ121" t="s">
        <v>1900</v>
      </c>
      <c r="ZK121" t="s">
        <v>1900</v>
      </c>
      <c r="ZL121" t="s">
        <v>1900</v>
      </c>
      <c r="ZM121" t="s">
        <v>1900</v>
      </c>
      <c r="ZN121" t="s">
        <v>1900</v>
      </c>
      <c r="ZO121" t="s">
        <v>1900</v>
      </c>
      <c r="ZP121" t="s">
        <v>1900</v>
      </c>
      <c r="ZQ121" t="s">
        <v>1900</v>
      </c>
      <c r="ZR121" t="s">
        <v>1900</v>
      </c>
      <c r="ZS121" t="s">
        <v>1900</v>
      </c>
      <c r="ZT121" t="s">
        <v>1900</v>
      </c>
      <c r="ZU121" t="s">
        <v>1900</v>
      </c>
      <c r="ZV121" t="s">
        <v>1900</v>
      </c>
      <c r="ZW121" t="s">
        <v>1900</v>
      </c>
      <c r="ZX121" t="s">
        <v>1900</v>
      </c>
      <c r="ZY121" t="s">
        <v>1900</v>
      </c>
      <c r="ZZ121" t="s">
        <v>1900</v>
      </c>
      <c r="AAA121" t="s">
        <v>1900</v>
      </c>
      <c r="AAB121" t="s">
        <v>1900</v>
      </c>
      <c r="AAC121" t="s">
        <v>1900</v>
      </c>
      <c r="AAD121" t="s">
        <v>1900</v>
      </c>
      <c r="AAE121" t="s">
        <v>1900</v>
      </c>
      <c r="AAF121" t="s">
        <v>1900</v>
      </c>
      <c r="AAG121" t="s">
        <v>1900</v>
      </c>
      <c r="AAH121" t="s">
        <v>1900</v>
      </c>
      <c r="AAI121" t="s">
        <v>1900</v>
      </c>
      <c r="AAJ121" t="s">
        <v>1900</v>
      </c>
      <c r="AAK121" t="s">
        <v>1900</v>
      </c>
      <c r="AAL121" t="s">
        <v>1900</v>
      </c>
      <c r="AAM121" t="s">
        <v>1900</v>
      </c>
      <c r="AAN121" t="s">
        <v>1900</v>
      </c>
      <c r="AAO121" t="s">
        <v>1900</v>
      </c>
      <c r="AAP121" t="s">
        <v>1900</v>
      </c>
      <c r="AAQ121" t="s">
        <v>1900</v>
      </c>
      <c r="AAR121" t="s">
        <v>1900</v>
      </c>
      <c r="AAS121" t="s">
        <v>1900</v>
      </c>
      <c r="AAT121" t="s">
        <v>1900</v>
      </c>
      <c r="AAU121" t="s">
        <v>1900</v>
      </c>
      <c r="AAV121" t="s">
        <v>1900</v>
      </c>
      <c r="AAW121" t="s">
        <v>1900</v>
      </c>
      <c r="AAX121" t="s">
        <v>1900</v>
      </c>
      <c r="AAY121" t="s">
        <v>1900</v>
      </c>
      <c r="AAZ121" t="s">
        <v>1900</v>
      </c>
      <c r="ABA121" t="s">
        <v>1900</v>
      </c>
      <c r="ABB121" t="s">
        <v>1900</v>
      </c>
      <c r="ABC121" t="s">
        <v>1900</v>
      </c>
      <c r="ABD121" t="s">
        <v>1900</v>
      </c>
      <c r="ABE121" t="s">
        <v>1900</v>
      </c>
      <c r="ABF121" t="s">
        <v>1900</v>
      </c>
      <c r="ABG121" t="s">
        <v>1900</v>
      </c>
      <c r="ABH121" t="s">
        <v>1900</v>
      </c>
      <c r="ABI121" t="s">
        <v>1900</v>
      </c>
      <c r="ABJ121" t="s">
        <v>1900</v>
      </c>
      <c r="ABK121" t="s">
        <v>1900</v>
      </c>
      <c r="ABL121" t="s">
        <v>1900</v>
      </c>
      <c r="ABM121" t="s">
        <v>1900</v>
      </c>
      <c r="ABN121" t="s">
        <v>1900</v>
      </c>
      <c r="ABO121" t="s">
        <v>1900</v>
      </c>
      <c r="ABP121" t="s">
        <v>1900</v>
      </c>
      <c r="ABQ121" t="s">
        <v>1900</v>
      </c>
      <c r="ABR121" t="s">
        <v>1900</v>
      </c>
      <c r="ABS121" t="s">
        <v>1900</v>
      </c>
      <c r="ABT121" t="s">
        <v>1900</v>
      </c>
      <c r="ABU121" t="s">
        <v>1900</v>
      </c>
      <c r="ABV121" t="s">
        <v>1900</v>
      </c>
      <c r="ABW121" t="s">
        <v>1900</v>
      </c>
      <c r="ABX121" t="s">
        <v>1900</v>
      </c>
      <c r="ABY121" t="s">
        <v>1900</v>
      </c>
      <c r="ABZ121" t="s">
        <v>1900</v>
      </c>
      <c r="ACA121" t="s">
        <v>1900</v>
      </c>
      <c r="ACB121" t="s">
        <v>1900</v>
      </c>
      <c r="ACC121" t="s">
        <v>1900</v>
      </c>
      <c r="ACD121" t="s">
        <v>1900</v>
      </c>
      <c r="ACE121">
        <v>10.1</v>
      </c>
      <c r="ACF121">
        <v>10.624</v>
      </c>
      <c r="ACG121">
        <v>5.017</v>
      </c>
      <c r="ACH121">
        <v>30.865</v>
      </c>
      <c r="ACI121">
        <v>33.617</v>
      </c>
      <c r="ACJ121">
        <v>9.662000000000001</v>
      </c>
      <c r="ACK121">
        <v>9.576000000000001</v>
      </c>
      <c r="ACL121">
        <v>4.991</v>
      </c>
      <c r="ACM121">
        <v>29.793</v>
      </c>
      <c r="ACN121">
        <v>30.356</v>
      </c>
      <c r="ACO121">
        <v>8.205</v>
      </c>
      <c r="ACP121">
        <v>8.444000000000001</v>
      </c>
      <c r="ACQ121">
        <v>4.065</v>
      </c>
      <c r="ACR121">
        <v>26.343</v>
      </c>
      <c r="ACS121">
        <v>23.837</v>
      </c>
      <c r="ACT121">
        <v>12.648</v>
      </c>
      <c r="ACU121">
        <v>12.155</v>
      </c>
      <c r="ACV121">
        <v>12.26</v>
      </c>
      <c r="ACW121">
        <v>29.264</v>
      </c>
      <c r="ACX121">
        <v>33.012</v>
      </c>
      <c r="ACY121">
        <v>11.98</v>
      </c>
      <c r="ACZ121">
        <v>10.927</v>
      </c>
      <c r="ADA121">
        <v>11.988</v>
      </c>
      <c r="ADB121">
        <v>28.268</v>
      </c>
      <c r="ADC121">
        <v>29.826</v>
      </c>
      <c r="ADD121">
        <v>10.275</v>
      </c>
      <c r="ADE121">
        <v>9.661</v>
      </c>
      <c r="ADF121">
        <v>9.933999999999999</v>
      </c>
      <c r="ADG121">
        <v>24.977</v>
      </c>
      <c r="ADH121">
        <v>23.408</v>
      </c>
      <c r="ADI121">
        <v>13.32</v>
      </c>
      <c r="ADJ121">
        <v>15.166</v>
      </c>
      <c r="ADK121">
        <v>8.451000000000001</v>
      </c>
      <c r="ADL121">
        <v>42.056</v>
      </c>
      <c r="ADM121">
        <v>39.528</v>
      </c>
      <c r="ADN121">
        <v>93.54300000000001</v>
      </c>
      <c r="ADO121">
        <v>86.843</v>
      </c>
      <c r="ADP121">
        <v>96.693</v>
      </c>
      <c r="ADQ121">
        <v>83.985</v>
      </c>
      <c r="ADR121">
        <v>98.185</v>
      </c>
      <c r="ADS121">
        <v>13.860810942</v>
      </c>
      <c r="ADT121">
        <v>15.475347303</v>
      </c>
      <c r="ADU121">
        <v>8.703404219999999</v>
      </c>
      <c r="ADV121">
        <v>42.630291297</v>
      </c>
      <c r="ADW121">
        <v>40.76364433</v>
      </c>
      <c r="ADX121">
        <v>22.591</v>
      </c>
      <c r="ADY121">
        <v>27.778</v>
      </c>
      <c r="ADZ121">
        <v>23.686</v>
      </c>
      <c r="AEA121">
        <v>57.084</v>
      </c>
      <c r="AEB121">
        <v>45.417</v>
      </c>
      <c r="AEC121">
        <v>13.861</v>
      </c>
      <c r="AED121">
        <v>15.475</v>
      </c>
      <c r="AEE121">
        <v>8.702999999999999</v>
      </c>
      <c r="AEF121">
        <v>42.63</v>
      </c>
      <c r="AEG121">
        <v>40.764</v>
      </c>
      <c r="AEH121">
        <v>25.41</v>
      </c>
      <c r="AEI121">
        <v>29.655</v>
      </c>
      <c r="AEJ121">
        <v>35.634</v>
      </c>
      <c r="AEK121">
        <v>54.328</v>
      </c>
      <c r="AEL121">
        <v>43.47</v>
      </c>
      <c r="AEM121">
        <v>16.091178816</v>
      </c>
      <c r="AEN121">
        <v>18.308678959</v>
      </c>
      <c r="AEO121">
        <v>9.533109252999999</v>
      </c>
      <c r="AEP121">
        <v>74.30801421300001</v>
      </c>
      <c r="AEQ121">
        <v>68.815246767</v>
      </c>
      <c r="AER121">
        <v>1.173950797</v>
      </c>
      <c r="AES121">
        <v>1.216840157</v>
      </c>
      <c r="AET121">
        <v>1.098914262</v>
      </c>
      <c r="AEU121">
        <v>2.030842362</v>
      </c>
      <c r="AEV121">
        <v>1.709900371</v>
      </c>
      <c r="AEW121" t="s">
        <v>1900</v>
      </c>
      <c r="AEX121" t="s">
        <v>1900</v>
      </c>
      <c r="AEY121" t="s">
        <v>1900</v>
      </c>
      <c r="AEZ121" t="s">
        <v>1900</v>
      </c>
      <c r="AFA121" t="s">
        <v>1900</v>
      </c>
      <c r="AFB121" t="s">
        <v>1900</v>
      </c>
      <c r="AFC121" t="s">
        <v>1900</v>
      </c>
      <c r="AFD121" t="s">
        <v>1900</v>
      </c>
      <c r="AFE121" t="s">
        <v>1900</v>
      </c>
      <c r="AFF121" t="s">
        <v>1900</v>
      </c>
      <c r="AFG121">
        <v>0.6899999999999999</v>
      </c>
      <c r="AFH121">
        <v>0.618</v>
      </c>
      <c r="AFI121">
        <v>0.573</v>
      </c>
      <c r="AFJ121">
        <v>0.699</v>
      </c>
      <c r="AFK121">
        <v>0.745</v>
      </c>
      <c r="AFL121">
        <v>20.197</v>
      </c>
      <c r="AFM121">
        <v>46.551</v>
      </c>
      <c r="AFN121">
        <v>34.495</v>
      </c>
      <c r="AFO121">
        <v>74.26300000000001</v>
      </c>
      <c r="AFP121">
        <v>32.987</v>
      </c>
      <c r="AFQ121" t="s">
        <v>1901</v>
      </c>
      <c r="AFR121" t="s">
        <v>1901</v>
      </c>
      <c r="AFS121" t="s">
        <v>1901</v>
      </c>
      <c r="AFT121" t="s">
        <v>1901</v>
      </c>
      <c r="AFU121" t="s">
        <v>1901</v>
      </c>
      <c r="AFV121">
        <v>180.409</v>
      </c>
      <c r="AFW121">
        <v>148.425</v>
      </c>
      <c r="AFX121">
        <v>167.163</v>
      </c>
      <c r="AFY121">
        <v>111.875</v>
      </c>
      <c r="AFZ121">
        <v>74.73</v>
      </c>
      <c r="AGA121">
        <v>0</v>
      </c>
      <c r="AGB121">
        <v>0</v>
      </c>
      <c r="AGC121">
        <v>0</v>
      </c>
      <c r="AGD121">
        <v>0</v>
      </c>
      <c r="AGE121">
        <v>22.124</v>
      </c>
      <c r="AGF121" t="s">
        <v>1900</v>
      </c>
      <c r="AGG121" t="s">
        <v>1900</v>
      </c>
      <c r="AGH121" t="s">
        <v>1900</v>
      </c>
      <c r="AGI121" t="s">
        <v>1900</v>
      </c>
      <c r="AGJ121" t="s">
        <v>1900</v>
      </c>
      <c r="AGK121" t="s">
        <v>1900</v>
      </c>
      <c r="AGL121" t="s">
        <v>1900</v>
      </c>
      <c r="AGM121" t="s">
        <v>1900</v>
      </c>
      <c r="AGN121" t="s">
        <v>1900</v>
      </c>
      <c r="AGO121" t="s">
        <v>1900</v>
      </c>
      <c r="AGP121" t="s">
        <v>1900</v>
      </c>
      <c r="AGQ121" t="s">
        <v>1900</v>
      </c>
      <c r="AGR121" t="s">
        <v>1900</v>
      </c>
      <c r="AGS121" t="s">
        <v>1900</v>
      </c>
      <c r="AGT121" t="s">
        <v>1900</v>
      </c>
      <c r="AGU121">
        <v>0</v>
      </c>
      <c r="AGV121">
        <v>0</v>
      </c>
      <c r="AGW121">
        <v>0</v>
      </c>
      <c r="AGX121">
        <v>0</v>
      </c>
      <c r="AGY121">
        <v>0</v>
      </c>
      <c r="AGZ121">
        <v>4.253</v>
      </c>
      <c r="AHA121">
        <v>4.138</v>
      </c>
      <c r="AHB121">
        <v>1.982</v>
      </c>
      <c r="AHC121">
        <v>2.884</v>
      </c>
      <c r="AHD121">
        <v>1.321</v>
      </c>
      <c r="AHE121">
        <v>4.253</v>
      </c>
      <c r="AHF121">
        <v>4.138</v>
      </c>
      <c r="AHG121">
        <v>1.982</v>
      </c>
      <c r="AHH121">
        <v>2.884</v>
      </c>
      <c r="AHI121">
        <v>1.321</v>
      </c>
      <c r="AHJ121">
        <v>10.079</v>
      </c>
      <c r="AHK121">
        <v>7.478</v>
      </c>
      <c r="AHL121">
        <v>28.405</v>
      </c>
      <c r="AHM121">
        <v>19.95</v>
      </c>
      <c r="AHN121">
        <v>7.04</v>
      </c>
      <c r="AHO121">
        <v>81.241</v>
      </c>
      <c r="AHP121">
        <v>79.48399999999999</v>
      </c>
      <c r="AHQ121">
        <v>81.024</v>
      </c>
      <c r="AHR121">
        <v>85.351</v>
      </c>
      <c r="AHS121">
        <v>70.908</v>
      </c>
      <c r="AHT121" t="s">
        <v>1901</v>
      </c>
      <c r="AHU121" t="s">
        <v>1901</v>
      </c>
      <c r="AHV121" t="s">
        <v>1901</v>
      </c>
      <c r="AHW121" t="s">
        <v>1901</v>
      </c>
      <c r="AHX121" t="s">
        <v>1901</v>
      </c>
      <c r="AHY121">
        <v>9.920999999999999</v>
      </c>
      <c r="AHZ121">
        <v>13.372</v>
      </c>
      <c r="AIA121">
        <v>4.376</v>
      </c>
      <c r="AIB121">
        <v>9.887</v>
      </c>
      <c r="AIC121">
        <v>25.786</v>
      </c>
      <c r="AID121">
        <v>7.110415066</v>
      </c>
      <c r="AIE121">
        <v>7.024372627</v>
      </c>
      <c r="AIF121">
        <v>6.504145558</v>
      </c>
      <c r="AIG121">
        <v>0.561938299</v>
      </c>
      <c r="AIH121">
        <v>0.610447274</v>
      </c>
      <c r="AII121">
        <v>14.626884903</v>
      </c>
      <c r="AIJ121">
        <v>17.955324826</v>
      </c>
      <c r="AIK121">
        <v>9.624717034</v>
      </c>
      <c r="AIL121">
        <v>10.440007953</v>
      </c>
      <c r="AIM121">
        <v>12.602569044</v>
      </c>
      <c r="AIN121">
        <v>10.698612395</v>
      </c>
      <c r="AIO121">
        <v>9.887039127</v>
      </c>
      <c r="AIP121">
        <v>15.430595769</v>
      </c>
      <c r="AIQ121">
        <v>6.210405287</v>
      </c>
      <c r="AIR121">
        <v>7.101228912</v>
      </c>
      <c r="AIS121">
        <v>0</v>
      </c>
      <c r="AIT121">
        <v>0</v>
      </c>
      <c r="AIU121">
        <v>0</v>
      </c>
      <c r="AIV121">
        <v>0</v>
      </c>
      <c r="AIW121">
        <v>0</v>
      </c>
      <c r="AIX121" t="s">
        <v>1900</v>
      </c>
      <c r="AIY121" t="s">
        <v>1900</v>
      </c>
      <c r="AIZ121" t="s">
        <v>1900</v>
      </c>
      <c r="AJA121" t="s">
        <v>1900</v>
      </c>
      <c r="AJB121">
        <v>55.4573416735828</v>
      </c>
      <c r="AJC121" t="s">
        <v>1900</v>
      </c>
      <c r="AJD121" t="s">
        <v>1900</v>
      </c>
      <c r="AJE121" t="s">
        <v>1900</v>
      </c>
      <c r="AJF121" t="s">
        <v>1900</v>
      </c>
      <c r="AJG121">
        <v>140.299186026318</v>
      </c>
      <c r="AJH121">
        <v>48.829</v>
      </c>
      <c r="AJI121">
        <v>43.675</v>
      </c>
      <c r="AJJ121">
        <v>44.575</v>
      </c>
      <c r="AJK121">
        <v>35.858</v>
      </c>
      <c r="AJL121">
        <v>39.94</v>
      </c>
      <c r="AJM121" t="s">
        <v>1900</v>
      </c>
      <c r="AJN121" t="s">
        <v>1900</v>
      </c>
      <c r="AJO121" t="s">
        <v>1900</v>
      </c>
      <c r="AJP121" t="s">
        <v>1900</v>
      </c>
      <c r="AJQ121">
        <v>56.0361349627411</v>
      </c>
      <c r="AJR121" t="s">
        <v>1900</v>
      </c>
      <c r="AJS121" t="s">
        <v>1900</v>
      </c>
      <c r="AJT121" t="s">
        <v>1900</v>
      </c>
      <c r="AJU121" t="s">
        <v>1900</v>
      </c>
      <c r="AJV121">
        <v>164.966149624383</v>
      </c>
      <c r="AJW121" t="s">
        <v>1900</v>
      </c>
      <c r="AJX121" t="s">
        <v>1900</v>
      </c>
      <c r="AJY121" t="s">
        <v>1900</v>
      </c>
      <c r="AJZ121" t="s">
        <v>1900</v>
      </c>
      <c r="AKA121">
        <v>20.5018130834115</v>
      </c>
      <c r="AKB121" t="s">
        <v>1900</v>
      </c>
      <c r="AKC121" t="s">
        <v>1900</v>
      </c>
      <c r="AKD121" t="s">
        <v>1900</v>
      </c>
      <c r="AKE121" t="s">
        <v>1900</v>
      </c>
      <c r="AKF121">
        <v>232.64796986623</v>
      </c>
      <c r="AKG121">
        <v>0</v>
      </c>
      <c r="AKH121">
        <v>0</v>
      </c>
      <c r="AKI121">
        <v>0</v>
      </c>
      <c r="AKJ121">
        <v>0</v>
      </c>
      <c r="AKK121">
        <v>0</v>
      </c>
      <c r="AKL121">
        <v>0</v>
      </c>
      <c r="AKM121">
        <v>0</v>
      </c>
      <c r="AKN121">
        <v>0</v>
      </c>
      <c r="AKO121">
        <v>0</v>
      </c>
      <c r="AKP121">
        <v>0</v>
      </c>
      <c r="AKQ121">
        <v>0</v>
      </c>
      <c r="AKR121">
        <v>0</v>
      </c>
      <c r="AKS121">
        <v>0</v>
      </c>
      <c r="AKT121">
        <v>0</v>
      </c>
      <c r="AKU121">
        <v>0</v>
      </c>
      <c r="AKV121">
        <v>76.14785639999999</v>
      </c>
      <c r="AKW121">
        <v>92.373744465</v>
      </c>
      <c r="AKX121">
        <v>126.890008222</v>
      </c>
      <c r="AKY121">
        <v>109.761258308</v>
      </c>
      <c r="AKZ121">
        <v>122.475133646</v>
      </c>
      <c r="ALA121">
        <v>46.908856324</v>
      </c>
      <c r="ALB121">
        <v>51.432231425</v>
      </c>
      <c r="ALC121">
        <v>61.035063791</v>
      </c>
      <c r="ALD121">
        <v>68.752985861</v>
      </c>
      <c r="ALE121">
        <v>73.85906513099999</v>
      </c>
      <c r="ALF121">
        <v>0.783440612</v>
      </c>
      <c r="ALG121">
        <v>1.135796928</v>
      </c>
      <c r="ALH121">
        <v>1.041427042</v>
      </c>
      <c r="ALI121">
        <v>1.243967615</v>
      </c>
      <c r="ALJ121">
        <v>0.678980809</v>
      </c>
      <c r="ALK121">
        <v>0.482617697</v>
      </c>
      <c r="ALL121">
        <v>0.6323936610000001</v>
      </c>
      <c r="ALM121">
        <v>0.500934367</v>
      </c>
      <c r="ALN121">
        <v>0.779204695</v>
      </c>
      <c r="ALO121">
        <v>0.409461793</v>
      </c>
      <c r="ALP121">
        <v>50.113728395</v>
      </c>
      <c r="ALQ121">
        <v>41.229046842</v>
      </c>
      <c r="ALR121">
        <v>46.434062956</v>
      </c>
      <c r="ALS121">
        <v>31.076434015</v>
      </c>
      <c r="ALT121">
        <v>20.758449376</v>
      </c>
      <c r="ALU121">
        <v>0</v>
      </c>
      <c r="ALV121">
        <v>0</v>
      </c>
      <c r="ALW121">
        <v>0</v>
      </c>
      <c r="ALX121">
        <v>0</v>
      </c>
      <c r="ALY121">
        <v>29.604935846</v>
      </c>
      <c r="ALZ121">
        <v>93.543176159333</v>
      </c>
      <c r="AMA121">
        <v>86.8428815576416</v>
      </c>
      <c r="AMB121">
        <v>96.6927806527287</v>
      </c>
      <c r="AMC121">
        <v>83.9851025197888</v>
      </c>
      <c r="AMD121">
        <v>98.1852854074604</v>
      </c>
      <c r="AME121">
        <v>93.543176159333</v>
      </c>
      <c r="AMF121">
        <v>86.8428815576416</v>
      </c>
      <c r="AMG121">
        <v>96.6927806527287</v>
      </c>
      <c r="AMH121">
        <v>83.9851025197888</v>
      </c>
      <c r="AMI121">
        <v>98.1852854074604</v>
      </c>
      <c r="AMJ121">
        <v>1448.74908263983</v>
      </c>
      <c r="AMK121">
        <v>660.044841414951</v>
      </c>
      <c r="AML121">
        <v>2923.68828783551</v>
      </c>
      <c r="AMM121">
        <v>524.4186085085159</v>
      </c>
      <c r="AMN121">
        <v>5410.50839680823</v>
      </c>
      <c r="AMO121">
        <v>1.17395079706653</v>
      </c>
      <c r="AMP121">
        <v>1.21684015829085</v>
      </c>
      <c r="AMQ121">
        <v>1.09891426011184</v>
      </c>
      <c r="AMR121">
        <v>2.03084236238954</v>
      </c>
      <c r="AMS121">
        <v>1.70990037144987</v>
      </c>
      <c r="AMT121">
        <v>1.17395079706653</v>
      </c>
      <c r="AMU121">
        <v>1.21684015689683</v>
      </c>
      <c r="AMV121">
        <v>1.09891426168868</v>
      </c>
      <c r="AMW121">
        <v>2.03084236238954</v>
      </c>
      <c r="AMX121">
        <v>1.70990037144987</v>
      </c>
      <c r="AMY121">
        <v>1.17395079706653</v>
      </c>
      <c r="AMZ121">
        <v>1.21684015659455</v>
      </c>
      <c r="ANA121">
        <v>1.09891426168868</v>
      </c>
      <c r="ANB121">
        <v>2.03084236238954</v>
      </c>
      <c r="ANC121">
        <v>1.70990037144987</v>
      </c>
      <c r="AND121">
        <v>13.8608109417458</v>
      </c>
      <c r="ANE121">
        <v>15.4753473034466</v>
      </c>
      <c r="ANF121">
        <v>8.70340422001297</v>
      </c>
      <c r="ANG121">
        <v>42.6302912970361</v>
      </c>
      <c r="ANH121">
        <v>40.7636443300879</v>
      </c>
      <c r="ANI121">
        <v>13.8608109417458</v>
      </c>
      <c r="ANJ121">
        <v>15.4753473034466</v>
      </c>
      <c r="ANK121">
        <v>8.70340422001297</v>
      </c>
      <c r="ANL121">
        <v>42.6302912970361</v>
      </c>
      <c r="ANM121">
        <v>40.7636443300879</v>
      </c>
      <c r="ANN121">
        <v>16.0911788156863</v>
      </c>
      <c r="ANO121">
        <v>18.3086789590294</v>
      </c>
      <c r="ANP121">
        <v>9.53310925304055</v>
      </c>
      <c r="ANQ121">
        <v>74.30801421314101</v>
      </c>
      <c r="ANR121">
        <v>68.8152467671014</v>
      </c>
      <c r="ANS121">
        <v>9.56153447063684</v>
      </c>
      <c r="ANT121">
        <v>9.56180677150325</v>
      </c>
      <c r="ANU121">
        <v>4.99115556542319</v>
      </c>
      <c r="ANV121">
        <v>29.792760683814</v>
      </c>
      <c r="ANW121">
        <v>30.3561340471443</v>
      </c>
      <c r="ANX121">
        <v>93.543176159333</v>
      </c>
      <c r="ANY121">
        <v>86.8428815576416</v>
      </c>
      <c r="ANZ121">
        <v>96.69278079147369</v>
      </c>
      <c r="AOA121">
        <v>83.9851025197888</v>
      </c>
      <c r="AOB121">
        <v>98.1852854074604</v>
      </c>
      <c r="AOC121">
        <v>108.595375905004</v>
      </c>
      <c r="AOD121">
        <v>102.7426659408</v>
      </c>
      <c r="AOE121">
        <v>105.910609072156</v>
      </c>
      <c r="AOF121">
        <v>146.392764437115</v>
      </c>
      <c r="AOG121">
        <v>165.751731849587</v>
      </c>
      <c r="AOH121">
        <v>57.6247791856035</v>
      </c>
      <c r="AOI121">
        <v>48.3527349437988</v>
      </c>
      <c r="AOJ121">
        <v>46.5099665287175</v>
      </c>
      <c r="AOK121">
        <v>52.6071462283956</v>
      </c>
      <c r="AOL121">
        <v>59.2109857238344</v>
      </c>
      <c r="AOM121">
        <v>214.669182306729</v>
      </c>
      <c r="AON121">
        <v>117.619578870893</v>
      </c>
      <c r="AOO121">
        <v>263.16381440864</v>
      </c>
      <c r="AOP121">
        <v>266.191471720079</v>
      </c>
      <c r="AOQ121">
        <v>2246.28404365453</v>
      </c>
      <c r="AOR121">
        <v>17.3950797066531</v>
      </c>
      <c r="AOS121">
        <v>21.6840156896831</v>
      </c>
      <c r="AOT121">
        <v>9.89142616886765</v>
      </c>
      <c r="AOU121">
        <v>103.084236238954</v>
      </c>
      <c r="AOV121">
        <v>70.9900371449871</v>
      </c>
      <c r="AOW121">
        <v>8.53858295864381</v>
      </c>
      <c r="AOX121">
        <v>8.616427194785309</v>
      </c>
      <c r="AOY121">
        <v>4.18640395100975</v>
      </c>
      <c r="AOZ121">
        <v>26.7030449536435</v>
      </c>
      <c r="APA121">
        <v>24.5826607567909</v>
      </c>
      <c r="APB121">
        <v>16.6797723194345</v>
      </c>
      <c r="APC121">
        <v>17.3516543955997</v>
      </c>
      <c r="APD121">
        <v>20.651706161361</v>
      </c>
      <c r="APE121">
        <v>39.8746273868381</v>
      </c>
      <c r="APF121">
        <v>38.8164127398941</v>
      </c>
      <c r="APG121">
        <v>16.6797723194345</v>
      </c>
      <c r="APH121">
        <v>17.3516543955997</v>
      </c>
      <c r="API121">
        <v>20.651706161361</v>
      </c>
      <c r="APJ121">
        <v>39.8746273868381</v>
      </c>
      <c r="APK121">
        <v>38.8164127398941</v>
      </c>
      <c r="APL121">
        <v>258.327820783655</v>
      </c>
      <c r="APM121">
        <v>131.880354133906</v>
      </c>
      <c r="APN121">
        <v>624.443221305661</v>
      </c>
      <c r="APO121">
        <v>248.98459347685</v>
      </c>
      <c r="APP121">
        <v>2138.9816833716</v>
      </c>
      <c r="APQ121">
        <v>20.9328278269443</v>
      </c>
      <c r="APR121">
        <v>24.3130922219979</v>
      </c>
      <c r="APS121">
        <v>23.4706813095655</v>
      </c>
      <c r="APT121">
        <v>96.4207699366784</v>
      </c>
      <c r="APU121">
        <v>67.5989261393471</v>
      </c>
      <c r="APV121">
        <v>19.3637443094041</v>
      </c>
      <c r="APW121">
        <v>20.5285130929704</v>
      </c>
      <c r="APX121">
        <v>22.6204558723405</v>
      </c>
      <c r="APY121">
        <v>69.5046711728868</v>
      </c>
      <c r="APZ121">
        <v>65.52802295298871</v>
      </c>
      <c r="AQA121">
        <v>10.2751289429855</v>
      </c>
      <c r="AQB121">
        <v>9.66112513516668</v>
      </c>
      <c r="AQC121">
        <v>9.933628507132029</v>
      </c>
      <c r="AQD121">
        <v>24.9769338942929</v>
      </c>
      <c r="AQE121">
        <v>23.4083758177648</v>
      </c>
      <c r="AQF121">
        <v>0.173950797066531</v>
      </c>
      <c r="AQG121">
        <v>0.21684015659455</v>
      </c>
      <c r="AQH121">
        <v>0.09891426168867649</v>
      </c>
      <c r="AQI121">
        <v>1.03084236238954</v>
      </c>
      <c r="AQJ121">
        <v>0.7099003714498709</v>
      </c>
      <c r="AQK121">
        <v>4</v>
      </c>
      <c r="AQO121" t="s">
        <v>1902</v>
      </c>
      <c r="AQP121">
        <v>2</v>
      </c>
      <c r="AQQ121">
        <v>0</v>
      </c>
      <c r="AQS121" t="s">
        <v>1905</v>
      </c>
      <c r="AQU121" t="s">
        <v>1906</v>
      </c>
      <c r="AQV121">
        <v>1342641.08288113</v>
      </c>
      <c r="AQW121">
        <v>1110687.08261271</v>
      </c>
      <c r="AQX121">
        <v>768747.954723954</v>
      </c>
      <c r="AQY121">
        <v>186100.942124362</v>
      </c>
      <c r="AQZ121">
        <v>171882.683488836</v>
      </c>
      <c r="ARA121">
        <v>66907.241932708</v>
      </c>
      <c r="ARB121">
        <v>3222076.120217795</v>
      </c>
      <c r="ARC121">
        <v>424890.867545906</v>
      </c>
      <c r="ARD121">
        <v>0.1518994378867283</v>
      </c>
      <c r="ARE121">
        <v>0.1518994378867283</v>
      </c>
      <c r="ARF121">
        <v>0.1518994378867283</v>
      </c>
      <c r="ARG121">
        <v>0.1518994378867283</v>
      </c>
      <c r="ARH121">
        <v>0.1518994378867283</v>
      </c>
      <c r="ARI121">
        <v>0.1518994378867283</v>
      </c>
      <c r="ARJ121" t="s">
        <v>1282</v>
      </c>
      <c r="ARK121" t="s">
        <v>1620</v>
      </c>
      <c r="ARL121" t="s">
        <v>1908</v>
      </c>
      <c r="ARM121" t="s">
        <v>1908</v>
      </c>
      <c r="ARN121" t="s">
        <v>1909</v>
      </c>
      <c r="ARO121" t="s">
        <v>1908</v>
      </c>
      <c r="ARP121" t="s">
        <v>1907</v>
      </c>
      <c r="ARQ121" t="s">
        <v>2013</v>
      </c>
      <c r="ARR121">
        <f>HYPERLINK("C:\Users\Usuario\Documents\Proyectos\llmthon\evidence\wearetesters_com_000502.png", "Ver Evidencia")</f>
        <v>0</v>
      </c>
      <c r="ARS121">
        <v>100</v>
      </c>
    </row>
    <row r="122" spans="1:1163">
      <c r="A122">
        <v>356</v>
      </c>
      <c r="B122" t="s">
        <v>1283</v>
      </c>
      <c r="C122" t="s">
        <v>1406</v>
      </c>
      <c r="D122" t="s">
        <v>1430</v>
      </c>
      <c r="E122" s="2">
        <v>43595</v>
      </c>
      <c r="F122" t="s">
        <v>1431</v>
      </c>
      <c r="G122" t="s">
        <v>1433</v>
      </c>
      <c r="H122" t="s">
        <v>1434</v>
      </c>
      <c r="I122" t="s">
        <v>1435</v>
      </c>
      <c r="J122" t="s">
        <v>1451</v>
      </c>
      <c r="L122" t="s">
        <v>1621</v>
      </c>
      <c r="N122" t="s">
        <v>1630</v>
      </c>
      <c r="O122" t="s">
        <v>1654</v>
      </c>
      <c r="P122">
        <v>6209</v>
      </c>
      <c r="Q122">
        <v>6209</v>
      </c>
      <c r="R122" t="s">
        <v>1788</v>
      </c>
      <c r="S122" t="s">
        <v>1845</v>
      </c>
      <c r="T122" t="s">
        <v>1871</v>
      </c>
      <c r="U122" t="s">
        <v>1873</v>
      </c>
      <c r="X122" t="s">
        <v>1897</v>
      </c>
      <c r="Z122" t="s">
        <v>1899</v>
      </c>
      <c r="AA122" s="2">
        <v>45657</v>
      </c>
      <c r="AB122">
        <v>2024</v>
      </c>
      <c r="AC122">
        <v>1989135.33288466</v>
      </c>
      <c r="AD122">
        <v>1534203.5398817</v>
      </c>
      <c r="AE122">
        <v>698970.237584466</v>
      </c>
      <c r="AF122">
        <v>251473.160360885</v>
      </c>
      <c r="AG122">
        <v>33279.2643173754</v>
      </c>
      <c r="AH122">
        <v>1989135.33288466</v>
      </c>
      <c r="AI122">
        <v>1534203.5398817</v>
      </c>
      <c r="AJ122">
        <v>698970.237584466</v>
      </c>
      <c r="AK122">
        <v>251473.160360885</v>
      </c>
      <c r="AL122">
        <v>33279.2643173754</v>
      </c>
      <c r="AM122">
        <v>751.643817842007</v>
      </c>
      <c r="AN122" t="s">
        <v>1900</v>
      </c>
      <c r="AO122" t="s">
        <v>1900</v>
      </c>
      <c r="AP122" t="s">
        <v>1900</v>
      </c>
      <c r="AQ122">
        <v>759.819886207581</v>
      </c>
      <c r="AR122">
        <v>1988383.68906681</v>
      </c>
      <c r="AS122">
        <v>1534203.5398817</v>
      </c>
      <c r="AT122">
        <v>698970.237584466</v>
      </c>
      <c r="AU122">
        <v>251473.160360885</v>
      </c>
      <c r="AV122">
        <v>32519.4444311678</v>
      </c>
      <c r="AW122">
        <v>2400411.96382891</v>
      </c>
      <c r="AX122">
        <v>1920274.0486404</v>
      </c>
      <c r="AY122">
        <v>1362521.78863639</v>
      </c>
      <c r="AZ122">
        <v>815494.1711684701</v>
      </c>
      <c r="BA122">
        <v>276910.393825757</v>
      </c>
      <c r="BB122">
        <v>-412028.274762093</v>
      </c>
      <c r="BC122">
        <v>-386070.509863701</v>
      </c>
      <c r="BD122">
        <v>-663551.551051927</v>
      </c>
      <c r="BE122">
        <v>-564021.010807586</v>
      </c>
      <c r="BF122">
        <v>-244390.94939459</v>
      </c>
      <c r="BG122">
        <v>-15930.0076663899</v>
      </c>
      <c r="BH122">
        <v>-13018.5854425812</v>
      </c>
      <c r="BI122">
        <v>-8524.17778220177</v>
      </c>
      <c r="BJ122">
        <v>-6633.33419873714</v>
      </c>
      <c r="BK122">
        <v>0</v>
      </c>
      <c r="BL122">
        <v>102.144602861404</v>
      </c>
      <c r="BM122" t="s">
        <v>1900</v>
      </c>
      <c r="BN122" t="s">
        <v>1900</v>
      </c>
      <c r="BO122" t="s">
        <v>1900</v>
      </c>
      <c r="BP122" t="s">
        <v>1900</v>
      </c>
      <c r="BQ122">
        <v>16032.1522692513</v>
      </c>
      <c r="BR122">
        <v>13018.5854425812</v>
      </c>
      <c r="BS122">
        <v>8524.17778220177</v>
      </c>
      <c r="BT122">
        <v>6633.33419873714</v>
      </c>
      <c r="BU122" t="s">
        <v>1900</v>
      </c>
      <c r="BV122">
        <v>-427958.282428483</v>
      </c>
      <c r="BW122">
        <v>-399089.095306282</v>
      </c>
      <c r="BX122">
        <v>-672075.728834128</v>
      </c>
      <c r="BY122">
        <v>-570654.345006323</v>
      </c>
      <c r="BZ122">
        <v>-244390.94939459</v>
      </c>
      <c r="CA122" t="s">
        <v>1900</v>
      </c>
      <c r="CB122" t="s">
        <v>1900</v>
      </c>
      <c r="CC122" t="s">
        <v>1900</v>
      </c>
      <c r="CD122" t="s">
        <v>1900</v>
      </c>
      <c r="CE122" t="s">
        <v>1900</v>
      </c>
      <c r="CF122">
        <v>-427958.282428483</v>
      </c>
      <c r="CG122">
        <v>-399089.095306282</v>
      </c>
      <c r="CH122">
        <v>-672075.728834128</v>
      </c>
      <c r="CI122">
        <v>-570654.345006323</v>
      </c>
      <c r="CJ122">
        <v>-244390.94939459</v>
      </c>
      <c r="CK122" t="s">
        <v>1900</v>
      </c>
      <c r="CL122" t="s">
        <v>1900</v>
      </c>
      <c r="CM122" t="s">
        <v>1900</v>
      </c>
      <c r="CN122" t="s">
        <v>1900</v>
      </c>
      <c r="CO122" t="s">
        <v>1900</v>
      </c>
      <c r="CP122" t="s">
        <v>1900</v>
      </c>
      <c r="CQ122" t="s">
        <v>1900</v>
      </c>
      <c r="CR122" t="s">
        <v>1900</v>
      </c>
      <c r="CS122" t="s">
        <v>1900</v>
      </c>
      <c r="CT122" t="s">
        <v>1900</v>
      </c>
      <c r="CU122" t="s">
        <v>1900</v>
      </c>
      <c r="CV122" t="s">
        <v>1900</v>
      </c>
      <c r="CW122" t="s">
        <v>1900</v>
      </c>
      <c r="CX122" t="s">
        <v>1900</v>
      </c>
      <c r="CY122" t="s">
        <v>1900</v>
      </c>
      <c r="CZ122">
        <v>-427958.282428483</v>
      </c>
      <c r="DA122">
        <v>-399089.095306282</v>
      </c>
      <c r="DB122">
        <v>-672075.728834128</v>
      </c>
      <c r="DC122">
        <v>-570654.345006323</v>
      </c>
      <c r="DD122">
        <v>-244390.94939459</v>
      </c>
      <c r="DE122" t="s">
        <v>1900</v>
      </c>
      <c r="DF122" t="s">
        <v>1900</v>
      </c>
      <c r="DG122" t="s">
        <v>1900</v>
      </c>
      <c r="DH122" t="s">
        <v>1900</v>
      </c>
      <c r="DI122" t="s">
        <v>1900</v>
      </c>
      <c r="DJ122">
        <v>751.643817842007</v>
      </c>
      <c r="DK122" t="s">
        <v>1900</v>
      </c>
      <c r="DL122" t="s">
        <v>1900</v>
      </c>
      <c r="DM122" t="s">
        <v>1900</v>
      </c>
      <c r="DN122">
        <v>759.819886207581</v>
      </c>
      <c r="DO122">
        <v>1116749.61305555</v>
      </c>
      <c r="DP122">
        <v>879021.374993992</v>
      </c>
      <c r="DQ122">
        <v>672724.989274621</v>
      </c>
      <c r="DR122">
        <v>399252.413388205</v>
      </c>
      <c r="DS122">
        <v>207307.996294796</v>
      </c>
      <c r="DT122">
        <v>54739.5233091247</v>
      </c>
      <c r="DU122">
        <v>47262.4071607876</v>
      </c>
      <c r="DV122">
        <v>24976.3682286382</v>
      </c>
      <c r="DW122">
        <v>25757.9019944429</v>
      </c>
      <c r="DX122">
        <v>27792.5965747952</v>
      </c>
      <c r="DY122">
        <v>1228922.82746423</v>
      </c>
      <c r="DZ122">
        <v>993990.266485617</v>
      </c>
      <c r="EA122">
        <v>664820.431133133</v>
      </c>
      <c r="EB122">
        <v>390483.855785823</v>
      </c>
      <c r="EC122">
        <v>41809.8009561658</v>
      </c>
      <c r="ED122">
        <v>16032.1522692513</v>
      </c>
      <c r="EE122">
        <v>12836.6471109295</v>
      </c>
      <c r="EF122">
        <v>8524.17778220177</v>
      </c>
      <c r="EG122">
        <v>6633.33419873714</v>
      </c>
      <c r="EH122" t="s">
        <v>1900</v>
      </c>
      <c r="EI122" t="s">
        <v>1900</v>
      </c>
      <c r="EJ122" t="s">
        <v>1900</v>
      </c>
      <c r="EK122" t="s">
        <v>1900</v>
      </c>
      <c r="EL122" t="s">
        <v>1900</v>
      </c>
      <c r="EM122" t="s">
        <v>1900</v>
      </c>
      <c r="EN122">
        <v>-373218.758080459</v>
      </c>
      <c r="EO122">
        <v>-351826.688145494</v>
      </c>
      <c r="EP122">
        <v>-647099.36060549</v>
      </c>
      <c r="EQ122">
        <v>-544896.44187928</v>
      </c>
      <c r="ER122">
        <v>-216598.352819794</v>
      </c>
      <c r="ES122">
        <v>759563.005166548</v>
      </c>
      <c r="ET122">
        <v>540031.333959427</v>
      </c>
      <c r="EU122">
        <v>34149.8053847331</v>
      </c>
      <c r="EV122">
        <v>-139010.695424938</v>
      </c>
      <c r="EW122">
        <v>-9290.356524997949</v>
      </c>
      <c r="EX122">
        <v>-357288.751452968</v>
      </c>
      <c r="EY122">
        <v>-338808.101597913</v>
      </c>
      <c r="EZ122">
        <v>-638575.182823288</v>
      </c>
      <c r="FA122">
        <v>-538263.108813143</v>
      </c>
      <c r="FB122">
        <v>-216598.352819794</v>
      </c>
      <c r="FC122">
        <v>884330.675080521</v>
      </c>
      <c r="FD122">
        <v>775057.635386343</v>
      </c>
      <c r="FE122">
        <v>394926.390065056</v>
      </c>
      <c r="FF122">
        <v>202146.5708323</v>
      </c>
      <c r="FG122">
        <v>246093.91780234</v>
      </c>
      <c r="FH122">
        <v>873880.4053765869</v>
      </c>
      <c r="FI122">
        <v>767588.804434423</v>
      </c>
      <c r="FJ122">
        <v>389965.038549453</v>
      </c>
      <c r="FK122">
        <v>200246.282710433</v>
      </c>
      <c r="FL122">
        <v>244072.811630219</v>
      </c>
      <c r="FM122">
        <v>5151.88204533815</v>
      </c>
      <c r="FN122">
        <v>5756.08018325806</v>
      </c>
      <c r="FO122">
        <v>4641.37166912556</v>
      </c>
      <c r="FP122">
        <v>1560.5080296278</v>
      </c>
      <c r="FQ122">
        <v>2021.10617212057</v>
      </c>
      <c r="FR122">
        <v>5298.38765859604</v>
      </c>
      <c r="FS122">
        <v>1712.7507686615</v>
      </c>
      <c r="FT122">
        <v>319.979846477509</v>
      </c>
      <c r="FU122">
        <v>339.78009223938</v>
      </c>
      <c r="FV122">
        <v>0</v>
      </c>
      <c r="FW122">
        <v>873880.4053765869</v>
      </c>
      <c r="FX122">
        <v>767588.804434423</v>
      </c>
      <c r="FY122">
        <v>389965.038549453</v>
      </c>
      <c r="FZ122">
        <v>200246.282710433</v>
      </c>
      <c r="GA122">
        <v>244072.811630219</v>
      </c>
      <c r="GB122">
        <v>5151.88204533815</v>
      </c>
      <c r="GC122">
        <v>5756.08018325806</v>
      </c>
      <c r="GD122">
        <v>4641.37166912556</v>
      </c>
      <c r="GE122">
        <v>1560.5080296278</v>
      </c>
      <c r="GF122">
        <v>2021.10617212057</v>
      </c>
      <c r="GG122">
        <v>5298.38765859604</v>
      </c>
      <c r="GH122">
        <v>1712.7507686615</v>
      </c>
      <c r="GI122">
        <v>319.979846477509</v>
      </c>
      <c r="GJ122">
        <v>339.78009223938</v>
      </c>
      <c r="GK122">
        <v>0</v>
      </c>
      <c r="GL122">
        <v>1822246.89502712</v>
      </c>
      <c r="GM122">
        <v>969439.55442256</v>
      </c>
      <c r="GN122">
        <v>474857.889014882</v>
      </c>
      <c r="GO122">
        <v>89302.20439867971</v>
      </c>
      <c r="GP122">
        <v>164469.579350883</v>
      </c>
      <c r="GQ122">
        <v>8108.12263394952</v>
      </c>
      <c r="GR122">
        <v>553.450548381805</v>
      </c>
      <c r="GS122">
        <v>5082.90119328499</v>
      </c>
      <c r="GT122">
        <v>0</v>
      </c>
      <c r="GU122">
        <v>1921.31845709085</v>
      </c>
      <c r="GV122">
        <v>0</v>
      </c>
      <c r="GW122">
        <v>0</v>
      </c>
      <c r="GX122">
        <v>28056.8462086618</v>
      </c>
      <c r="GY122">
        <v>356.463294768333</v>
      </c>
      <c r="GZ122">
        <v>59805.2980792701</v>
      </c>
      <c r="HA122">
        <v>1814138.77239317</v>
      </c>
      <c r="HB122">
        <v>968886.103874178</v>
      </c>
      <c r="HC122">
        <v>441718.141612935</v>
      </c>
      <c r="HD122">
        <v>88945.74110391139</v>
      </c>
      <c r="HE122">
        <v>102742.962814522</v>
      </c>
      <c r="HF122">
        <v>577848.318720762</v>
      </c>
      <c r="HG122">
        <v>966578.862838716</v>
      </c>
      <c r="HH122">
        <v>441718.141612935</v>
      </c>
      <c r="HI122">
        <v>88945.74110391139</v>
      </c>
      <c r="HJ122">
        <v>102742.962814522</v>
      </c>
      <c r="HK122">
        <v>2706577.57010764</v>
      </c>
      <c r="HL122">
        <v>1744497.1898089</v>
      </c>
      <c r="HM122">
        <v>869784.279079938</v>
      </c>
      <c r="HN122">
        <v>291448.77523098</v>
      </c>
      <c r="HO122">
        <v>410563.497153223</v>
      </c>
      <c r="HP122">
        <v>778649.855572802</v>
      </c>
      <c r="HQ122">
        <v>755081.7347714039</v>
      </c>
      <c r="HR122">
        <v>557400.114198113</v>
      </c>
      <c r="HS122">
        <v>9260.706413984301</v>
      </c>
      <c r="HT122">
        <v>376745.155842614</v>
      </c>
      <c r="HU122">
        <v>6320.8933647418</v>
      </c>
      <c r="HV122">
        <v>6365.92995695114</v>
      </c>
      <c r="HW122">
        <v>5383.82090690732</v>
      </c>
      <c r="HX122">
        <v>4412.61079788208</v>
      </c>
      <c r="HY122">
        <v>4780.77887058258</v>
      </c>
      <c r="HZ122">
        <v>772328.96116916</v>
      </c>
      <c r="IA122">
        <v>748715.804814453</v>
      </c>
      <c r="IB122">
        <v>552016.293291205</v>
      </c>
      <c r="IC122">
        <v>4848.09561610222</v>
      </c>
      <c r="ID122">
        <v>371964.376972032</v>
      </c>
      <c r="IE122">
        <v>1634377.81860711</v>
      </c>
      <c r="IF122">
        <v>798782.283333673</v>
      </c>
      <c r="IG122">
        <v>207986.900210381</v>
      </c>
      <c r="IH122">
        <v>220857.059955597</v>
      </c>
      <c r="II122">
        <v>0</v>
      </c>
      <c r="IJ122">
        <v>1634377.81860711</v>
      </c>
      <c r="IK122">
        <v>798782.283333673</v>
      </c>
      <c r="IL122">
        <v>207986.900210381</v>
      </c>
      <c r="IM122">
        <v>220857.059955597</v>
      </c>
      <c r="IN122" t="s">
        <v>1900</v>
      </c>
      <c r="IO122">
        <v>0</v>
      </c>
      <c r="IP122">
        <v>0</v>
      </c>
      <c r="IQ122">
        <v>0</v>
      </c>
      <c r="IR122">
        <v>0</v>
      </c>
      <c r="IS122" t="s">
        <v>1900</v>
      </c>
      <c r="IT122">
        <v>0</v>
      </c>
      <c r="IU122">
        <v>0</v>
      </c>
      <c r="IV122">
        <v>0</v>
      </c>
      <c r="IW122">
        <v>0</v>
      </c>
      <c r="IX122" t="s">
        <v>1900</v>
      </c>
      <c r="IY122">
        <v>293549.895927727</v>
      </c>
      <c r="IZ122">
        <v>190633.171703825</v>
      </c>
      <c r="JA122">
        <v>104397.264671445</v>
      </c>
      <c r="JB122">
        <v>61331.0088613987</v>
      </c>
      <c r="JC122">
        <v>33818.3413106084</v>
      </c>
      <c r="JD122">
        <v>47800.5989964962</v>
      </c>
      <c r="JE122">
        <v>0</v>
      </c>
      <c r="JF122">
        <v>0</v>
      </c>
      <c r="JG122">
        <v>0</v>
      </c>
      <c r="JH122">
        <v>5216.30095393658</v>
      </c>
      <c r="JI122">
        <v>0</v>
      </c>
      <c r="JJ122">
        <v>0</v>
      </c>
      <c r="JK122">
        <v>4200.74875453115</v>
      </c>
      <c r="JL122">
        <v>453.04012298584</v>
      </c>
      <c r="JM122">
        <v>0</v>
      </c>
      <c r="JN122">
        <v>245749.296931231</v>
      </c>
      <c r="JO122">
        <v>190633.171703825</v>
      </c>
      <c r="JP122">
        <v>100196.515916914</v>
      </c>
      <c r="JQ122">
        <v>60877.9687384128</v>
      </c>
      <c r="JR122">
        <v>28602.0403566718</v>
      </c>
      <c r="JS122">
        <v>2706577.57010764</v>
      </c>
      <c r="JT122">
        <v>1744497.1898089</v>
      </c>
      <c r="JU122">
        <v>869784.279079938</v>
      </c>
      <c r="JV122">
        <v>291448.77523098</v>
      </c>
      <c r="JW122">
        <v>410563.497153223</v>
      </c>
      <c r="JX122">
        <v>8108.12263394952</v>
      </c>
      <c r="JY122">
        <v>553.450548381805</v>
      </c>
      <c r="JZ122">
        <v>28938.9986474156</v>
      </c>
      <c r="KA122">
        <v>-96.5756956171989</v>
      </c>
      <c r="KB122">
        <v>61726.6153092617</v>
      </c>
      <c r="KC122" t="s">
        <v>1900</v>
      </c>
      <c r="KD122" t="s">
        <v>1900</v>
      </c>
      <c r="KE122" t="s">
        <v>1900</v>
      </c>
      <c r="KF122" t="s">
        <v>1900</v>
      </c>
      <c r="KG122" t="s">
        <v>1900</v>
      </c>
      <c r="KH122" t="s">
        <v>1900</v>
      </c>
      <c r="KI122" t="s">
        <v>1900</v>
      </c>
      <c r="KJ122" t="s">
        <v>1900</v>
      </c>
      <c r="KK122" t="s">
        <v>1900</v>
      </c>
      <c r="KL122" t="s">
        <v>1900</v>
      </c>
      <c r="KM122">
        <v>27</v>
      </c>
      <c r="KN122">
        <v>22</v>
      </c>
      <c r="KO122">
        <v>15</v>
      </c>
      <c r="KP122">
        <v>8</v>
      </c>
      <c r="KQ122">
        <v>3</v>
      </c>
      <c r="KR122" t="s">
        <v>1900</v>
      </c>
      <c r="KS122" t="s">
        <v>1900</v>
      </c>
      <c r="KT122" t="s">
        <v>1900</v>
      </c>
      <c r="KU122" t="s">
        <v>1900</v>
      </c>
      <c r="KV122" t="s">
        <v>1900</v>
      </c>
      <c r="KW122" t="s">
        <v>1900</v>
      </c>
      <c r="KX122" t="s">
        <v>1900</v>
      </c>
      <c r="KY122" t="s">
        <v>1900</v>
      </c>
      <c r="KZ122" t="s">
        <v>1900</v>
      </c>
      <c r="LA122" t="s">
        <v>1900</v>
      </c>
      <c r="LB122" t="s">
        <v>1900</v>
      </c>
      <c r="LC122" t="s">
        <v>1900</v>
      </c>
      <c r="LD122" t="s">
        <v>1900</v>
      </c>
      <c r="LE122" t="s">
        <v>1900</v>
      </c>
      <c r="LF122" t="s">
        <v>1900</v>
      </c>
      <c r="LG122" t="s">
        <v>1900</v>
      </c>
      <c r="LH122" t="s">
        <v>1900</v>
      </c>
      <c r="LI122" t="s">
        <v>1900</v>
      </c>
      <c r="LJ122" t="s">
        <v>1900</v>
      </c>
      <c r="LK122" t="s">
        <v>1900</v>
      </c>
      <c r="LL122" t="s">
        <v>1900</v>
      </c>
      <c r="LM122" t="s">
        <v>1900</v>
      </c>
      <c r="LN122" t="s">
        <v>1900</v>
      </c>
      <c r="LO122" t="s">
        <v>1900</v>
      </c>
      <c r="LP122" t="s">
        <v>1900</v>
      </c>
      <c r="LQ122" t="s">
        <v>1900</v>
      </c>
      <c r="LR122" t="s">
        <v>1900</v>
      </c>
      <c r="LS122" t="s">
        <v>1900</v>
      </c>
      <c r="LT122" t="s">
        <v>1900</v>
      </c>
      <c r="LU122" t="s">
        <v>1900</v>
      </c>
      <c r="LV122" t="s">
        <v>1900</v>
      </c>
      <c r="LW122" t="s">
        <v>1900</v>
      </c>
      <c r="LX122" t="s">
        <v>1900</v>
      </c>
      <c r="LY122" t="s">
        <v>1900</v>
      </c>
      <c r="LZ122" t="s">
        <v>1900</v>
      </c>
      <c r="MA122" t="s">
        <v>1900</v>
      </c>
      <c r="MB122" t="s">
        <v>1900</v>
      </c>
      <c r="MC122" t="s">
        <v>1900</v>
      </c>
      <c r="MD122" t="s">
        <v>1900</v>
      </c>
      <c r="ME122" t="s">
        <v>1900</v>
      </c>
      <c r="MF122" t="s">
        <v>1900</v>
      </c>
      <c r="MG122" t="s">
        <v>1900</v>
      </c>
      <c r="MH122" t="s">
        <v>1900</v>
      </c>
      <c r="MI122" t="s">
        <v>1900</v>
      </c>
      <c r="MJ122" t="s">
        <v>1900</v>
      </c>
      <c r="MK122" t="s">
        <v>1900</v>
      </c>
      <c r="ML122" t="s">
        <v>1900</v>
      </c>
      <c r="MM122" t="s">
        <v>1900</v>
      </c>
      <c r="MN122" t="s">
        <v>1900</v>
      </c>
      <c r="MO122" t="s">
        <v>1900</v>
      </c>
      <c r="MP122">
        <v>1814138.77239317</v>
      </c>
      <c r="MQ122">
        <v>968886.103874178</v>
      </c>
      <c r="MR122">
        <v>441718.141612935</v>
      </c>
      <c r="MS122">
        <v>88945.74110391139</v>
      </c>
      <c r="MT122">
        <v>102742.962814522</v>
      </c>
      <c r="MU122" t="s">
        <v>1900</v>
      </c>
      <c r="MV122" t="s">
        <v>1900</v>
      </c>
      <c r="MW122" t="s">
        <v>1900</v>
      </c>
      <c r="MX122" t="s">
        <v>1900</v>
      </c>
      <c r="MY122" t="s">
        <v>1900</v>
      </c>
      <c r="MZ122" t="s">
        <v>1900</v>
      </c>
      <c r="NA122" t="s">
        <v>1900</v>
      </c>
      <c r="NB122" t="s">
        <v>1900</v>
      </c>
      <c r="NC122" t="s">
        <v>1900</v>
      </c>
      <c r="ND122" t="s">
        <v>1900</v>
      </c>
      <c r="NE122" t="s">
        <v>1900</v>
      </c>
      <c r="NF122" t="s">
        <v>1900</v>
      </c>
      <c r="NG122" t="s">
        <v>1900</v>
      </c>
      <c r="NH122" t="s">
        <v>1900</v>
      </c>
      <c r="NI122" t="s">
        <v>1900</v>
      </c>
      <c r="NJ122" t="s">
        <v>1900</v>
      </c>
      <c r="NK122" t="s">
        <v>1900</v>
      </c>
      <c r="NL122" t="s">
        <v>1900</v>
      </c>
      <c r="NM122" t="s">
        <v>1900</v>
      </c>
      <c r="NN122" t="s">
        <v>1900</v>
      </c>
      <c r="NO122" t="s">
        <v>1900</v>
      </c>
      <c r="NP122" t="s">
        <v>1900</v>
      </c>
      <c r="NQ122" t="s">
        <v>1900</v>
      </c>
      <c r="NR122" t="s">
        <v>1900</v>
      </c>
      <c r="NS122" t="s">
        <v>1900</v>
      </c>
      <c r="NT122">
        <v>884330.675080521</v>
      </c>
      <c r="NU122">
        <v>775057.635386343</v>
      </c>
      <c r="NV122">
        <v>394926.390065056</v>
      </c>
      <c r="NW122">
        <v>202146.5708323</v>
      </c>
      <c r="NX122">
        <v>246093.91780234</v>
      </c>
      <c r="NY122" t="s">
        <v>1900</v>
      </c>
      <c r="NZ122" t="s">
        <v>1900</v>
      </c>
      <c r="OA122" t="s">
        <v>1900</v>
      </c>
      <c r="OB122" t="s">
        <v>1900</v>
      </c>
      <c r="OC122" t="s">
        <v>1900</v>
      </c>
      <c r="OD122" t="s">
        <v>1900</v>
      </c>
      <c r="OE122" t="s">
        <v>1900</v>
      </c>
      <c r="OF122" t="s">
        <v>1900</v>
      </c>
      <c r="OG122" t="s">
        <v>1900</v>
      </c>
      <c r="OH122" t="s">
        <v>1900</v>
      </c>
      <c r="OI122" t="s">
        <v>1900</v>
      </c>
      <c r="OJ122" t="s">
        <v>1900</v>
      </c>
      <c r="OK122" t="s">
        <v>1900</v>
      </c>
      <c r="OL122" t="s">
        <v>1900</v>
      </c>
      <c r="OM122" t="s">
        <v>1900</v>
      </c>
      <c r="ON122" t="s">
        <v>1900</v>
      </c>
      <c r="OO122" t="s">
        <v>1900</v>
      </c>
      <c r="OP122" t="s">
        <v>1900</v>
      </c>
      <c r="OQ122" t="s">
        <v>1900</v>
      </c>
      <c r="OR122" t="s">
        <v>1900</v>
      </c>
      <c r="OS122" t="s">
        <v>1900</v>
      </c>
      <c r="OT122" t="s">
        <v>1900</v>
      </c>
      <c r="OU122" t="s">
        <v>1900</v>
      </c>
      <c r="OV122" t="s">
        <v>1900</v>
      </c>
      <c r="OW122" t="s">
        <v>1900</v>
      </c>
      <c r="OX122" t="s">
        <v>1900</v>
      </c>
      <c r="OY122" t="s">
        <v>1900</v>
      </c>
      <c r="OZ122" t="s">
        <v>1900</v>
      </c>
      <c r="PA122" t="s">
        <v>1900</v>
      </c>
      <c r="PB122" t="s">
        <v>1900</v>
      </c>
      <c r="PC122" t="s">
        <v>1900</v>
      </c>
      <c r="PD122" t="s">
        <v>1900</v>
      </c>
      <c r="PE122" t="s">
        <v>1900</v>
      </c>
      <c r="PF122" t="s">
        <v>1900</v>
      </c>
      <c r="PG122" t="s">
        <v>1900</v>
      </c>
      <c r="PH122" t="s">
        <v>1900</v>
      </c>
      <c r="PI122" t="s">
        <v>1900</v>
      </c>
      <c r="PJ122" t="s">
        <v>1900</v>
      </c>
      <c r="PK122" t="s">
        <v>1900</v>
      </c>
      <c r="PL122" t="s">
        <v>1900</v>
      </c>
      <c r="PM122" t="s">
        <v>1900</v>
      </c>
      <c r="PN122" t="s">
        <v>1900</v>
      </c>
      <c r="PO122" t="s">
        <v>1900</v>
      </c>
      <c r="PP122" t="s">
        <v>1900</v>
      </c>
      <c r="PQ122" t="s">
        <v>1900</v>
      </c>
      <c r="PR122" t="s">
        <v>1900</v>
      </c>
      <c r="PS122" t="s">
        <v>1900</v>
      </c>
      <c r="PT122" t="s">
        <v>1900</v>
      </c>
      <c r="PU122" t="s">
        <v>1900</v>
      </c>
      <c r="PV122" t="s">
        <v>1900</v>
      </c>
      <c r="PW122" t="s">
        <v>1900</v>
      </c>
      <c r="PX122" t="s">
        <v>1900</v>
      </c>
      <c r="PY122" t="s">
        <v>1900</v>
      </c>
      <c r="PZ122" t="s">
        <v>1900</v>
      </c>
      <c r="QA122" t="s">
        <v>1900</v>
      </c>
      <c r="QB122" t="s">
        <v>1900</v>
      </c>
      <c r="QC122" t="s">
        <v>1900</v>
      </c>
      <c r="QD122" t="s">
        <v>1900</v>
      </c>
      <c r="QE122" t="s">
        <v>1900</v>
      </c>
      <c r="QF122" t="s">
        <v>1900</v>
      </c>
      <c r="QG122" t="s">
        <v>1900</v>
      </c>
      <c r="QH122" t="s">
        <v>1900</v>
      </c>
      <c r="QI122" t="s">
        <v>1900</v>
      </c>
      <c r="QJ122" t="s">
        <v>1900</v>
      </c>
      <c r="QK122" t="s">
        <v>1900</v>
      </c>
      <c r="QL122" t="s">
        <v>1900</v>
      </c>
      <c r="QM122" t="s">
        <v>1900</v>
      </c>
      <c r="QN122" t="s">
        <v>1900</v>
      </c>
      <c r="QO122" t="s">
        <v>1900</v>
      </c>
      <c r="QP122" t="s">
        <v>1900</v>
      </c>
      <c r="QQ122" t="s">
        <v>1900</v>
      </c>
      <c r="QR122" t="s">
        <v>1900</v>
      </c>
      <c r="QS122" t="s">
        <v>1900</v>
      </c>
      <c r="QT122" t="s">
        <v>1900</v>
      </c>
      <c r="QU122" t="s">
        <v>1900</v>
      </c>
      <c r="QV122" t="s">
        <v>1900</v>
      </c>
      <c r="QW122" t="s">
        <v>1900</v>
      </c>
      <c r="QX122" t="s">
        <v>1900</v>
      </c>
      <c r="QY122" t="s">
        <v>1900</v>
      </c>
      <c r="QZ122" t="s">
        <v>1900</v>
      </c>
      <c r="RA122" t="s">
        <v>1900</v>
      </c>
      <c r="RB122" t="s">
        <v>1900</v>
      </c>
      <c r="RC122" t="s">
        <v>1900</v>
      </c>
      <c r="RD122" t="s">
        <v>1900</v>
      </c>
      <c r="RE122" t="s">
        <v>1900</v>
      </c>
      <c r="RF122" t="s">
        <v>1900</v>
      </c>
      <c r="RG122" t="s">
        <v>1900</v>
      </c>
      <c r="RH122" t="s">
        <v>1900</v>
      </c>
      <c r="RI122" t="s">
        <v>1900</v>
      </c>
      <c r="RJ122" t="s">
        <v>1900</v>
      </c>
      <c r="RK122" t="s">
        <v>1900</v>
      </c>
      <c r="RL122" t="s">
        <v>1900</v>
      </c>
      <c r="RM122" t="s">
        <v>1900</v>
      </c>
      <c r="RN122" t="s">
        <v>1900</v>
      </c>
      <c r="RO122" t="s">
        <v>1900</v>
      </c>
      <c r="RP122" t="s">
        <v>1900</v>
      </c>
      <c r="RQ122" t="s">
        <v>1900</v>
      </c>
      <c r="RR122" t="s">
        <v>1900</v>
      </c>
      <c r="RS122" t="s">
        <v>1900</v>
      </c>
      <c r="RT122" t="s">
        <v>1900</v>
      </c>
      <c r="RU122" t="s">
        <v>1900</v>
      </c>
      <c r="RV122" t="s">
        <v>1900</v>
      </c>
      <c r="RW122" t="s">
        <v>1900</v>
      </c>
      <c r="RX122" t="s">
        <v>1900</v>
      </c>
      <c r="RY122" t="s">
        <v>1900</v>
      </c>
      <c r="RZ122" t="s">
        <v>1900</v>
      </c>
      <c r="SA122" t="s">
        <v>1900</v>
      </c>
      <c r="SB122" t="s">
        <v>1900</v>
      </c>
      <c r="SC122" t="s">
        <v>1900</v>
      </c>
      <c r="SD122" t="s">
        <v>1900</v>
      </c>
      <c r="SE122" t="s">
        <v>1900</v>
      </c>
      <c r="SF122" t="s">
        <v>1900</v>
      </c>
      <c r="SG122" t="s">
        <v>1900</v>
      </c>
      <c r="SH122" t="s">
        <v>1900</v>
      </c>
      <c r="SI122" t="s">
        <v>1900</v>
      </c>
      <c r="SJ122">
        <v>5298.38765859604</v>
      </c>
      <c r="SK122">
        <v>1712.7507686615</v>
      </c>
      <c r="SL122">
        <v>319.979846477509</v>
      </c>
      <c r="SM122">
        <v>339.78009223938</v>
      </c>
      <c r="SN122">
        <v>0</v>
      </c>
      <c r="SO122" t="s">
        <v>1900</v>
      </c>
      <c r="SP122" t="s">
        <v>1900</v>
      </c>
      <c r="SQ122" t="s">
        <v>1900</v>
      </c>
      <c r="SR122" t="s">
        <v>1900</v>
      </c>
      <c r="SS122" t="s">
        <v>1900</v>
      </c>
      <c r="ST122" t="s">
        <v>1900</v>
      </c>
      <c r="SU122" t="s">
        <v>1900</v>
      </c>
      <c r="SV122" t="s">
        <v>1900</v>
      </c>
      <c r="SW122" t="s">
        <v>1900</v>
      </c>
      <c r="SX122" t="s">
        <v>1900</v>
      </c>
      <c r="SY122" t="s">
        <v>1900</v>
      </c>
      <c r="SZ122" t="s">
        <v>1900</v>
      </c>
      <c r="TA122" t="s">
        <v>1900</v>
      </c>
      <c r="TB122" t="s">
        <v>1900</v>
      </c>
      <c r="TC122" t="s">
        <v>1900</v>
      </c>
      <c r="TD122" t="s">
        <v>1900</v>
      </c>
      <c r="TE122" t="s">
        <v>1900</v>
      </c>
      <c r="TF122" t="s">
        <v>1900</v>
      </c>
      <c r="TG122" t="s">
        <v>1900</v>
      </c>
      <c r="TH122" t="s">
        <v>1900</v>
      </c>
      <c r="TI122" t="s">
        <v>1900</v>
      </c>
      <c r="TJ122" t="s">
        <v>1900</v>
      </c>
      <c r="TK122" t="s">
        <v>1900</v>
      </c>
      <c r="TL122" t="s">
        <v>1900</v>
      </c>
      <c r="TM122" t="s">
        <v>1900</v>
      </c>
      <c r="TN122" t="s">
        <v>1900</v>
      </c>
      <c r="TO122" t="s">
        <v>1900</v>
      </c>
      <c r="TP122" t="s">
        <v>1900</v>
      </c>
      <c r="TQ122" t="s">
        <v>1900</v>
      </c>
      <c r="TR122" t="s">
        <v>1900</v>
      </c>
      <c r="TS122">
        <v>2706577.57010764</v>
      </c>
      <c r="TT122">
        <v>1744497.1898089</v>
      </c>
      <c r="TU122">
        <v>869784.279079938</v>
      </c>
      <c r="TV122">
        <v>291448.77523098</v>
      </c>
      <c r="TW122">
        <v>410563.497153223</v>
      </c>
      <c r="TX122" t="s">
        <v>1900</v>
      </c>
      <c r="TY122" t="s">
        <v>1900</v>
      </c>
      <c r="TZ122" t="s">
        <v>1900</v>
      </c>
      <c r="UA122" t="s">
        <v>1900</v>
      </c>
      <c r="UB122" t="s">
        <v>1900</v>
      </c>
      <c r="UC122">
        <v>47800.5989964962</v>
      </c>
      <c r="UD122">
        <v>0</v>
      </c>
      <c r="UE122">
        <v>0</v>
      </c>
      <c r="UF122">
        <v>0</v>
      </c>
      <c r="UG122">
        <v>5216.30095393658</v>
      </c>
      <c r="UH122" t="s">
        <v>1900</v>
      </c>
      <c r="UI122" t="s">
        <v>1900</v>
      </c>
      <c r="UJ122" t="s">
        <v>1900</v>
      </c>
      <c r="UK122" t="s">
        <v>1900</v>
      </c>
      <c r="UL122" t="s">
        <v>1900</v>
      </c>
      <c r="UM122" t="s">
        <v>1900</v>
      </c>
      <c r="UN122" t="s">
        <v>1900</v>
      </c>
      <c r="UO122" t="s">
        <v>1900</v>
      </c>
      <c r="UP122" t="s">
        <v>1900</v>
      </c>
      <c r="UQ122" t="s">
        <v>1900</v>
      </c>
      <c r="UR122" t="s">
        <v>1900</v>
      </c>
      <c r="US122" t="s">
        <v>1900</v>
      </c>
      <c r="UT122" t="s">
        <v>1900</v>
      </c>
      <c r="UU122" t="s">
        <v>1900</v>
      </c>
      <c r="UV122" t="s">
        <v>1900</v>
      </c>
      <c r="UW122" t="s">
        <v>1900</v>
      </c>
      <c r="UX122" t="s">
        <v>1900</v>
      </c>
      <c r="UY122" t="s">
        <v>1900</v>
      </c>
      <c r="UZ122" t="s">
        <v>1900</v>
      </c>
      <c r="VA122" t="s">
        <v>1900</v>
      </c>
      <c r="VB122" t="s">
        <v>1900</v>
      </c>
      <c r="VC122" t="s">
        <v>1900</v>
      </c>
      <c r="VD122" t="s">
        <v>1900</v>
      </c>
      <c r="VE122" t="s">
        <v>1900</v>
      </c>
      <c r="VF122" t="s">
        <v>1900</v>
      </c>
      <c r="VG122" t="s">
        <v>1900</v>
      </c>
      <c r="VH122" t="s">
        <v>1900</v>
      </c>
      <c r="VI122" t="s">
        <v>1900</v>
      </c>
      <c r="VJ122" t="s">
        <v>1900</v>
      </c>
      <c r="VK122" t="s">
        <v>1900</v>
      </c>
      <c r="VL122" t="s">
        <v>1900</v>
      </c>
      <c r="VM122" t="s">
        <v>1900</v>
      </c>
      <c r="VN122" t="s">
        <v>1900</v>
      </c>
      <c r="VO122" t="s">
        <v>1900</v>
      </c>
      <c r="VP122" t="s">
        <v>1900</v>
      </c>
      <c r="VQ122" t="s">
        <v>1900</v>
      </c>
      <c r="VR122" t="s">
        <v>1900</v>
      </c>
      <c r="VS122" t="s">
        <v>1900</v>
      </c>
      <c r="VT122" t="s">
        <v>1900</v>
      </c>
      <c r="VU122" t="s">
        <v>1900</v>
      </c>
      <c r="VV122" t="s">
        <v>1900</v>
      </c>
      <c r="VW122" t="s">
        <v>1900</v>
      </c>
      <c r="VX122" t="s">
        <v>1900</v>
      </c>
      <c r="VY122" t="s">
        <v>1900</v>
      </c>
      <c r="VZ122" t="s">
        <v>1900</v>
      </c>
      <c r="WA122">
        <v>245749.296931231</v>
      </c>
      <c r="WB122">
        <v>190633.171703825</v>
      </c>
      <c r="WC122">
        <v>100196.515916914</v>
      </c>
      <c r="WD122">
        <v>60877.9687384128</v>
      </c>
      <c r="WE122">
        <v>28602.0403566718</v>
      </c>
      <c r="WF122" t="s">
        <v>1900</v>
      </c>
      <c r="WG122" t="s">
        <v>1900</v>
      </c>
      <c r="WH122" t="s">
        <v>1900</v>
      </c>
      <c r="WI122" t="s">
        <v>1900</v>
      </c>
      <c r="WJ122" t="s">
        <v>1900</v>
      </c>
      <c r="WK122" t="s">
        <v>1900</v>
      </c>
      <c r="WL122" t="s">
        <v>1900</v>
      </c>
      <c r="WM122" t="s">
        <v>1900</v>
      </c>
      <c r="WN122" t="s">
        <v>1900</v>
      </c>
      <c r="WO122" t="s">
        <v>1900</v>
      </c>
      <c r="WP122" t="s">
        <v>1900</v>
      </c>
      <c r="WQ122" t="s">
        <v>1900</v>
      </c>
      <c r="WR122" t="s">
        <v>1900</v>
      </c>
      <c r="WS122" t="s">
        <v>1900</v>
      </c>
      <c r="WT122" t="s">
        <v>1900</v>
      </c>
      <c r="WU122" t="s">
        <v>1900</v>
      </c>
      <c r="WV122" t="s">
        <v>1900</v>
      </c>
      <c r="WW122" t="s">
        <v>1900</v>
      </c>
      <c r="WX122" t="s">
        <v>1900</v>
      </c>
      <c r="WY122" t="s">
        <v>1900</v>
      </c>
      <c r="WZ122" t="s">
        <v>1900</v>
      </c>
      <c r="XA122" t="s">
        <v>1900</v>
      </c>
      <c r="XB122" t="s">
        <v>1900</v>
      </c>
      <c r="XC122" t="s">
        <v>1900</v>
      </c>
      <c r="XD122" t="s">
        <v>1900</v>
      </c>
      <c r="XE122" t="s">
        <v>1900</v>
      </c>
      <c r="XF122" t="s">
        <v>1900</v>
      </c>
      <c r="XG122" t="s">
        <v>1900</v>
      </c>
      <c r="XH122" t="s">
        <v>1900</v>
      </c>
      <c r="XI122" t="s">
        <v>1900</v>
      </c>
      <c r="XJ122">
        <v>0</v>
      </c>
      <c r="XK122">
        <v>0</v>
      </c>
      <c r="XL122">
        <v>0</v>
      </c>
      <c r="XM122">
        <v>0</v>
      </c>
      <c r="XN122" t="s">
        <v>1900</v>
      </c>
      <c r="XO122" t="s">
        <v>1900</v>
      </c>
      <c r="XP122" t="s">
        <v>1900</v>
      </c>
      <c r="XQ122" t="s">
        <v>1900</v>
      </c>
      <c r="XR122" t="s">
        <v>1900</v>
      </c>
      <c r="XS122" t="s">
        <v>1900</v>
      </c>
      <c r="XT122" t="s">
        <v>1900</v>
      </c>
      <c r="XU122" t="s">
        <v>1900</v>
      </c>
      <c r="XV122" t="s">
        <v>1900</v>
      </c>
      <c r="XW122" t="s">
        <v>1900</v>
      </c>
      <c r="XX122" t="s">
        <v>1900</v>
      </c>
      <c r="XY122">
        <v>0</v>
      </c>
      <c r="XZ122">
        <v>0</v>
      </c>
      <c r="YA122">
        <v>0</v>
      </c>
      <c r="YB122">
        <v>0</v>
      </c>
      <c r="YC122" t="s">
        <v>1900</v>
      </c>
      <c r="YD122" t="s">
        <v>1900</v>
      </c>
      <c r="YE122" t="s">
        <v>1900</v>
      </c>
      <c r="YF122" t="s">
        <v>1900</v>
      </c>
      <c r="YG122" t="s">
        <v>1900</v>
      </c>
      <c r="YH122" t="s">
        <v>1900</v>
      </c>
      <c r="YI122" t="s">
        <v>1900</v>
      </c>
      <c r="YJ122" t="s">
        <v>1900</v>
      </c>
      <c r="YK122" t="s">
        <v>1900</v>
      </c>
      <c r="YL122" t="s">
        <v>1900</v>
      </c>
      <c r="YM122" t="s">
        <v>1900</v>
      </c>
      <c r="YN122" t="s">
        <v>1900</v>
      </c>
      <c r="YO122" t="s">
        <v>1900</v>
      </c>
      <c r="YP122" t="s">
        <v>1900</v>
      </c>
      <c r="YQ122" t="s">
        <v>1900</v>
      </c>
      <c r="YR122" t="s">
        <v>1900</v>
      </c>
      <c r="YS122" t="s">
        <v>1900</v>
      </c>
      <c r="YT122" t="s">
        <v>1900</v>
      </c>
      <c r="YU122" t="s">
        <v>1900</v>
      </c>
      <c r="YV122" t="s">
        <v>1900</v>
      </c>
      <c r="YW122" t="s">
        <v>1900</v>
      </c>
      <c r="YX122" t="s">
        <v>1900</v>
      </c>
      <c r="YY122" t="s">
        <v>1900</v>
      </c>
      <c r="YZ122" t="s">
        <v>1900</v>
      </c>
      <c r="ZA122" t="s">
        <v>1900</v>
      </c>
      <c r="ZB122" t="s">
        <v>1900</v>
      </c>
      <c r="ZC122" t="s">
        <v>1900</v>
      </c>
      <c r="ZD122" t="s">
        <v>1900</v>
      </c>
      <c r="ZE122" t="s">
        <v>1900</v>
      </c>
      <c r="ZF122" t="s">
        <v>1900</v>
      </c>
      <c r="ZG122" t="s">
        <v>1900</v>
      </c>
      <c r="ZH122" t="s">
        <v>1900</v>
      </c>
      <c r="ZI122" t="s">
        <v>1900</v>
      </c>
      <c r="ZJ122" t="s">
        <v>1900</v>
      </c>
      <c r="ZK122" t="s">
        <v>1900</v>
      </c>
      <c r="ZL122" t="s">
        <v>1900</v>
      </c>
      <c r="ZM122" t="s">
        <v>1900</v>
      </c>
      <c r="ZN122" t="s">
        <v>1900</v>
      </c>
      <c r="ZO122" t="s">
        <v>1900</v>
      </c>
      <c r="ZP122" t="s">
        <v>1900</v>
      </c>
      <c r="ZQ122" t="s">
        <v>1900</v>
      </c>
      <c r="ZR122" t="s">
        <v>1900</v>
      </c>
      <c r="ZS122" t="s">
        <v>1900</v>
      </c>
      <c r="ZT122" t="s">
        <v>1900</v>
      </c>
      <c r="ZU122" t="s">
        <v>1900</v>
      </c>
      <c r="ZV122" t="s">
        <v>1900</v>
      </c>
      <c r="ZW122" t="s">
        <v>1900</v>
      </c>
      <c r="ZX122" t="s">
        <v>1900</v>
      </c>
      <c r="ZY122" t="s">
        <v>1900</v>
      </c>
      <c r="ZZ122" t="s">
        <v>1900</v>
      </c>
      <c r="AAA122" t="s">
        <v>1900</v>
      </c>
      <c r="AAB122" t="s">
        <v>1900</v>
      </c>
      <c r="AAC122" t="s">
        <v>1900</v>
      </c>
      <c r="AAD122" t="s">
        <v>1900</v>
      </c>
      <c r="AAE122" t="s">
        <v>1900</v>
      </c>
      <c r="AAF122" t="s">
        <v>1900</v>
      </c>
      <c r="AAG122" t="s">
        <v>1900</v>
      </c>
      <c r="AAH122" t="s">
        <v>1900</v>
      </c>
      <c r="AAI122" t="s">
        <v>1900</v>
      </c>
      <c r="AAJ122" t="s">
        <v>1900</v>
      </c>
      <c r="AAK122" t="s">
        <v>1900</v>
      </c>
      <c r="AAL122" t="s">
        <v>1900</v>
      </c>
      <c r="AAM122" t="s">
        <v>1900</v>
      </c>
      <c r="AAN122" t="s">
        <v>1900</v>
      </c>
      <c r="AAO122" t="s">
        <v>1900</v>
      </c>
      <c r="AAP122" t="s">
        <v>1900</v>
      </c>
      <c r="AAQ122" t="s">
        <v>1900</v>
      </c>
      <c r="AAR122" t="s">
        <v>1900</v>
      </c>
      <c r="AAS122" t="s">
        <v>1900</v>
      </c>
      <c r="AAT122" t="s">
        <v>1900</v>
      </c>
      <c r="AAU122" t="s">
        <v>1900</v>
      </c>
      <c r="AAV122" t="s">
        <v>1900</v>
      </c>
      <c r="AAW122" t="s">
        <v>1900</v>
      </c>
      <c r="AAX122" t="s">
        <v>1900</v>
      </c>
      <c r="AAY122" t="s">
        <v>1900</v>
      </c>
      <c r="AAZ122" t="s">
        <v>1900</v>
      </c>
      <c r="ABA122" t="s">
        <v>1900</v>
      </c>
      <c r="ABB122" t="s">
        <v>1900</v>
      </c>
      <c r="ABC122" t="s">
        <v>1900</v>
      </c>
      <c r="ABD122" t="s">
        <v>1900</v>
      </c>
      <c r="ABE122" t="s">
        <v>1900</v>
      </c>
      <c r="ABF122" t="s">
        <v>1900</v>
      </c>
      <c r="ABG122" t="s">
        <v>1900</v>
      </c>
      <c r="ABH122" t="s">
        <v>1900</v>
      </c>
      <c r="ABI122" t="s">
        <v>1900</v>
      </c>
      <c r="ABJ122" t="s">
        <v>1900</v>
      </c>
      <c r="ABK122" t="s">
        <v>1900</v>
      </c>
      <c r="ABL122" t="s">
        <v>1900</v>
      </c>
      <c r="ABM122" t="s">
        <v>1900</v>
      </c>
      <c r="ABN122" t="s">
        <v>1900</v>
      </c>
      <c r="ABO122" t="s">
        <v>1900</v>
      </c>
      <c r="ABP122" t="s">
        <v>1900</v>
      </c>
      <c r="ABQ122" t="s">
        <v>1900</v>
      </c>
      <c r="ABR122" t="s">
        <v>1900</v>
      </c>
      <c r="ABS122" t="s">
        <v>1900</v>
      </c>
      <c r="ABT122" t="s">
        <v>1900</v>
      </c>
      <c r="ABU122" t="s">
        <v>1900</v>
      </c>
      <c r="ABV122" t="s">
        <v>1900</v>
      </c>
      <c r="ABW122" t="s">
        <v>1900</v>
      </c>
      <c r="ABX122" t="s">
        <v>1900</v>
      </c>
      <c r="ABY122" t="s">
        <v>1900</v>
      </c>
      <c r="ABZ122" t="s">
        <v>1900</v>
      </c>
      <c r="ACA122" t="s">
        <v>1900</v>
      </c>
      <c r="ACB122" t="s">
        <v>1900</v>
      </c>
      <c r="ACC122" t="s">
        <v>1900</v>
      </c>
      <c r="ACD122" t="s">
        <v>1900</v>
      </c>
      <c r="ACE122">
        <v>-54.962</v>
      </c>
      <c r="ACF122">
        <v>-52.854</v>
      </c>
      <c r="ACG122">
        <v>-120.573</v>
      </c>
      <c r="ACH122" t="s">
        <v>1901</v>
      </c>
      <c r="ACI122">
        <v>-64.869</v>
      </c>
      <c r="ACJ122">
        <v>-17.071</v>
      </c>
      <c r="ACK122">
        <v>-24.858</v>
      </c>
      <c r="ACL122">
        <v>-86.69499999999999</v>
      </c>
      <c r="ACM122">
        <v>-245.101</v>
      </c>
      <c r="ACN122" t="s">
        <v>1900</v>
      </c>
      <c r="ACO122">
        <v>-15.812</v>
      </c>
      <c r="ACP122">
        <v>-22.877</v>
      </c>
      <c r="ACQ122">
        <v>-77.26900000000001</v>
      </c>
      <c r="ACR122" t="s">
        <v>1901</v>
      </c>
      <c r="ACS122">
        <v>-59.526</v>
      </c>
      <c r="ACT122">
        <v>-54.962</v>
      </c>
      <c r="ACU122">
        <v>-52.854</v>
      </c>
      <c r="ACV122">
        <v>-120.573</v>
      </c>
      <c r="ACW122" t="s">
        <v>1901</v>
      </c>
      <c r="ACX122">
        <v>-64.869</v>
      </c>
      <c r="ACY122">
        <v>-17.071</v>
      </c>
      <c r="ACZ122">
        <v>-24.858</v>
      </c>
      <c r="ADA122">
        <v>-86.69499999999999</v>
      </c>
      <c r="ADB122">
        <v>-245.101</v>
      </c>
      <c r="ADC122" t="s">
        <v>1900</v>
      </c>
      <c r="ADD122">
        <v>-15.812</v>
      </c>
      <c r="ADE122">
        <v>-22.877</v>
      </c>
      <c r="ADF122">
        <v>-77.26900000000001</v>
      </c>
      <c r="ADG122" t="s">
        <v>1901</v>
      </c>
      <c r="ADH122">
        <v>-59.526</v>
      </c>
      <c r="ADI122">
        <v>-21.515</v>
      </c>
      <c r="ADJ122">
        <v>-26.013</v>
      </c>
      <c r="ADK122">
        <v>-96.152</v>
      </c>
      <c r="ADL122" t="s">
        <v>1901</v>
      </c>
      <c r="ADM122" t="s">
        <v>1901</v>
      </c>
      <c r="ADN122">
        <v>99.962</v>
      </c>
      <c r="ADO122">
        <v>100</v>
      </c>
      <c r="ADP122">
        <v>100</v>
      </c>
      <c r="ADQ122">
        <v>100</v>
      </c>
      <c r="ADR122">
        <v>97.717</v>
      </c>
      <c r="ADS122">
        <v>-20.713938763</v>
      </c>
      <c r="ADT122">
        <v>-25.164230158</v>
      </c>
      <c r="ADU122">
        <v>-94.93273323699999</v>
      </c>
      <c r="ADV122">
        <v>-224.286762849</v>
      </c>
      <c r="ADW122">
        <v>-734.364038411</v>
      </c>
      <c r="ADX122">
        <v>-17.962</v>
      </c>
      <c r="ADY122">
        <v>-22.084</v>
      </c>
      <c r="ADZ122">
        <v>-91.35899999999999</v>
      </c>
      <c r="AEA122" t="s">
        <v>1901</v>
      </c>
      <c r="AEB122" t="s">
        <v>1901</v>
      </c>
      <c r="AEC122">
        <v>-20.714</v>
      </c>
      <c r="AED122">
        <v>-25.164</v>
      </c>
      <c r="AEE122">
        <v>-94.93300000000001</v>
      </c>
      <c r="AEF122" t="s">
        <v>1901</v>
      </c>
      <c r="AEG122" t="s">
        <v>1901</v>
      </c>
      <c r="AEH122">
        <v>-18.763</v>
      </c>
      <c r="AEI122">
        <v>-22.932</v>
      </c>
      <c r="AEJ122">
        <v>-92.57899999999999</v>
      </c>
      <c r="AEK122" t="s">
        <v>1901</v>
      </c>
      <c r="AEL122" t="s">
        <v>1901</v>
      </c>
      <c r="AEM122">
        <v>-17.159525217</v>
      </c>
      <c r="AEN122">
        <v>-20.104969388</v>
      </c>
      <c r="AEO122">
        <v>-48.700252472</v>
      </c>
      <c r="AEP122">
        <v>-69.163095304</v>
      </c>
      <c r="AEQ122">
        <v>-88.014823818</v>
      </c>
      <c r="AER122">
        <v>0.8283510160000001</v>
      </c>
      <c r="AES122" t="s">
        <v>1900</v>
      </c>
      <c r="AET122" t="s">
        <v>1900</v>
      </c>
      <c r="AEU122" t="s">
        <v>1900</v>
      </c>
      <c r="AEV122">
        <v>0.117436706</v>
      </c>
      <c r="AEW122" t="s">
        <v>1900</v>
      </c>
      <c r="AEX122" t="s">
        <v>1900</v>
      </c>
      <c r="AEY122" t="s">
        <v>1900</v>
      </c>
      <c r="AEZ122" t="s">
        <v>1900</v>
      </c>
      <c r="AFA122" t="s">
        <v>1900</v>
      </c>
      <c r="AFB122" t="s">
        <v>1900</v>
      </c>
      <c r="AFC122" t="s">
        <v>1900</v>
      </c>
      <c r="AFD122" t="s">
        <v>1900</v>
      </c>
      <c r="AFE122" t="s">
        <v>1900</v>
      </c>
      <c r="AFF122" t="s">
        <v>1900</v>
      </c>
      <c r="AFG122">
        <v>0.824</v>
      </c>
      <c r="AFH122">
        <v>0.987</v>
      </c>
      <c r="AFI122">
        <v>0.913</v>
      </c>
      <c r="AFJ122">
        <v>1.093</v>
      </c>
      <c r="AFK122">
        <v>0.08799999999999999</v>
      </c>
      <c r="AFL122">
        <v>-25.7</v>
      </c>
      <c r="AFM122">
        <v>-30.076</v>
      </c>
      <c r="AFN122">
        <v>-77.843</v>
      </c>
      <c r="AFO122">
        <v>-85.02800000000001</v>
      </c>
      <c r="AFP122" t="s">
        <v>1900</v>
      </c>
      <c r="AFQ122">
        <v>245.326</v>
      </c>
      <c r="AFR122" t="s">
        <v>1901</v>
      </c>
      <c r="AFS122">
        <v>137.514</v>
      </c>
      <c r="AFT122" t="s">
        <v>1901</v>
      </c>
      <c r="AFU122">
        <v>17.321</v>
      </c>
      <c r="AFV122">
        <v>0</v>
      </c>
      <c r="AFW122">
        <v>0</v>
      </c>
      <c r="AFX122">
        <v>14.45</v>
      </c>
      <c r="AFY122">
        <v>0.51</v>
      </c>
      <c r="AFZ122">
        <v>646.947</v>
      </c>
      <c r="AGA122">
        <v>0</v>
      </c>
      <c r="AGB122">
        <v>0</v>
      </c>
      <c r="AGC122">
        <v>2.164</v>
      </c>
      <c r="AGD122">
        <v>0.649</v>
      </c>
      <c r="AGE122">
        <v>0</v>
      </c>
      <c r="AGF122" t="s">
        <v>1900</v>
      </c>
      <c r="AGG122" t="s">
        <v>1900</v>
      </c>
      <c r="AGH122" t="s">
        <v>1900</v>
      </c>
      <c r="AGI122" t="s">
        <v>1900</v>
      </c>
      <c r="AGJ122" t="s">
        <v>1900</v>
      </c>
      <c r="AGK122" t="s">
        <v>1900</v>
      </c>
      <c r="AGL122" t="s">
        <v>1900</v>
      </c>
      <c r="AGM122" t="s">
        <v>1900</v>
      </c>
      <c r="AGN122" t="s">
        <v>1900</v>
      </c>
      <c r="AGO122" t="s">
        <v>1900</v>
      </c>
      <c r="AGP122" t="s">
        <v>1900</v>
      </c>
      <c r="AGQ122" t="s">
        <v>1900</v>
      </c>
      <c r="AGR122" t="s">
        <v>1900</v>
      </c>
      <c r="AGS122" t="s">
        <v>1900</v>
      </c>
      <c r="AGT122" t="s">
        <v>1900</v>
      </c>
      <c r="AGU122">
        <v>0</v>
      </c>
      <c r="AGV122">
        <v>0</v>
      </c>
      <c r="AGW122">
        <v>0</v>
      </c>
      <c r="AGX122">
        <v>0</v>
      </c>
      <c r="AGY122">
        <v>0</v>
      </c>
      <c r="AGZ122">
        <v>6.208</v>
      </c>
      <c r="AHA122">
        <v>5.085</v>
      </c>
      <c r="AHB122">
        <v>4.549</v>
      </c>
      <c r="AHC122">
        <v>1.456</v>
      </c>
      <c r="AHD122">
        <v>4.863</v>
      </c>
      <c r="AHE122">
        <v>6.18</v>
      </c>
      <c r="AHF122">
        <v>5.082</v>
      </c>
      <c r="AHG122">
        <v>4.5</v>
      </c>
      <c r="AHH122">
        <v>1.456</v>
      </c>
      <c r="AHI122">
        <v>4.807</v>
      </c>
      <c r="AHJ122">
        <v>0.476</v>
      </c>
      <c r="AHK122">
        <v>0.945</v>
      </c>
      <c r="AHL122">
        <v>2.68</v>
      </c>
      <c r="AHM122">
        <v>0.042</v>
      </c>
      <c r="AHN122" t="s">
        <v>1901</v>
      </c>
      <c r="AHO122">
        <v>28.769</v>
      </c>
      <c r="AHP122">
        <v>43.284</v>
      </c>
      <c r="AHQ122">
        <v>64.08499999999999</v>
      </c>
      <c r="AHR122">
        <v>3.177</v>
      </c>
      <c r="AHS122">
        <v>91.76300000000001</v>
      </c>
      <c r="AHT122">
        <v>40.388</v>
      </c>
      <c r="AHU122">
        <v>76.316</v>
      </c>
      <c r="AHV122" t="s">
        <v>1901</v>
      </c>
      <c r="AHW122">
        <v>3.282</v>
      </c>
      <c r="AHX122" t="s">
        <v>1901</v>
      </c>
      <c r="AHY122">
        <v>216.038</v>
      </c>
      <c r="AHZ122">
        <v>105.788</v>
      </c>
      <c r="AIA122">
        <v>37.314</v>
      </c>
      <c r="AIB122" t="s">
        <v>1901</v>
      </c>
      <c r="AIC122">
        <v>1.385</v>
      </c>
      <c r="AID122">
        <v>0.195759683</v>
      </c>
      <c r="AIE122">
        <v>0.098180196</v>
      </c>
      <c r="AIF122">
        <v>0.036788415</v>
      </c>
      <c r="AIG122">
        <v>0.116583126</v>
      </c>
      <c r="AIH122">
        <v>0</v>
      </c>
      <c r="AII122">
        <v>67.027037851</v>
      </c>
      <c r="AIJ122">
        <v>55.539562318</v>
      </c>
      <c r="AIK122">
        <v>50.784792533</v>
      </c>
      <c r="AIL122">
        <v>30.51848169</v>
      </c>
      <c r="AIM122">
        <v>25.024865466</v>
      </c>
      <c r="AIN122">
        <v>9.079706402999999</v>
      </c>
      <c r="AIO122">
        <v>10.927685801</v>
      </c>
      <c r="AIP122">
        <v>11.519697277</v>
      </c>
      <c r="AIQ122">
        <v>20.888050976</v>
      </c>
      <c r="AIR122">
        <v>6.966532718</v>
      </c>
      <c r="AIS122" t="s">
        <v>1901</v>
      </c>
      <c r="AIT122" t="s">
        <v>1900</v>
      </c>
      <c r="AIU122" t="s">
        <v>1900</v>
      </c>
      <c r="AIV122" t="s">
        <v>1900</v>
      </c>
      <c r="AIW122">
        <v>252.86498708</v>
      </c>
      <c r="AIX122">
        <v>-15.8503064103106</v>
      </c>
      <c r="AIY122">
        <v>-18.1404130211945</v>
      </c>
      <c r="AIZ122">
        <v>-44.8050489444751</v>
      </c>
      <c r="AJA122">
        <v>-71.3317925594902</v>
      </c>
      <c r="AJB122">
        <v>-81.4636497981966</v>
      </c>
      <c r="AJC122">
        <v>73.6716794959389</v>
      </c>
      <c r="AJD122">
        <v>69.7365249418955</v>
      </c>
      <c r="AJE122">
        <v>46.5980154834312</v>
      </c>
      <c r="AJF122">
        <v>31.4341447619605</v>
      </c>
      <c r="AJG122">
        <v>11.0930881057918</v>
      </c>
      <c r="AJH122">
        <v>56.142</v>
      </c>
      <c r="AJI122">
        <v>57.295</v>
      </c>
      <c r="AJJ122">
        <v>96.245</v>
      </c>
      <c r="AJK122" t="s">
        <v>1901</v>
      </c>
      <c r="AJL122" t="s">
        <v>1901</v>
      </c>
      <c r="AJM122">
        <v>41.3610965489688</v>
      </c>
      <c r="AJN122">
        <v>39.9555173465452</v>
      </c>
      <c r="AJO122">
        <v>44.8483326183081</v>
      </c>
      <c r="AJP122">
        <v>49.9065522398257</v>
      </c>
      <c r="AJQ122">
        <v>69.1026650225657</v>
      </c>
      <c r="AJR122">
        <v>28.8388840399443</v>
      </c>
      <c r="AJS122">
        <v>34.3218966332455</v>
      </c>
      <c r="AJT122">
        <v>37.1600072576743</v>
      </c>
      <c r="AJU122">
        <v>1.15758886804819</v>
      </c>
      <c r="AJV122">
        <v>125.581719023238</v>
      </c>
      <c r="AJW122">
        <v>0.300301184594274</v>
      </c>
      <c r="AJX122">
        <v>0.0251564412899017</v>
      </c>
      <c r="AJY122">
        <v>1.92926622096121</v>
      </c>
      <c r="AJZ122">
        <v>-0.0120723866772652</v>
      </c>
      <c r="AKA122">
        <v>20.5755384364206</v>
      </c>
      <c r="AKB122">
        <v>100.243614092468</v>
      </c>
      <c r="AKC122">
        <v>79.2953273117685</v>
      </c>
      <c r="AKD122">
        <v>57.985618249796</v>
      </c>
      <c r="AKE122">
        <v>36.4310969038725</v>
      </c>
      <c r="AKF122">
        <v>136.854498642041</v>
      </c>
      <c r="AKG122" t="s">
        <v>1901</v>
      </c>
      <c r="AKH122" t="s">
        <v>1900</v>
      </c>
      <c r="AKI122" t="s">
        <v>1900</v>
      </c>
      <c r="AKJ122" t="s">
        <v>1900</v>
      </c>
      <c r="AKK122">
        <v>252.86498708</v>
      </c>
      <c r="AKL122">
        <v>0.407620462</v>
      </c>
      <c r="AKM122">
        <v>0.036074128</v>
      </c>
      <c r="AKN122">
        <v>0.727198516</v>
      </c>
      <c r="AKO122">
        <v>0</v>
      </c>
      <c r="AKP122">
        <v>5.773320103</v>
      </c>
      <c r="AKQ122">
        <v>0.299571042</v>
      </c>
      <c r="AKR122">
        <v>0.031725505</v>
      </c>
      <c r="AKS122">
        <v>0.584386418</v>
      </c>
      <c r="AKT122">
        <v>0</v>
      </c>
      <c r="AKU122">
        <v>0.467971086</v>
      </c>
      <c r="AKV122">
        <v>43.932677226</v>
      </c>
      <c r="AKW122">
        <v>50.031745103</v>
      </c>
      <c r="AKX122">
        <v>55.791365294</v>
      </c>
      <c r="AKY122">
        <v>79.629286252</v>
      </c>
      <c r="AKZ122">
        <v>733.408074477</v>
      </c>
      <c r="ALA122">
        <v>32.287284689</v>
      </c>
      <c r="ALB122">
        <v>44.000575577</v>
      </c>
      <c r="ALC122">
        <v>44.834684637</v>
      </c>
      <c r="ALD122">
        <v>68.707196505</v>
      </c>
      <c r="ALE122">
        <v>59.448249375</v>
      </c>
      <c r="ALF122">
        <v>0.259001083</v>
      </c>
      <c r="ALG122">
        <v>0.375183607</v>
      </c>
      <c r="ALH122">
        <v>0.664029943</v>
      </c>
      <c r="ALI122">
        <v>0.620546554</v>
      </c>
      <c r="ALJ122">
        <v>6.073169626</v>
      </c>
      <c r="ALK122">
        <v>0.190346735</v>
      </c>
      <c r="ALL122">
        <v>0.329956403</v>
      </c>
      <c r="ALM122">
        <v>0.533623311</v>
      </c>
      <c r="ALN122">
        <v>0.535431322</v>
      </c>
      <c r="ALO122">
        <v>0.492276149</v>
      </c>
      <c r="ALP122">
        <v>0</v>
      </c>
      <c r="ALQ122">
        <v>0</v>
      </c>
      <c r="ALR122">
        <v>4.014025877</v>
      </c>
      <c r="ALS122">
        <v>0.141750036</v>
      </c>
      <c r="ALT122">
        <v>179.707392294</v>
      </c>
      <c r="ALU122" t="s">
        <v>1900</v>
      </c>
      <c r="ALV122" t="s">
        <v>1900</v>
      </c>
      <c r="ALW122">
        <v>14.972277081</v>
      </c>
      <c r="ALX122">
        <v>127.093063896</v>
      </c>
      <c r="ALY122">
        <v>0</v>
      </c>
      <c r="ALZ122">
        <v>99.9622125349937</v>
      </c>
      <c r="AMA122">
        <v>100</v>
      </c>
      <c r="AMB122">
        <v>100</v>
      </c>
      <c r="AMC122">
        <v>100</v>
      </c>
      <c r="AMD122">
        <v>97.7168368898982</v>
      </c>
      <c r="AME122">
        <v>99.9622125349937</v>
      </c>
      <c r="AMF122">
        <v>100</v>
      </c>
      <c r="AMG122">
        <v>100</v>
      </c>
      <c r="AMH122">
        <v>100</v>
      </c>
      <c r="AMI122">
        <v>97.7168368898982</v>
      </c>
      <c r="AMJ122">
        <v>264538.02211472</v>
      </c>
      <c r="AMK122" t="s">
        <v>1900</v>
      </c>
      <c r="AML122" t="s">
        <v>1900</v>
      </c>
      <c r="AMM122" t="s">
        <v>1900</v>
      </c>
      <c r="AMN122">
        <v>4279.88856589147</v>
      </c>
      <c r="AMO122">
        <v>0.828351016004409</v>
      </c>
      <c r="AMP122">
        <v>0.798950306581476</v>
      </c>
      <c r="AMQ122">
        <v>0.5129974752800051</v>
      </c>
      <c r="AMR122">
        <v>0.308369046955375</v>
      </c>
      <c r="AMS122">
        <v>0.117436705722322</v>
      </c>
      <c r="AMT122">
        <v>0.828351016004409</v>
      </c>
      <c r="AMU122">
        <v>0.798950306006037</v>
      </c>
      <c r="AMV122">
        <v>0.5129974752800051</v>
      </c>
      <c r="AMW122">
        <v>0.308369046955375</v>
      </c>
      <c r="AMX122">
        <v>0.117436705722322</v>
      </c>
      <c r="AMY122">
        <v>0.828351016004409</v>
      </c>
      <c r="AMZ122" t="s">
        <v>1900</v>
      </c>
      <c r="ANA122" t="s">
        <v>1900</v>
      </c>
      <c r="ANB122" t="s">
        <v>1900</v>
      </c>
      <c r="ANC122">
        <v>0.117436705722322</v>
      </c>
      <c r="AND122">
        <v>-20.7139387627571</v>
      </c>
      <c r="ANE122">
        <v>-25.1642301577189</v>
      </c>
      <c r="ANF122">
        <v>-94.9327332369772</v>
      </c>
      <c r="ANG122" t="s">
        <v>1901</v>
      </c>
      <c r="ANH122" t="s">
        <v>1901</v>
      </c>
      <c r="ANI122">
        <v>-20.7139387627571</v>
      </c>
      <c r="ANJ122">
        <v>-25.1642301577189</v>
      </c>
      <c r="ANK122">
        <v>-94.9327332369772</v>
      </c>
      <c r="ANL122" t="s">
        <v>1901</v>
      </c>
      <c r="ANM122" t="s">
        <v>1901</v>
      </c>
      <c r="ANN122">
        <v>-17.1595252172716</v>
      </c>
      <c r="ANO122">
        <v>-20.1049693878272</v>
      </c>
      <c r="ANP122">
        <v>-48.7002524719995</v>
      </c>
      <c r="ANQ122">
        <v>-69.1630953044625</v>
      </c>
      <c r="ANR122">
        <v>-88.0148238183384</v>
      </c>
      <c r="ANS122">
        <v>-17.0751574534728</v>
      </c>
      <c r="ANT122">
        <v>-24.8458362743035</v>
      </c>
      <c r="ANU122">
        <v>-86.69490578759461</v>
      </c>
      <c r="ANV122">
        <v>-245.101027923997</v>
      </c>
      <c r="ANW122">
        <v>-64.8690356344447</v>
      </c>
      <c r="ANX122">
        <v>99.9622125349937</v>
      </c>
      <c r="ANY122" t="s">
        <v>1900</v>
      </c>
      <c r="ANZ122" t="s">
        <v>1900</v>
      </c>
      <c r="AOA122" t="s">
        <v>1900</v>
      </c>
      <c r="AOB122">
        <v>97.7168368898982</v>
      </c>
      <c r="AOC122">
        <v>82.8091714673088</v>
      </c>
      <c r="AOD122">
        <v>79.8950306121729</v>
      </c>
      <c r="AOE122">
        <v>51.2997475280005</v>
      </c>
      <c r="AOF122">
        <v>30.8369046955375</v>
      </c>
      <c r="AOG122">
        <v>11.7115350604012</v>
      </c>
      <c r="AOH122">
        <v>73.4648698425346</v>
      </c>
      <c r="AOI122">
        <v>87.9453144920089</v>
      </c>
      <c r="AOJ122">
        <v>80.36133261960541</v>
      </c>
      <c r="AOK122">
        <v>86.2838281483895</v>
      </c>
      <c r="AOL122">
        <v>7.92068575425047</v>
      </c>
      <c r="AOM122">
        <v>-54816.9578438148</v>
      </c>
      <c r="AON122" t="s">
        <v>1900</v>
      </c>
      <c r="AOO122" t="s">
        <v>1900</v>
      </c>
      <c r="AOP122" t="s">
        <v>1900</v>
      </c>
      <c r="AOQ122">
        <v>-32164.3265503876</v>
      </c>
      <c r="AOR122">
        <v>-17.1648983995591</v>
      </c>
      <c r="AOS122">
        <v>-20.1049693993963</v>
      </c>
      <c r="AOT122">
        <v>-48.7002524719995</v>
      </c>
      <c r="AOU122">
        <v>-69.1630953044625</v>
      </c>
      <c r="AOV122">
        <v>-88.2563294277678</v>
      </c>
      <c r="AOW122">
        <v>-15.2232206204866</v>
      </c>
      <c r="AOX122">
        <v>-22.1307613516988</v>
      </c>
      <c r="AOY122">
        <v>-76.28920952144991</v>
      </c>
      <c r="AOZ122">
        <v>-193.523205016245</v>
      </c>
      <c r="APA122">
        <v>-59.5257374533184</v>
      </c>
      <c r="APB122">
        <v>-21.5147896351454</v>
      </c>
      <c r="APC122">
        <v>-26.0127867608138</v>
      </c>
      <c r="APD122">
        <v>-96.1522669629996</v>
      </c>
      <c r="APE122">
        <v>-226.9245529771</v>
      </c>
      <c r="APF122">
        <v>-734.364038411122</v>
      </c>
      <c r="APG122">
        <v>-21.5147896351454</v>
      </c>
      <c r="APH122">
        <v>-26.0127867608138</v>
      </c>
      <c r="API122">
        <v>-96.1522669629996</v>
      </c>
      <c r="APJ122">
        <v>-226.9245529771</v>
      </c>
      <c r="APK122">
        <v>-734.364038411122</v>
      </c>
      <c r="APL122">
        <v>-56936.3137525916</v>
      </c>
      <c r="APM122" t="s">
        <v>1900</v>
      </c>
      <c r="APN122" t="s">
        <v>1900</v>
      </c>
      <c r="APO122" t="s">
        <v>1900</v>
      </c>
      <c r="APP122">
        <v>-32164.3265503876</v>
      </c>
      <c r="APQ122">
        <v>-17.8285348047443</v>
      </c>
      <c r="APR122">
        <v>-20.7829239575907</v>
      </c>
      <c r="APS122">
        <v>-49.3258701944678</v>
      </c>
      <c r="APT122">
        <v>-69.97650813232281</v>
      </c>
      <c r="APU122">
        <v>-88.2563294277678</v>
      </c>
      <c r="APV122">
        <v>-17.8229538822597</v>
      </c>
      <c r="APW122">
        <v>-20.7829239456314</v>
      </c>
      <c r="APX122">
        <v>-49.3258701944678</v>
      </c>
      <c r="APY122">
        <v>-69.97650813232281</v>
      </c>
      <c r="APZ122">
        <v>-88.0148238183384</v>
      </c>
      <c r="AQA122">
        <v>-15.8117870758629</v>
      </c>
      <c r="AQB122">
        <v>-22.8770271249333</v>
      </c>
      <c r="AQC122">
        <v>-77.2692430754271</v>
      </c>
      <c r="AQD122">
        <v>-195.799191317262</v>
      </c>
      <c r="AQE122">
        <v>-59.5257374533184</v>
      </c>
      <c r="AQF122">
        <v>-0.171648983995591</v>
      </c>
      <c r="AQG122" t="s">
        <v>1900</v>
      </c>
      <c r="AQH122" t="s">
        <v>1900</v>
      </c>
      <c r="AQI122" t="s">
        <v>1900</v>
      </c>
      <c r="AQJ122">
        <v>-0.882563294277678</v>
      </c>
      <c r="AQK122">
        <v>9</v>
      </c>
      <c r="AQO122" t="s">
        <v>1902</v>
      </c>
      <c r="AQP122">
        <v>10</v>
      </c>
      <c r="AQQ122">
        <v>0</v>
      </c>
      <c r="AQS122" t="s">
        <v>1905</v>
      </c>
      <c r="AQU122" t="s">
        <v>1906</v>
      </c>
      <c r="AQV122">
        <v>1989135.33288466</v>
      </c>
      <c r="AQW122">
        <v>1534203.5398817</v>
      </c>
      <c r="AQX122">
        <v>698970.237584466</v>
      </c>
      <c r="AQY122">
        <v>-412028.274762093</v>
      </c>
      <c r="AQZ122">
        <v>-386070.509863701</v>
      </c>
      <c r="ARA122">
        <v>-663551.551051927</v>
      </c>
      <c r="ARB122">
        <v>4222309.110350826</v>
      </c>
      <c r="ARC122">
        <v>-1461650.335677721</v>
      </c>
      <c r="ARD122">
        <v>-0.2571535475502019</v>
      </c>
      <c r="ARE122">
        <v>-0.2571535475502019</v>
      </c>
      <c r="ARF122">
        <v>-0.2571535475502019</v>
      </c>
      <c r="ARG122" t="s">
        <v>1907</v>
      </c>
      <c r="ARH122" t="s">
        <v>1907</v>
      </c>
      <c r="ARI122" t="s">
        <v>1907</v>
      </c>
      <c r="ARJ122" t="s">
        <v>1283</v>
      </c>
      <c r="ARK122" t="s">
        <v>1621</v>
      </c>
      <c r="ARL122" t="s">
        <v>1908</v>
      </c>
      <c r="ARM122" t="s">
        <v>1908</v>
      </c>
      <c r="ARN122" t="s">
        <v>1909</v>
      </c>
      <c r="ARO122" t="s">
        <v>1908</v>
      </c>
      <c r="ARP122" t="s">
        <v>1907</v>
      </c>
      <c r="ARQ122" t="s">
        <v>2014</v>
      </c>
      <c r="ARR122">
        <f>HYPERLINK("C:\Users\Usuario\Documents\Proyectos\llmthon\evidence\wolorent_com_000519.png", "Ver Evidencia")</f>
        <v>0</v>
      </c>
      <c r="ARS122">
        <v>100</v>
      </c>
    </row>
    <row r="123" spans="1:1163">
      <c r="A123">
        <v>516</v>
      </c>
      <c r="B123" t="s">
        <v>1284</v>
      </c>
      <c r="C123" t="s">
        <v>1407</v>
      </c>
      <c r="E123" s="2">
        <v>43733</v>
      </c>
      <c r="F123" t="s">
        <v>1431</v>
      </c>
      <c r="G123" t="s">
        <v>1433</v>
      </c>
      <c r="H123" t="s">
        <v>1434</v>
      </c>
      <c r="I123" t="s">
        <v>1435</v>
      </c>
      <c r="J123" t="s">
        <v>1451</v>
      </c>
      <c r="L123" t="s">
        <v>1622</v>
      </c>
      <c r="N123" t="s">
        <v>1624</v>
      </c>
      <c r="O123" t="s">
        <v>1648</v>
      </c>
      <c r="P123">
        <v>6209</v>
      </c>
      <c r="Q123">
        <v>6209</v>
      </c>
      <c r="R123" t="s">
        <v>1789</v>
      </c>
      <c r="S123" t="s">
        <v>1846</v>
      </c>
      <c r="T123" t="s">
        <v>1872</v>
      </c>
      <c r="U123" t="s">
        <v>1873</v>
      </c>
      <c r="X123" t="s">
        <v>1898</v>
      </c>
      <c r="Z123" t="s">
        <v>1899</v>
      </c>
      <c r="AA123" s="2">
        <v>45657</v>
      </c>
      <c r="AB123">
        <v>2024</v>
      </c>
      <c r="AC123">
        <v>1313126.71570979</v>
      </c>
      <c r="AD123">
        <v>1221740.73745223</v>
      </c>
      <c r="AE123">
        <v>877113.065485674</v>
      </c>
      <c r="AF123">
        <v>693936.404767442</v>
      </c>
      <c r="AG123">
        <v>187129.575414956</v>
      </c>
      <c r="AH123">
        <v>1312210.40631472</v>
      </c>
      <c r="AI123">
        <v>1221694.3274314</v>
      </c>
      <c r="AJ123">
        <v>877113.065485674</v>
      </c>
      <c r="AK123">
        <v>693936.404767442</v>
      </c>
      <c r="AL123">
        <v>187129.575414956</v>
      </c>
      <c r="AM123">
        <v>177629.526709955</v>
      </c>
      <c r="AN123">
        <v>88649.52668481829</v>
      </c>
      <c r="AO123" t="s">
        <v>1900</v>
      </c>
      <c r="AP123">
        <v>2388.34824635983</v>
      </c>
      <c r="AQ123" t="s">
        <v>1900</v>
      </c>
      <c r="AR123">
        <v>1135497.18899984</v>
      </c>
      <c r="AS123">
        <v>1133091.21076741</v>
      </c>
      <c r="AT123">
        <v>877113.065485674</v>
      </c>
      <c r="AU123">
        <v>691548.0565210819</v>
      </c>
      <c r="AV123">
        <v>187129.575414956</v>
      </c>
      <c r="AW123">
        <v>1114838.60825614</v>
      </c>
      <c r="AX123">
        <v>1112195.43038964</v>
      </c>
      <c r="AY123">
        <v>806696.263264811</v>
      </c>
      <c r="AZ123">
        <v>549502.173488188</v>
      </c>
      <c r="BA123">
        <v>87133.92718185129</v>
      </c>
      <c r="BB123">
        <v>20658.5797047925</v>
      </c>
      <c r="BC123">
        <v>20895.7803777695</v>
      </c>
      <c r="BD123">
        <v>70416.8022208631</v>
      </c>
      <c r="BE123">
        <v>142045.883032894</v>
      </c>
      <c r="BF123">
        <v>99995.64700600501</v>
      </c>
      <c r="BG123">
        <v>-485.695924366713</v>
      </c>
      <c r="BH123">
        <v>-3691.40885665894</v>
      </c>
      <c r="BI123">
        <v>0</v>
      </c>
      <c r="BJ123">
        <v>0</v>
      </c>
      <c r="BK123">
        <v>0</v>
      </c>
      <c r="BL123" t="s">
        <v>1900</v>
      </c>
      <c r="BM123" t="s">
        <v>1900</v>
      </c>
      <c r="BN123" t="s">
        <v>1900</v>
      </c>
      <c r="BO123" t="s">
        <v>1900</v>
      </c>
      <c r="BP123" t="s">
        <v>1900</v>
      </c>
      <c r="BQ123">
        <v>485.695924366713</v>
      </c>
      <c r="BR123">
        <v>3691.40885665894</v>
      </c>
      <c r="BS123" t="s">
        <v>1900</v>
      </c>
      <c r="BT123" t="s">
        <v>1900</v>
      </c>
      <c r="BU123" t="s">
        <v>1900</v>
      </c>
      <c r="BV123">
        <v>20172.8837804258</v>
      </c>
      <c r="BW123">
        <v>17204.3715211105</v>
      </c>
      <c r="BX123">
        <v>70416.8022208631</v>
      </c>
      <c r="BY123">
        <v>142045.883032894</v>
      </c>
      <c r="BZ123">
        <v>99995.64700600501</v>
      </c>
      <c r="CA123">
        <v>4573.13188909292</v>
      </c>
      <c r="CB123">
        <v>3870.98248724937</v>
      </c>
      <c r="CC123">
        <v>17604.2032217145</v>
      </c>
      <c r="CD123">
        <v>21306.8847201347</v>
      </c>
      <c r="CE123">
        <v>13146.8105772913</v>
      </c>
      <c r="CF123">
        <v>15599.7518913329</v>
      </c>
      <c r="CG123">
        <v>13333.3890338612</v>
      </c>
      <c r="CH123">
        <v>52812.5989991486</v>
      </c>
      <c r="CI123">
        <v>120738.998312759</v>
      </c>
      <c r="CJ123">
        <v>86848.8364287138</v>
      </c>
      <c r="CK123" t="s">
        <v>1900</v>
      </c>
      <c r="CL123" t="s">
        <v>1900</v>
      </c>
      <c r="CM123" t="s">
        <v>1900</v>
      </c>
      <c r="CN123" t="s">
        <v>1900</v>
      </c>
      <c r="CO123" t="s">
        <v>1900</v>
      </c>
      <c r="CP123" t="s">
        <v>1900</v>
      </c>
      <c r="CQ123" t="s">
        <v>1900</v>
      </c>
      <c r="CR123" t="s">
        <v>1900</v>
      </c>
      <c r="CS123" t="s">
        <v>1900</v>
      </c>
      <c r="CT123" t="s">
        <v>1900</v>
      </c>
      <c r="CU123" t="s">
        <v>1900</v>
      </c>
      <c r="CV123" t="s">
        <v>1900</v>
      </c>
      <c r="CW123" t="s">
        <v>1900</v>
      </c>
      <c r="CX123" t="s">
        <v>1900</v>
      </c>
      <c r="CY123" t="s">
        <v>1900</v>
      </c>
      <c r="CZ123">
        <v>15599.7518913329</v>
      </c>
      <c r="DA123">
        <v>13333.3890338612</v>
      </c>
      <c r="DB123">
        <v>52812.5989991486</v>
      </c>
      <c r="DC123">
        <v>120738.998312759</v>
      </c>
      <c r="DD123">
        <v>86848.8364287138</v>
      </c>
      <c r="DE123" t="s">
        <v>1900</v>
      </c>
      <c r="DF123" t="s">
        <v>1900</v>
      </c>
      <c r="DG123" t="s">
        <v>1900</v>
      </c>
      <c r="DH123" t="s">
        <v>1900</v>
      </c>
      <c r="DI123" t="s">
        <v>1900</v>
      </c>
      <c r="DJ123">
        <v>177629.526709955</v>
      </c>
      <c r="DK123">
        <v>88649.52668481829</v>
      </c>
      <c r="DL123" t="s">
        <v>1900</v>
      </c>
      <c r="DM123">
        <v>2388.34824635983</v>
      </c>
      <c r="DN123" t="s">
        <v>1900</v>
      </c>
      <c r="DO123">
        <v>896138.9111523581</v>
      </c>
      <c r="DP123">
        <v>811519.7677001</v>
      </c>
      <c r="DQ123">
        <v>607590.947659153</v>
      </c>
      <c r="DR123">
        <v>203595.200603557</v>
      </c>
      <c r="DS123" t="s">
        <v>1900</v>
      </c>
      <c r="DT123">
        <v>53004.5818538106</v>
      </c>
      <c r="DU123">
        <v>27113.4524181843</v>
      </c>
      <c r="DV123">
        <v>19984.5226336658</v>
      </c>
      <c r="DW123">
        <v>10780.078400445</v>
      </c>
      <c r="DX123">
        <v>2508.60818179846</v>
      </c>
      <c r="DY123">
        <v>165695.116288875</v>
      </c>
      <c r="DZ123">
        <v>273562.210271358</v>
      </c>
      <c r="EA123">
        <v>179120.792971992</v>
      </c>
      <c r="EB123">
        <v>335126.894484186</v>
      </c>
      <c r="EC123">
        <v>84625.3190000528</v>
      </c>
      <c r="ED123">
        <v>375.479072072506</v>
      </c>
      <c r="EE123" t="s">
        <v>1900</v>
      </c>
      <c r="EF123" t="s">
        <v>1900</v>
      </c>
      <c r="EG123" t="s">
        <v>1900</v>
      </c>
      <c r="EH123" t="s">
        <v>1900</v>
      </c>
      <c r="EI123" t="s">
        <v>1900</v>
      </c>
      <c r="EJ123" t="s">
        <v>1900</v>
      </c>
      <c r="EK123" t="s">
        <v>1900</v>
      </c>
      <c r="EL123" t="s">
        <v>1900</v>
      </c>
      <c r="EM123" t="s">
        <v>1900</v>
      </c>
      <c r="EN123">
        <v>68604.33374514341</v>
      </c>
      <c r="EO123">
        <v>40446.8414520454</v>
      </c>
      <c r="EP123">
        <v>72797.12163281439</v>
      </c>
      <c r="EQ123">
        <v>131519.076713204</v>
      </c>
      <c r="ER123">
        <v>89357.4446105122</v>
      </c>
      <c r="ES123">
        <v>969691.8558586671</v>
      </c>
      <c r="ET123">
        <v>855837.591639395</v>
      </c>
      <c r="EU123">
        <v>697992.272513682</v>
      </c>
      <c r="EV123">
        <v>356421.162036896</v>
      </c>
      <c r="EW123">
        <v>102504.255187804</v>
      </c>
      <c r="EX123">
        <v>73663.16155860299</v>
      </c>
      <c r="EY123">
        <v>48009.2327959538</v>
      </c>
      <c r="EZ123">
        <v>90401.3248545289</v>
      </c>
      <c r="FA123">
        <v>152825.961433339</v>
      </c>
      <c r="FB123">
        <v>102504.255187804</v>
      </c>
      <c r="FC123">
        <v>298662.829629277</v>
      </c>
      <c r="FD123">
        <v>232741.8897017</v>
      </c>
      <c r="FE123">
        <v>147858.655311191</v>
      </c>
      <c r="FF123">
        <v>66354.85006721019</v>
      </c>
      <c r="FG123">
        <v>33394.6730064869</v>
      </c>
      <c r="FH123">
        <v>293599.015098021</v>
      </c>
      <c r="FI123">
        <v>219156.660004816</v>
      </c>
      <c r="FJ123">
        <v>136430.916406083</v>
      </c>
      <c r="FK123">
        <v>58323.6039389849</v>
      </c>
      <c r="FL123">
        <v>31719.203894037</v>
      </c>
      <c r="FM123">
        <v>5063.81453125596</v>
      </c>
      <c r="FN123">
        <v>5953.85317201614</v>
      </c>
      <c r="FO123">
        <v>7374.6608497262</v>
      </c>
      <c r="FP123">
        <v>3727.36495985985</v>
      </c>
      <c r="FQ123">
        <v>1675.46911244988</v>
      </c>
      <c r="FR123">
        <v>0</v>
      </c>
      <c r="FS123">
        <v>7631.37652486801</v>
      </c>
      <c r="FT123">
        <v>4053.07805538177</v>
      </c>
      <c r="FU123">
        <v>4303.88116836548</v>
      </c>
      <c r="FV123">
        <v>0</v>
      </c>
      <c r="FW123">
        <v>293599.015098021</v>
      </c>
      <c r="FX123">
        <v>219156.660004816</v>
      </c>
      <c r="FY123">
        <v>136430.916406083</v>
      </c>
      <c r="FZ123">
        <v>58323.6039389849</v>
      </c>
      <c r="GA123">
        <v>31719.203894037</v>
      </c>
      <c r="GB123">
        <v>5063.81453125596</v>
      </c>
      <c r="GC123">
        <v>5953.85317201614</v>
      </c>
      <c r="GD123">
        <v>7374.6608497262</v>
      </c>
      <c r="GE123">
        <v>3727.36495985985</v>
      </c>
      <c r="GF123">
        <v>1675.46911244988</v>
      </c>
      <c r="GG123">
        <v>0</v>
      </c>
      <c r="GH123">
        <v>7631.37652486801</v>
      </c>
      <c r="GI123">
        <v>4053.07805538177</v>
      </c>
      <c r="GJ123">
        <v>4303.88116836548</v>
      </c>
      <c r="GK123">
        <v>0</v>
      </c>
      <c r="GL123">
        <v>1284155.94233423</v>
      </c>
      <c r="GM123">
        <v>807261.626189098</v>
      </c>
      <c r="GN123">
        <v>883191.935949105</v>
      </c>
      <c r="GO123">
        <v>752993.344753504</v>
      </c>
      <c r="GP123">
        <v>176824.199162447</v>
      </c>
      <c r="GQ123">
        <v>109.084451794624</v>
      </c>
      <c r="GR123">
        <v>0</v>
      </c>
      <c r="GS123">
        <v>0</v>
      </c>
      <c r="GT123">
        <v>0</v>
      </c>
      <c r="GU123">
        <v>0</v>
      </c>
      <c r="GV123">
        <v>482802.267086445</v>
      </c>
      <c r="GW123">
        <v>284466.145214911</v>
      </c>
      <c r="GX123">
        <v>303916.175560665</v>
      </c>
      <c r="GY123">
        <v>183056.830496049</v>
      </c>
      <c r="GZ123">
        <v>117127.241680324</v>
      </c>
      <c r="HA123">
        <v>801244.59079599</v>
      </c>
      <c r="HB123">
        <v>522795.480974188</v>
      </c>
      <c r="HC123">
        <v>579275.76038844</v>
      </c>
      <c r="HD123">
        <v>569936.513124855</v>
      </c>
      <c r="HE123">
        <v>59696.9574821234</v>
      </c>
      <c r="HF123">
        <v>789994.794394374</v>
      </c>
      <c r="HG123">
        <v>502542.402034855</v>
      </c>
      <c r="HH123">
        <v>575939.959822917</v>
      </c>
      <c r="HI123">
        <v>566951.3649310831</v>
      </c>
      <c r="HJ123">
        <v>56341.6262417316</v>
      </c>
      <c r="HK123">
        <v>1582818.77196351</v>
      </c>
      <c r="HL123">
        <v>1040003.5158908</v>
      </c>
      <c r="HM123">
        <v>1031050.5912603</v>
      </c>
      <c r="HN123">
        <v>819348.194820714</v>
      </c>
      <c r="HO123">
        <v>210218.872168934</v>
      </c>
      <c r="HP123">
        <v>570200.231192518</v>
      </c>
      <c r="HQ123">
        <v>589887.453534241</v>
      </c>
      <c r="HR123">
        <v>556517.6417795121</v>
      </c>
      <c r="HS123">
        <v>551863.1467851161</v>
      </c>
      <c r="HT123">
        <v>177574.963055825</v>
      </c>
      <c r="HU123">
        <v>3775.3609316349</v>
      </c>
      <c r="HV123">
        <v>4015.57180213928</v>
      </c>
      <c r="HW123">
        <v>3876.02254033089</v>
      </c>
      <c r="HX123">
        <v>4161.17352962494</v>
      </c>
      <c r="HY123">
        <v>3946.3513469696</v>
      </c>
      <c r="HZ123">
        <v>566424.8702608841</v>
      </c>
      <c r="IA123">
        <v>585871.881732102</v>
      </c>
      <c r="IB123">
        <v>552641.618172582</v>
      </c>
      <c r="IC123">
        <v>547701.973255491</v>
      </c>
      <c r="ID123">
        <v>173628.611708856</v>
      </c>
      <c r="IE123">
        <v>200605.039392874</v>
      </c>
      <c r="IF123">
        <v>0</v>
      </c>
      <c r="IG123">
        <v>0</v>
      </c>
      <c r="IH123">
        <v>0</v>
      </c>
      <c r="II123">
        <v>0</v>
      </c>
      <c r="IJ123">
        <v>200605.039392874</v>
      </c>
      <c r="IK123" t="s">
        <v>1900</v>
      </c>
      <c r="IL123" t="s">
        <v>1900</v>
      </c>
      <c r="IM123" t="s">
        <v>1900</v>
      </c>
      <c r="IN123" t="s">
        <v>1900</v>
      </c>
      <c r="IO123">
        <v>0</v>
      </c>
      <c r="IP123" t="s">
        <v>1900</v>
      </c>
      <c r="IQ123" t="s">
        <v>1900</v>
      </c>
      <c r="IR123" t="s">
        <v>1900</v>
      </c>
      <c r="IS123" t="s">
        <v>1900</v>
      </c>
      <c r="IT123">
        <v>0</v>
      </c>
      <c r="IU123" t="s">
        <v>1900</v>
      </c>
      <c r="IV123" t="s">
        <v>1900</v>
      </c>
      <c r="IW123" t="s">
        <v>1900</v>
      </c>
      <c r="IX123" t="s">
        <v>1900</v>
      </c>
      <c r="IY123">
        <v>812013.501378114</v>
      </c>
      <c r="IZ123">
        <v>450116.062356558</v>
      </c>
      <c r="JA123">
        <v>474532.949480784</v>
      </c>
      <c r="JB123">
        <v>267485.048035598</v>
      </c>
      <c r="JC123">
        <v>32643.9091131091</v>
      </c>
      <c r="JD123">
        <v>22968.6247789633</v>
      </c>
      <c r="JE123">
        <v>5974.10783110619</v>
      </c>
      <c r="JF123">
        <v>0</v>
      </c>
      <c r="JG123">
        <v>0</v>
      </c>
      <c r="JH123">
        <v>0</v>
      </c>
      <c r="JI123">
        <v>30945.2123420393</v>
      </c>
      <c r="JJ123">
        <v>41025.5965117836</v>
      </c>
      <c r="JK123">
        <v>24303.6425994039</v>
      </c>
      <c r="JL123">
        <v>45815.8796815395</v>
      </c>
      <c r="JM123">
        <v>0</v>
      </c>
      <c r="JN123">
        <v>758099.663218212</v>
      </c>
      <c r="JO123">
        <v>403116.358013668</v>
      </c>
      <c r="JP123">
        <v>450229.30688138</v>
      </c>
      <c r="JQ123">
        <v>221669.168354058</v>
      </c>
      <c r="JR123">
        <v>32643.9091131091</v>
      </c>
      <c r="JS123">
        <v>1582818.77196351</v>
      </c>
      <c r="JT123">
        <v>1040003.5158908</v>
      </c>
      <c r="JU123">
        <v>1031050.5912603</v>
      </c>
      <c r="JV123">
        <v>819348.194820714</v>
      </c>
      <c r="JW123">
        <v>210218.872168934</v>
      </c>
      <c r="JX123">
        <v>451966.1391962</v>
      </c>
      <c r="JY123">
        <v>243440.548703127</v>
      </c>
      <c r="JZ123">
        <v>279612.532961261</v>
      </c>
      <c r="KA123">
        <v>137240.949681909</v>
      </c>
      <c r="KB123">
        <v>117127.241680324</v>
      </c>
      <c r="KC123" t="s">
        <v>1900</v>
      </c>
      <c r="KD123" t="s">
        <v>1900</v>
      </c>
      <c r="KE123" t="s">
        <v>1900</v>
      </c>
      <c r="KF123" t="s">
        <v>1900</v>
      </c>
      <c r="KG123" t="s">
        <v>1900</v>
      </c>
      <c r="KH123" t="s">
        <v>1900</v>
      </c>
      <c r="KI123" t="s">
        <v>1900</v>
      </c>
      <c r="KJ123" t="s">
        <v>1900</v>
      </c>
      <c r="KK123" t="s">
        <v>1900</v>
      </c>
      <c r="KL123" t="s">
        <v>1900</v>
      </c>
      <c r="KM123">
        <v>15</v>
      </c>
      <c r="KN123">
        <v>15</v>
      </c>
      <c r="KO123">
        <v>11</v>
      </c>
      <c r="KP123">
        <v>5</v>
      </c>
      <c r="KQ123" t="s">
        <v>1900</v>
      </c>
      <c r="KR123" t="s">
        <v>1900</v>
      </c>
      <c r="KS123" t="s">
        <v>1900</v>
      </c>
      <c r="KT123" t="s">
        <v>1900</v>
      </c>
      <c r="KU123" t="s">
        <v>1900</v>
      </c>
      <c r="KV123" t="s">
        <v>1900</v>
      </c>
      <c r="KW123" t="s">
        <v>1900</v>
      </c>
      <c r="KX123" t="s">
        <v>1900</v>
      </c>
      <c r="KY123" t="s">
        <v>1900</v>
      </c>
      <c r="KZ123" t="s">
        <v>1900</v>
      </c>
      <c r="LA123" t="s">
        <v>1900</v>
      </c>
      <c r="LB123" t="s">
        <v>1900</v>
      </c>
      <c r="LC123" t="s">
        <v>1900</v>
      </c>
      <c r="LD123" t="s">
        <v>1900</v>
      </c>
      <c r="LE123" t="s">
        <v>1900</v>
      </c>
      <c r="LF123" t="s">
        <v>1900</v>
      </c>
      <c r="LG123" t="s">
        <v>1900</v>
      </c>
      <c r="LH123" t="s">
        <v>1900</v>
      </c>
      <c r="LI123" t="s">
        <v>1900</v>
      </c>
      <c r="LJ123" t="s">
        <v>1900</v>
      </c>
      <c r="LK123" t="s">
        <v>1900</v>
      </c>
      <c r="LL123" t="s">
        <v>1900</v>
      </c>
      <c r="LM123" t="s">
        <v>1900</v>
      </c>
      <c r="LN123" t="s">
        <v>1900</v>
      </c>
      <c r="LO123" t="s">
        <v>1900</v>
      </c>
      <c r="LP123" t="s">
        <v>1900</v>
      </c>
      <c r="LQ123" t="s">
        <v>1900</v>
      </c>
      <c r="LR123" t="s">
        <v>1900</v>
      </c>
      <c r="LS123" t="s">
        <v>1900</v>
      </c>
      <c r="LT123" t="s">
        <v>1900</v>
      </c>
      <c r="LU123" t="s">
        <v>1900</v>
      </c>
      <c r="LV123" t="s">
        <v>1900</v>
      </c>
      <c r="LW123" t="s">
        <v>1900</v>
      </c>
      <c r="LX123" t="s">
        <v>1900</v>
      </c>
      <c r="LY123" t="s">
        <v>1900</v>
      </c>
      <c r="LZ123" t="s">
        <v>1900</v>
      </c>
      <c r="MA123" t="s">
        <v>1900</v>
      </c>
      <c r="MB123" t="s">
        <v>1900</v>
      </c>
      <c r="MC123" t="s">
        <v>1900</v>
      </c>
      <c r="MD123" t="s">
        <v>1900</v>
      </c>
      <c r="ME123" t="s">
        <v>1900</v>
      </c>
      <c r="MF123" t="s">
        <v>1900</v>
      </c>
      <c r="MG123" t="s">
        <v>1900</v>
      </c>
      <c r="MH123" t="s">
        <v>1900</v>
      </c>
      <c r="MI123" t="s">
        <v>1900</v>
      </c>
      <c r="MJ123" t="s">
        <v>1900</v>
      </c>
      <c r="MK123" t="s">
        <v>1900</v>
      </c>
      <c r="ML123" t="s">
        <v>1900</v>
      </c>
      <c r="MM123" t="s">
        <v>1900</v>
      </c>
      <c r="MN123" t="s">
        <v>1900</v>
      </c>
      <c r="MO123" t="s">
        <v>1900</v>
      </c>
      <c r="MP123">
        <v>801244.59079599</v>
      </c>
      <c r="MQ123">
        <v>522795.480974188</v>
      </c>
      <c r="MR123">
        <v>579275.76038844</v>
      </c>
      <c r="MS123">
        <v>569936.513124855</v>
      </c>
      <c r="MT123">
        <v>59696.9574821234</v>
      </c>
      <c r="MU123" t="s">
        <v>1900</v>
      </c>
      <c r="MV123" t="s">
        <v>1900</v>
      </c>
      <c r="MW123" t="s">
        <v>1900</v>
      </c>
      <c r="MX123" t="s">
        <v>1900</v>
      </c>
      <c r="MY123" t="s">
        <v>1900</v>
      </c>
      <c r="MZ123" t="s">
        <v>1900</v>
      </c>
      <c r="NA123" t="s">
        <v>1900</v>
      </c>
      <c r="NB123" t="s">
        <v>1900</v>
      </c>
      <c r="NC123" t="s">
        <v>1900</v>
      </c>
      <c r="ND123" t="s">
        <v>1900</v>
      </c>
      <c r="NE123" t="s">
        <v>1900</v>
      </c>
      <c r="NF123" t="s">
        <v>1900</v>
      </c>
      <c r="NG123" t="s">
        <v>1900</v>
      </c>
      <c r="NH123" t="s">
        <v>1900</v>
      </c>
      <c r="NI123" t="s">
        <v>1900</v>
      </c>
      <c r="NJ123" t="s">
        <v>1900</v>
      </c>
      <c r="NK123" t="s">
        <v>1900</v>
      </c>
      <c r="NL123" t="s">
        <v>1900</v>
      </c>
      <c r="NM123" t="s">
        <v>1900</v>
      </c>
      <c r="NN123" t="s">
        <v>1900</v>
      </c>
      <c r="NO123" t="s">
        <v>1900</v>
      </c>
      <c r="NP123" t="s">
        <v>1900</v>
      </c>
      <c r="NQ123" t="s">
        <v>1900</v>
      </c>
      <c r="NR123" t="s">
        <v>1900</v>
      </c>
      <c r="NS123" t="s">
        <v>1900</v>
      </c>
      <c r="NT123">
        <v>298662.829629277</v>
      </c>
      <c r="NU123">
        <v>232741.8897017</v>
      </c>
      <c r="NV123">
        <v>147858.655311191</v>
      </c>
      <c r="NW123">
        <v>66354.85006721019</v>
      </c>
      <c r="NX123">
        <v>33394.6730064869</v>
      </c>
      <c r="NY123" t="s">
        <v>1900</v>
      </c>
      <c r="NZ123" t="s">
        <v>1900</v>
      </c>
      <c r="OA123" t="s">
        <v>1900</v>
      </c>
      <c r="OB123" t="s">
        <v>1900</v>
      </c>
      <c r="OC123" t="s">
        <v>1900</v>
      </c>
      <c r="OD123" t="s">
        <v>1900</v>
      </c>
      <c r="OE123" t="s">
        <v>1900</v>
      </c>
      <c r="OF123" t="s">
        <v>1900</v>
      </c>
      <c r="OG123" t="s">
        <v>1900</v>
      </c>
      <c r="OH123" t="s">
        <v>1900</v>
      </c>
      <c r="OI123" t="s">
        <v>1900</v>
      </c>
      <c r="OJ123" t="s">
        <v>1900</v>
      </c>
      <c r="OK123" t="s">
        <v>1900</v>
      </c>
      <c r="OL123" t="s">
        <v>1900</v>
      </c>
      <c r="OM123" t="s">
        <v>1900</v>
      </c>
      <c r="ON123" t="s">
        <v>1900</v>
      </c>
      <c r="OO123" t="s">
        <v>1900</v>
      </c>
      <c r="OP123" t="s">
        <v>1900</v>
      </c>
      <c r="OQ123" t="s">
        <v>1900</v>
      </c>
      <c r="OR123" t="s">
        <v>1900</v>
      </c>
      <c r="OS123" t="s">
        <v>1900</v>
      </c>
      <c r="OT123" t="s">
        <v>1900</v>
      </c>
      <c r="OU123" t="s">
        <v>1900</v>
      </c>
      <c r="OV123" t="s">
        <v>1900</v>
      </c>
      <c r="OW123" t="s">
        <v>1900</v>
      </c>
      <c r="OX123" t="s">
        <v>1900</v>
      </c>
      <c r="OY123" t="s">
        <v>1900</v>
      </c>
      <c r="OZ123" t="s">
        <v>1900</v>
      </c>
      <c r="PA123" t="s">
        <v>1900</v>
      </c>
      <c r="PB123" t="s">
        <v>1900</v>
      </c>
      <c r="PC123" t="s">
        <v>1900</v>
      </c>
      <c r="PD123" t="s">
        <v>1900</v>
      </c>
      <c r="PE123" t="s">
        <v>1900</v>
      </c>
      <c r="PF123" t="s">
        <v>1900</v>
      </c>
      <c r="PG123" t="s">
        <v>1900</v>
      </c>
      <c r="PH123" t="s">
        <v>1900</v>
      </c>
      <c r="PI123" t="s">
        <v>1900</v>
      </c>
      <c r="PJ123" t="s">
        <v>1900</v>
      </c>
      <c r="PK123" t="s">
        <v>1900</v>
      </c>
      <c r="PL123" t="s">
        <v>1900</v>
      </c>
      <c r="PM123" t="s">
        <v>1900</v>
      </c>
      <c r="PN123" t="s">
        <v>1900</v>
      </c>
      <c r="PO123" t="s">
        <v>1900</v>
      </c>
      <c r="PP123" t="s">
        <v>1900</v>
      </c>
      <c r="PQ123" t="s">
        <v>1900</v>
      </c>
      <c r="PR123" t="s">
        <v>1900</v>
      </c>
      <c r="PS123" t="s">
        <v>1900</v>
      </c>
      <c r="PT123" t="s">
        <v>1900</v>
      </c>
      <c r="PU123" t="s">
        <v>1900</v>
      </c>
      <c r="PV123" t="s">
        <v>1900</v>
      </c>
      <c r="PW123" t="s">
        <v>1900</v>
      </c>
      <c r="PX123" t="s">
        <v>1900</v>
      </c>
      <c r="PY123" t="s">
        <v>1900</v>
      </c>
      <c r="PZ123" t="s">
        <v>1900</v>
      </c>
      <c r="QA123" t="s">
        <v>1900</v>
      </c>
      <c r="QB123" t="s">
        <v>1900</v>
      </c>
      <c r="QC123" t="s">
        <v>1900</v>
      </c>
      <c r="QD123" t="s">
        <v>1900</v>
      </c>
      <c r="QE123" t="s">
        <v>1900</v>
      </c>
      <c r="QF123" t="s">
        <v>1900</v>
      </c>
      <c r="QG123" t="s">
        <v>1900</v>
      </c>
      <c r="QH123" t="s">
        <v>1900</v>
      </c>
      <c r="QI123" t="s">
        <v>1900</v>
      </c>
      <c r="QJ123" t="s">
        <v>1900</v>
      </c>
      <c r="QK123" t="s">
        <v>1900</v>
      </c>
      <c r="QL123" t="s">
        <v>1900</v>
      </c>
      <c r="QM123" t="s">
        <v>1900</v>
      </c>
      <c r="QN123" t="s">
        <v>1900</v>
      </c>
      <c r="QO123" t="s">
        <v>1900</v>
      </c>
      <c r="QP123" t="s">
        <v>1900</v>
      </c>
      <c r="QQ123" t="s">
        <v>1900</v>
      </c>
      <c r="QR123" t="s">
        <v>1900</v>
      </c>
      <c r="QS123" t="s">
        <v>1900</v>
      </c>
      <c r="QT123" t="s">
        <v>1900</v>
      </c>
      <c r="QU123" t="s">
        <v>1900</v>
      </c>
      <c r="QV123" t="s">
        <v>1900</v>
      </c>
      <c r="QW123" t="s">
        <v>1900</v>
      </c>
      <c r="QX123" t="s">
        <v>1900</v>
      </c>
      <c r="QY123" t="s">
        <v>1900</v>
      </c>
      <c r="QZ123" t="s">
        <v>1900</v>
      </c>
      <c r="RA123" t="s">
        <v>1900</v>
      </c>
      <c r="RB123" t="s">
        <v>1900</v>
      </c>
      <c r="RC123" t="s">
        <v>1900</v>
      </c>
      <c r="RD123" t="s">
        <v>1900</v>
      </c>
      <c r="RE123" t="s">
        <v>1900</v>
      </c>
      <c r="RF123" t="s">
        <v>1900</v>
      </c>
      <c r="RG123" t="s">
        <v>1900</v>
      </c>
      <c r="RH123" t="s">
        <v>1900</v>
      </c>
      <c r="RI123" t="s">
        <v>1900</v>
      </c>
      <c r="RJ123" t="s">
        <v>1900</v>
      </c>
      <c r="RK123" t="s">
        <v>1900</v>
      </c>
      <c r="RL123" t="s">
        <v>1900</v>
      </c>
      <c r="RM123" t="s">
        <v>1900</v>
      </c>
      <c r="RN123" t="s">
        <v>1900</v>
      </c>
      <c r="RO123" t="s">
        <v>1900</v>
      </c>
      <c r="RP123" t="s">
        <v>1900</v>
      </c>
      <c r="RQ123" t="s">
        <v>1900</v>
      </c>
      <c r="RR123" t="s">
        <v>1900</v>
      </c>
      <c r="RS123" t="s">
        <v>1900</v>
      </c>
      <c r="RT123" t="s">
        <v>1900</v>
      </c>
      <c r="RU123" t="s">
        <v>1900</v>
      </c>
      <c r="RV123" t="s">
        <v>1900</v>
      </c>
      <c r="RW123" t="s">
        <v>1900</v>
      </c>
      <c r="RX123" t="s">
        <v>1900</v>
      </c>
      <c r="RY123" t="s">
        <v>1900</v>
      </c>
      <c r="RZ123" t="s">
        <v>1900</v>
      </c>
      <c r="SA123" t="s">
        <v>1900</v>
      </c>
      <c r="SB123" t="s">
        <v>1900</v>
      </c>
      <c r="SC123" t="s">
        <v>1900</v>
      </c>
      <c r="SD123" t="s">
        <v>1900</v>
      </c>
      <c r="SE123" t="s">
        <v>1900</v>
      </c>
      <c r="SF123" t="s">
        <v>1900</v>
      </c>
      <c r="SG123" t="s">
        <v>1900</v>
      </c>
      <c r="SH123" t="s">
        <v>1900</v>
      </c>
      <c r="SI123" t="s">
        <v>1900</v>
      </c>
      <c r="SJ123">
        <v>0</v>
      </c>
      <c r="SK123">
        <v>7631.37652486801</v>
      </c>
      <c r="SL123">
        <v>4053.07805538177</v>
      </c>
      <c r="SM123">
        <v>4303.88116836548</v>
      </c>
      <c r="SN123">
        <v>0</v>
      </c>
      <c r="SO123" t="s">
        <v>1900</v>
      </c>
      <c r="SP123" t="s">
        <v>1900</v>
      </c>
      <c r="SQ123" t="s">
        <v>1900</v>
      </c>
      <c r="SR123" t="s">
        <v>1900</v>
      </c>
      <c r="SS123" t="s">
        <v>1900</v>
      </c>
      <c r="ST123" t="s">
        <v>1900</v>
      </c>
      <c r="SU123" t="s">
        <v>1900</v>
      </c>
      <c r="SV123" t="s">
        <v>1900</v>
      </c>
      <c r="SW123" t="s">
        <v>1900</v>
      </c>
      <c r="SX123" t="s">
        <v>1900</v>
      </c>
      <c r="SY123" t="s">
        <v>1900</v>
      </c>
      <c r="SZ123" t="s">
        <v>1900</v>
      </c>
      <c r="TA123" t="s">
        <v>1900</v>
      </c>
      <c r="TB123" t="s">
        <v>1900</v>
      </c>
      <c r="TC123" t="s">
        <v>1900</v>
      </c>
      <c r="TD123" t="s">
        <v>1900</v>
      </c>
      <c r="TE123" t="s">
        <v>1900</v>
      </c>
      <c r="TF123" t="s">
        <v>1900</v>
      </c>
      <c r="TG123" t="s">
        <v>1900</v>
      </c>
      <c r="TH123" t="s">
        <v>1900</v>
      </c>
      <c r="TI123" t="s">
        <v>1900</v>
      </c>
      <c r="TJ123" t="s">
        <v>1900</v>
      </c>
      <c r="TK123" t="s">
        <v>1900</v>
      </c>
      <c r="TL123" t="s">
        <v>1900</v>
      </c>
      <c r="TM123" t="s">
        <v>1900</v>
      </c>
      <c r="TN123" t="s">
        <v>1900</v>
      </c>
      <c r="TO123" t="s">
        <v>1900</v>
      </c>
      <c r="TP123" t="s">
        <v>1900</v>
      </c>
      <c r="TQ123" t="s">
        <v>1900</v>
      </c>
      <c r="TR123" t="s">
        <v>1900</v>
      </c>
      <c r="TS123">
        <v>1582818.77196351</v>
      </c>
      <c r="TT123">
        <v>1040003.5158908</v>
      </c>
      <c r="TU123">
        <v>1031050.5912603</v>
      </c>
      <c r="TV123">
        <v>819348.194820714</v>
      </c>
      <c r="TW123">
        <v>210218.872168934</v>
      </c>
      <c r="TX123" t="s">
        <v>1900</v>
      </c>
      <c r="TY123" t="s">
        <v>1900</v>
      </c>
      <c r="TZ123" t="s">
        <v>1900</v>
      </c>
      <c r="UA123" t="s">
        <v>1900</v>
      </c>
      <c r="UB123" t="s">
        <v>1900</v>
      </c>
      <c r="UC123">
        <v>22968.6247789633</v>
      </c>
      <c r="UD123">
        <v>5974.10783110619</v>
      </c>
      <c r="UE123">
        <v>0</v>
      </c>
      <c r="UF123">
        <v>0</v>
      </c>
      <c r="UG123">
        <v>0</v>
      </c>
      <c r="UH123" t="s">
        <v>1900</v>
      </c>
      <c r="UI123" t="s">
        <v>1900</v>
      </c>
      <c r="UJ123" t="s">
        <v>1900</v>
      </c>
      <c r="UK123" t="s">
        <v>1900</v>
      </c>
      <c r="UL123" t="s">
        <v>1900</v>
      </c>
      <c r="UM123" t="s">
        <v>1900</v>
      </c>
      <c r="UN123" t="s">
        <v>1900</v>
      </c>
      <c r="UO123" t="s">
        <v>1900</v>
      </c>
      <c r="UP123" t="s">
        <v>1900</v>
      </c>
      <c r="UQ123" t="s">
        <v>1900</v>
      </c>
      <c r="UR123" t="s">
        <v>1900</v>
      </c>
      <c r="US123" t="s">
        <v>1900</v>
      </c>
      <c r="UT123" t="s">
        <v>1900</v>
      </c>
      <c r="UU123" t="s">
        <v>1900</v>
      </c>
      <c r="UV123" t="s">
        <v>1900</v>
      </c>
      <c r="UW123" t="s">
        <v>1900</v>
      </c>
      <c r="UX123" t="s">
        <v>1900</v>
      </c>
      <c r="UY123" t="s">
        <v>1900</v>
      </c>
      <c r="UZ123" t="s">
        <v>1900</v>
      </c>
      <c r="VA123" t="s">
        <v>1900</v>
      </c>
      <c r="VB123" t="s">
        <v>1900</v>
      </c>
      <c r="VC123" t="s">
        <v>1900</v>
      </c>
      <c r="VD123" t="s">
        <v>1900</v>
      </c>
      <c r="VE123" t="s">
        <v>1900</v>
      </c>
      <c r="VF123" t="s">
        <v>1900</v>
      </c>
      <c r="VG123" t="s">
        <v>1900</v>
      </c>
      <c r="VH123" t="s">
        <v>1900</v>
      </c>
      <c r="VI123" t="s">
        <v>1900</v>
      </c>
      <c r="VJ123" t="s">
        <v>1900</v>
      </c>
      <c r="VK123" t="s">
        <v>1900</v>
      </c>
      <c r="VL123" t="s">
        <v>1900</v>
      </c>
      <c r="VM123" t="s">
        <v>1900</v>
      </c>
      <c r="VN123" t="s">
        <v>1900</v>
      </c>
      <c r="VO123" t="s">
        <v>1900</v>
      </c>
      <c r="VP123" t="s">
        <v>1900</v>
      </c>
      <c r="VQ123" t="s">
        <v>1900</v>
      </c>
      <c r="VR123" t="s">
        <v>1900</v>
      </c>
      <c r="VS123" t="s">
        <v>1900</v>
      </c>
      <c r="VT123" t="s">
        <v>1900</v>
      </c>
      <c r="VU123" t="s">
        <v>1900</v>
      </c>
      <c r="VV123" t="s">
        <v>1900</v>
      </c>
      <c r="VW123" t="s">
        <v>1900</v>
      </c>
      <c r="VX123" t="s">
        <v>1900</v>
      </c>
      <c r="VY123" t="s">
        <v>1900</v>
      </c>
      <c r="VZ123" t="s">
        <v>1900</v>
      </c>
      <c r="WA123">
        <v>758099.663218212</v>
      </c>
      <c r="WB123">
        <v>403116.358013668</v>
      </c>
      <c r="WC123">
        <v>450229.30688138</v>
      </c>
      <c r="WD123">
        <v>221669.168354058</v>
      </c>
      <c r="WE123">
        <v>32643.9091131091</v>
      </c>
      <c r="WF123" t="s">
        <v>1900</v>
      </c>
      <c r="WG123" t="s">
        <v>1900</v>
      </c>
      <c r="WH123" t="s">
        <v>1900</v>
      </c>
      <c r="WI123" t="s">
        <v>1900</v>
      </c>
      <c r="WJ123" t="s">
        <v>1900</v>
      </c>
      <c r="WK123" t="s">
        <v>1900</v>
      </c>
      <c r="WL123" t="s">
        <v>1900</v>
      </c>
      <c r="WM123" t="s">
        <v>1900</v>
      </c>
      <c r="WN123" t="s">
        <v>1900</v>
      </c>
      <c r="WO123" t="s">
        <v>1900</v>
      </c>
      <c r="WP123" t="s">
        <v>1900</v>
      </c>
      <c r="WQ123" t="s">
        <v>1900</v>
      </c>
      <c r="WR123" t="s">
        <v>1900</v>
      </c>
      <c r="WS123" t="s">
        <v>1900</v>
      </c>
      <c r="WT123" t="s">
        <v>1900</v>
      </c>
      <c r="WU123" t="s">
        <v>1900</v>
      </c>
      <c r="WV123" t="s">
        <v>1900</v>
      </c>
      <c r="WW123" t="s">
        <v>1900</v>
      </c>
      <c r="WX123" t="s">
        <v>1900</v>
      </c>
      <c r="WY123" t="s">
        <v>1900</v>
      </c>
      <c r="WZ123" t="s">
        <v>1900</v>
      </c>
      <c r="XA123" t="s">
        <v>1900</v>
      </c>
      <c r="XB123" t="s">
        <v>1900</v>
      </c>
      <c r="XC123" t="s">
        <v>1900</v>
      </c>
      <c r="XD123" t="s">
        <v>1900</v>
      </c>
      <c r="XE123" t="s">
        <v>1900</v>
      </c>
      <c r="XF123" t="s">
        <v>1900</v>
      </c>
      <c r="XG123" t="s">
        <v>1900</v>
      </c>
      <c r="XH123" t="s">
        <v>1900</v>
      </c>
      <c r="XI123" t="s">
        <v>1900</v>
      </c>
      <c r="XJ123">
        <v>0</v>
      </c>
      <c r="XK123" t="s">
        <v>1900</v>
      </c>
      <c r="XL123" t="s">
        <v>1900</v>
      </c>
      <c r="XM123" t="s">
        <v>1900</v>
      </c>
      <c r="XN123" t="s">
        <v>1900</v>
      </c>
      <c r="XO123" t="s">
        <v>1900</v>
      </c>
      <c r="XP123" t="s">
        <v>1900</v>
      </c>
      <c r="XQ123" t="s">
        <v>1900</v>
      </c>
      <c r="XR123" t="s">
        <v>1900</v>
      </c>
      <c r="XS123" t="s">
        <v>1900</v>
      </c>
      <c r="XT123" t="s">
        <v>1900</v>
      </c>
      <c r="XU123" t="s">
        <v>1900</v>
      </c>
      <c r="XV123" t="s">
        <v>1900</v>
      </c>
      <c r="XW123" t="s">
        <v>1900</v>
      </c>
      <c r="XX123" t="s">
        <v>1900</v>
      </c>
      <c r="XY123">
        <v>0</v>
      </c>
      <c r="XZ123" t="s">
        <v>1900</v>
      </c>
      <c r="YA123" t="s">
        <v>1900</v>
      </c>
      <c r="YB123" t="s">
        <v>1900</v>
      </c>
      <c r="YC123" t="s">
        <v>1900</v>
      </c>
      <c r="YD123" t="s">
        <v>1900</v>
      </c>
      <c r="YE123" t="s">
        <v>1900</v>
      </c>
      <c r="YF123" t="s">
        <v>1900</v>
      </c>
      <c r="YG123" t="s">
        <v>1900</v>
      </c>
      <c r="YH123" t="s">
        <v>1900</v>
      </c>
      <c r="YI123" t="s">
        <v>1900</v>
      </c>
      <c r="YJ123" t="s">
        <v>1900</v>
      </c>
      <c r="YK123" t="s">
        <v>1900</v>
      </c>
      <c r="YL123" t="s">
        <v>1900</v>
      </c>
      <c r="YM123" t="s">
        <v>1900</v>
      </c>
      <c r="YN123" t="s">
        <v>1900</v>
      </c>
      <c r="YO123" t="s">
        <v>1900</v>
      </c>
      <c r="YP123" t="s">
        <v>1900</v>
      </c>
      <c r="YQ123" t="s">
        <v>1900</v>
      </c>
      <c r="YR123" t="s">
        <v>1900</v>
      </c>
      <c r="YS123" t="s">
        <v>1900</v>
      </c>
      <c r="YT123" t="s">
        <v>1900</v>
      </c>
      <c r="YU123" t="s">
        <v>1900</v>
      </c>
      <c r="YV123" t="s">
        <v>1900</v>
      </c>
      <c r="YW123" t="s">
        <v>1900</v>
      </c>
      <c r="YX123" t="s">
        <v>1900</v>
      </c>
      <c r="YY123" t="s">
        <v>1900</v>
      </c>
      <c r="YZ123" t="s">
        <v>1900</v>
      </c>
      <c r="ZA123" t="s">
        <v>1900</v>
      </c>
      <c r="ZB123" t="s">
        <v>1900</v>
      </c>
      <c r="ZC123" t="s">
        <v>1900</v>
      </c>
      <c r="ZD123" t="s">
        <v>1900</v>
      </c>
      <c r="ZE123" t="s">
        <v>1900</v>
      </c>
      <c r="ZF123" t="s">
        <v>1900</v>
      </c>
      <c r="ZG123" t="s">
        <v>1900</v>
      </c>
      <c r="ZH123" t="s">
        <v>1900</v>
      </c>
      <c r="ZI123" t="s">
        <v>1900</v>
      </c>
      <c r="ZJ123" t="s">
        <v>1900</v>
      </c>
      <c r="ZK123" t="s">
        <v>1900</v>
      </c>
      <c r="ZL123" t="s">
        <v>1900</v>
      </c>
      <c r="ZM123" t="s">
        <v>1900</v>
      </c>
      <c r="ZN123" t="s">
        <v>1900</v>
      </c>
      <c r="ZO123" t="s">
        <v>1900</v>
      </c>
      <c r="ZP123" t="s">
        <v>1900</v>
      </c>
      <c r="ZQ123" t="s">
        <v>1900</v>
      </c>
      <c r="ZR123" t="s">
        <v>1900</v>
      </c>
      <c r="ZS123" t="s">
        <v>1900</v>
      </c>
      <c r="ZT123" t="s">
        <v>1900</v>
      </c>
      <c r="ZU123" t="s">
        <v>1900</v>
      </c>
      <c r="ZV123" t="s">
        <v>1900</v>
      </c>
      <c r="ZW123" t="s">
        <v>1900</v>
      </c>
      <c r="ZX123" t="s">
        <v>1900</v>
      </c>
      <c r="ZY123" t="s">
        <v>1900</v>
      </c>
      <c r="ZZ123" t="s">
        <v>1900</v>
      </c>
      <c r="AAA123" t="s">
        <v>1900</v>
      </c>
      <c r="AAB123" t="s">
        <v>1900</v>
      </c>
      <c r="AAC123" t="s">
        <v>1900</v>
      </c>
      <c r="AAD123" t="s">
        <v>1900</v>
      </c>
      <c r="AAE123" t="s">
        <v>1900</v>
      </c>
      <c r="AAF123" t="s">
        <v>1900</v>
      </c>
      <c r="AAG123" t="s">
        <v>1900</v>
      </c>
      <c r="AAH123" t="s">
        <v>1900</v>
      </c>
      <c r="AAI123" t="s">
        <v>1900</v>
      </c>
      <c r="AAJ123" t="s">
        <v>1900</v>
      </c>
      <c r="AAK123" t="s">
        <v>1900</v>
      </c>
      <c r="AAL123" t="s">
        <v>1900</v>
      </c>
      <c r="AAM123" t="s">
        <v>1900</v>
      </c>
      <c r="AAN123" t="s">
        <v>1900</v>
      </c>
      <c r="AAO123" t="s">
        <v>1900</v>
      </c>
      <c r="AAP123" t="s">
        <v>1900</v>
      </c>
      <c r="AAQ123" t="s">
        <v>1900</v>
      </c>
      <c r="AAR123" t="s">
        <v>1900</v>
      </c>
      <c r="AAS123" t="s">
        <v>1900</v>
      </c>
      <c r="AAT123" t="s">
        <v>1900</v>
      </c>
      <c r="AAU123" t="s">
        <v>1900</v>
      </c>
      <c r="AAV123" t="s">
        <v>1900</v>
      </c>
      <c r="AAW123" t="s">
        <v>1900</v>
      </c>
      <c r="AAX123" t="s">
        <v>1900</v>
      </c>
      <c r="AAY123" t="s">
        <v>1900</v>
      </c>
      <c r="AAZ123" t="s">
        <v>1900</v>
      </c>
      <c r="ABA123" t="s">
        <v>1900</v>
      </c>
      <c r="ABB123" t="s">
        <v>1900</v>
      </c>
      <c r="ABC123" t="s">
        <v>1900</v>
      </c>
      <c r="ABD123" t="s">
        <v>1900</v>
      </c>
      <c r="ABE123" t="s">
        <v>1900</v>
      </c>
      <c r="ABF123" t="s">
        <v>1900</v>
      </c>
      <c r="ABG123" t="s">
        <v>1900</v>
      </c>
      <c r="ABH123" t="s">
        <v>1900</v>
      </c>
      <c r="ABI123" t="s">
        <v>1900</v>
      </c>
      <c r="ABJ123" t="s">
        <v>1900</v>
      </c>
      <c r="ABK123" t="s">
        <v>1900</v>
      </c>
      <c r="ABL123" t="s">
        <v>1900</v>
      </c>
      <c r="ABM123" t="s">
        <v>1900</v>
      </c>
      <c r="ABN123" t="s">
        <v>1900</v>
      </c>
      <c r="ABO123" t="s">
        <v>1900</v>
      </c>
      <c r="ABP123" t="s">
        <v>1900</v>
      </c>
      <c r="ABQ123" t="s">
        <v>1900</v>
      </c>
      <c r="ABR123" t="s">
        <v>1900</v>
      </c>
      <c r="ABS123" t="s">
        <v>1900</v>
      </c>
      <c r="ABT123" t="s">
        <v>1900</v>
      </c>
      <c r="ABU123" t="s">
        <v>1900</v>
      </c>
      <c r="ABV123" t="s">
        <v>1900</v>
      </c>
      <c r="ABW123" t="s">
        <v>1900</v>
      </c>
      <c r="ABX123" t="s">
        <v>1900</v>
      </c>
      <c r="ABY123" t="s">
        <v>1900</v>
      </c>
      <c r="ABZ123" t="s">
        <v>1900</v>
      </c>
      <c r="ACA123" t="s">
        <v>1900</v>
      </c>
      <c r="ACB123" t="s">
        <v>1900</v>
      </c>
      <c r="ACC123" t="s">
        <v>1900</v>
      </c>
      <c r="ACD123" t="s">
        <v>1900</v>
      </c>
      <c r="ACE123">
        <v>3.538</v>
      </c>
      <c r="ACF123">
        <v>2.917</v>
      </c>
      <c r="ACG123">
        <v>12.653</v>
      </c>
      <c r="ACH123">
        <v>25.739</v>
      </c>
      <c r="ACI123">
        <v>56.312</v>
      </c>
      <c r="ACJ123">
        <v>2.666</v>
      </c>
      <c r="ACK123" t="s">
        <v>1900</v>
      </c>
      <c r="ACL123" t="s">
        <v>1900</v>
      </c>
      <c r="ACM123" t="s">
        <v>1900</v>
      </c>
      <c r="ACN123" t="s">
        <v>1900</v>
      </c>
      <c r="ACO123">
        <v>1.274</v>
      </c>
      <c r="ACP123">
        <v>1.654</v>
      </c>
      <c r="ACQ123">
        <v>6.83</v>
      </c>
      <c r="ACR123">
        <v>17.336</v>
      </c>
      <c r="ACS123">
        <v>47.567</v>
      </c>
      <c r="ACT123">
        <v>2.736</v>
      </c>
      <c r="ACU123">
        <v>2.26</v>
      </c>
      <c r="ACV123">
        <v>9.49</v>
      </c>
      <c r="ACW123">
        <v>21.878</v>
      </c>
      <c r="ACX123">
        <v>48.908</v>
      </c>
      <c r="ACY123">
        <v>2.073</v>
      </c>
      <c r="ACZ123" t="s">
        <v>1900</v>
      </c>
      <c r="ADA123" t="s">
        <v>1900</v>
      </c>
      <c r="ADB123" t="s">
        <v>1900</v>
      </c>
      <c r="ADC123" t="s">
        <v>1900</v>
      </c>
      <c r="ADD123">
        <v>0.986</v>
      </c>
      <c r="ADE123">
        <v>1.282</v>
      </c>
      <c r="ADF123">
        <v>5.122</v>
      </c>
      <c r="ADG123">
        <v>14.736</v>
      </c>
      <c r="ADH123">
        <v>41.314</v>
      </c>
      <c r="ADI123">
        <v>1.536</v>
      </c>
      <c r="ADJ123">
        <v>1.408</v>
      </c>
      <c r="ADK123">
        <v>8.028</v>
      </c>
      <c r="ADL123">
        <v>20.47</v>
      </c>
      <c r="ADM123">
        <v>53.437</v>
      </c>
      <c r="ADN123">
        <v>86.473</v>
      </c>
      <c r="ADO123">
        <v>92.744</v>
      </c>
      <c r="ADP123">
        <v>100</v>
      </c>
      <c r="ADQ123">
        <v>99.65600000000001</v>
      </c>
      <c r="ADR123">
        <v>100</v>
      </c>
      <c r="ADS123">
        <v>1.573235809</v>
      </c>
      <c r="ADT123">
        <v>1.710328529</v>
      </c>
      <c r="ADU123">
        <v>8.028246869</v>
      </c>
      <c r="ADV123">
        <v>20.469582235</v>
      </c>
      <c r="ADW123">
        <v>53.436580928</v>
      </c>
      <c r="ADX123">
        <v>5.61</v>
      </c>
      <c r="ADY123">
        <v>3.93</v>
      </c>
      <c r="ADZ123">
        <v>10.307</v>
      </c>
      <c r="AEA123">
        <v>22.023</v>
      </c>
      <c r="AEB123">
        <v>54.777</v>
      </c>
      <c r="AEC123">
        <v>1.573</v>
      </c>
      <c r="AED123">
        <v>1.71</v>
      </c>
      <c r="AEE123">
        <v>8.028</v>
      </c>
      <c r="AEF123">
        <v>20.47</v>
      </c>
      <c r="AEG123">
        <v>53.437</v>
      </c>
      <c r="AEH123">
        <v>5.225</v>
      </c>
      <c r="AEI123">
        <v>3.311</v>
      </c>
      <c r="AEJ123">
        <v>8.300000000000001</v>
      </c>
      <c r="AEK123">
        <v>18.953</v>
      </c>
      <c r="AEL123">
        <v>47.752</v>
      </c>
      <c r="AEM123">
        <v>1.598382129</v>
      </c>
      <c r="AEN123">
        <v>1.740089781</v>
      </c>
      <c r="AEO123">
        <v>8.729035379000001</v>
      </c>
      <c r="AEP123">
        <v>25.738054458</v>
      </c>
      <c r="AEQ123">
        <v>114.760861621</v>
      </c>
      <c r="AER123">
        <v>1.018530556</v>
      </c>
      <c r="AES123">
        <v>1.018787867</v>
      </c>
      <c r="AET123" t="s">
        <v>1900</v>
      </c>
      <c r="AEU123">
        <v>1.25849922</v>
      </c>
      <c r="AEV123" t="s">
        <v>1900</v>
      </c>
      <c r="AEW123" t="s">
        <v>1900</v>
      </c>
      <c r="AEX123" t="s">
        <v>1900</v>
      </c>
      <c r="AEY123" t="s">
        <v>1900</v>
      </c>
      <c r="AEZ123" t="s">
        <v>1900</v>
      </c>
      <c r="AFA123" t="s">
        <v>1900</v>
      </c>
      <c r="AFB123" t="s">
        <v>1900</v>
      </c>
      <c r="AFC123" t="s">
        <v>1900</v>
      </c>
      <c r="AFD123" t="s">
        <v>1900</v>
      </c>
      <c r="AFE123" t="s">
        <v>1900</v>
      </c>
      <c r="AFF123" t="s">
        <v>1900</v>
      </c>
      <c r="AFG123">
        <v>1.704</v>
      </c>
      <c r="AFH123">
        <v>2.071</v>
      </c>
      <c r="AFI123">
        <v>1.576</v>
      </c>
      <c r="AFJ123">
        <v>1.257</v>
      </c>
      <c r="AFK123">
        <v>1.054</v>
      </c>
      <c r="AFL123">
        <v>55.019</v>
      </c>
      <c r="AFM123" t="s">
        <v>1900</v>
      </c>
      <c r="AFN123" t="s">
        <v>1900</v>
      </c>
      <c r="AFO123" t="s">
        <v>1900</v>
      </c>
      <c r="AFP123" t="s">
        <v>1900</v>
      </c>
      <c r="AFQ123" t="s">
        <v>1901</v>
      </c>
      <c r="AFR123" t="s">
        <v>1901</v>
      </c>
      <c r="AFS123" t="s">
        <v>1901</v>
      </c>
      <c r="AFT123" t="s">
        <v>1901</v>
      </c>
      <c r="AFU123" t="s">
        <v>1901</v>
      </c>
      <c r="AFV123">
        <v>132.363</v>
      </c>
      <c r="AFW123">
        <v>83.821</v>
      </c>
      <c r="AFX123">
        <v>124.739</v>
      </c>
      <c r="AFY123">
        <v>94.96599999999999</v>
      </c>
      <c r="AFZ123">
        <v>225.329</v>
      </c>
      <c r="AGA123">
        <v>8.484</v>
      </c>
      <c r="AGB123">
        <v>12.089</v>
      </c>
      <c r="AGC123">
        <v>9.975</v>
      </c>
      <c r="AGD123">
        <v>23.768</v>
      </c>
      <c r="AGE123">
        <v>0</v>
      </c>
      <c r="AGF123" t="s">
        <v>1900</v>
      </c>
      <c r="AGG123" t="s">
        <v>1900</v>
      </c>
      <c r="AGH123" t="s">
        <v>1900</v>
      </c>
      <c r="AGI123" t="s">
        <v>1900</v>
      </c>
      <c r="AGJ123" t="s">
        <v>1900</v>
      </c>
      <c r="AGK123" t="s">
        <v>1900</v>
      </c>
      <c r="AGL123" t="s">
        <v>1900</v>
      </c>
      <c r="AGM123" t="s">
        <v>1900</v>
      </c>
      <c r="AGN123" t="s">
        <v>1900</v>
      </c>
      <c r="AGO123" t="s">
        <v>1900</v>
      </c>
      <c r="AGP123" t="s">
        <v>1900</v>
      </c>
      <c r="AGQ123" t="s">
        <v>1900</v>
      </c>
      <c r="AGR123" t="s">
        <v>1900</v>
      </c>
      <c r="AGS123" t="s">
        <v>1900</v>
      </c>
      <c r="AGT123" t="s">
        <v>1900</v>
      </c>
      <c r="AGU123">
        <v>0</v>
      </c>
      <c r="AGV123">
        <v>0</v>
      </c>
      <c r="AGW123">
        <v>0</v>
      </c>
      <c r="AGX123">
        <v>0</v>
      </c>
      <c r="AGY123">
        <v>0</v>
      </c>
      <c r="AGZ123">
        <v>1.581</v>
      </c>
      <c r="AHA123">
        <v>1.793</v>
      </c>
      <c r="AHB123">
        <v>1.861</v>
      </c>
      <c r="AHC123">
        <v>2.815</v>
      </c>
      <c r="AHD123">
        <v>5.417</v>
      </c>
      <c r="AHE123">
        <v>1.581</v>
      </c>
      <c r="AHF123">
        <v>1.793</v>
      </c>
      <c r="AHG123">
        <v>1.861</v>
      </c>
      <c r="AHH123">
        <v>2.815</v>
      </c>
      <c r="AHI123">
        <v>5.417</v>
      </c>
      <c r="AHJ123">
        <v>2.842</v>
      </c>
      <c r="AHK123" t="s">
        <v>1901</v>
      </c>
      <c r="AHL123" t="s">
        <v>1901</v>
      </c>
      <c r="AHM123" t="s">
        <v>1901</v>
      </c>
      <c r="AHN123" t="s">
        <v>1901</v>
      </c>
      <c r="AHO123">
        <v>36.024</v>
      </c>
      <c r="AHP123">
        <v>56.72</v>
      </c>
      <c r="AHQ123">
        <v>53.976</v>
      </c>
      <c r="AHR123">
        <v>67.354</v>
      </c>
      <c r="AHS123">
        <v>84.471</v>
      </c>
      <c r="AHT123">
        <v>56.309</v>
      </c>
      <c r="AHU123" t="s">
        <v>1901</v>
      </c>
      <c r="AHV123" t="s">
        <v>1901</v>
      </c>
      <c r="AHW123" t="s">
        <v>1901</v>
      </c>
      <c r="AHX123" t="s">
        <v>1901</v>
      </c>
      <c r="AHY123">
        <v>39.21</v>
      </c>
      <c r="AHZ123">
        <v>1.013</v>
      </c>
      <c r="AIA123">
        <v>0</v>
      </c>
      <c r="AIB123">
        <v>0</v>
      </c>
      <c r="AIC123">
        <v>0</v>
      </c>
      <c r="AID123">
        <v>0</v>
      </c>
      <c r="AIE123">
        <v>0.733783724</v>
      </c>
      <c r="AIF123">
        <v>0.393101763</v>
      </c>
      <c r="AIG123">
        <v>0.525281095</v>
      </c>
      <c r="AIH123">
        <v>0</v>
      </c>
      <c r="AII123">
        <v>50.621372768</v>
      </c>
      <c r="AIJ123">
        <v>50.268626306</v>
      </c>
      <c r="AIK123">
        <v>56.183058843</v>
      </c>
      <c r="AIL123">
        <v>69.559744774</v>
      </c>
      <c r="AIM123">
        <v>28.397525335</v>
      </c>
      <c r="AIN123">
        <v>47.895544117</v>
      </c>
      <c r="AIO123">
        <v>38.761057232</v>
      </c>
      <c r="AIP123">
        <v>43.667043179</v>
      </c>
      <c r="AIQ123">
        <v>27.054330473</v>
      </c>
      <c r="AIR123">
        <v>15.528534035</v>
      </c>
      <c r="AIS123">
        <v>0.061411216</v>
      </c>
      <c r="AIT123">
        <v>0</v>
      </c>
      <c r="AIU123" t="s">
        <v>1900</v>
      </c>
      <c r="AIV123">
        <v>0</v>
      </c>
      <c r="AIW123" t="s">
        <v>1900</v>
      </c>
      <c r="AIX123">
        <v>1.34485857239521</v>
      </c>
      <c r="AIY123">
        <v>1.14695846974087</v>
      </c>
      <c r="AIZ123">
        <v>6.40152747462392</v>
      </c>
      <c r="AJA123">
        <v>28.4091766065788</v>
      </c>
      <c r="AJB123" t="s">
        <v>1900</v>
      </c>
      <c r="AJC123">
        <v>87.5417810473194</v>
      </c>
      <c r="AJD123">
        <v>81.4493821284819</v>
      </c>
      <c r="AJE123">
        <v>79.7375516986793</v>
      </c>
      <c r="AJF123">
        <v>138.787280953488</v>
      </c>
      <c r="AJG123" t="s">
        <v>1900</v>
      </c>
      <c r="AJH123">
        <v>68.245</v>
      </c>
      <c r="AJI123">
        <v>66.423</v>
      </c>
      <c r="AJJ123">
        <v>69.27200000000001</v>
      </c>
      <c r="AJK123">
        <v>29.339</v>
      </c>
      <c r="AJL123" t="s">
        <v>1900</v>
      </c>
      <c r="AJM123">
        <v>59.7425944231237</v>
      </c>
      <c r="AJN123">
        <v>54.1013182150068</v>
      </c>
      <c r="AJO123">
        <v>55.2355407932502</v>
      </c>
      <c r="AJP123">
        <v>40.7190401207113</v>
      </c>
      <c r="AJQ123" t="s">
        <v>1900</v>
      </c>
      <c r="AJR123">
        <v>38.0133487461679</v>
      </c>
      <c r="AJS123">
        <v>39.3258306039495</v>
      </c>
      <c r="AJT123">
        <v>50.5925126951194</v>
      </c>
      <c r="AJU123">
        <v>110.372629357023</v>
      </c>
      <c r="AJV123" t="s">
        <v>1900</v>
      </c>
      <c r="AJW123">
        <v>30.1310756001135</v>
      </c>
      <c r="AJX123">
        <v>16.2293699135418</v>
      </c>
      <c r="AJY123">
        <v>25.4193216631144</v>
      </c>
      <c r="AJZ123">
        <v>27.4481901629019</v>
      </c>
      <c r="AKA123" t="s">
        <v>1900</v>
      </c>
      <c r="AKB123">
        <v>105.521251810534</v>
      </c>
      <c r="AKC123">
        <v>69.3335677260532</v>
      </c>
      <c r="AKD123">
        <v>93.73187241757211</v>
      </c>
      <c r="AKE123">
        <v>163.869638964143</v>
      </c>
      <c r="AKF123" t="s">
        <v>1900</v>
      </c>
      <c r="AKG123">
        <v>0.061411216</v>
      </c>
      <c r="AKH123">
        <v>0</v>
      </c>
      <c r="AKI123" t="s">
        <v>1900</v>
      </c>
      <c r="AKJ123">
        <v>0</v>
      </c>
      <c r="AKK123" t="s">
        <v>1900</v>
      </c>
      <c r="AKL123">
        <v>0.008307230000000001</v>
      </c>
      <c r="AKM123">
        <v>0</v>
      </c>
      <c r="AKN123">
        <v>0</v>
      </c>
      <c r="AKO123">
        <v>0</v>
      </c>
      <c r="AKP123">
        <v>0</v>
      </c>
      <c r="AKQ123">
        <v>0.006891784</v>
      </c>
      <c r="AKR123">
        <v>0</v>
      </c>
      <c r="AKS123">
        <v>0</v>
      </c>
      <c r="AKT123">
        <v>0</v>
      </c>
      <c r="AKU123">
        <v>0</v>
      </c>
      <c r="AKV123">
        <v>22.358772507</v>
      </c>
      <c r="AKW123">
        <v>17.938066014</v>
      </c>
      <c r="AKX123">
        <v>15.554541572</v>
      </c>
      <c r="AKY123">
        <v>8.404747688</v>
      </c>
      <c r="AKZ123">
        <v>16.950395908</v>
      </c>
      <c r="ALA123">
        <v>18.549123898</v>
      </c>
      <c r="ALB123">
        <v>21.07268453</v>
      </c>
      <c r="ALC123">
        <v>13.232223284</v>
      </c>
      <c r="ALD123">
        <v>7.118292846</v>
      </c>
      <c r="ALE123">
        <v>15.088656678</v>
      </c>
      <c r="ALF123">
        <v>0.385630303</v>
      </c>
      <c r="ALG123">
        <v>0.487325419</v>
      </c>
      <c r="ALH123">
        <v>0.840787937</v>
      </c>
      <c r="ALI123">
        <v>0.537133509</v>
      </c>
      <c r="ALJ123">
        <v>0.895352383</v>
      </c>
      <c r="ALK123">
        <v>0.319923836</v>
      </c>
      <c r="ALL123">
        <v>0.572483947</v>
      </c>
      <c r="ALM123">
        <v>0.715256934</v>
      </c>
      <c r="ALN123">
        <v>0.45491831</v>
      </c>
      <c r="ALO123">
        <v>0.79701175</v>
      </c>
      <c r="ALP123">
        <v>36.767378297</v>
      </c>
      <c r="ALQ123">
        <v>23.28367521</v>
      </c>
      <c r="ALR123">
        <v>34.649600778</v>
      </c>
      <c r="ALS123">
        <v>26.379482217</v>
      </c>
      <c r="ALT123">
        <v>62.591517894</v>
      </c>
      <c r="ALU123">
        <v>6.409500214</v>
      </c>
      <c r="ALV123">
        <v>14.421960997</v>
      </c>
      <c r="ALW123">
        <v>7.996824307</v>
      </c>
      <c r="ALX123">
        <v>25.028227331</v>
      </c>
      <c r="ALY123">
        <v>0</v>
      </c>
      <c r="ALZ123">
        <v>86.472780990223</v>
      </c>
      <c r="AMA123">
        <v>92.743998463235</v>
      </c>
      <c r="AMB123">
        <v>100</v>
      </c>
      <c r="AMC123">
        <v>99.6558260627413</v>
      </c>
      <c r="AMD123">
        <v>100</v>
      </c>
      <c r="AME123">
        <v>86.5331644632227</v>
      </c>
      <c r="AMF123">
        <v>92.7475216447737</v>
      </c>
      <c r="AMG123">
        <v>100</v>
      </c>
      <c r="AMH123">
        <v>99.6558260627413</v>
      </c>
      <c r="AMI123">
        <v>100</v>
      </c>
      <c r="AMJ123">
        <v>639.250247428712</v>
      </c>
      <c r="AMK123">
        <v>1278.16949863248</v>
      </c>
      <c r="AML123" t="s">
        <v>1900</v>
      </c>
      <c r="AMM123">
        <v>28955.076278139</v>
      </c>
      <c r="AMN123" t="s">
        <v>1900</v>
      </c>
      <c r="AMO123">
        <v>1.01853055732973</v>
      </c>
      <c r="AMP123">
        <v>1.01878786749776</v>
      </c>
      <c r="AMQ123">
        <v>1.08729035378926</v>
      </c>
      <c r="AMR123">
        <v>1.2584992196322</v>
      </c>
      <c r="AMS123">
        <v>2.14760864645077</v>
      </c>
      <c r="AMT123">
        <v>1.01853055639785</v>
      </c>
      <c r="AMU123">
        <v>1.01878786749776</v>
      </c>
      <c r="AMV123">
        <v>1.08729035378926</v>
      </c>
      <c r="AMW123">
        <v>1.2584992196322</v>
      </c>
      <c r="AMX123">
        <v>2.14760863236786</v>
      </c>
      <c r="AMY123">
        <v>1.01853055638058</v>
      </c>
      <c r="AMZ123">
        <v>1.01878786749776</v>
      </c>
      <c r="ANA123" t="s">
        <v>1900</v>
      </c>
      <c r="ANB123">
        <v>1.2584992196322</v>
      </c>
      <c r="ANC123" t="s">
        <v>1900</v>
      </c>
      <c r="AND123">
        <v>1.57323580867257</v>
      </c>
      <c r="ANE123">
        <v>1.71032852856693</v>
      </c>
      <c r="ANF123">
        <v>8.028246869389861</v>
      </c>
      <c r="ANG123">
        <v>20.4695822350606</v>
      </c>
      <c r="ANH123">
        <v>53.4365809275562</v>
      </c>
      <c r="ANI123">
        <v>1.57433439068748</v>
      </c>
      <c r="ANJ123">
        <v>1.71039350094247</v>
      </c>
      <c r="ANK123">
        <v>8.028246869389861</v>
      </c>
      <c r="ANL123">
        <v>20.4695822350606</v>
      </c>
      <c r="ANM123">
        <v>53.4365809275562</v>
      </c>
      <c r="ANN123">
        <v>1.59838212868039</v>
      </c>
      <c r="ANO123">
        <v>1.74008978050559</v>
      </c>
      <c r="ANP123">
        <v>8.72903537892646</v>
      </c>
      <c r="ANQ123">
        <v>25.7380544580572</v>
      </c>
      <c r="ANR123">
        <v>114.760861620619</v>
      </c>
      <c r="ANS123">
        <v>2.6801295337671</v>
      </c>
      <c r="ANT123">
        <v>3.54233341505653</v>
      </c>
      <c r="ANU123">
        <v>12.6531123066826</v>
      </c>
      <c r="ANV123">
        <v>25.7393311838965</v>
      </c>
      <c r="ANW123">
        <v>56.3117937828706</v>
      </c>
      <c r="ANX123">
        <v>86.472780990223</v>
      </c>
      <c r="ANY123">
        <v>92.743998463235</v>
      </c>
      <c r="ANZ123" t="s">
        <v>1900</v>
      </c>
      <c r="AOA123">
        <v>99.6558260627413</v>
      </c>
      <c r="AOB123" t="s">
        <v>1900</v>
      </c>
      <c r="AOC123">
        <v>87.8549464677437</v>
      </c>
      <c r="AOD123">
        <v>94.357827302526</v>
      </c>
      <c r="AOE123">
        <v>108.729035378926</v>
      </c>
      <c r="AOF123">
        <v>125.305296845396</v>
      </c>
      <c r="AOG123">
        <v>214.760861620619</v>
      </c>
      <c r="AOH123">
        <v>71.7389260926718</v>
      </c>
      <c r="AOI123" t="s">
        <v>1901</v>
      </c>
      <c r="AOJ123">
        <v>85.06983778686769</v>
      </c>
      <c r="AOK123">
        <v>84.4022188481667</v>
      </c>
      <c r="AOL123">
        <v>89.0165442732354</v>
      </c>
      <c r="AOM123">
        <v>11.6301496082491</v>
      </c>
      <c r="AON123">
        <v>23.5712261071192</v>
      </c>
      <c r="AOO123" t="s">
        <v>1900</v>
      </c>
      <c r="AOP123">
        <v>5947.45273221323</v>
      </c>
      <c r="AOQ123" t="s">
        <v>1900</v>
      </c>
      <c r="AOR123">
        <v>1.85305563978513</v>
      </c>
      <c r="AOS123">
        <v>1.87878674977552</v>
      </c>
      <c r="AOT123">
        <v>8.72903537892646</v>
      </c>
      <c r="AOU123">
        <v>25.84992196322</v>
      </c>
      <c r="AOV123">
        <v>114.760863236786</v>
      </c>
      <c r="AOW123">
        <v>1.30517656668712</v>
      </c>
      <c r="AOX123">
        <v>2.00920285926837</v>
      </c>
      <c r="AOY123">
        <v>6.82961658891924</v>
      </c>
      <c r="AOZ123">
        <v>17.3364491349097</v>
      </c>
      <c r="APA123">
        <v>47.5673977194813</v>
      </c>
      <c r="APB123">
        <v>1.18798526484176</v>
      </c>
      <c r="APC123">
        <v>1.09134357438765</v>
      </c>
      <c r="APD123">
        <v>6.02118484803385</v>
      </c>
      <c r="APE123">
        <v>17.3991445733738</v>
      </c>
      <c r="APF123">
        <v>46.4110690339186</v>
      </c>
      <c r="APG123">
        <v>1.18881482849569</v>
      </c>
      <c r="APH123">
        <v>1.09138503261241</v>
      </c>
      <c r="API123">
        <v>6.02118484803385</v>
      </c>
      <c r="APJ123">
        <v>17.3991445733738</v>
      </c>
      <c r="APK123">
        <v>46.4110690339186</v>
      </c>
      <c r="APL123">
        <v>8.78218400975935</v>
      </c>
      <c r="APM123">
        <v>15.0405642674961</v>
      </c>
      <c r="APN123" t="s">
        <v>1900</v>
      </c>
      <c r="APO123">
        <v>5055.33472753743</v>
      </c>
      <c r="APP123" t="s">
        <v>1900</v>
      </c>
      <c r="APQ123">
        <v>1.39928342773618</v>
      </c>
      <c r="APR123">
        <v>1.19883508505245</v>
      </c>
      <c r="APS123">
        <v>6.54677620364928</v>
      </c>
      <c r="APT123">
        <v>21.9724332565092</v>
      </c>
      <c r="APU123">
        <v>99.6728131482672</v>
      </c>
      <c r="APV123">
        <v>1.20697380900635</v>
      </c>
      <c r="APW123">
        <v>1.11033393239577</v>
      </c>
      <c r="APX123">
        <v>6.54677620364928</v>
      </c>
      <c r="APY123">
        <v>21.8773458789048</v>
      </c>
      <c r="APZ123">
        <v>99.6728117445839</v>
      </c>
      <c r="AQA123">
        <v>0.985567783731878</v>
      </c>
      <c r="AQB123">
        <v>1.2820523036829</v>
      </c>
      <c r="AQC123">
        <v>5.12221218306985</v>
      </c>
      <c r="AQD123">
        <v>14.7359814882095</v>
      </c>
      <c r="AQE123">
        <v>41.31352981426</v>
      </c>
      <c r="AQF123">
        <v>0.018530556380583</v>
      </c>
      <c r="AQG123">
        <v>0.0187878674977552</v>
      </c>
      <c r="AQH123" t="s">
        <v>1900</v>
      </c>
      <c r="AQI123">
        <v>0.2584992196322</v>
      </c>
      <c r="AQJ123" t="s">
        <v>1900</v>
      </c>
      <c r="AQK123">
        <v>1</v>
      </c>
      <c r="AQO123" t="s">
        <v>1902</v>
      </c>
      <c r="AQP123">
        <v>1</v>
      </c>
      <c r="AQQ123">
        <v>0</v>
      </c>
      <c r="AQS123" t="s">
        <v>1905</v>
      </c>
      <c r="AQU123" t="s">
        <v>1906</v>
      </c>
      <c r="AQV123">
        <v>1313126.71570979</v>
      </c>
      <c r="AQW123">
        <v>1221740.73745223</v>
      </c>
      <c r="AQX123">
        <v>877113.065485674</v>
      </c>
      <c r="AQY123">
        <v>20658.5797047925</v>
      </c>
      <c r="AQZ123">
        <v>20895.7803777695</v>
      </c>
      <c r="ARA123">
        <v>70416.8022208631</v>
      </c>
      <c r="ARB123">
        <v>3411980.518647694</v>
      </c>
      <c r="ARC123">
        <v>111971.1623034251</v>
      </c>
      <c r="ARD123">
        <v>0.0339305590416465</v>
      </c>
      <c r="ARE123">
        <v>0.0339305590416465</v>
      </c>
      <c r="ARF123">
        <v>0.0339305590416465</v>
      </c>
      <c r="ARG123">
        <v>0.0339305590416465</v>
      </c>
      <c r="ARH123">
        <v>0.0339305590416465</v>
      </c>
      <c r="ARI123">
        <v>0.0339305590416465</v>
      </c>
      <c r="ARJ123" t="s">
        <v>1284</v>
      </c>
      <c r="ARK123" t="s">
        <v>1622</v>
      </c>
      <c r="ARL123" t="s">
        <v>1908</v>
      </c>
      <c r="ARM123" t="s">
        <v>1908</v>
      </c>
      <c r="ARN123" t="s">
        <v>1909</v>
      </c>
      <c r="ARO123" t="s">
        <v>1908</v>
      </c>
      <c r="ARP123" t="s">
        <v>1907</v>
      </c>
      <c r="ARQ123" t="s">
        <v>2015</v>
      </c>
      <c r="ARR123">
        <f>HYPERLINK("C:\Users\Usuario\Documents\Proyectos\llmthon\evidence\xpeer_app_000534.png", "Ver Evidencia")</f>
        <v>0</v>
      </c>
      <c r="ARS123">
        <v>100</v>
      </c>
    </row>
    <row r="124" spans="1:1163">
      <c r="A124">
        <v>198</v>
      </c>
      <c r="B124" t="s">
        <v>1285</v>
      </c>
      <c r="C124" t="s">
        <v>1408</v>
      </c>
      <c r="E124" s="2">
        <v>33045</v>
      </c>
      <c r="F124" t="s">
        <v>1431</v>
      </c>
      <c r="G124" t="s">
        <v>1433</v>
      </c>
      <c r="H124" t="s">
        <v>1434</v>
      </c>
      <c r="I124" t="s">
        <v>1436</v>
      </c>
      <c r="J124" t="s">
        <v>1487</v>
      </c>
      <c r="L124" t="s">
        <v>1623</v>
      </c>
      <c r="N124" t="s">
        <v>1626</v>
      </c>
      <c r="O124" t="s">
        <v>1650</v>
      </c>
      <c r="P124">
        <v>6920</v>
      </c>
      <c r="Q124">
        <v>6920</v>
      </c>
      <c r="R124" t="s">
        <v>1790</v>
      </c>
      <c r="Z124" t="s">
        <v>1899</v>
      </c>
      <c r="AA124" s="2">
        <v>45169</v>
      </c>
      <c r="AB124">
        <v>2023</v>
      </c>
      <c r="AC124" t="s">
        <v>1900</v>
      </c>
      <c r="AD124">
        <v>4338551.62819169</v>
      </c>
      <c r="AE124">
        <v>4097982.13</v>
      </c>
      <c r="AF124">
        <v>4773995.35454251</v>
      </c>
      <c r="AG124">
        <v>5870198.0207297</v>
      </c>
      <c r="AH124" t="s">
        <v>1900</v>
      </c>
      <c r="AI124">
        <v>4310069.32493847</v>
      </c>
      <c r="AJ124">
        <v>4050125.58</v>
      </c>
      <c r="AK124">
        <v>4726349.80896431</v>
      </c>
      <c r="AL124">
        <v>5831602.20125816</v>
      </c>
      <c r="AM124" t="s">
        <v>1900</v>
      </c>
      <c r="AN124">
        <v>-7672.04260650253</v>
      </c>
      <c r="AO124">
        <v>-76702.73699999999</v>
      </c>
      <c r="AP124">
        <v>-106559.245325171</v>
      </c>
      <c r="AQ124">
        <v>226236.841836652</v>
      </c>
      <c r="AR124" t="s">
        <v>1900</v>
      </c>
      <c r="AS124">
        <v>4346223.67188499</v>
      </c>
      <c r="AT124">
        <v>4174684.868</v>
      </c>
      <c r="AU124">
        <v>4880554.59986768</v>
      </c>
      <c r="AV124">
        <v>5643961.17769905</v>
      </c>
      <c r="AW124" t="s">
        <v>1900</v>
      </c>
      <c r="AX124">
        <v>4605720.282018</v>
      </c>
      <c r="AY124">
        <v>4226692.69</v>
      </c>
      <c r="AZ124">
        <v>4855890.38367069</v>
      </c>
      <c r="BA124">
        <v>5669357.95049914</v>
      </c>
      <c r="BB124" t="s">
        <v>1900</v>
      </c>
      <c r="BC124">
        <v>-259496.612306614</v>
      </c>
      <c r="BD124">
        <v>-52007.82</v>
      </c>
      <c r="BE124">
        <v>24664.2173803937</v>
      </c>
      <c r="BF124">
        <v>-25396.7716060889</v>
      </c>
      <c r="BG124" t="s">
        <v>1900</v>
      </c>
      <c r="BH124">
        <v>648.025492207527</v>
      </c>
      <c r="BI124">
        <v>501.47</v>
      </c>
      <c r="BJ124">
        <v>-1908.55168977857</v>
      </c>
      <c r="BK124">
        <v>-484.846339916348</v>
      </c>
      <c r="BL124" t="s">
        <v>1900</v>
      </c>
      <c r="BM124">
        <v>1954.95861078262</v>
      </c>
      <c r="BN124">
        <v>2040.48</v>
      </c>
      <c r="BO124">
        <v>453.040944088697</v>
      </c>
      <c r="BP124">
        <v>446.221637587547</v>
      </c>
      <c r="BQ124" t="s">
        <v>1900</v>
      </c>
      <c r="BR124">
        <v>1306.93203177452</v>
      </c>
      <c r="BS124">
        <v>1539.01</v>
      </c>
      <c r="BT124">
        <v>2361.59263386726</v>
      </c>
      <c r="BU124">
        <v>931.0691715037819</v>
      </c>
      <c r="BV124" t="s">
        <v>1900</v>
      </c>
      <c r="BW124">
        <v>-258848.585727606</v>
      </c>
      <c r="BX124">
        <v>-51506.35</v>
      </c>
      <c r="BY124">
        <v>22755.6656906152</v>
      </c>
      <c r="BZ124">
        <v>-25881.6191400051</v>
      </c>
      <c r="CA124" t="s">
        <v>1900</v>
      </c>
      <c r="CB124">
        <v>-51769.7127983189</v>
      </c>
      <c r="CC124" t="s">
        <v>1900</v>
      </c>
      <c r="CD124">
        <v>1188.57125359654</v>
      </c>
      <c r="CE124" t="s">
        <v>1900</v>
      </c>
      <c r="CF124" t="s">
        <v>1900</v>
      </c>
      <c r="CG124">
        <v>-207078.872929287</v>
      </c>
      <c r="CH124">
        <v>-51506.35</v>
      </c>
      <c r="CI124">
        <v>21567.0944370186</v>
      </c>
      <c r="CJ124">
        <v>-25881.6191400051</v>
      </c>
      <c r="CK124" t="s">
        <v>1900</v>
      </c>
      <c r="CL124" t="s">
        <v>1900</v>
      </c>
      <c r="CM124" t="s">
        <v>1900</v>
      </c>
      <c r="CN124" t="s">
        <v>1900</v>
      </c>
      <c r="CO124" t="s">
        <v>1900</v>
      </c>
      <c r="CP124" t="s">
        <v>1900</v>
      </c>
      <c r="CQ124" t="s">
        <v>1900</v>
      </c>
      <c r="CR124" t="s">
        <v>1900</v>
      </c>
      <c r="CS124" t="s">
        <v>1900</v>
      </c>
      <c r="CT124" t="s">
        <v>1900</v>
      </c>
      <c r="CU124" t="s">
        <v>1900</v>
      </c>
      <c r="CV124" t="s">
        <v>1900</v>
      </c>
      <c r="CW124" t="s">
        <v>1900</v>
      </c>
      <c r="CX124" t="s">
        <v>1900</v>
      </c>
      <c r="CY124" t="s">
        <v>1900</v>
      </c>
      <c r="CZ124" t="s">
        <v>1900</v>
      </c>
      <c r="DA124">
        <v>-207078.872929287</v>
      </c>
      <c r="DB124">
        <v>-51506.35</v>
      </c>
      <c r="DC124">
        <v>21567.0944370186</v>
      </c>
      <c r="DD124">
        <v>-25881.6191400051</v>
      </c>
      <c r="DE124" t="s">
        <v>1900</v>
      </c>
      <c r="DF124" t="s">
        <v>1900</v>
      </c>
      <c r="DG124" t="s">
        <v>1900</v>
      </c>
      <c r="DH124" t="s">
        <v>1900</v>
      </c>
      <c r="DI124" t="s">
        <v>1900</v>
      </c>
      <c r="DJ124" t="s">
        <v>1900</v>
      </c>
      <c r="DK124">
        <v>291332.889728331</v>
      </c>
      <c r="DL124">
        <v>191361.98</v>
      </c>
      <c r="DM124">
        <v>118620.824088292</v>
      </c>
      <c r="DN124">
        <v>345011.64020735</v>
      </c>
      <c r="DO124" t="s">
        <v>1900</v>
      </c>
      <c r="DP124">
        <v>1774674.23003198</v>
      </c>
      <c r="DQ124">
        <v>1451098.39</v>
      </c>
      <c r="DR124">
        <v>1819739.80717991</v>
      </c>
      <c r="DS124">
        <v>1421391.9709996</v>
      </c>
      <c r="DT124" t="s">
        <v>1900</v>
      </c>
      <c r="DU124">
        <v>62802.5427261257</v>
      </c>
      <c r="DV124">
        <v>54524.4</v>
      </c>
      <c r="DW124">
        <v>55715.1132884443</v>
      </c>
      <c r="DX124">
        <v>38289.7614806366</v>
      </c>
      <c r="DY124" t="s">
        <v>1900</v>
      </c>
      <c r="DZ124">
        <v>2768243.5092599</v>
      </c>
      <c r="EA124">
        <v>2721069.9</v>
      </c>
      <c r="EB124">
        <v>2980435.46320233</v>
      </c>
      <c r="EC124">
        <v>4209676.2180189</v>
      </c>
      <c r="ED124" t="s">
        <v>1900</v>
      </c>
      <c r="EE124">
        <v>1219.53152951241</v>
      </c>
      <c r="EF124">
        <v>1539.01</v>
      </c>
      <c r="EG124">
        <v>2361.59263386726</v>
      </c>
      <c r="EH124">
        <v>931.0691715037819</v>
      </c>
      <c r="EI124" t="s">
        <v>1900</v>
      </c>
      <c r="EJ124" t="s">
        <v>1900</v>
      </c>
      <c r="EK124" t="s">
        <v>1900</v>
      </c>
      <c r="EL124" t="s">
        <v>1900</v>
      </c>
      <c r="EM124" t="s">
        <v>1900</v>
      </c>
      <c r="EN124" t="s">
        <v>1900</v>
      </c>
      <c r="EO124">
        <v>-144276.329116361</v>
      </c>
      <c r="EP124">
        <v>3018.05</v>
      </c>
      <c r="EQ124">
        <v>77282.2077254629</v>
      </c>
      <c r="ER124">
        <v>12408.1411466316</v>
      </c>
      <c r="ES124" t="s">
        <v>1900</v>
      </c>
      <c r="ET124">
        <v>1579847.71856001</v>
      </c>
      <c r="EU124">
        <v>1455655.449</v>
      </c>
      <c r="EV124">
        <v>1900572.17879284</v>
      </c>
      <c r="EW124">
        <v>1434731.18251174</v>
      </c>
      <c r="EX124" t="s">
        <v>1900</v>
      </c>
      <c r="EY124">
        <v>-196694.069580488</v>
      </c>
      <c r="EZ124">
        <v>2516.58</v>
      </c>
      <c r="FA124">
        <v>80379.330668838</v>
      </c>
      <c r="FB124">
        <v>12892.9886805478</v>
      </c>
      <c r="FC124" t="s">
        <v>1900</v>
      </c>
      <c r="FD124">
        <v>217563.629326992</v>
      </c>
      <c r="FE124">
        <v>179688.39</v>
      </c>
      <c r="FF124">
        <v>221422.433057079</v>
      </c>
      <c r="FG124">
        <v>208697.341703745</v>
      </c>
      <c r="FH124" t="s">
        <v>1900</v>
      </c>
      <c r="FI124">
        <v>2166.38479469299</v>
      </c>
      <c r="FJ124">
        <v>979.37</v>
      </c>
      <c r="FK124">
        <v>648.716100437641</v>
      </c>
      <c r="FL124">
        <v>2602.89587260008</v>
      </c>
      <c r="FM124" t="s">
        <v>1900</v>
      </c>
      <c r="FN124">
        <v>121626.862814531</v>
      </c>
      <c r="FO124">
        <v>140790.36</v>
      </c>
      <c r="FP124">
        <v>179329.683339942</v>
      </c>
      <c r="FQ124">
        <v>169170.405300699</v>
      </c>
      <c r="FR124" t="s">
        <v>1900</v>
      </c>
      <c r="FS124">
        <v>93770.3817177677</v>
      </c>
      <c r="FT124">
        <v>37918.66</v>
      </c>
      <c r="FU124">
        <v>41444.0336167002</v>
      </c>
      <c r="FV124">
        <v>36924.0405304456</v>
      </c>
      <c r="FW124" t="s">
        <v>1900</v>
      </c>
      <c r="FX124">
        <v>2166.38479469299</v>
      </c>
      <c r="FY124">
        <v>979.37</v>
      </c>
      <c r="FZ124">
        <v>648.716100437641</v>
      </c>
      <c r="GA124">
        <v>2602.89587260008</v>
      </c>
      <c r="GB124" t="s">
        <v>1900</v>
      </c>
      <c r="GC124">
        <v>121626.862814531</v>
      </c>
      <c r="GD124">
        <v>140790.36</v>
      </c>
      <c r="GE124">
        <v>179329.683339942</v>
      </c>
      <c r="GF124">
        <v>169170.405300699</v>
      </c>
      <c r="GG124" t="s">
        <v>1900</v>
      </c>
      <c r="GH124">
        <v>93770.3817177677</v>
      </c>
      <c r="GI124">
        <v>37918.66</v>
      </c>
      <c r="GJ124">
        <v>41444.0336167002</v>
      </c>
      <c r="GK124">
        <v>36924.0405304456</v>
      </c>
      <c r="GL124" t="s">
        <v>1900</v>
      </c>
      <c r="GM124">
        <v>4592510.72095403</v>
      </c>
      <c r="GN124">
        <v>3665158.55</v>
      </c>
      <c r="GO124">
        <v>3833419.13739725</v>
      </c>
      <c r="GP124">
        <v>3039202.24857005</v>
      </c>
      <c r="GQ124" t="s">
        <v>1900</v>
      </c>
      <c r="GR124">
        <v>0</v>
      </c>
      <c r="GS124">
        <v>0</v>
      </c>
      <c r="GT124">
        <v>0</v>
      </c>
      <c r="GU124">
        <v>0</v>
      </c>
      <c r="GV124" t="s">
        <v>1900</v>
      </c>
      <c r="GW124">
        <v>1974221.3250106</v>
      </c>
      <c r="GX124">
        <v>1613981.71</v>
      </c>
      <c r="GY124">
        <v>1881813.11456291</v>
      </c>
      <c r="GZ124">
        <v>2238906.90565648</v>
      </c>
      <c r="HA124" t="s">
        <v>1900</v>
      </c>
      <c r="HB124">
        <v>2618289.39594342</v>
      </c>
      <c r="HC124">
        <v>2051176.84</v>
      </c>
      <c r="HD124">
        <v>1951606.02283434</v>
      </c>
      <c r="HE124">
        <v>800295.342913567</v>
      </c>
      <c r="HF124" t="s">
        <v>1900</v>
      </c>
      <c r="HG124">
        <v>1211822.36397185</v>
      </c>
      <c r="HH124">
        <v>808923.49</v>
      </c>
      <c r="HI124">
        <v>814709.376933099</v>
      </c>
      <c r="HJ124">
        <v>772223.307101756</v>
      </c>
      <c r="HK124" t="s">
        <v>1900</v>
      </c>
      <c r="HL124">
        <v>4810074.35028102</v>
      </c>
      <c r="HM124">
        <v>3844846.94</v>
      </c>
      <c r="HN124">
        <v>4054841.57045432</v>
      </c>
      <c r="HO124">
        <v>3247899.5902738</v>
      </c>
      <c r="HP124" t="s">
        <v>1900</v>
      </c>
      <c r="HQ124">
        <v>1285376.61392098</v>
      </c>
      <c r="HR124">
        <v>1373256.07</v>
      </c>
      <c r="HS124">
        <v>1686063.55786876</v>
      </c>
      <c r="HT124">
        <v>1679405.88999591</v>
      </c>
      <c r="HU124" t="s">
        <v>1900</v>
      </c>
      <c r="HV124">
        <v>46459.7790757084</v>
      </c>
      <c r="HW124">
        <v>42749.13</v>
      </c>
      <c r="HX124">
        <v>50589.3117419493</v>
      </c>
      <c r="HY124">
        <v>51042.4563685191</v>
      </c>
      <c r="HZ124" t="s">
        <v>1900</v>
      </c>
      <c r="IA124">
        <v>1238916.83484528</v>
      </c>
      <c r="IB124">
        <v>1330506.94</v>
      </c>
      <c r="IC124">
        <v>1635474.24612681</v>
      </c>
      <c r="ID124">
        <v>1628363.43362739</v>
      </c>
      <c r="IE124" t="s">
        <v>1900</v>
      </c>
      <c r="IF124">
        <v>39713.6166568851</v>
      </c>
      <c r="IG124">
        <v>57166.23</v>
      </c>
      <c r="IH124">
        <v>91491.17074188949</v>
      </c>
      <c r="II124">
        <v>115806.729572808</v>
      </c>
      <c r="IJ124" t="s">
        <v>1900</v>
      </c>
      <c r="IK124">
        <v>15238.8024940777</v>
      </c>
      <c r="IL124">
        <v>34646.17</v>
      </c>
      <c r="IM124">
        <v>64840.9363210392</v>
      </c>
      <c r="IN124">
        <v>88917.7804885471</v>
      </c>
      <c r="IO124" t="s">
        <v>1900</v>
      </c>
      <c r="IP124">
        <v>24474.8141628075</v>
      </c>
      <c r="IQ124">
        <v>22520.06</v>
      </c>
      <c r="IR124">
        <v>26650.2344208503</v>
      </c>
      <c r="IS124">
        <v>26888.9490842605</v>
      </c>
      <c r="IT124" t="s">
        <v>1900</v>
      </c>
      <c r="IU124" t="s">
        <v>1900</v>
      </c>
      <c r="IV124" t="s">
        <v>1900</v>
      </c>
      <c r="IW124" t="s">
        <v>1900</v>
      </c>
      <c r="IX124" t="s">
        <v>1900</v>
      </c>
      <c r="IY124" t="s">
        <v>1900</v>
      </c>
      <c r="IZ124">
        <v>3484984.11970315</v>
      </c>
      <c r="JA124">
        <v>2414424.64</v>
      </c>
      <c r="JB124">
        <v>2277286.84184368</v>
      </c>
      <c r="JC124">
        <v>1452686.97070508</v>
      </c>
      <c r="JD124" t="s">
        <v>1900</v>
      </c>
      <c r="JE124">
        <v>219712.03844017</v>
      </c>
      <c r="JF124">
        <v>198700.23</v>
      </c>
      <c r="JG124">
        <v>231916.751448328</v>
      </c>
      <c r="JH124">
        <v>254677.572873418</v>
      </c>
      <c r="JI124" t="s">
        <v>1900</v>
      </c>
      <c r="JJ124">
        <v>1309.21431298256</v>
      </c>
      <c r="JK124">
        <v>1550.03</v>
      </c>
      <c r="JL124">
        <v>1864.70672731876</v>
      </c>
      <c r="JM124">
        <v>2431.25838891387</v>
      </c>
      <c r="JN124" t="s">
        <v>1900</v>
      </c>
      <c r="JO124">
        <v>3263962.86695</v>
      </c>
      <c r="JP124">
        <v>2214174.38</v>
      </c>
      <c r="JQ124">
        <v>2043505.38366803</v>
      </c>
      <c r="JR124">
        <v>1195578.13944275</v>
      </c>
      <c r="JS124" t="s">
        <v>1900</v>
      </c>
      <c r="JT124">
        <v>4810074.35028102</v>
      </c>
      <c r="JU124">
        <v>3844846.94</v>
      </c>
      <c r="JV124">
        <v>4054841.57045432</v>
      </c>
      <c r="JW124">
        <v>3247899.5902738</v>
      </c>
      <c r="JX124" t="s">
        <v>1900</v>
      </c>
      <c r="JY124">
        <v>1972912.11069762</v>
      </c>
      <c r="JZ124">
        <v>1612431.68</v>
      </c>
      <c r="KA124">
        <v>1879948.40783559</v>
      </c>
      <c r="KB124">
        <v>2236475.64726757</v>
      </c>
      <c r="KC124" t="s">
        <v>1900</v>
      </c>
      <c r="KD124" t="s">
        <v>1900</v>
      </c>
      <c r="KE124" t="s">
        <v>1900</v>
      </c>
      <c r="KF124" t="s">
        <v>1900</v>
      </c>
      <c r="KG124" t="s">
        <v>1900</v>
      </c>
      <c r="KH124" t="s">
        <v>1900</v>
      </c>
      <c r="KI124" t="s">
        <v>1900</v>
      </c>
      <c r="KJ124" t="s">
        <v>1900</v>
      </c>
      <c r="KK124" t="s">
        <v>1900</v>
      </c>
      <c r="KL124" t="s">
        <v>1900</v>
      </c>
      <c r="KM124" t="s">
        <v>1900</v>
      </c>
      <c r="KN124">
        <v>36</v>
      </c>
      <c r="KO124">
        <v>35</v>
      </c>
      <c r="KP124">
        <v>35</v>
      </c>
      <c r="KQ124">
        <v>31</v>
      </c>
      <c r="KR124" t="s">
        <v>1900</v>
      </c>
      <c r="KS124" t="s">
        <v>1900</v>
      </c>
      <c r="KT124" t="s">
        <v>1900</v>
      </c>
      <c r="KU124" t="s">
        <v>1900</v>
      </c>
      <c r="KV124" t="s">
        <v>1900</v>
      </c>
      <c r="KW124" t="s">
        <v>1900</v>
      </c>
      <c r="KX124" t="s">
        <v>1900</v>
      </c>
      <c r="KY124" t="s">
        <v>1900</v>
      </c>
      <c r="KZ124" t="s">
        <v>1900</v>
      </c>
      <c r="LA124" t="s">
        <v>1900</v>
      </c>
      <c r="LB124" t="s">
        <v>1900</v>
      </c>
      <c r="LC124" t="s">
        <v>1900</v>
      </c>
      <c r="LD124" t="s">
        <v>1900</v>
      </c>
      <c r="LE124" t="s">
        <v>1900</v>
      </c>
      <c r="LF124" t="s">
        <v>1900</v>
      </c>
      <c r="LG124" t="s">
        <v>1900</v>
      </c>
      <c r="LH124" t="s">
        <v>1900</v>
      </c>
      <c r="LI124" t="s">
        <v>1900</v>
      </c>
      <c r="LJ124" t="s">
        <v>1900</v>
      </c>
      <c r="LK124" t="s">
        <v>1900</v>
      </c>
      <c r="LL124" t="s">
        <v>1900</v>
      </c>
      <c r="LM124" t="s">
        <v>1900</v>
      </c>
      <c r="LN124" t="s">
        <v>1900</v>
      </c>
      <c r="LO124" t="s">
        <v>1900</v>
      </c>
      <c r="LP124" t="s">
        <v>1900</v>
      </c>
      <c r="LQ124" t="s">
        <v>1900</v>
      </c>
      <c r="LR124" t="s">
        <v>1900</v>
      </c>
      <c r="LS124" t="s">
        <v>1900</v>
      </c>
      <c r="LT124" t="s">
        <v>1900</v>
      </c>
      <c r="LU124" t="s">
        <v>1900</v>
      </c>
      <c r="LV124" t="s">
        <v>1900</v>
      </c>
      <c r="LW124" t="s">
        <v>1900</v>
      </c>
      <c r="LX124" t="s">
        <v>1900</v>
      </c>
      <c r="LY124" t="s">
        <v>1900</v>
      </c>
      <c r="LZ124" t="s">
        <v>1900</v>
      </c>
      <c r="MA124" t="s">
        <v>1900</v>
      </c>
      <c r="MB124" t="s">
        <v>1900</v>
      </c>
      <c r="MC124" t="s">
        <v>1900</v>
      </c>
      <c r="MD124" t="s">
        <v>1900</v>
      </c>
      <c r="ME124" t="s">
        <v>1900</v>
      </c>
      <c r="MF124" t="s">
        <v>1900</v>
      </c>
      <c r="MG124" t="s">
        <v>1900</v>
      </c>
      <c r="MH124" t="s">
        <v>1900</v>
      </c>
      <c r="MI124" t="s">
        <v>1900</v>
      </c>
      <c r="MJ124" t="s">
        <v>1900</v>
      </c>
      <c r="MK124" t="s">
        <v>1900</v>
      </c>
      <c r="ML124" t="s">
        <v>1900</v>
      </c>
      <c r="MM124" t="s">
        <v>1900</v>
      </c>
      <c r="MN124" t="s">
        <v>1900</v>
      </c>
      <c r="MO124" t="s">
        <v>1900</v>
      </c>
      <c r="MP124" t="s">
        <v>1900</v>
      </c>
      <c r="MQ124">
        <v>2618289.39594342</v>
      </c>
      <c r="MR124">
        <v>2051176.84</v>
      </c>
      <c r="MS124">
        <v>1951606.02283434</v>
      </c>
      <c r="MT124">
        <v>800295.342913567</v>
      </c>
      <c r="MU124" t="s">
        <v>1900</v>
      </c>
      <c r="MV124" t="s">
        <v>1900</v>
      </c>
      <c r="MW124" t="s">
        <v>1900</v>
      </c>
      <c r="MX124" t="s">
        <v>1900</v>
      </c>
      <c r="MY124" t="s">
        <v>1900</v>
      </c>
      <c r="MZ124" t="s">
        <v>1900</v>
      </c>
      <c r="NA124" t="s">
        <v>1900</v>
      </c>
      <c r="NB124" t="s">
        <v>1900</v>
      </c>
      <c r="NC124" t="s">
        <v>1900</v>
      </c>
      <c r="ND124" t="s">
        <v>1900</v>
      </c>
      <c r="NE124" t="s">
        <v>1900</v>
      </c>
      <c r="NF124" t="s">
        <v>1900</v>
      </c>
      <c r="NG124" t="s">
        <v>1900</v>
      </c>
      <c r="NH124" t="s">
        <v>1900</v>
      </c>
      <c r="NI124" t="s">
        <v>1900</v>
      </c>
      <c r="NJ124" t="s">
        <v>1900</v>
      </c>
      <c r="NK124" t="s">
        <v>1900</v>
      </c>
      <c r="NL124" t="s">
        <v>1900</v>
      </c>
      <c r="NM124" t="s">
        <v>1900</v>
      </c>
      <c r="NN124" t="s">
        <v>1900</v>
      </c>
      <c r="NO124" t="s">
        <v>1900</v>
      </c>
      <c r="NP124" t="s">
        <v>1900</v>
      </c>
      <c r="NQ124" t="s">
        <v>1900</v>
      </c>
      <c r="NR124" t="s">
        <v>1900</v>
      </c>
      <c r="NS124" t="s">
        <v>1900</v>
      </c>
      <c r="NT124" t="s">
        <v>1900</v>
      </c>
      <c r="NU124">
        <v>217563.629326992</v>
      </c>
      <c r="NV124">
        <v>179688.39</v>
      </c>
      <c r="NW124">
        <v>221422.433057079</v>
      </c>
      <c r="NX124">
        <v>208697.341703745</v>
      </c>
      <c r="NY124" t="s">
        <v>1900</v>
      </c>
      <c r="NZ124" t="s">
        <v>1900</v>
      </c>
      <c r="OA124" t="s">
        <v>1900</v>
      </c>
      <c r="OB124" t="s">
        <v>1900</v>
      </c>
      <c r="OC124" t="s">
        <v>1900</v>
      </c>
      <c r="OD124" t="s">
        <v>1900</v>
      </c>
      <c r="OE124" t="s">
        <v>1900</v>
      </c>
      <c r="OF124" t="s">
        <v>1900</v>
      </c>
      <c r="OG124" t="s">
        <v>1900</v>
      </c>
      <c r="OH124" t="s">
        <v>1900</v>
      </c>
      <c r="OI124" t="s">
        <v>1900</v>
      </c>
      <c r="OJ124" t="s">
        <v>1900</v>
      </c>
      <c r="OK124" t="s">
        <v>1900</v>
      </c>
      <c r="OL124" t="s">
        <v>1900</v>
      </c>
      <c r="OM124" t="s">
        <v>1900</v>
      </c>
      <c r="ON124" t="s">
        <v>1900</v>
      </c>
      <c r="OO124" t="s">
        <v>1900</v>
      </c>
      <c r="OP124" t="s">
        <v>1900</v>
      </c>
      <c r="OQ124" t="s">
        <v>1900</v>
      </c>
      <c r="OR124" t="s">
        <v>1900</v>
      </c>
      <c r="OS124" t="s">
        <v>1900</v>
      </c>
      <c r="OT124" t="s">
        <v>1900</v>
      </c>
      <c r="OU124" t="s">
        <v>1900</v>
      </c>
      <c r="OV124" t="s">
        <v>1900</v>
      </c>
      <c r="OW124" t="s">
        <v>1900</v>
      </c>
      <c r="OX124" t="s">
        <v>1900</v>
      </c>
      <c r="OY124" t="s">
        <v>1900</v>
      </c>
      <c r="OZ124" t="s">
        <v>1900</v>
      </c>
      <c r="PA124" t="s">
        <v>1900</v>
      </c>
      <c r="PB124" t="s">
        <v>1900</v>
      </c>
      <c r="PC124" t="s">
        <v>1900</v>
      </c>
      <c r="PD124" t="s">
        <v>1900</v>
      </c>
      <c r="PE124" t="s">
        <v>1900</v>
      </c>
      <c r="PF124" t="s">
        <v>1900</v>
      </c>
      <c r="PG124" t="s">
        <v>1900</v>
      </c>
      <c r="PH124" t="s">
        <v>1900</v>
      </c>
      <c r="PI124" t="s">
        <v>1900</v>
      </c>
      <c r="PJ124" t="s">
        <v>1900</v>
      </c>
      <c r="PK124" t="s">
        <v>1900</v>
      </c>
      <c r="PL124" t="s">
        <v>1900</v>
      </c>
      <c r="PM124" t="s">
        <v>1900</v>
      </c>
      <c r="PN124" t="s">
        <v>1900</v>
      </c>
      <c r="PO124" t="s">
        <v>1900</v>
      </c>
      <c r="PP124" t="s">
        <v>1900</v>
      </c>
      <c r="PQ124" t="s">
        <v>1900</v>
      </c>
      <c r="PR124" t="s">
        <v>1900</v>
      </c>
      <c r="PS124" t="s">
        <v>1900</v>
      </c>
      <c r="PT124" t="s">
        <v>1900</v>
      </c>
      <c r="PU124" t="s">
        <v>1900</v>
      </c>
      <c r="PV124" t="s">
        <v>1900</v>
      </c>
      <c r="PW124" t="s">
        <v>1900</v>
      </c>
      <c r="PX124" t="s">
        <v>1900</v>
      </c>
      <c r="PY124" t="s">
        <v>1900</v>
      </c>
      <c r="PZ124" t="s">
        <v>1900</v>
      </c>
      <c r="QA124" t="s">
        <v>1900</v>
      </c>
      <c r="QB124" t="s">
        <v>1900</v>
      </c>
      <c r="QC124" t="s">
        <v>1900</v>
      </c>
      <c r="QD124" t="s">
        <v>1900</v>
      </c>
      <c r="QE124" t="s">
        <v>1900</v>
      </c>
      <c r="QF124" t="s">
        <v>1900</v>
      </c>
      <c r="QG124" t="s">
        <v>1900</v>
      </c>
      <c r="QH124" t="s">
        <v>1900</v>
      </c>
      <c r="QI124" t="s">
        <v>1900</v>
      </c>
      <c r="QJ124" t="s">
        <v>1900</v>
      </c>
      <c r="QK124" t="s">
        <v>1900</v>
      </c>
      <c r="QL124" t="s">
        <v>1900</v>
      </c>
      <c r="QM124" t="s">
        <v>1900</v>
      </c>
      <c r="QN124" t="s">
        <v>1900</v>
      </c>
      <c r="QO124" t="s">
        <v>1900</v>
      </c>
      <c r="QP124" t="s">
        <v>1900</v>
      </c>
      <c r="QQ124" t="s">
        <v>1900</v>
      </c>
      <c r="QR124" t="s">
        <v>1900</v>
      </c>
      <c r="QS124" t="s">
        <v>1900</v>
      </c>
      <c r="QT124" t="s">
        <v>1900</v>
      </c>
      <c r="QU124" t="s">
        <v>1900</v>
      </c>
      <c r="QV124" t="s">
        <v>1900</v>
      </c>
      <c r="QW124" t="s">
        <v>1900</v>
      </c>
      <c r="QX124" t="s">
        <v>1900</v>
      </c>
      <c r="QY124" t="s">
        <v>1900</v>
      </c>
      <c r="QZ124" t="s">
        <v>1900</v>
      </c>
      <c r="RA124" t="s">
        <v>1900</v>
      </c>
      <c r="RB124" t="s">
        <v>1900</v>
      </c>
      <c r="RC124" t="s">
        <v>1900</v>
      </c>
      <c r="RD124" t="s">
        <v>1900</v>
      </c>
      <c r="RE124" t="s">
        <v>1900</v>
      </c>
      <c r="RF124" t="s">
        <v>1900</v>
      </c>
      <c r="RG124" t="s">
        <v>1900</v>
      </c>
      <c r="RH124" t="s">
        <v>1900</v>
      </c>
      <c r="RI124" t="s">
        <v>1900</v>
      </c>
      <c r="RJ124" t="s">
        <v>1900</v>
      </c>
      <c r="RK124" t="s">
        <v>1900</v>
      </c>
      <c r="RL124" t="s">
        <v>1900</v>
      </c>
      <c r="RM124" t="s">
        <v>1900</v>
      </c>
      <c r="RN124" t="s">
        <v>1900</v>
      </c>
      <c r="RO124" t="s">
        <v>1900</v>
      </c>
      <c r="RP124" t="s">
        <v>1900</v>
      </c>
      <c r="RQ124" t="s">
        <v>1900</v>
      </c>
      <c r="RR124" t="s">
        <v>1900</v>
      </c>
      <c r="RS124" t="s">
        <v>1900</v>
      </c>
      <c r="RT124" t="s">
        <v>1900</v>
      </c>
      <c r="RU124" t="s">
        <v>1900</v>
      </c>
      <c r="RV124" t="s">
        <v>1900</v>
      </c>
      <c r="RW124" t="s">
        <v>1900</v>
      </c>
      <c r="RX124" t="s">
        <v>1900</v>
      </c>
      <c r="RY124" t="s">
        <v>1900</v>
      </c>
      <c r="RZ124" t="s">
        <v>1900</v>
      </c>
      <c r="SA124" t="s">
        <v>1900</v>
      </c>
      <c r="SB124" t="s">
        <v>1900</v>
      </c>
      <c r="SC124" t="s">
        <v>1900</v>
      </c>
      <c r="SD124" t="s">
        <v>1900</v>
      </c>
      <c r="SE124" t="s">
        <v>1900</v>
      </c>
      <c r="SF124" t="s">
        <v>1900</v>
      </c>
      <c r="SG124" t="s">
        <v>1900</v>
      </c>
      <c r="SH124" t="s">
        <v>1900</v>
      </c>
      <c r="SI124" t="s">
        <v>1900</v>
      </c>
      <c r="SJ124" t="s">
        <v>1900</v>
      </c>
      <c r="SK124">
        <v>93770.3817177677</v>
      </c>
      <c r="SL124">
        <v>37918.66</v>
      </c>
      <c r="SM124">
        <v>41444.0336167002</v>
      </c>
      <c r="SN124">
        <v>36924.0405304456</v>
      </c>
      <c r="SO124" t="s">
        <v>1900</v>
      </c>
      <c r="SP124" t="s">
        <v>1900</v>
      </c>
      <c r="SQ124" t="s">
        <v>1900</v>
      </c>
      <c r="SR124" t="s">
        <v>1900</v>
      </c>
      <c r="SS124" t="s">
        <v>1900</v>
      </c>
      <c r="ST124" t="s">
        <v>1900</v>
      </c>
      <c r="SU124" t="s">
        <v>1900</v>
      </c>
      <c r="SV124" t="s">
        <v>1900</v>
      </c>
      <c r="SW124" t="s">
        <v>1900</v>
      </c>
      <c r="SX124" t="s">
        <v>1900</v>
      </c>
      <c r="SY124" t="s">
        <v>1900</v>
      </c>
      <c r="SZ124" t="s">
        <v>1900</v>
      </c>
      <c r="TA124" t="s">
        <v>1900</v>
      </c>
      <c r="TB124" t="s">
        <v>1900</v>
      </c>
      <c r="TC124" t="s">
        <v>1900</v>
      </c>
      <c r="TD124" t="s">
        <v>1900</v>
      </c>
      <c r="TE124" t="s">
        <v>1900</v>
      </c>
      <c r="TF124" t="s">
        <v>1900</v>
      </c>
      <c r="TG124" t="s">
        <v>1900</v>
      </c>
      <c r="TH124" t="s">
        <v>1900</v>
      </c>
      <c r="TI124" t="s">
        <v>1900</v>
      </c>
      <c r="TJ124" t="s">
        <v>1900</v>
      </c>
      <c r="TK124" t="s">
        <v>1900</v>
      </c>
      <c r="TL124" t="s">
        <v>1900</v>
      </c>
      <c r="TM124" t="s">
        <v>1900</v>
      </c>
      <c r="TN124" t="s">
        <v>1900</v>
      </c>
      <c r="TO124" t="s">
        <v>1900</v>
      </c>
      <c r="TP124" t="s">
        <v>1900</v>
      </c>
      <c r="TQ124" t="s">
        <v>1900</v>
      </c>
      <c r="TR124" t="s">
        <v>1900</v>
      </c>
      <c r="TS124" t="s">
        <v>1900</v>
      </c>
      <c r="TT124">
        <v>4810074.35028102</v>
      </c>
      <c r="TU124">
        <v>3844846.94</v>
      </c>
      <c r="TV124">
        <v>4054841.57045432</v>
      </c>
      <c r="TW124">
        <v>3247899.5902738</v>
      </c>
      <c r="TX124" t="s">
        <v>1900</v>
      </c>
      <c r="TY124" t="s">
        <v>1900</v>
      </c>
      <c r="TZ124" t="s">
        <v>1900</v>
      </c>
      <c r="UA124" t="s">
        <v>1900</v>
      </c>
      <c r="UB124" t="s">
        <v>1900</v>
      </c>
      <c r="UC124" t="s">
        <v>1900</v>
      </c>
      <c r="UD124">
        <v>219712.03844017</v>
      </c>
      <c r="UE124">
        <v>198700.23</v>
      </c>
      <c r="UF124">
        <v>231916.751448328</v>
      </c>
      <c r="UG124">
        <v>254677.572873418</v>
      </c>
      <c r="UH124" t="s">
        <v>1900</v>
      </c>
      <c r="UI124" t="s">
        <v>1900</v>
      </c>
      <c r="UJ124" t="s">
        <v>1900</v>
      </c>
      <c r="UK124" t="s">
        <v>1900</v>
      </c>
      <c r="UL124" t="s">
        <v>1900</v>
      </c>
      <c r="UM124" t="s">
        <v>1900</v>
      </c>
      <c r="UN124" t="s">
        <v>1900</v>
      </c>
      <c r="UO124" t="s">
        <v>1900</v>
      </c>
      <c r="UP124" t="s">
        <v>1900</v>
      </c>
      <c r="UQ124" t="s">
        <v>1900</v>
      </c>
      <c r="UR124" t="s">
        <v>1900</v>
      </c>
      <c r="US124" t="s">
        <v>1900</v>
      </c>
      <c r="UT124" t="s">
        <v>1900</v>
      </c>
      <c r="UU124" t="s">
        <v>1900</v>
      </c>
      <c r="UV124" t="s">
        <v>1900</v>
      </c>
      <c r="UW124" t="s">
        <v>1900</v>
      </c>
      <c r="UX124" t="s">
        <v>1900</v>
      </c>
      <c r="UY124" t="s">
        <v>1900</v>
      </c>
      <c r="UZ124" t="s">
        <v>1900</v>
      </c>
      <c r="VA124" t="s">
        <v>1900</v>
      </c>
      <c r="VB124" t="s">
        <v>1900</v>
      </c>
      <c r="VC124" t="s">
        <v>1900</v>
      </c>
      <c r="VD124" t="s">
        <v>1900</v>
      </c>
      <c r="VE124" t="s">
        <v>1900</v>
      </c>
      <c r="VF124" t="s">
        <v>1900</v>
      </c>
      <c r="VG124" t="s">
        <v>1900</v>
      </c>
      <c r="VH124" t="s">
        <v>1900</v>
      </c>
      <c r="VI124" t="s">
        <v>1900</v>
      </c>
      <c r="VJ124" t="s">
        <v>1900</v>
      </c>
      <c r="VK124" t="s">
        <v>1900</v>
      </c>
      <c r="VL124" t="s">
        <v>1900</v>
      </c>
      <c r="VM124" t="s">
        <v>1900</v>
      </c>
      <c r="VN124" t="s">
        <v>1900</v>
      </c>
      <c r="VO124" t="s">
        <v>1900</v>
      </c>
      <c r="VP124" t="s">
        <v>1900</v>
      </c>
      <c r="VQ124" t="s">
        <v>1900</v>
      </c>
      <c r="VR124" t="s">
        <v>1900</v>
      </c>
      <c r="VS124" t="s">
        <v>1900</v>
      </c>
      <c r="VT124" t="s">
        <v>1900</v>
      </c>
      <c r="VU124" t="s">
        <v>1900</v>
      </c>
      <c r="VV124" t="s">
        <v>1900</v>
      </c>
      <c r="VW124" t="s">
        <v>1900</v>
      </c>
      <c r="VX124" t="s">
        <v>1900</v>
      </c>
      <c r="VY124" t="s">
        <v>1900</v>
      </c>
      <c r="VZ124" t="s">
        <v>1900</v>
      </c>
      <c r="WA124" t="s">
        <v>1900</v>
      </c>
      <c r="WB124">
        <v>3263962.86695</v>
      </c>
      <c r="WC124">
        <v>2214174.38</v>
      </c>
      <c r="WD124">
        <v>2043505.38366803</v>
      </c>
      <c r="WE124">
        <v>1195578.13944275</v>
      </c>
      <c r="WF124" t="s">
        <v>1900</v>
      </c>
      <c r="WG124" t="s">
        <v>1900</v>
      </c>
      <c r="WH124" t="s">
        <v>1900</v>
      </c>
      <c r="WI124" t="s">
        <v>1900</v>
      </c>
      <c r="WJ124" t="s">
        <v>1900</v>
      </c>
      <c r="WK124" t="s">
        <v>1900</v>
      </c>
      <c r="WL124" t="s">
        <v>1900</v>
      </c>
      <c r="WM124" t="s">
        <v>1900</v>
      </c>
      <c r="WN124" t="s">
        <v>1900</v>
      </c>
      <c r="WO124" t="s">
        <v>1900</v>
      </c>
      <c r="WP124" t="s">
        <v>1900</v>
      </c>
      <c r="WQ124" t="s">
        <v>1900</v>
      </c>
      <c r="WR124" t="s">
        <v>1900</v>
      </c>
      <c r="WS124" t="s">
        <v>1900</v>
      </c>
      <c r="WT124" t="s">
        <v>1900</v>
      </c>
      <c r="WU124" t="s">
        <v>1900</v>
      </c>
      <c r="WV124" t="s">
        <v>1900</v>
      </c>
      <c r="WW124" t="s">
        <v>1900</v>
      </c>
      <c r="WX124" t="s">
        <v>1900</v>
      </c>
      <c r="WY124" t="s">
        <v>1900</v>
      </c>
      <c r="WZ124" t="s">
        <v>1900</v>
      </c>
      <c r="XA124" t="s">
        <v>1900</v>
      </c>
      <c r="XB124" t="s">
        <v>1900</v>
      </c>
      <c r="XC124" t="s">
        <v>1900</v>
      </c>
      <c r="XD124" t="s">
        <v>1900</v>
      </c>
      <c r="XE124" t="s">
        <v>1900</v>
      </c>
      <c r="XF124" t="s">
        <v>1900</v>
      </c>
      <c r="XG124" t="s">
        <v>1900</v>
      </c>
      <c r="XH124" t="s">
        <v>1900</v>
      </c>
      <c r="XI124" t="s">
        <v>1900</v>
      </c>
      <c r="XJ124" t="s">
        <v>1900</v>
      </c>
      <c r="XK124">
        <v>24474.8141628075</v>
      </c>
      <c r="XL124">
        <v>22520.06</v>
      </c>
      <c r="XM124">
        <v>26650.2344208503</v>
      </c>
      <c r="XN124">
        <v>26888.9490842605</v>
      </c>
      <c r="XO124" t="s">
        <v>1900</v>
      </c>
      <c r="XP124" t="s">
        <v>1900</v>
      </c>
      <c r="XQ124" t="s">
        <v>1900</v>
      </c>
      <c r="XR124" t="s">
        <v>1900</v>
      </c>
      <c r="XS124" t="s">
        <v>1900</v>
      </c>
      <c r="XT124" t="s">
        <v>1900</v>
      </c>
      <c r="XU124" t="s">
        <v>1900</v>
      </c>
      <c r="XV124" t="s">
        <v>1900</v>
      </c>
      <c r="XW124" t="s">
        <v>1900</v>
      </c>
      <c r="XX124" t="s">
        <v>1900</v>
      </c>
      <c r="XY124" t="s">
        <v>1900</v>
      </c>
      <c r="XZ124" t="s">
        <v>1900</v>
      </c>
      <c r="YA124" t="s">
        <v>1900</v>
      </c>
      <c r="YB124" t="s">
        <v>1900</v>
      </c>
      <c r="YC124" t="s">
        <v>1900</v>
      </c>
      <c r="YD124" t="s">
        <v>1900</v>
      </c>
      <c r="YE124" t="s">
        <v>1900</v>
      </c>
      <c r="YF124" t="s">
        <v>1900</v>
      </c>
      <c r="YG124" t="s">
        <v>1900</v>
      </c>
      <c r="YH124" t="s">
        <v>1900</v>
      </c>
      <c r="YI124" t="s">
        <v>1900</v>
      </c>
      <c r="YJ124" t="s">
        <v>1900</v>
      </c>
      <c r="YK124" t="s">
        <v>1900</v>
      </c>
      <c r="YL124" t="s">
        <v>1900</v>
      </c>
      <c r="YM124" t="s">
        <v>1900</v>
      </c>
      <c r="YN124" t="s">
        <v>1900</v>
      </c>
      <c r="YO124" t="s">
        <v>1900</v>
      </c>
      <c r="YP124" t="s">
        <v>1900</v>
      </c>
      <c r="YQ124" t="s">
        <v>1900</v>
      </c>
      <c r="YR124" t="s">
        <v>1900</v>
      </c>
      <c r="YS124" t="s">
        <v>1900</v>
      </c>
      <c r="YT124" t="s">
        <v>1900</v>
      </c>
      <c r="YU124" t="s">
        <v>1900</v>
      </c>
      <c r="YV124" t="s">
        <v>1900</v>
      </c>
      <c r="YW124" t="s">
        <v>1900</v>
      </c>
      <c r="YX124" t="s">
        <v>1900</v>
      </c>
      <c r="YY124" t="s">
        <v>1900</v>
      </c>
      <c r="YZ124" t="s">
        <v>1900</v>
      </c>
      <c r="ZA124" t="s">
        <v>1900</v>
      </c>
      <c r="ZB124" t="s">
        <v>1900</v>
      </c>
      <c r="ZC124" t="s">
        <v>1900</v>
      </c>
      <c r="ZD124" t="s">
        <v>1900</v>
      </c>
      <c r="ZE124" t="s">
        <v>1900</v>
      </c>
      <c r="ZF124" t="s">
        <v>1900</v>
      </c>
      <c r="ZG124" t="s">
        <v>1900</v>
      </c>
      <c r="ZH124" t="s">
        <v>1900</v>
      </c>
      <c r="ZI124" t="s">
        <v>1900</v>
      </c>
      <c r="ZJ124" t="s">
        <v>1900</v>
      </c>
      <c r="ZK124" t="s">
        <v>1900</v>
      </c>
      <c r="ZL124" t="s">
        <v>1900</v>
      </c>
      <c r="ZM124" t="s">
        <v>1900</v>
      </c>
      <c r="ZN124" t="s">
        <v>1900</v>
      </c>
      <c r="ZO124" t="s">
        <v>1900</v>
      </c>
      <c r="ZP124" t="s">
        <v>1900</v>
      </c>
      <c r="ZQ124" t="s">
        <v>1900</v>
      </c>
      <c r="ZR124" t="s">
        <v>1900</v>
      </c>
      <c r="ZS124" t="s">
        <v>1900</v>
      </c>
      <c r="ZT124" t="s">
        <v>1900</v>
      </c>
      <c r="ZU124" t="s">
        <v>1900</v>
      </c>
      <c r="ZV124" t="s">
        <v>1900</v>
      </c>
      <c r="ZW124" t="s">
        <v>1900</v>
      </c>
      <c r="ZX124" t="s">
        <v>1900</v>
      </c>
      <c r="ZY124" t="s">
        <v>1900</v>
      </c>
      <c r="ZZ124" t="s">
        <v>1900</v>
      </c>
      <c r="AAA124" t="s">
        <v>1900</v>
      </c>
      <c r="AAB124" t="s">
        <v>1900</v>
      </c>
      <c r="AAC124" t="s">
        <v>1900</v>
      </c>
      <c r="AAD124" t="s">
        <v>1900</v>
      </c>
      <c r="AAE124" t="s">
        <v>1900</v>
      </c>
      <c r="AAF124" t="s">
        <v>1900</v>
      </c>
      <c r="AAG124" t="s">
        <v>1900</v>
      </c>
      <c r="AAH124" t="s">
        <v>1900</v>
      </c>
      <c r="AAI124" t="s">
        <v>1900</v>
      </c>
      <c r="AAJ124" t="s">
        <v>1900</v>
      </c>
      <c r="AAK124" t="s">
        <v>1900</v>
      </c>
      <c r="AAL124" t="s">
        <v>1900</v>
      </c>
      <c r="AAM124" t="s">
        <v>1900</v>
      </c>
      <c r="AAN124" t="s">
        <v>1900</v>
      </c>
      <c r="AAO124" t="s">
        <v>1900</v>
      </c>
      <c r="AAP124" t="s">
        <v>1900</v>
      </c>
      <c r="AAQ124" t="s">
        <v>1900</v>
      </c>
      <c r="AAR124" t="s">
        <v>1900</v>
      </c>
      <c r="AAS124" t="s">
        <v>1900</v>
      </c>
      <c r="AAT124" t="s">
        <v>1900</v>
      </c>
      <c r="AAU124" t="s">
        <v>1900</v>
      </c>
      <c r="AAV124" t="s">
        <v>1900</v>
      </c>
      <c r="AAW124" t="s">
        <v>1900</v>
      </c>
      <c r="AAX124" t="s">
        <v>1900</v>
      </c>
      <c r="AAY124" t="s">
        <v>1900</v>
      </c>
      <c r="AAZ124" t="s">
        <v>1900</v>
      </c>
      <c r="ABA124" t="s">
        <v>1900</v>
      </c>
      <c r="ABB124" t="s">
        <v>1900</v>
      </c>
      <c r="ABC124" t="s">
        <v>1900</v>
      </c>
      <c r="ABD124" t="s">
        <v>1900</v>
      </c>
      <c r="ABE124" t="s">
        <v>1900</v>
      </c>
      <c r="ABF124" t="s">
        <v>1900</v>
      </c>
      <c r="ABG124" t="s">
        <v>1900</v>
      </c>
      <c r="ABH124" t="s">
        <v>1900</v>
      </c>
      <c r="ABI124" t="s">
        <v>1900</v>
      </c>
      <c r="ABJ124" t="s">
        <v>1900</v>
      </c>
      <c r="ABK124" t="s">
        <v>1900</v>
      </c>
      <c r="ABL124" t="s">
        <v>1900</v>
      </c>
      <c r="ABM124" t="s">
        <v>1900</v>
      </c>
      <c r="ABN124" t="s">
        <v>1900</v>
      </c>
      <c r="ABO124" t="s">
        <v>1900</v>
      </c>
      <c r="ABP124" t="s">
        <v>1900</v>
      </c>
      <c r="ABQ124" t="s">
        <v>1900</v>
      </c>
      <c r="ABR124" t="s">
        <v>1900</v>
      </c>
      <c r="ABS124" t="s">
        <v>1900</v>
      </c>
      <c r="ABT124" t="s">
        <v>1900</v>
      </c>
      <c r="ABU124" t="s">
        <v>1900</v>
      </c>
      <c r="ABV124" t="s">
        <v>1900</v>
      </c>
      <c r="ABW124" t="s">
        <v>1900</v>
      </c>
      <c r="ABX124" t="s">
        <v>1900</v>
      </c>
      <c r="ABY124" t="s">
        <v>1900</v>
      </c>
      <c r="ABZ124" t="s">
        <v>1900</v>
      </c>
      <c r="ACA124" t="s">
        <v>1900</v>
      </c>
      <c r="ACB124" t="s">
        <v>1900</v>
      </c>
      <c r="ACC124" t="s">
        <v>1900</v>
      </c>
      <c r="ACD124" t="s">
        <v>1900</v>
      </c>
      <c r="ACE124" t="s">
        <v>1900</v>
      </c>
      <c r="ACF124">
        <v>-20.138</v>
      </c>
      <c r="ACG124">
        <v>-3.751</v>
      </c>
      <c r="ACH124">
        <v>1.35</v>
      </c>
      <c r="ACI124">
        <v>-1.541</v>
      </c>
      <c r="ACJ124" t="s">
        <v>1900</v>
      </c>
      <c r="ACK124">
        <v>-19.442</v>
      </c>
      <c r="ACL124">
        <v>-3.493</v>
      </c>
      <c r="ACM124">
        <v>1.413</v>
      </c>
      <c r="ACN124">
        <v>-1.39</v>
      </c>
      <c r="ACO124" t="s">
        <v>1900</v>
      </c>
      <c r="ACP124">
        <v>-5.381</v>
      </c>
      <c r="ACQ124">
        <v>-1.34</v>
      </c>
      <c r="ACR124">
        <v>0.5610000000000001</v>
      </c>
      <c r="ACS124">
        <v>-0.797</v>
      </c>
      <c r="ACT124" t="s">
        <v>1900</v>
      </c>
      <c r="ACU124">
        <v>-16.11</v>
      </c>
      <c r="ACV124">
        <v>-3.751</v>
      </c>
      <c r="ACW124">
        <v>1.279</v>
      </c>
      <c r="ACX124">
        <v>-1.541</v>
      </c>
      <c r="ACY124" t="s">
        <v>1900</v>
      </c>
      <c r="ACZ124">
        <v>-15.535</v>
      </c>
      <c r="ADA124">
        <v>-3.493</v>
      </c>
      <c r="ADB124">
        <v>1.346</v>
      </c>
      <c r="ADC124">
        <v>-1.39</v>
      </c>
      <c r="ADD124" t="s">
        <v>1900</v>
      </c>
      <c r="ADE124">
        <v>-4.305</v>
      </c>
      <c r="ADF124">
        <v>-1.34</v>
      </c>
      <c r="ADG124">
        <v>0.532</v>
      </c>
      <c r="ADH124">
        <v>-0.797</v>
      </c>
      <c r="ADI124" t="s">
        <v>1900</v>
      </c>
      <c r="ADJ124">
        <v>-5.966</v>
      </c>
      <c r="ADK124">
        <v>-1.257</v>
      </c>
      <c r="ADL124">
        <v>0.477</v>
      </c>
      <c r="ADM124">
        <v>-0.441</v>
      </c>
      <c r="ADN124" t="s">
        <v>1900</v>
      </c>
      <c r="ADO124" t="s">
        <v>1901</v>
      </c>
      <c r="ADP124" t="s">
        <v>1901</v>
      </c>
      <c r="ADQ124" t="s">
        <v>1901</v>
      </c>
      <c r="ADR124">
        <v>96.146</v>
      </c>
      <c r="ADS124" t="s">
        <v>1900</v>
      </c>
      <c r="ADT124">
        <v>-5.981180692</v>
      </c>
      <c r="ADU124">
        <v>-1.269108023</v>
      </c>
      <c r="ADV124">
        <v>0.516636811</v>
      </c>
      <c r="ADW124">
        <v>-0.432639095</v>
      </c>
      <c r="ADX124" t="s">
        <v>1900</v>
      </c>
      <c r="ADY124">
        <v>-4.534</v>
      </c>
      <c r="ADZ124">
        <v>0.061</v>
      </c>
      <c r="AEA124">
        <v>1.684</v>
      </c>
      <c r="AEB124">
        <v>0.22</v>
      </c>
      <c r="AEC124" t="s">
        <v>1900</v>
      </c>
      <c r="AED124">
        <v>-5.981</v>
      </c>
      <c r="AEE124">
        <v>-1.269</v>
      </c>
      <c r="AEF124">
        <v>0.517</v>
      </c>
      <c r="AEG124">
        <v>-0.433</v>
      </c>
      <c r="AEH124" t="s">
        <v>1900</v>
      </c>
      <c r="AEI124">
        <v>-3.325</v>
      </c>
      <c r="AEJ124">
        <v>0.074</v>
      </c>
      <c r="AEK124">
        <v>1.619</v>
      </c>
      <c r="AEL124">
        <v>0.211</v>
      </c>
      <c r="AEM124" t="s">
        <v>1900</v>
      </c>
      <c r="AEN124">
        <v>-5.643625267</v>
      </c>
      <c r="AEO124">
        <v>-1.253203517</v>
      </c>
      <c r="AEP124">
        <v>0.519319809</v>
      </c>
      <c r="AEQ124">
        <v>-0.430775392</v>
      </c>
      <c r="AER124" t="s">
        <v>1900</v>
      </c>
      <c r="AES124">
        <v>0.943657757</v>
      </c>
      <c r="AET124">
        <v>0.987695386</v>
      </c>
      <c r="AEU124">
        <v>1.005079237</v>
      </c>
      <c r="AEV124">
        <v>0.995520344</v>
      </c>
      <c r="AEW124" t="s">
        <v>1900</v>
      </c>
      <c r="AEX124" t="s">
        <v>1900</v>
      </c>
      <c r="AEY124" t="s">
        <v>1900</v>
      </c>
      <c r="AEZ124" t="s">
        <v>1900</v>
      </c>
      <c r="AFA124" t="s">
        <v>1900</v>
      </c>
      <c r="AFB124" t="s">
        <v>1900</v>
      </c>
      <c r="AFC124" t="s">
        <v>1900</v>
      </c>
      <c r="AFD124" t="s">
        <v>1900</v>
      </c>
      <c r="AFE124" t="s">
        <v>1900</v>
      </c>
      <c r="AFF124" t="s">
        <v>1900</v>
      </c>
      <c r="AFG124" t="s">
        <v>1900</v>
      </c>
      <c r="AFH124">
        <v>3.274</v>
      </c>
      <c r="AFI124">
        <v>2.865</v>
      </c>
      <c r="AFJ124">
        <v>2.686</v>
      </c>
      <c r="AFK124">
        <v>3.27</v>
      </c>
      <c r="AFL124" t="s">
        <v>1900</v>
      </c>
      <c r="AFM124" t="s">
        <v>1901</v>
      </c>
      <c r="AFN124">
        <v>-33.793</v>
      </c>
      <c r="AFO124">
        <v>10.444</v>
      </c>
      <c r="AFP124">
        <v>-27.277</v>
      </c>
      <c r="AFQ124" t="s">
        <v>1900</v>
      </c>
      <c r="AFR124" t="s">
        <v>1901</v>
      </c>
      <c r="AFS124" t="s">
        <v>1901</v>
      </c>
      <c r="AFT124" t="s">
        <v>1901</v>
      </c>
      <c r="AFU124" t="s">
        <v>1901</v>
      </c>
      <c r="AFV124" t="s">
        <v>1900</v>
      </c>
      <c r="AFW124">
        <v>163.815</v>
      </c>
      <c r="AFX124">
        <v>141.785</v>
      </c>
      <c r="AFY124">
        <v>141.905</v>
      </c>
      <c r="AFZ124">
        <v>137.305</v>
      </c>
      <c r="AGA124" t="s">
        <v>1900</v>
      </c>
      <c r="AGB124">
        <v>0.109</v>
      </c>
      <c r="AGC124">
        <v>0.136</v>
      </c>
      <c r="AGD124">
        <v>0.141</v>
      </c>
      <c r="AGE124">
        <v>0.149</v>
      </c>
      <c r="AGF124" t="s">
        <v>1900</v>
      </c>
      <c r="AGG124" t="s">
        <v>1900</v>
      </c>
      <c r="AGH124" t="s">
        <v>1900</v>
      </c>
      <c r="AGI124" t="s">
        <v>1900</v>
      </c>
      <c r="AGJ124" t="s">
        <v>1900</v>
      </c>
      <c r="AGK124" t="s">
        <v>1900</v>
      </c>
      <c r="AGL124" t="s">
        <v>1900</v>
      </c>
      <c r="AGM124" t="s">
        <v>1900</v>
      </c>
      <c r="AGN124" t="s">
        <v>1900</v>
      </c>
      <c r="AGO124" t="s">
        <v>1900</v>
      </c>
      <c r="AGP124" t="s">
        <v>1900</v>
      </c>
      <c r="AGQ124" t="s">
        <v>1900</v>
      </c>
      <c r="AGR124" t="s">
        <v>1900</v>
      </c>
      <c r="AGS124" t="s">
        <v>1900</v>
      </c>
      <c r="AGT124" t="s">
        <v>1900</v>
      </c>
      <c r="AGU124">
        <v>0</v>
      </c>
      <c r="AGV124">
        <v>0</v>
      </c>
      <c r="AGW124">
        <v>0</v>
      </c>
      <c r="AGX124">
        <v>0</v>
      </c>
      <c r="AGY124">
        <v>0</v>
      </c>
      <c r="AGZ124" t="s">
        <v>1900</v>
      </c>
      <c r="AHA124">
        <v>1.318</v>
      </c>
      <c r="AHB124">
        <v>1.518</v>
      </c>
      <c r="AHC124">
        <v>1.683</v>
      </c>
      <c r="AHD124">
        <v>2.092</v>
      </c>
      <c r="AHE124" t="s">
        <v>1900</v>
      </c>
      <c r="AHF124">
        <v>1.318</v>
      </c>
      <c r="AHG124">
        <v>1.518</v>
      </c>
      <c r="AHH124">
        <v>1.683</v>
      </c>
      <c r="AHI124">
        <v>2.092</v>
      </c>
      <c r="AHJ124" t="s">
        <v>1900</v>
      </c>
      <c r="AHK124">
        <v>32.366</v>
      </c>
      <c r="AHL124">
        <v>24.022</v>
      </c>
      <c r="AHM124">
        <v>18.429</v>
      </c>
      <c r="AHN124">
        <v>14.502</v>
      </c>
      <c r="AHO124" t="s">
        <v>1900</v>
      </c>
      <c r="AHP124">
        <v>26.723</v>
      </c>
      <c r="AHQ124">
        <v>35.717</v>
      </c>
      <c r="AHR124">
        <v>41.581</v>
      </c>
      <c r="AHS124">
        <v>51.707</v>
      </c>
      <c r="AHT124" t="s">
        <v>1900</v>
      </c>
      <c r="AHU124">
        <v>36.468</v>
      </c>
      <c r="AHV124">
        <v>55.562</v>
      </c>
      <c r="AHW124">
        <v>71.179</v>
      </c>
      <c r="AHX124" t="s">
        <v>1901</v>
      </c>
      <c r="AHY124" t="s">
        <v>1900</v>
      </c>
      <c r="AHZ124">
        <v>20.183</v>
      </c>
      <c r="AIA124">
        <v>18.632</v>
      </c>
      <c r="AIB124">
        <v>19.181</v>
      </c>
      <c r="AIC124">
        <v>22.06</v>
      </c>
      <c r="AID124" t="s">
        <v>1900</v>
      </c>
      <c r="AIE124">
        <v>1.949458052</v>
      </c>
      <c r="AIF124">
        <v>0.986220273</v>
      </c>
      <c r="AIG124">
        <v>1.022087618</v>
      </c>
      <c r="AIH124">
        <v>1.136859053</v>
      </c>
      <c r="AII124" t="s">
        <v>1900</v>
      </c>
      <c r="AIJ124">
        <v>54.433449574</v>
      </c>
      <c r="AIK124">
        <v>53.348725502</v>
      </c>
      <c r="AIL124">
        <v>48.130265731</v>
      </c>
      <c r="AIM124">
        <v>24.640396683</v>
      </c>
      <c r="AIN124" t="s">
        <v>1900</v>
      </c>
      <c r="AIO124">
        <v>67.856806969</v>
      </c>
      <c r="AIP124">
        <v>57.588102064</v>
      </c>
      <c r="AIQ124">
        <v>50.396676372</v>
      </c>
      <c r="AIR124">
        <v>36.810809762</v>
      </c>
      <c r="AIS124" t="s">
        <v>1900</v>
      </c>
      <c r="AIT124">
        <v>0</v>
      </c>
      <c r="AIU124">
        <v>0</v>
      </c>
      <c r="AIV124">
        <v>0</v>
      </c>
      <c r="AIW124">
        <v>0</v>
      </c>
      <c r="AIX124" t="s">
        <v>1900</v>
      </c>
      <c r="AIY124">
        <v>-7.19023891507816</v>
      </c>
      <c r="AIZ124">
        <v>-1.47161</v>
      </c>
      <c r="AJA124">
        <v>0.650162214988947</v>
      </c>
      <c r="AJB124">
        <v>-0.834891286645293</v>
      </c>
      <c r="AJC124" t="s">
        <v>1900</v>
      </c>
      <c r="AJD124">
        <v>120.51532339778</v>
      </c>
      <c r="AJE124">
        <v>117.085204</v>
      </c>
      <c r="AJF124">
        <v>136.399867610757</v>
      </c>
      <c r="AJG124">
        <v>189.361226359603</v>
      </c>
      <c r="AJH124" t="s">
        <v>1900</v>
      </c>
      <c r="AJI124">
        <v>40.905</v>
      </c>
      <c r="AJJ124">
        <v>35.41</v>
      </c>
      <c r="AJK124">
        <v>38.118</v>
      </c>
      <c r="AJL124">
        <v>24.214</v>
      </c>
      <c r="AJM124" t="s">
        <v>1900</v>
      </c>
      <c r="AJN124">
        <v>49.2965068124218</v>
      </c>
      <c r="AJO124">
        <v>41.459954</v>
      </c>
      <c r="AJP124">
        <v>51.992565919426</v>
      </c>
      <c r="AJQ124">
        <v>45.8513544039227</v>
      </c>
      <c r="AJR124" t="s">
        <v>1900</v>
      </c>
      <c r="AJS124">
        <v>35.7049060026274</v>
      </c>
      <c r="AJT124">
        <v>39.235888</v>
      </c>
      <c r="AJU124">
        <v>48.1732448486502</v>
      </c>
      <c r="AJV124">
        <v>54.1743837408358</v>
      </c>
      <c r="AJW124" t="s">
        <v>1900</v>
      </c>
      <c r="AJX124">
        <v>54.8031144879341</v>
      </c>
      <c r="AJY124">
        <v>46.069477</v>
      </c>
      <c r="AJZ124">
        <v>53.7128114833883</v>
      </c>
      <c r="AKA124">
        <v>72.1443757568248</v>
      </c>
      <c r="AKB124" t="s">
        <v>1900</v>
      </c>
      <c r="AKC124">
        <v>133.613176577828</v>
      </c>
      <c r="AKD124">
        <v>109.85277</v>
      </c>
      <c r="AKE124">
        <v>115.852616467752</v>
      </c>
      <c r="AKF124">
        <v>104.770953985735</v>
      </c>
      <c r="AKG124" t="s">
        <v>1900</v>
      </c>
      <c r="AKH124">
        <v>0</v>
      </c>
      <c r="AKI124">
        <v>0</v>
      </c>
      <c r="AKJ124">
        <v>0</v>
      </c>
      <c r="AKK124">
        <v>0</v>
      </c>
      <c r="AKL124" t="s">
        <v>1900</v>
      </c>
      <c r="AKM124">
        <v>0</v>
      </c>
      <c r="AKN124">
        <v>0</v>
      </c>
      <c r="AKO124">
        <v>0</v>
      </c>
      <c r="AKP124">
        <v>0</v>
      </c>
      <c r="AKQ124" t="s">
        <v>1900</v>
      </c>
      <c r="AKR124">
        <v>0</v>
      </c>
      <c r="AKS124">
        <v>0</v>
      </c>
      <c r="AKT124">
        <v>0</v>
      </c>
      <c r="AKU124">
        <v>0</v>
      </c>
      <c r="AKV124" t="s">
        <v>1900</v>
      </c>
      <c r="AKW124">
        <v>0.049933364</v>
      </c>
      <c r="AKX124">
        <v>0.023898835</v>
      </c>
      <c r="AKY124">
        <v>0.013588536</v>
      </c>
      <c r="AKZ124">
        <v>0.044340853</v>
      </c>
      <c r="ALA124" t="s">
        <v>1900</v>
      </c>
      <c r="ALB124">
        <v>0.045038489</v>
      </c>
      <c r="ALC124">
        <v>0.025472275</v>
      </c>
      <c r="ALD124">
        <v>0.015998556</v>
      </c>
      <c r="ALE124">
        <v>0.080140897</v>
      </c>
      <c r="ALF124" t="s">
        <v>1900</v>
      </c>
      <c r="ALG124">
        <v>2.803397844</v>
      </c>
      <c r="ALH124">
        <v>3.435602097</v>
      </c>
      <c r="ALI124">
        <v>3.756385795</v>
      </c>
      <c r="ALJ124">
        <v>2.881851766</v>
      </c>
      <c r="ALK124" t="s">
        <v>1900</v>
      </c>
      <c r="ALL124">
        <v>2.528585921</v>
      </c>
      <c r="ALM124">
        <v>3.661793621</v>
      </c>
      <c r="ALN124">
        <v>4.422606413</v>
      </c>
      <c r="ALO124">
        <v>5.20860946</v>
      </c>
      <c r="ALP124" t="s">
        <v>1900</v>
      </c>
      <c r="ALQ124">
        <v>45.504156553</v>
      </c>
      <c r="ALR124">
        <v>39.384791314</v>
      </c>
      <c r="ALS124">
        <v>39.41799216</v>
      </c>
      <c r="ALT124">
        <v>38.14022794</v>
      </c>
      <c r="ALU124" t="s">
        <v>1900</v>
      </c>
      <c r="ALV124">
        <v>0.066315478</v>
      </c>
      <c r="ALW124">
        <v>0.09603764300000001</v>
      </c>
      <c r="ALX124">
        <v>0.099090962</v>
      </c>
      <c r="ALY124">
        <v>0.108591312</v>
      </c>
      <c r="ALZ124" t="s">
        <v>1900</v>
      </c>
      <c r="AMA124" t="s">
        <v>1901</v>
      </c>
      <c r="AMB124" t="s">
        <v>1901</v>
      </c>
      <c r="AMC124" t="s">
        <v>1901</v>
      </c>
      <c r="AMD124">
        <v>96.14601002842269</v>
      </c>
      <c r="AME124" t="s">
        <v>1900</v>
      </c>
      <c r="AMF124" t="s">
        <v>1901</v>
      </c>
      <c r="AMG124" t="s">
        <v>1901</v>
      </c>
      <c r="AMH124" t="s">
        <v>1901</v>
      </c>
      <c r="AMI124">
        <v>96.7823418490613</v>
      </c>
      <c r="AMJ124" t="s">
        <v>1900</v>
      </c>
      <c r="AMK124" t="s">
        <v>1901</v>
      </c>
      <c r="AML124" t="s">
        <v>1901</v>
      </c>
      <c r="AMM124" t="s">
        <v>1901</v>
      </c>
      <c r="AMN124">
        <v>2494.71356295458</v>
      </c>
      <c r="AMO124" t="s">
        <v>1900</v>
      </c>
      <c r="AMP124">
        <v>0.943657757257609</v>
      </c>
      <c r="AMQ124">
        <v>0.987695386011137</v>
      </c>
      <c r="AMR124">
        <v>1.00507923660714</v>
      </c>
      <c r="AMS124">
        <v>0.995520344098602</v>
      </c>
      <c r="AMT124" t="s">
        <v>1900</v>
      </c>
      <c r="AMU124">
        <v>0.943657756785674</v>
      </c>
      <c r="AMV124">
        <v>0.98769538648432</v>
      </c>
      <c r="AMW124">
        <v>1.00507923685084</v>
      </c>
      <c r="AMX124">
        <v>0.995520344309208</v>
      </c>
      <c r="AMY124" t="s">
        <v>1900</v>
      </c>
      <c r="AMZ124">
        <v>0.9397460497917</v>
      </c>
      <c r="ANA124">
        <v>0.98686216022467</v>
      </c>
      <c r="ANB124">
        <v>1.0053262276655</v>
      </c>
      <c r="ANC124">
        <v>0.995424485876524</v>
      </c>
      <c r="AND124" t="s">
        <v>1900</v>
      </c>
      <c r="ANE124">
        <v>-5.98118069220194</v>
      </c>
      <c r="ANF124">
        <v>-1.26910802317237</v>
      </c>
      <c r="ANG124">
        <v>0.516636811490096</v>
      </c>
      <c r="ANH124">
        <v>-0.432639095246942</v>
      </c>
      <c r="ANI124" t="s">
        <v>1900</v>
      </c>
      <c r="ANJ124">
        <v>-6.02070622867113</v>
      </c>
      <c r="ANK124">
        <v>-1.28410388697133</v>
      </c>
      <c r="ANL124">
        <v>0.521844941176676</v>
      </c>
      <c r="ANM124">
        <v>-0.435502469640497</v>
      </c>
      <c r="ANN124" t="s">
        <v>1900</v>
      </c>
      <c r="ANO124">
        <v>-5.64362526736979</v>
      </c>
      <c r="ANP124">
        <v>-1.25320351679406</v>
      </c>
      <c r="ANQ124">
        <v>0.5193198087916741</v>
      </c>
      <c r="ANR124">
        <v>-0.430775392486343</v>
      </c>
      <c r="ANS124" t="s">
        <v>1900</v>
      </c>
      <c r="ANT124">
        <v>-19.5833163899675</v>
      </c>
      <c r="ANU124">
        <v>-3.63583677351786</v>
      </c>
      <c r="ANV124">
        <v>1.38753631510809</v>
      </c>
      <c r="ANW124">
        <v>-1.41469435593597</v>
      </c>
      <c r="ANX124" t="s">
        <v>1900</v>
      </c>
      <c r="ANY124">
        <v>93.2850196403043</v>
      </c>
      <c r="ANZ124">
        <v>95.3303363965621</v>
      </c>
      <c r="AOA124">
        <v>97.515271480618</v>
      </c>
      <c r="AOB124">
        <v>94.1226575493877</v>
      </c>
      <c r="AOC124" t="s">
        <v>1900</v>
      </c>
      <c r="AOD124">
        <v>94.52322908673921</v>
      </c>
      <c r="AOE124">
        <v>100.595059706108</v>
      </c>
      <c r="AOF124">
        <v>102.762988280155</v>
      </c>
      <c r="AOG124">
        <v>95.7318366763628</v>
      </c>
      <c r="AOH124" t="s">
        <v>1900</v>
      </c>
      <c r="AOI124">
        <v>90.3566838136519</v>
      </c>
      <c r="AOJ124" t="s">
        <v>1901</v>
      </c>
      <c r="AOK124" t="s">
        <v>1901</v>
      </c>
      <c r="AOL124" t="s">
        <v>1901</v>
      </c>
      <c r="AOM124" t="s">
        <v>1900</v>
      </c>
      <c r="AON124" t="s">
        <v>1901</v>
      </c>
      <c r="AOO124" t="s">
        <v>1901</v>
      </c>
      <c r="AOP124" t="s">
        <v>1901</v>
      </c>
      <c r="AOQ124">
        <v>-11.2257452852997</v>
      </c>
      <c r="AOR124" t="s">
        <v>1900</v>
      </c>
      <c r="AOS124">
        <v>-5.63422432143263</v>
      </c>
      <c r="AOT124">
        <v>-1.230461351568</v>
      </c>
      <c r="AOU124">
        <v>0.507923685084288</v>
      </c>
      <c r="AOV124">
        <v>-0.447965569079174</v>
      </c>
      <c r="AOW124" t="s">
        <v>1900</v>
      </c>
      <c r="AOX124">
        <v>-5.3948565741287</v>
      </c>
      <c r="AOY124">
        <v>-1.35266294891833</v>
      </c>
      <c r="AOZ124">
        <v>0.608265870610334</v>
      </c>
      <c r="APA124">
        <v>-0.781944481354731</v>
      </c>
      <c r="APB124" t="s">
        <v>1900</v>
      </c>
      <c r="APC124">
        <v>-4.77299547581038</v>
      </c>
      <c r="APD124">
        <v>-1.25687102495979</v>
      </c>
      <c r="APE124">
        <v>0.451761948542688</v>
      </c>
      <c r="APF124">
        <v>-0.44089857017784</v>
      </c>
      <c r="APG124" t="s">
        <v>1900</v>
      </c>
      <c r="APH124">
        <v>-4.80453694169393</v>
      </c>
      <c r="API124">
        <v>-1.27172229558373</v>
      </c>
      <c r="APJ124">
        <v>0.456316085536307</v>
      </c>
      <c r="APK124">
        <v>-0.443816609000203</v>
      </c>
      <c r="APL124" t="s">
        <v>1900</v>
      </c>
      <c r="APM124" t="s">
        <v>1901</v>
      </c>
      <c r="APN124" t="s">
        <v>1901</v>
      </c>
      <c r="APO124" t="s">
        <v>1901</v>
      </c>
      <c r="APP124">
        <v>-11.4400550016041</v>
      </c>
      <c r="APQ124" t="s">
        <v>1900</v>
      </c>
      <c r="APR124">
        <v>-4.49612352139099</v>
      </c>
      <c r="APS124">
        <v>-1.2185969924395</v>
      </c>
      <c r="APT124">
        <v>0.444142942549612</v>
      </c>
      <c r="APU124">
        <v>-0.456517640374541</v>
      </c>
      <c r="APV124" t="s">
        <v>1900</v>
      </c>
      <c r="APW124">
        <v>-4.50362549712713</v>
      </c>
      <c r="APX124">
        <v>-1.24111987307343</v>
      </c>
      <c r="APY124">
        <v>0.454108037830053</v>
      </c>
      <c r="APZ124">
        <v>-0.43899928763169</v>
      </c>
      <c r="AQA124" t="s">
        <v>1900</v>
      </c>
      <c r="AQB124">
        <v>-4.30510752743747</v>
      </c>
      <c r="AQC124">
        <v>-1.33962029708262</v>
      </c>
      <c r="AQD124">
        <v>0.531885008631845</v>
      </c>
      <c r="AQE124">
        <v>-0.796872514701826</v>
      </c>
      <c r="AQF124" t="s">
        <v>1900</v>
      </c>
      <c r="AQG124">
        <v>-0.0602539502082997</v>
      </c>
      <c r="AQH124">
        <v>-0.01313783977533</v>
      </c>
      <c r="AQI124">
        <v>0.0053262276654965</v>
      </c>
      <c r="AQJ124">
        <v>-0.00457551412347551</v>
      </c>
      <c r="AQK124">
        <v>2</v>
      </c>
      <c r="AQO124" t="s">
        <v>1902</v>
      </c>
      <c r="AQP124">
        <v>3</v>
      </c>
      <c r="AQQ124">
        <v>0</v>
      </c>
      <c r="AQS124" t="s">
        <v>1905</v>
      </c>
      <c r="AQU124" t="s">
        <v>1906</v>
      </c>
      <c r="AQV124" t="s">
        <v>1900</v>
      </c>
      <c r="AQW124">
        <v>4338551.62819169</v>
      </c>
      <c r="AQX124">
        <v>4097982.13</v>
      </c>
      <c r="AQY124" t="s">
        <v>1900</v>
      </c>
      <c r="AQZ124">
        <v>-259496.612306614</v>
      </c>
      <c r="ARA124">
        <v>-52007.82</v>
      </c>
      <c r="ARB124">
        <v>8436533.75819169</v>
      </c>
      <c r="ARC124">
        <v>-311504.432306614</v>
      </c>
      <c r="ARD124">
        <v>-0.03560849021497815</v>
      </c>
      <c r="ARE124">
        <v>-0.03560849021497815</v>
      </c>
      <c r="ARF124">
        <v>-0.03560849021497815</v>
      </c>
      <c r="ARG124" t="s">
        <v>1907</v>
      </c>
      <c r="ARH124" t="s">
        <v>1907</v>
      </c>
      <c r="ARI124" t="s">
        <v>1907</v>
      </c>
      <c r="ARJ124" t="s">
        <v>1285</v>
      </c>
      <c r="ARK124" t="s">
        <v>1623</v>
      </c>
      <c r="ARL124" t="s">
        <v>1908</v>
      </c>
      <c r="ARM124" t="s">
        <v>1908</v>
      </c>
      <c r="ARN124" t="s">
        <v>1909</v>
      </c>
      <c r="ARO124" t="s">
        <v>1909</v>
      </c>
      <c r="ARP124" t="s">
        <v>1907</v>
      </c>
      <c r="ARQ124" t="s">
        <v>2016</v>
      </c>
      <c r="ARR124">
        <f>HYPERLINK("C:\Users\Usuario\Documents\Proyectos\llmthon\evidence\grupozubizarreta_com_000553.png", "Ver Evidencia")</f>
        <v>0</v>
      </c>
      <c r="ARS124">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2026-02-17T23:06:02Z</dcterms:created>
  <dcterms:modified xsi:type="dcterms:W3CDTF">2026-02-17T23:06:02Z</dcterms:modified>
</cp:coreProperties>
</file>